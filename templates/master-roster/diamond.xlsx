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revisions/revisionHeaders.xml" ContentType="application/vnd.openxmlformats-officedocument.spreadsheetml.revisionHeaders+xml"/>
  <Override PartName="/xl/revisions/revisionLog4.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1.xml" ContentType="application/vnd.openxmlformats-officedocument.spreadsheetml.revisionLog+xml"/>
  <Override PartName="/xl/revisions/revisionLog2.xml" ContentType="application/vnd.openxmlformats-officedocument.spreadsheetml.revisionLog+xml"/>
  <Override PartName="/xl/revisions/revisionLog3.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Data\Softball\"/>
    </mc:Choice>
  </mc:AlternateContent>
  <xr:revisionPtr revIDLastSave="0" documentId="13_ncr:81_{087B08CA-92D1-40A1-9B13-AB355334C3FA}" xr6:coauthVersionLast="47" xr6:coauthVersionMax="47" xr10:uidLastSave="{00000000-0000-0000-0000-000000000000}"/>
  <bookViews>
    <workbookView xWindow="-120" yWindow="-120" windowWidth="29040" windowHeight="15720" activeTab="4" xr2:uid="{00000000-000D-0000-FFFF-FFFF00000000}"/>
  </bookViews>
  <sheets>
    <sheet name="Team Info" sheetId="1" r:id="rId1"/>
    <sheet name="MAIN" sheetId="2" r:id="rId2"/>
    <sheet name="Team Personnel" sheetId="3" r:id="rId3"/>
    <sheet name="Roster" sheetId="4" r:id="rId4"/>
    <sheet name="Stats" sheetId="5" r:id="rId5"/>
    <sheet name="Upcoming Schedule" sheetId="6" r:id="rId6"/>
    <sheet name="Team Heroes" sheetId="7" r:id="rId7"/>
    <sheet name="Team Users" sheetId="8" r:id="rId8"/>
    <sheet name="Player Heroes" sheetId="9" r:id="rId9"/>
    <sheet name="Player Users" sheetId="10" r:id="rId10"/>
    <sheet name="LOGOS" sheetId="11" r:id="rId11"/>
  </sheets>
  <externalReferences>
    <externalReference r:id="rId12"/>
    <externalReference r:id="rId13"/>
  </externalReferences>
  <definedNames>
    <definedName name="ACTIONSHOT">Roster!$V$3:$V$102</definedName>
    <definedName name="AGE">Roster!$Q$3:$Q$102</definedName>
    <definedName name="AGE_TEXT">Roster!$R$3:$R$102</definedName>
    <definedName name="ah">Roster!$BD$3</definedName>
    <definedName name="BA">Roster!$S$3:$S$102</definedName>
    <definedName name="BATS">Roster!$F$3:$F$104</definedName>
    <definedName name="BIO_HEADER">Roster!$P$3:$P$4</definedName>
    <definedName name="CAT_1">Stats!$D$1:$D$100</definedName>
    <definedName name="CAT_1_HILITE">Stats!$E$1:$E$100</definedName>
    <definedName name="CAT_2">Stats!$F$1:$F$100</definedName>
    <definedName name="CAT_2_HILITE">Stats!$G$1:$G$100</definedName>
    <definedName name="CAT_3">Stats!$H$1:$H$100</definedName>
    <definedName name="CAT_3_HILITE">Stats!$I$1:$I$100</definedName>
    <definedName name="CAT_4">Stats!$J$1:$J$100</definedName>
    <definedName name="CAT_4_HILITE">Stats!$K$1:$K$100</definedName>
    <definedName name="COACH_DEF_FIRST">'Team Personnel'!$B$13:$B$23</definedName>
    <definedName name="COACH_DEF_LAST">'Team Personnel'!$C$13:$C$23</definedName>
    <definedName name="COACH_DEF_TEXT">'Team Personnel'!$E$13:$E$23</definedName>
    <definedName name="COACH_HEAD_DROP">'Team Personnel'!$F$2:$F$12</definedName>
    <definedName name="COACH_HEAD_FIRST">'Team Personnel'!$B$2:$B$12</definedName>
    <definedName name="COACH_HEAD_FULL">'Team Personnel'!$I$2:$I$23</definedName>
    <definedName name="COACH_HEAD_HEADER">'Team Personnel'!$D$2:$D$12</definedName>
    <definedName name="COACH_HEAD_LAST">'Team Personnel'!$C$2:$C$12</definedName>
    <definedName name="COACH_HEAD_TEXT">'Team Personnel'!$E$2:$E$12</definedName>
    <definedName name="COACH_OFF_DROP">'Team Personnel'!$F$8:$F$12</definedName>
    <definedName name="COACH_OFF_FIRST">'Team Personnel'!$B$8:$B$12</definedName>
    <definedName name="COACH_OFF_HEADER">'Team Personnel'!$D$8:$D$12</definedName>
    <definedName name="COACH_OFF_LAST">'Team Personnel'!$C$8:$C$12</definedName>
    <definedName name="COACH_OFF_TEXT">'Team Personnel'!$E$8:$E$12</definedName>
    <definedName name="COACH_RESUME_DROP">'Team Personnel'!$K$20:$K$21</definedName>
    <definedName name="COACH_RESUME_LINE1">'Team Personnel'!$K$8:$K$9</definedName>
    <definedName name="COACH_RESUME_LINE2">'Team Personnel'!$K$11:$K$12</definedName>
    <definedName name="COACH_RESUME_LINE3">'Team Personnel'!$K$14:$K$15</definedName>
    <definedName name="COACH_RESUME_LINE4">'Team Personnel'!$K$17:$K$18</definedName>
    <definedName name="COACH_RESUME_ROWS">'Team Personnel'!$K$23:$K$24</definedName>
    <definedName name="COACH_RESUME_SUBTITLE">'Team Personnel'!$K$5:$K$6</definedName>
    <definedName name="COACH_RESUME_TITLE">'Team Personnel'!$K$2:$K$3</definedName>
    <definedName name="CONFERENCE_LOGOS">LOGOS!$C$1:$C$50</definedName>
    <definedName name="ESPN100">Roster!$O$3:$O$102</definedName>
    <definedName name="HEADER">Roster!$N$3:$N$102</definedName>
    <definedName name="HEADSHOT">Roster!$U$3:$U$102</definedName>
    <definedName name="HEIGHT">Roster!$H$3:$H$102</definedName>
    <definedName name="HERO_1_DROP">'Player Heroes'!$J$2:$J$101</definedName>
    <definedName name="HERO_1_HEADER">'Player Heroes'!$G$2:$G$101</definedName>
    <definedName name="HERO_1_INFO">'Player Heroes'!$I$2:$I$101</definedName>
    <definedName name="HERO_USER">'Player Users'!$F$2:$F$101</definedName>
    <definedName name="HERO_USER2">'Player Users'!$H$2:$H$101</definedName>
    <definedName name="HOMETOWN">Roster!$K$3:$K$102</definedName>
    <definedName name="HR_NEXT">Roster!$AI$3:$AI$102</definedName>
    <definedName name="HR_TOTAL">Roster!$T$3:$T$102</definedName>
    <definedName name="INNINGS">[1]Roster!$W$17:$X$18</definedName>
    <definedName name="INPUT_RANGE">MAIN!$C$4:$CM$104</definedName>
    <definedName name="JERSEY">Roster!$B$3:$B$102</definedName>
    <definedName name="LU_Firstname">#REF!</definedName>
    <definedName name="LU_Fullname">#REF!</definedName>
    <definedName name="LU_Headshot">#REF!</definedName>
    <definedName name="LU_Height">#REF!</definedName>
    <definedName name="LU_Hometown">#REF!</definedName>
    <definedName name="LU_Lastname">#REF!</definedName>
    <definedName name="LU_Position">#REF!</definedName>
    <definedName name="LU_Position_Short">#REF!</definedName>
    <definedName name="LU_Year">#REF!</definedName>
    <definedName name="LU_Year_Short">#REF!</definedName>
    <definedName name="MAJOR">Roster!$M$3:$M$102</definedName>
    <definedName name="MAJOR_FULL">Roster!$AG$3:$AG$102</definedName>
    <definedName name="NAME_FINIT">Roster!$Z$3:$Z$102</definedName>
    <definedName name="NAME_FIRST">Roster!$C$3:$C$102</definedName>
    <definedName name="NAME_FIRST_CAPS">Roster!$AA$3:$AA$102</definedName>
    <definedName name="NAME_FULL">Roster!$X$3:$X$102</definedName>
    <definedName name="NAME_FULL_CAPS">Roster!$Y$3:$Y$102</definedName>
    <definedName name="NAME_LAST">Roster!$D$3:$D$102</definedName>
    <definedName name="NAME_LAST_CAPS">Roster!$AB$3:$AB$102</definedName>
    <definedName name="NAME_NUM">Roster!$W$3:$W$102</definedName>
    <definedName name="NAME_NUM_CAPS">Roster!$AH$3:$AH$102</definedName>
    <definedName name="NAME_RANGE">MAIN!$A$4:$C$103</definedName>
    <definedName name="NETWORK_LOGOS" localSheetId="8">[2]LOGOS!$E$1:$E$399</definedName>
    <definedName name="NETWORK_LOGOS" localSheetId="9">[2]LOGOS!$E$1:$E$399</definedName>
    <definedName name="NETWORK_LOGOS">LOGOS!$E$1:$E$324</definedName>
    <definedName name="NETWORK_LOGOS_BLACK">LOGOS!$G$1:$G$19</definedName>
    <definedName name="NETWORK_LOGOS_WHITE">LOGOS!$F$1:$F$19</definedName>
    <definedName name="NUM_RANGE">MAIN!$C$4:$C$103</definedName>
    <definedName name="PITCH_APP">Stats!$BC$1:$BC$100</definedName>
    <definedName name="PITCH_BB">Stats!$BG$1:$BG$100</definedName>
    <definedName name="PITCH_ERA">Stats!$BE$1:$BE$100</definedName>
    <definedName name="PITCH_GS">Stats!$BB$1:$BB$100</definedName>
    <definedName name="PITCH_HITS">Stats!$BK$1:$BK$100</definedName>
    <definedName name="PITCH_IP">Stats!$BF$1:$BF$100</definedName>
    <definedName name="PITCH_K">Stats!$BH$1:$BH$100</definedName>
    <definedName name="PITCH_KBB">Stats!$BL$1:$BL$100</definedName>
    <definedName name="PITCH_SAVES">Stats!$BI$1:$BI$100</definedName>
    <definedName name="PITCH_SAVES2">Stats!$BJ$1:$BJ$100</definedName>
    <definedName name="PITCH_WHIP">Stats!$BM$1:$BM$100</definedName>
    <definedName name="PITCH_WL">Stats!$BD$1:$BD$100</definedName>
    <definedName name="PLAYER_USER_ROWS">'Player Users'!$J$2:$J$101</definedName>
    <definedName name="PLAYER_USER_TEXT1">'Player Users'!$F$2:$F$101</definedName>
    <definedName name="PLAYER_USER_TEXT2">'Player Users'!$H$2:$H$101</definedName>
    <definedName name="POS">Roster!$E$3:$E$102</definedName>
    <definedName name="PROMO_TOWER">'Upcoming Schedule'!$A$14:$C$20</definedName>
    <definedName name="ROSTER">Roster!$A$1:$AE$102</definedName>
    <definedName name="SCHED_AT_VS">'Upcoming Schedule'!$B$4:$B$16</definedName>
    <definedName name="SCHED_DATE">'Upcoming Schedule'!$D$4:$D$16</definedName>
    <definedName name="SCHED_LOGO">'Upcoming Schedule'!$G$4:$G$16</definedName>
    <definedName name="SCHED_NETWORK">'Upcoming Schedule'!$K$4:$K$16</definedName>
    <definedName name="SCHED_OPPONENT">'Upcoming Schedule'!$C$4:$C$16</definedName>
    <definedName name="SCHED_SUBTITLE">'Upcoming Schedule'!$I$9:$I$10</definedName>
    <definedName name="SCHED_TIME">'Upcoming Schedule'!$E$4:$E$16</definedName>
    <definedName name="SCHED_TITLE">'Upcoming Schedule'!$I$7:$I$8</definedName>
    <definedName name="SEASON_SEL">'Team Info'!$F$5:$F$7</definedName>
    <definedName name="SEASON_SEL_COLON">'Team Info'!$F$11:$F$13</definedName>
    <definedName name="SEASON_STAT_AVG">#REF!</definedName>
    <definedName name="SEASON_STAT_COMBINED">#REF!</definedName>
    <definedName name="SEASON_STAT_INFO">#REF!</definedName>
    <definedName name="SEASON_STAT_RANK">#REF!</definedName>
    <definedName name="SEASON_STAT_RANK_PAREN">#REF!</definedName>
    <definedName name="SPORT_SELECT">'Team Info'!$H$23:$H$25</definedName>
    <definedName name="STAT_3PT_PCT">Stats!$AE$1:$AE$100</definedName>
    <definedName name="STAT_FT_PCT">Stats!$AF$1:$AF$100</definedName>
    <definedName name="STAT_HIGHLIGHT_NOTE">Stats!$L$1:$L$100</definedName>
    <definedName name="TEAM_1_LINE_DROP">'Team Heroes'!$D$1:$D$99</definedName>
    <definedName name="TEAM_2_LINE_DROP">'Team Heroes'!$I$1:$I$99</definedName>
    <definedName name="TEAM_2_LINE_HEADER">'Team Heroes'!$F$1:$F$99</definedName>
    <definedName name="TEAM_2_LINE_INFO_LINE_1">'Team Heroes'!$G$1:$G$99</definedName>
    <definedName name="TEAM_2_LINE_INFO_LINE_2">'Team Heroes'!$H$1:$H$99</definedName>
    <definedName name="TEAM_CITY_COLLEGE">'Team Info'!$D$5:$D$7</definedName>
    <definedName name="TEAM_DASH_NAME">'Team Info'!$D$19:$D$20</definedName>
    <definedName name="TEAM_FULL_NAME">'Team Info'!$D$15:$D$17</definedName>
    <definedName name="TEAM_HEADER_INFO">'Team Heroes'!$B$1:$B$99</definedName>
    <definedName name="TEAM_INFO_LINE_1">'Team Heroes'!$C$1:$C$99</definedName>
    <definedName name="TEAM_LOGOS">LOGOS!$A$1:$A$429</definedName>
    <definedName name="TEAM_LOGOTEXT">'Team Info'!$D$34:$D$35</definedName>
    <definedName name="TEAM_NICKNAME">'Team Info'!$D$8:$D$10</definedName>
    <definedName name="TEAM_RANK">'Team Info'!$D$2:$D$3</definedName>
    <definedName name="TEAM_RANK_NAME">'Team Info'!$D$22:$D$24</definedName>
    <definedName name="TEAM_RANK_NAME_NICKNAME">'Team Info'!$D$26:$D$28</definedName>
    <definedName name="TEAM_RANK_NAME_RECORD">'Team Info'!$D$30:$D$32</definedName>
    <definedName name="TEAM_RECORD_OVERALL">'Team Info'!$D$37:$D$38</definedName>
    <definedName name="TEAM_SPLIT">'Team Info'!$D$40:$D$41</definedName>
    <definedName name="TEAM_SWATCH_SELECT">'Team Info'!$H$13:$H$15</definedName>
    <definedName name="TEAM_SWATCH_SELECT_DASH">'Team Info'!$H$18:$H$20</definedName>
    <definedName name="TEAM_TRICODE">'Team Info'!$D$12:$D$13</definedName>
    <definedName name="TEAM_USER_ROWS">'Team Users'!$E$2:$E$22</definedName>
    <definedName name="TEAM_USER_TEXT">'Team Users'!$C$2:$C$22</definedName>
    <definedName name="TEAM_USERS">'Team Users'!#REF!</definedName>
    <definedName name="TEAM_USERS2">'Team Users'!$A$2:$C$22</definedName>
    <definedName name="THROWS">Roster!$G$3:$G$104</definedName>
    <definedName name="TODAY_TONIGHT_SEL">'Team Info'!$F$1:$F$3</definedName>
    <definedName name="TODAY_TONIGHT_SEL_COLON">'Team Info'!$F$8:$F$10</definedName>
    <definedName name="USER_CAT1">Stats!$BB$1:$BB$100</definedName>
    <definedName name="USER_CAT2">Stats!$BC$1:$BC$100</definedName>
    <definedName name="WEIGHT">Roster!$I$3:$I$102</definedName>
    <definedName name="WEIGHT_LBS">Roster!$AF$3:$AF$102</definedName>
    <definedName name="YEAR">Roster!$L$3:$L$102</definedName>
    <definedName name="YEAR_LONG">Roster!$AC$3:$AC$102</definedName>
    <definedName name="YEAR_LONG_CAPS">Roster!$AE$3:$AE$102</definedName>
    <definedName name="YEAR_SHORT">Roster!$AD$3:$AD$102</definedName>
    <definedName name="Z_35139CDC_7B22_4BB4_A27E_0C639571C225_.wvu.Cols" localSheetId="1" hidden="1">MAIN!$Q:$BA</definedName>
    <definedName name="Z_35139CDC_7B22_4BB4_A27E_0C639571C225_.wvu.Cols" localSheetId="9" hidden="1">'Player Users'!$J:$J</definedName>
    <definedName name="Z_35139CDC_7B22_4BB4_A27E_0C639571C225_.wvu.Cols" localSheetId="3" hidden="1">Roster!$P:$AI</definedName>
    <definedName name="Z_35139CDC_7B22_4BB4_A27E_0C639571C225_.wvu.Cols" localSheetId="4" hidden="1">Stats!$M:$BM</definedName>
    <definedName name="Z_35139CDC_7B22_4BB4_A27E_0C639571C225_.wvu.Cols" localSheetId="6" hidden="1">'Team Heroes'!$F:$I</definedName>
    <definedName name="Z_35139CDC_7B22_4BB4_A27E_0C639571C225_.wvu.Cols" localSheetId="0" hidden="1">'Team Info'!$D:$I</definedName>
    <definedName name="Z_35139CDC_7B22_4BB4_A27E_0C639571C225_.wvu.Cols" localSheetId="2" hidden="1">'Team Personnel'!$G:$K</definedName>
    <definedName name="Z_35139CDC_7B22_4BB4_A27E_0C639571C225_.wvu.Cols" localSheetId="7" hidden="1">'Team Users'!$E:$E</definedName>
    <definedName name="Z_35139CDC_7B22_4BB4_A27E_0C639571C225_.wvu.Cols" localSheetId="5" hidden="1">'Upcoming Schedule'!$E:$E,'Upcoming Schedule'!$I:$K</definedName>
    <definedName name="Z_35139CDC_7B22_4BB4_A27E_0C639571C225_.wvu.Rows" localSheetId="6" hidden="1">'Team Heroes'!$12:$52</definedName>
    <definedName name="Z_35139CDC_7B22_4BB4_A27E_0C639571C225_.wvu.Rows" localSheetId="2" hidden="1">'Team Personnel'!$13:$23</definedName>
    <definedName name="Z_42945F95_5627_491B_A345_A07B64F7E806_.wvu.Cols" localSheetId="1" hidden="1">MAIN!$O:$O,MAIN!$Q:$BA,MAIN!$BO:$BX,MAIN!$CN:$DY</definedName>
    <definedName name="Z_42945F95_5627_491B_A345_A07B64F7E806_.wvu.Cols" localSheetId="3" hidden="1">Roster!$AG:$BC</definedName>
    <definedName name="Z_42945F95_5627_491B_A345_A07B64F7E806_.wvu.Cols" localSheetId="4" hidden="1">Stats!$M:$AZ,Stats!$BB:$BC</definedName>
    <definedName name="Z_42945F95_5627_491B_A345_A07B64F7E806_.wvu.Cols" localSheetId="6" hidden="1">'Team Heroes'!$F:$I</definedName>
    <definedName name="Z_42945F95_5627_491B_A345_A07B64F7E806_.wvu.Cols" localSheetId="0" hidden="1">'Team Info'!$D:$H</definedName>
    <definedName name="Z_42945F95_5627_491B_A345_A07B64F7E806_.wvu.Cols" localSheetId="5" hidden="1">'Upcoming Schedule'!$E:$E,'Upcoming Schedule'!$I:$K</definedName>
    <definedName name="Z_42945F95_5627_491B_A345_A07B64F7E806_.wvu.Rows" localSheetId="6" hidden="1">'Team Heroes'!$12:$52</definedName>
    <definedName name="Z_42945F95_5627_491B_A345_A07B64F7E806_.wvu.Rows" localSheetId="2" hidden="1">'Team Personnel'!$13:$23,'Team Personnel'!$27:$27</definedName>
    <definedName name="Z_42F19D52_E208_414F_9E2E_506DF902926F_.wvu.Cols" localSheetId="1" hidden="1">MAIN!$Q:$BA</definedName>
    <definedName name="Z_42F19D52_E208_414F_9E2E_506DF902926F_.wvu.Cols" localSheetId="9" hidden="1">'Player Users'!$J:$J</definedName>
    <definedName name="Z_42F19D52_E208_414F_9E2E_506DF902926F_.wvu.Cols" localSheetId="3" hidden="1">Roster!$P:$AI</definedName>
    <definedName name="Z_42F19D52_E208_414F_9E2E_506DF902926F_.wvu.Cols" localSheetId="4" hidden="1">Stats!$M:$BM</definedName>
    <definedName name="Z_42F19D52_E208_414F_9E2E_506DF902926F_.wvu.Cols" localSheetId="6" hidden="1">'Team Heroes'!$F:$I</definedName>
    <definedName name="Z_42F19D52_E208_414F_9E2E_506DF902926F_.wvu.Cols" localSheetId="0" hidden="1">'Team Info'!$D:$I</definedName>
    <definedName name="Z_42F19D52_E208_414F_9E2E_506DF902926F_.wvu.Cols" localSheetId="2" hidden="1">'Team Personnel'!$G:$K</definedName>
    <definedName name="Z_42F19D52_E208_414F_9E2E_506DF902926F_.wvu.Cols" localSheetId="7" hidden="1">'Team Users'!$E:$E</definedName>
    <definedName name="Z_42F19D52_E208_414F_9E2E_506DF902926F_.wvu.Cols" localSheetId="5" hidden="1">'Upcoming Schedule'!$E:$E,'Upcoming Schedule'!$I:$K</definedName>
    <definedName name="Z_42F19D52_E208_414F_9E2E_506DF902926F_.wvu.Rows" localSheetId="6" hidden="1">'Team Heroes'!$12:$52</definedName>
    <definedName name="Z_42F19D52_E208_414F_9E2E_506DF902926F_.wvu.Rows" localSheetId="2" hidden="1">'Team Personnel'!$13:$23</definedName>
    <definedName name="Z_46B088B4_7F51_4D35_9F00_2268626FA819_.wvu.Cols" localSheetId="3" hidden="1">Roster!$J:$J,Roster!$Q:$AE</definedName>
    <definedName name="Z_46B088B4_7F51_4D35_9F00_2268626FA819_.wvu.Cols" localSheetId="4" hidden="1">Stats!$M:$W,Stats!$X:$AL</definedName>
    <definedName name="Z_46B088B4_7F51_4D35_9F00_2268626FA819_.wvu.Cols" localSheetId="6" hidden="1">'Team Heroes'!$F:$I</definedName>
    <definedName name="Z_46B088B4_7F51_4D35_9F00_2268626FA819_.wvu.Cols" localSheetId="0" hidden="1">'Team Info'!$D:$H</definedName>
    <definedName name="Z_46B088B4_7F51_4D35_9F00_2268626FA819_.wvu.Cols" localSheetId="5" hidden="1">'Upcoming Schedule'!$H:$K</definedName>
    <definedName name="Z_46B088B4_7F51_4D35_9F00_2268626FA819_.wvu.Rows" localSheetId="3" hidden="1">Roster!$9:$12,Roster!$19:$22,Roster!$29:$32,Roster!$39:$42,Roster!$49:$52,Roster!$59:$92,Roster!$94:$101</definedName>
    <definedName name="Z_46B088B4_7F51_4D35_9F00_2268626FA819_.wvu.Rows" localSheetId="4" hidden="1">Stats!$7:$10,Stats!$17:$20,Stats!$27:$30,Stats!$37:$41,Stats!$47:$50,Stats!$57:$90,Stats!$92:$99</definedName>
    <definedName name="Z_46B088B4_7F51_4D35_9F00_2268626FA819_.wvu.Rows" localSheetId="2" hidden="1">'Team Personnel'!$13:$23</definedName>
    <definedName name="Z_6960175A_17E1_4BDD_98F7_6E9A590B8B7F_.wvu.Cols" localSheetId="0" hidden="1">'Team Info'!$D:$D,'Team Info'!$F:$F,'Team Info'!$H:$H</definedName>
    <definedName name="Z_6960175A_17E1_4BDD_98F7_6E9A590B8B7F_.wvu.Cols" localSheetId="2" hidden="1">'Team Personnel'!$K:$K</definedName>
    <definedName name="Z_6960175A_17E1_4BDD_98F7_6E9A590B8B7F_.wvu.Cols" localSheetId="5" hidden="1">'Upcoming Schedule'!$E:$E,'Upcoming Schedule'!$I:$K</definedName>
    <definedName name="Z_6A3B2C41_2DBC_4B17_AB58_12C85E3A6B8A_.wvu.Cols" localSheetId="3" hidden="1">Roster!$I:$J,Roster!$P:$AE</definedName>
    <definedName name="Z_6A3B2C41_2DBC_4B17_AB58_12C85E3A6B8A_.wvu.Cols" localSheetId="4" hidden="1">Stats!$M:$W,Stats!$X:$AK</definedName>
    <definedName name="Z_6A3B2C41_2DBC_4B17_AB58_12C85E3A6B8A_.wvu.Cols" localSheetId="6" hidden="1">'Team Heroes'!$F:$I</definedName>
    <definedName name="Z_6A3B2C41_2DBC_4B17_AB58_12C85E3A6B8A_.wvu.Cols" localSheetId="0" hidden="1">'Team Info'!$D:$H</definedName>
    <definedName name="Z_6A3B2C41_2DBC_4B17_AB58_12C85E3A6B8A_.wvu.Cols" localSheetId="5" hidden="1">'Upcoming Schedule'!$E:$E,'Upcoming Schedule'!$I:$K</definedName>
    <definedName name="Z_6A3B2C41_2DBC_4B17_AB58_12C85E3A6B8A_.wvu.PrintArea" localSheetId="4" hidden="1">Stats!$A$1:$AK$105</definedName>
    <definedName name="Z_6A3B2C41_2DBC_4B17_AB58_12C85E3A6B8A_.wvu.Rows" localSheetId="6" hidden="1">'Team Heroes'!$22:$52</definedName>
    <definedName name="Z_6A3B2C41_2DBC_4B17_AB58_12C85E3A6B8A_.wvu.Rows" localSheetId="2" hidden="1">'Team Personnel'!$13:$23</definedName>
    <definedName name="Z_6EDF2E63_E51E_449A_B1C5_EFB1FD6A259C_.wvu.Cols" localSheetId="0" hidden="1">'Team Info'!$D:$D,'Team Info'!$F:$F,'Team Info'!$H:$H</definedName>
    <definedName name="Z_6EDF2E63_E51E_449A_B1C5_EFB1FD6A259C_.wvu.Cols" localSheetId="2" hidden="1">'Team Personnel'!$K:$K</definedName>
    <definedName name="Z_6EDF2E63_E51E_449A_B1C5_EFB1FD6A259C_.wvu.Cols" localSheetId="5" hidden="1">'Upcoming Schedule'!$E:$E,'Upcoming Schedule'!$I:$K</definedName>
    <definedName name="Z_9DC468DE_D883_45B4_B188_265B9DA68425_.wvu.Cols" localSheetId="1" hidden="1">MAIN!$Q:$BA</definedName>
    <definedName name="Z_9DC468DE_D883_45B4_B188_265B9DA68425_.wvu.Cols" localSheetId="4" hidden="1">Stats!$M:$BM</definedName>
    <definedName name="Z_9DC468DE_D883_45B4_B188_265B9DA68425_.wvu.Cols" localSheetId="0" hidden="1">'Team Info'!$D:$D,'Team Info'!$F:$F,'Team Info'!$H:$H</definedName>
    <definedName name="Z_9DC468DE_D883_45B4_B188_265B9DA68425_.wvu.Cols" localSheetId="2" hidden="1">'Team Personnel'!$K:$K</definedName>
    <definedName name="Z_9DC468DE_D883_45B4_B188_265B9DA68425_.wvu.Cols" localSheetId="5" hidden="1">'Upcoming Schedule'!$E:$E,'Upcoming Schedule'!$I:$K</definedName>
    <definedName name="Z_BD1DF852_269B_4C2F_AF89_1FA576EA4603_.wvu.Cols" localSheetId="1" hidden="1">MAIN!$L:$L,MAIN!$Q:$BA</definedName>
    <definedName name="Z_BD1DF852_269B_4C2F_AF89_1FA576EA4603_.wvu.Cols" localSheetId="3" hidden="1">Roster!$Q:$AI</definedName>
    <definedName name="Z_BD1DF852_269B_4C2F_AF89_1FA576EA4603_.wvu.Cols" localSheetId="4" hidden="1">Stats!$M:$BM</definedName>
    <definedName name="Z_BD1DF852_269B_4C2F_AF89_1FA576EA4603_.wvu.Cols" localSheetId="6" hidden="1">'Team Heroes'!$F:$I</definedName>
    <definedName name="Z_BD1DF852_269B_4C2F_AF89_1FA576EA4603_.wvu.Cols" localSheetId="0" hidden="1">'Team Info'!$D:$H</definedName>
    <definedName name="Z_BD1DF852_269B_4C2F_AF89_1FA576EA4603_.wvu.Cols" localSheetId="5" hidden="1">'Upcoming Schedule'!$E:$E,'Upcoming Schedule'!$I:$K</definedName>
    <definedName name="Z_BD1DF852_269B_4C2F_AF89_1FA576EA4603_.wvu.Rows" localSheetId="6" hidden="1">'Team Heroes'!$12:$52</definedName>
    <definedName name="Z_BD1DF852_269B_4C2F_AF89_1FA576EA4603_.wvu.Rows" localSheetId="2" hidden="1">'Team Personnel'!$13:$23,'Team Personnel'!$27:$27</definedName>
    <definedName name="Z_BE266B8E_38B0_4631_9C30_67CA48A8BD7F_.wvu.Cols" localSheetId="1" hidden="1">MAIN!$L:$L,MAIN!$Q:$BA</definedName>
    <definedName name="Z_BE266B8E_38B0_4631_9C30_67CA48A8BD7F_.wvu.Cols" localSheetId="4" hidden="1">Stats!$M:$BM</definedName>
    <definedName name="Z_BE266B8E_38B0_4631_9C30_67CA48A8BD7F_.wvu.Cols" localSheetId="6" hidden="1">'Team Heroes'!$F:$I</definedName>
    <definedName name="Z_BE266B8E_38B0_4631_9C30_67CA48A8BD7F_.wvu.Cols" localSheetId="0" hidden="1">'Team Info'!$D:$H</definedName>
    <definedName name="Z_BE266B8E_38B0_4631_9C30_67CA48A8BD7F_.wvu.Cols" localSheetId="2" hidden="1">'Team Personnel'!$I:$K</definedName>
    <definedName name="Z_BE266B8E_38B0_4631_9C30_67CA48A8BD7F_.wvu.Cols" localSheetId="5" hidden="1">'Upcoming Schedule'!$H:$K</definedName>
    <definedName name="Z_BE266B8E_38B0_4631_9C30_67CA48A8BD7F_.wvu.Rows" localSheetId="2" hidden="1">'Team Personnel'!$13:$23</definedName>
    <definedName name="Z_DB365F32_166D_4348_BCE9_F0F1DB0B73A9_.wvu.Cols" localSheetId="0" hidden="1">'Team Info'!$D:$D,'Team Info'!$F:$F,'Team Info'!$H:$H</definedName>
    <definedName name="Z_DB365F32_166D_4348_BCE9_F0F1DB0B73A9_.wvu.Cols" localSheetId="2" hidden="1">'Team Personnel'!$K:$K</definedName>
    <definedName name="Z_DB365F32_166D_4348_BCE9_F0F1DB0B73A9_.wvu.Cols" localSheetId="5" hidden="1">'Upcoming Schedule'!$E:$E,'Upcoming Schedule'!$I:$K</definedName>
    <definedName name="ZZZ_PLAYER1">Stats!$M$2:$AP$2</definedName>
    <definedName name="ZZZ_PLAYER10">Stats!$M$11:$AP$11</definedName>
    <definedName name="ZZZ_PLAYER11">Stats!$M$12:$AP$12</definedName>
    <definedName name="ZZZ_PLAYER12">Stats!$M$13:$AP$13</definedName>
    <definedName name="ZZZ_PLAYER13">Stats!$M$14:$AP$14</definedName>
    <definedName name="ZZZ_PLAYER14">Stats!$M$15:$AP$15</definedName>
    <definedName name="ZZZ_PLAYER15">Stats!$M$16:$AP$16</definedName>
    <definedName name="ZZZ_PLAYER16">Stats!$M$17:$AP$17</definedName>
    <definedName name="ZZZ_PLAYER17">Stats!$M$18:$AP$18</definedName>
    <definedName name="ZZZ_PLAYER18">Stats!$M$19:$AP$19</definedName>
    <definedName name="ZZZ_PLAYER2">Stats!$M$3:$AP$3</definedName>
    <definedName name="ZZZ_PLAYER20">Stats!$M$21:$AP$21</definedName>
    <definedName name="ZZZ_PLAYER21">Stats!$M$22:$AP$22</definedName>
    <definedName name="ZZZ_PLAYER22">Stats!$M$23:$AP$23</definedName>
    <definedName name="ZZZ_PLAYER23">Stats!$M$24:$AP$24</definedName>
    <definedName name="ZZZ_PLAYER24">Stats!$M$25:$AP$25</definedName>
    <definedName name="ZZZ_PLAYER25">Stats!$M$26:$AP$26</definedName>
    <definedName name="ZZZ_PLAYER26">Stats!$M$27:$AP$27</definedName>
    <definedName name="ZZZ_PLAYER27">Stats!$M$28:$AP$28</definedName>
    <definedName name="ZZZ_PLAYER28">Stats!$M$29:$AP$29</definedName>
    <definedName name="ZZZ_PLAYER29">Stats!$M$30:$AP$30</definedName>
    <definedName name="ZZZ_PLAYER3">Stats!$M$4:$AP$4</definedName>
    <definedName name="ZZZ_PLAYER30">Stats!$M$31:$AP$31</definedName>
    <definedName name="ZZZ_PLAYER31">Stats!$M$32:$AP$32</definedName>
    <definedName name="ZZZ_PLAYER32">Stats!$M$33:$AP$33</definedName>
    <definedName name="ZZZ_PLAYER33">Stats!$M$34:$AP$34</definedName>
    <definedName name="ZZZ_PLAYER34">Stats!$M$35:$AP$35</definedName>
    <definedName name="ZZZ_PLAYER35">Stats!$M$36:$AP$36</definedName>
    <definedName name="ZZZ_PLAYER36">Stats!$M$37:$AP$37</definedName>
    <definedName name="ZZZ_PLAYER37">Stats!$M$38:$AP$38</definedName>
    <definedName name="ZZZ_PLAYER38">Stats!$M$39:$AP$39</definedName>
    <definedName name="ZZZ_PLAYER39">Stats!$M$40:$AP$40</definedName>
    <definedName name="ZZZ_PLAYER4">Stats!$M$5:$AP$5</definedName>
    <definedName name="ZZZ_PLAYER40">Stats!$M$41:$AP$41</definedName>
    <definedName name="ZZZ_PLAYER41">Stats!$M$42:$AP$42</definedName>
    <definedName name="ZZZ_PLAYER42">Stats!$M$43:$AP$43</definedName>
    <definedName name="ZZZ_PLAYER43">Stats!$M$44:$AP$44</definedName>
    <definedName name="ZZZ_PLAYER44">Stats!$M$45:$AP$45</definedName>
    <definedName name="ZZZ_PLAYER45">Stats!$M$46:$AP$46</definedName>
    <definedName name="ZZZ_PLAYER46">Stats!$M$47:$AP$47</definedName>
    <definedName name="ZZZ_PLAYER47">Stats!$M$48:$AP$48</definedName>
    <definedName name="ZZZ_PLAYER48">Stats!$M$49:$AP$49</definedName>
    <definedName name="ZZZ_PLAYER49">Stats!$M$50:$AP$50</definedName>
    <definedName name="ZZZ_PLAYER5">Stats!$M$6:$AP$6</definedName>
    <definedName name="ZZZ_PLAYER50">Stats!$M$51:$AP$51</definedName>
    <definedName name="ZZZ_PLAYER51">Stats!$M$52:$AR$52</definedName>
    <definedName name="ZZZ_PLAYER52">Stats!$M$53:$AP$53</definedName>
    <definedName name="ZZZ_PLAYER53">Stats!$M$54:$AP$54</definedName>
    <definedName name="ZZZ_PLAYER54">Stats!$M$55:$AP$55</definedName>
    <definedName name="ZZZ_PLAYER55">Stats!$M$56:$AP$56</definedName>
    <definedName name="ZZZ_PLAYER56">Stats!$M$57:$AP$57</definedName>
    <definedName name="ZZZ_PLAYER57">Stats!$M$58:$AP$58</definedName>
    <definedName name="ZZZ_PLAYER58">Stats!$M$59:$AP$59</definedName>
    <definedName name="ZZZ_PLAYER59">Stats!$M$60:$AP$60</definedName>
    <definedName name="ZZZ_PLAYER6">Stats!$M$7:$AP$7</definedName>
    <definedName name="ZZZ_PLAYER60">Stats!$M$61:$AP$61</definedName>
    <definedName name="ZZZ_PLAYER61">Stats!$M$62:$AP$62</definedName>
    <definedName name="ZZZ_PLAYER62">Stats!$M$63:$AP$63</definedName>
    <definedName name="ZZZ_PLAYER63">Stats!$M$64:$AP$64</definedName>
    <definedName name="ZZZ_PLAYER64">Stats!$M$65:$AP$65</definedName>
    <definedName name="ZZZ_PLAYER65">Stats!$M$66:$AP$66</definedName>
    <definedName name="ZZZ_PLAYER66">Stats!$M$67:$AP$67</definedName>
    <definedName name="ZZZ_PLAYER67">Stats!$M$68:$AP$68</definedName>
    <definedName name="ZZZ_PLAYER68">Stats!$M$69:$AP$69</definedName>
    <definedName name="ZZZ_PLAYER69">Stats!$M$70:$AP$70</definedName>
    <definedName name="ZZZ_PLAYER7">Stats!$M$8:$AP$8</definedName>
    <definedName name="ZZZ_PLAYER70">Stats!$M$71:$AP$71</definedName>
    <definedName name="ZZZ_PLAYER71">Stats!$M$72:$AP$72</definedName>
    <definedName name="ZZZ_PLAYER72">Stats!$M$73:$AP$73</definedName>
    <definedName name="ZZZ_PLAYER73">Stats!$M$74:$AP$74</definedName>
    <definedName name="ZZZ_PLAYER74">Stats!$M$75:$AP$75</definedName>
    <definedName name="ZZZ_PLAYER75">Stats!$M$76:$AP$76</definedName>
    <definedName name="ZZZ_PLAYER76">Stats!$M$77:$AP$77</definedName>
    <definedName name="ZZZ_PLAYER77">Stats!$M$78:$AP$78</definedName>
    <definedName name="ZZZ_PLAYER78">Stats!$M$79:$AP$79</definedName>
    <definedName name="ZZZ_PLAYER79">Stats!$M$80:$AP$80</definedName>
    <definedName name="ZZZ_PLAYER8">Stats!$M$9:$AP$9</definedName>
    <definedName name="ZZZ_PLAYER80">Stats!$M$81:$AP$81</definedName>
    <definedName name="ZZZ_PLAYER81">Stats!$M$82:$AP$82</definedName>
    <definedName name="ZZZ_PLAYER82">Stats!$M$83:$AP$83</definedName>
    <definedName name="ZZZ_PLAYER83">Stats!$M$84:$AP$84</definedName>
    <definedName name="ZZZ_PLAYER84">Stats!$M$85:$AP$85</definedName>
    <definedName name="ZZZ_PLAYER85">Stats!$M$86:$AP$86</definedName>
    <definedName name="ZZZ_PLAYER86">Stats!$M$87:$AP$87</definedName>
    <definedName name="ZZZ_PLAYER87">Stats!$M$88:$AP$88</definedName>
    <definedName name="ZZZ_PLAYER88">Stats!$M$89:$AP$89</definedName>
    <definedName name="ZZZ_PLAYER89">Stats!$M$90:$AP$90</definedName>
    <definedName name="ZZZ_PLAYER9">Stats!$M$10:$AP$10</definedName>
    <definedName name="ZZZ_PLAYER90">Stats!$M$91:$AP$91</definedName>
    <definedName name="ZZZ_PLAYER91">Stats!$M$92:$AP$92</definedName>
    <definedName name="ZZZ_PLAYER92">Stats!$M$93:$AP$93</definedName>
    <definedName name="ZZZ_PLAYER93">Stats!$M$94:$AP$94</definedName>
    <definedName name="ZZZ_PLAYER94">Stats!$M$95:$AP$95</definedName>
    <definedName name="ZZZ_PLAYER95">Stats!$M$96:$AP$96</definedName>
    <definedName name="ZZZ_PLAYER96">Stats!$M$97:$AP$97</definedName>
    <definedName name="ZZZ_PLAYER97">Stats!$M$98:$AP$98</definedName>
    <definedName name="ZZZ_PLAYER98">Stats!$M$99:$AP$99</definedName>
    <definedName name="ZZZ_PLAYER99">Stats!$M$100:$AP$100</definedName>
  </definedNames>
  <calcPr calcId="191029"/>
  <customWorkbookViews>
    <customWorkbookView name="Chavez, Cris - Personal View" guid="{35139CDC-7B22-4BB4-A27E-0C639571C225}" mergeInterval="0" personalView="1" maximized="1" xWindow="-8" yWindow="-8" windowWidth="1936" windowHeight="1048" activeSheetId="5"/>
    <customWorkbookView name="Bell, Brian D. - Personal View" guid="{42F19D52-E208-414F-9E2E-506DF902926F}" mergeInterval="0" personalView="1" xWindow="2155" yWindow="68" windowWidth="1651" windowHeight="1004" activeSheetId="1"/>
    <customWorkbookView name="Brian Bell - Personal View" guid="{BE266B8E-38B0-4631-9C30-67CA48A8BD7F}" mergeInterval="0" personalView="1" maximized="1" xWindow="-8" yWindow="-8" windowWidth="1936" windowHeight="1048" activeSheetId="1"/>
    <customWorkbookView name="XPression - Personal View" guid="{9DC468DE-D883-45B4-B188-265B9DA68425}" mergeInterval="0" personalView="1" maximized="1" xWindow="-8" yWindow="-8" windowWidth="1456" windowHeight="870" activeSheetId="6"/>
    <customWorkbookView name="Sanchez, Israel - Personal View" guid="{6A3B2C41-2DBC-4B17-AB58-12C85E3A6B8A}" mergeInterval="0" personalView="1" maximized="1" xWindow="2552" yWindow="-8" windowWidth="2576" windowHeight="1416" activeSheetId="1"/>
    <customWorkbookView name="Adam G Daly - Personal View" guid="{6960175A-17E1-4BDD-98F7-6E9A590B8B7F}" mergeInterval="0" personalView="1" maximized="1" xWindow="-8" yWindow="-8" windowWidth="1936" windowHeight="1056" activeSheetId="3"/>
    <customWorkbookView name="CARROLL, CHRISTOPHER M. - Personal View" guid="{DB365F32-166D-4348-BCE9-F0F1DB0B73A9}" mergeInterval="0" personalView="1" maximized="1" xWindow="-8" yWindow="-8" windowWidth="1936" windowHeight="1176" activeSheetId="4"/>
    <customWorkbookView name="ESPN Technology - Personal View" guid="{6EDF2E63-E51E-449A-B1C5-EFB1FD6A259C}" mergeInterval="0" personalView="1" maximized="1" windowWidth="1916" windowHeight="951" activeSheetId="4"/>
    <customWorkbookView name="gfx - Personal View" guid="{46B088B4-7F51-4D35-9F00-2268626FA819}" mergeInterval="0" personalView="1" maximized="1" xWindow="-8" yWindow="-8" windowWidth="1936" windowHeight="1176" activeSheetId="3"/>
    <customWorkbookView name="Kremer, Kevin - Personal View" guid="{42945F95-5627-491B-A345-A07B64F7E806}" mergeInterval="0" personalView="1" maximized="1" xWindow="-8" yWindow="-8" windowWidth="1936" windowHeight="1056" activeSheetId="2"/>
    <customWorkbookView name="Brian D Bell - Personal View" guid="{BD1DF852-269B-4C2F-AF89-1FA576EA4603}" mergeInterval="0" personalView="1" maximized="1" xWindow="-8" yWindow="-8"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3" i="5" l="1"/>
  <c r="AU4" i="5"/>
  <c r="AU5" i="5"/>
  <c r="AU6" i="5"/>
  <c r="AU7" i="5"/>
  <c r="AU8" i="5"/>
  <c r="AU9" i="5"/>
  <c r="AU10" i="5"/>
  <c r="AU11" i="5"/>
  <c r="AU12" i="5"/>
  <c r="AU13" i="5"/>
  <c r="AU14" i="5"/>
  <c r="AU15" i="5"/>
  <c r="AU16" i="5"/>
  <c r="AU17" i="5"/>
  <c r="AU18" i="5"/>
  <c r="AU19" i="5"/>
  <c r="AU20" i="5"/>
  <c r="AU21" i="5"/>
  <c r="AU22" i="5"/>
  <c r="AU23" i="5"/>
  <c r="AU24" i="5"/>
  <c r="AU25" i="5"/>
  <c r="AU26" i="5"/>
  <c r="AU27" i="5"/>
  <c r="AU28" i="5"/>
  <c r="AU29" i="5"/>
  <c r="AU30" i="5"/>
  <c r="AU31" i="5"/>
  <c r="AU32" i="5"/>
  <c r="AU33" i="5"/>
  <c r="AU34" i="5"/>
  <c r="AU35" i="5"/>
  <c r="AU36" i="5"/>
  <c r="AU37" i="5"/>
  <c r="AU38" i="5"/>
  <c r="AU39" i="5"/>
  <c r="AU40" i="5"/>
  <c r="AU41" i="5"/>
  <c r="AU42" i="5"/>
  <c r="AU43" i="5"/>
  <c r="AU44" i="5"/>
  <c r="AU45" i="5"/>
  <c r="AU46" i="5"/>
  <c r="AU47" i="5"/>
  <c r="AU48" i="5"/>
  <c r="AU49" i="5"/>
  <c r="AU50" i="5"/>
  <c r="AU51" i="5"/>
  <c r="AU52" i="5"/>
  <c r="AU53" i="5"/>
  <c r="AU54" i="5"/>
  <c r="AU55" i="5"/>
  <c r="AU56" i="5"/>
  <c r="AU57" i="5"/>
  <c r="AU58" i="5"/>
  <c r="AU59" i="5"/>
  <c r="AU60" i="5"/>
  <c r="AU61" i="5"/>
  <c r="AU62" i="5"/>
  <c r="AU63" i="5"/>
  <c r="AU64" i="5"/>
  <c r="AU65" i="5"/>
  <c r="AU66" i="5"/>
  <c r="AU67" i="5"/>
  <c r="AU68" i="5"/>
  <c r="AU69" i="5"/>
  <c r="AU70" i="5"/>
  <c r="AU71" i="5"/>
  <c r="AU72" i="5"/>
  <c r="AU73" i="5"/>
  <c r="AU74" i="5"/>
  <c r="AU75" i="5"/>
  <c r="AU76" i="5"/>
  <c r="AU77" i="5"/>
  <c r="AU78" i="5"/>
  <c r="AU79" i="5"/>
  <c r="AU80" i="5"/>
  <c r="AU81" i="5"/>
  <c r="AU82" i="5"/>
  <c r="AU83" i="5"/>
  <c r="AU84" i="5"/>
  <c r="AU85" i="5"/>
  <c r="AU86" i="5"/>
  <c r="AU87" i="5"/>
  <c r="AU88" i="5"/>
  <c r="AU89" i="5"/>
  <c r="AU90" i="5"/>
  <c r="AU91" i="5"/>
  <c r="AU92" i="5"/>
  <c r="AU93" i="5"/>
  <c r="AU94" i="5"/>
  <c r="AU95" i="5"/>
  <c r="AU96" i="5"/>
  <c r="AU97" i="5"/>
  <c r="AU98" i="5"/>
  <c r="AU99" i="5"/>
  <c r="AU100" i="5"/>
  <c r="AU101" i="5"/>
  <c r="AU102" i="5"/>
  <c r="AU103" i="5"/>
  <c r="AU104" i="5"/>
  <c r="AU2" i="5"/>
  <c r="BL104" i="5" l="1"/>
  <c r="BK104" i="5"/>
  <c r="BJ104" i="5"/>
  <c r="BI104" i="5"/>
  <c r="BH104" i="5"/>
  <c r="BG104" i="5"/>
  <c r="BD104" i="5"/>
  <c r="BD91" i="5" s="1"/>
  <c r="BC104" i="5"/>
  <c r="BB104" i="5"/>
  <c r="BB91" i="5" s="1"/>
  <c r="AY104" i="5"/>
  <c r="AX104" i="5"/>
  <c r="AZ104" i="5" s="1"/>
  <c r="BA104" i="5" s="1"/>
  <c r="AW104" i="5"/>
  <c r="AQ104" i="5"/>
  <c r="AN104" i="5"/>
  <c r="AM104" i="5"/>
  <c r="AL104" i="5"/>
  <c r="AK104" i="5"/>
  <c r="AJ104" i="5"/>
  <c r="AI104" i="5"/>
  <c r="AH104" i="5"/>
  <c r="AG104" i="5"/>
  <c r="AF104" i="5"/>
  <c r="AE104" i="5"/>
  <c r="AD104" i="5"/>
  <c r="AC104" i="5"/>
  <c r="Z104" i="5"/>
  <c r="Y104" i="5"/>
  <c r="X104" i="5"/>
  <c r="U104" i="5"/>
  <c r="T104" i="5"/>
  <c r="S104" i="5"/>
  <c r="R104" i="5"/>
  <c r="Q104" i="5"/>
  <c r="P104" i="5"/>
  <c r="O104" i="5"/>
  <c r="N104" i="5"/>
  <c r="M104" i="5"/>
  <c r="BL100" i="5"/>
  <c r="BK100" i="5"/>
  <c r="BJ100" i="5"/>
  <c r="BI100" i="5"/>
  <c r="BH100" i="5"/>
  <c r="BG100" i="5"/>
  <c r="BD100" i="5"/>
  <c r="BC100" i="5"/>
  <c r="BB100" i="5"/>
  <c r="AY100" i="5"/>
  <c r="AX100" i="5"/>
  <c r="AZ100" i="5" s="1"/>
  <c r="BA100" i="5" s="1"/>
  <c r="AW100" i="5"/>
  <c r="AQ100" i="5"/>
  <c r="AN100" i="5"/>
  <c r="AM100" i="5"/>
  <c r="AL100" i="5"/>
  <c r="AK100" i="5"/>
  <c r="AJ100" i="5"/>
  <c r="AI100" i="5"/>
  <c r="AH100" i="5"/>
  <c r="AG100" i="5"/>
  <c r="AF100" i="5"/>
  <c r="AE100" i="5"/>
  <c r="AD100" i="5"/>
  <c r="AC100" i="5"/>
  <c r="Z100" i="5"/>
  <c r="Y100" i="5"/>
  <c r="X100" i="5"/>
  <c r="U100" i="5"/>
  <c r="T100" i="5"/>
  <c r="S100" i="5"/>
  <c r="R100" i="5"/>
  <c r="Q100" i="5"/>
  <c r="P100" i="5"/>
  <c r="O100" i="5"/>
  <c r="N100" i="5"/>
  <c r="M100" i="5"/>
  <c r="BL99" i="5"/>
  <c r="BK99" i="5"/>
  <c r="BJ99" i="5"/>
  <c r="BI99" i="5"/>
  <c r="BH99" i="5"/>
  <c r="BG99" i="5"/>
  <c r="BD99" i="5"/>
  <c r="BC99" i="5"/>
  <c r="BB99" i="5"/>
  <c r="AY99" i="5"/>
  <c r="AX99" i="5"/>
  <c r="AZ99" i="5" s="1"/>
  <c r="BA99" i="5" s="1"/>
  <c r="AW99" i="5"/>
  <c r="AT99" i="5"/>
  <c r="AP99" i="5" s="1"/>
  <c r="AR99" i="5"/>
  <c r="AA99" i="5" s="1"/>
  <c r="AQ99" i="5"/>
  <c r="AS99" i="5" s="1"/>
  <c r="AN99" i="5"/>
  <c r="AM99" i="5"/>
  <c r="AL99" i="5"/>
  <c r="AK99" i="5"/>
  <c r="AJ99" i="5"/>
  <c r="AI99" i="5"/>
  <c r="AH99" i="5"/>
  <c r="AG99" i="5"/>
  <c r="AF99" i="5"/>
  <c r="AE99" i="5"/>
  <c r="AD99" i="5"/>
  <c r="AC99" i="5"/>
  <c r="Z99" i="5"/>
  <c r="Y99" i="5"/>
  <c r="X99" i="5"/>
  <c r="U99" i="5"/>
  <c r="T99" i="5"/>
  <c r="S99" i="5"/>
  <c r="R99" i="5"/>
  <c r="Q99" i="5"/>
  <c r="P99" i="5"/>
  <c r="O99" i="5"/>
  <c r="N99" i="5"/>
  <c r="M99" i="5"/>
  <c r="BL98" i="5"/>
  <c r="BK98" i="5"/>
  <c r="BJ98" i="5"/>
  <c r="BI98" i="5"/>
  <c r="BH98" i="5"/>
  <c r="BG98" i="5"/>
  <c r="BD98" i="5"/>
  <c r="BC98" i="5"/>
  <c r="BB98" i="5"/>
  <c r="AY98" i="5"/>
  <c r="AX98" i="5"/>
  <c r="AZ98" i="5" s="1"/>
  <c r="BA98" i="5" s="1"/>
  <c r="AW98" i="5"/>
  <c r="AQ98" i="5"/>
  <c r="AN98" i="5"/>
  <c r="AM98" i="5"/>
  <c r="AL98" i="5"/>
  <c r="AK98" i="5"/>
  <c r="AJ98" i="5"/>
  <c r="AI98" i="5"/>
  <c r="AH98" i="5"/>
  <c r="AG98" i="5"/>
  <c r="AF98" i="5"/>
  <c r="AE98" i="5"/>
  <c r="AD98" i="5"/>
  <c r="AC98" i="5"/>
  <c r="Z98" i="5"/>
  <c r="Y98" i="5"/>
  <c r="X98" i="5"/>
  <c r="U98" i="5"/>
  <c r="T98" i="5"/>
  <c r="S98" i="5"/>
  <c r="R98" i="5"/>
  <c r="Q98" i="5"/>
  <c r="P98" i="5"/>
  <c r="O98" i="5"/>
  <c r="N98" i="5"/>
  <c r="M98" i="5"/>
  <c r="BL97" i="5"/>
  <c r="BK97" i="5"/>
  <c r="BJ97" i="5"/>
  <c r="BI97" i="5"/>
  <c r="BH97" i="5"/>
  <c r="BG97" i="5"/>
  <c r="BD97" i="5"/>
  <c r="BC97" i="5"/>
  <c r="BB97" i="5"/>
  <c r="AY97" i="5"/>
  <c r="AX97" i="5"/>
  <c r="V97" i="5" s="1"/>
  <c r="AW97" i="5"/>
  <c r="AQ97" i="5"/>
  <c r="AN97" i="5"/>
  <c r="AM97" i="5"/>
  <c r="AL97" i="5"/>
  <c r="AK97" i="5"/>
  <c r="AJ97" i="5"/>
  <c r="AI97" i="5"/>
  <c r="AH97" i="5"/>
  <c r="AG97" i="5"/>
  <c r="AF97" i="5"/>
  <c r="AE97" i="5"/>
  <c r="AD97" i="5"/>
  <c r="AC97" i="5"/>
  <c r="Z97" i="5"/>
  <c r="Y97" i="5"/>
  <c r="X97" i="5"/>
  <c r="U97" i="5"/>
  <c r="T97" i="5"/>
  <c r="S97" i="5"/>
  <c r="R97" i="5"/>
  <c r="Q97" i="5"/>
  <c r="P97" i="5"/>
  <c r="O97" i="5"/>
  <c r="N97" i="5"/>
  <c r="M97" i="5"/>
  <c r="BL96" i="5"/>
  <c r="BK96" i="5"/>
  <c r="BJ96" i="5"/>
  <c r="BI96" i="5"/>
  <c r="BH96" i="5"/>
  <c r="BG96" i="5"/>
  <c r="BD96" i="5"/>
  <c r="BC96" i="5"/>
  <c r="BB96" i="5"/>
  <c r="AY96" i="5"/>
  <c r="AX96" i="5"/>
  <c r="AZ96" i="5" s="1"/>
  <c r="BA96" i="5" s="1"/>
  <c r="AW96" i="5"/>
  <c r="AQ96" i="5"/>
  <c r="AN96" i="5"/>
  <c r="AM96" i="5"/>
  <c r="AL96" i="5"/>
  <c r="AK96" i="5"/>
  <c r="AJ96" i="5"/>
  <c r="AI96" i="5"/>
  <c r="AH96" i="5"/>
  <c r="AG96" i="5"/>
  <c r="AF96" i="5"/>
  <c r="AE96" i="5"/>
  <c r="AD96" i="5"/>
  <c r="AC96" i="5"/>
  <c r="Z96" i="5"/>
  <c r="Y96" i="5"/>
  <c r="X96" i="5"/>
  <c r="U96" i="5"/>
  <c r="T96" i="5"/>
  <c r="S96" i="5"/>
  <c r="R96" i="5"/>
  <c r="Q96" i="5"/>
  <c r="P96" i="5"/>
  <c r="O96" i="5"/>
  <c r="N96" i="5"/>
  <c r="M96" i="5"/>
  <c r="BL95" i="5"/>
  <c r="BK95" i="5"/>
  <c r="BJ95" i="5"/>
  <c r="BI95" i="5"/>
  <c r="BH95" i="5"/>
  <c r="BG95" i="5"/>
  <c r="BD95" i="5"/>
  <c r="BC95" i="5"/>
  <c r="BB95" i="5"/>
  <c r="AY95" i="5"/>
  <c r="AX95" i="5"/>
  <c r="AZ95" i="5" s="1"/>
  <c r="BA95" i="5" s="1"/>
  <c r="AW95" i="5"/>
  <c r="AT95" i="5"/>
  <c r="AP95" i="5" s="1"/>
  <c r="AR95" i="5"/>
  <c r="AA95" i="5" s="1"/>
  <c r="AQ95" i="5"/>
  <c r="AS95" i="5" s="1"/>
  <c r="AN95" i="5"/>
  <c r="AM95" i="5"/>
  <c r="AL95" i="5"/>
  <c r="AK95" i="5"/>
  <c r="AJ95" i="5"/>
  <c r="AI95" i="5"/>
  <c r="AH95" i="5"/>
  <c r="AG95" i="5"/>
  <c r="AF95" i="5"/>
  <c r="AE95" i="5"/>
  <c r="AD95" i="5"/>
  <c r="AC95" i="5"/>
  <c r="Z95" i="5"/>
  <c r="Y95" i="5"/>
  <c r="X95" i="5"/>
  <c r="U95" i="5"/>
  <c r="T95" i="5"/>
  <c r="S95" i="5"/>
  <c r="R95" i="5"/>
  <c r="Q95" i="5"/>
  <c r="P95" i="5"/>
  <c r="O95" i="5"/>
  <c r="N95" i="5"/>
  <c r="M95" i="5"/>
  <c r="BL94" i="5"/>
  <c r="BK94" i="5"/>
  <c r="BJ94" i="5"/>
  <c r="BI94" i="5"/>
  <c r="BH94" i="5"/>
  <c r="BG94" i="5"/>
  <c r="BD94" i="5"/>
  <c r="BC94" i="5"/>
  <c r="BB94" i="5"/>
  <c r="AY94" i="5"/>
  <c r="AX94" i="5"/>
  <c r="AZ94" i="5" s="1"/>
  <c r="BA94" i="5" s="1"/>
  <c r="AW94" i="5"/>
  <c r="AQ94" i="5"/>
  <c r="AN94" i="5"/>
  <c r="AM94" i="5"/>
  <c r="AL94" i="5"/>
  <c r="AK94" i="5"/>
  <c r="AJ94" i="5"/>
  <c r="AI94" i="5"/>
  <c r="AH94" i="5"/>
  <c r="AG94" i="5"/>
  <c r="AF94" i="5"/>
  <c r="AE94" i="5"/>
  <c r="AD94" i="5"/>
  <c r="AC94" i="5"/>
  <c r="Z94" i="5"/>
  <c r="Y94" i="5"/>
  <c r="X94" i="5"/>
  <c r="U94" i="5"/>
  <c r="T94" i="5"/>
  <c r="S94" i="5"/>
  <c r="R94" i="5"/>
  <c r="Q94" i="5"/>
  <c r="P94" i="5"/>
  <c r="O94" i="5"/>
  <c r="N94" i="5"/>
  <c r="M94" i="5"/>
  <c r="BL93" i="5"/>
  <c r="BK93" i="5"/>
  <c r="BJ93" i="5"/>
  <c r="BI93" i="5"/>
  <c r="BH93" i="5"/>
  <c r="BG93" i="5"/>
  <c r="BD93" i="5"/>
  <c r="BC93" i="5"/>
  <c r="BB93" i="5"/>
  <c r="AY93" i="5"/>
  <c r="AX93" i="5"/>
  <c r="V93" i="5" s="1"/>
  <c r="AW93" i="5"/>
  <c r="AQ93" i="5"/>
  <c r="AN93" i="5"/>
  <c r="AM93" i="5"/>
  <c r="AL93" i="5"/>
  <c r="AK93" i="5"/>
  <c r="AJ93" i="5"/>
  <c r="AI93" i="5"/>
  <c r="AH93" i="5"/>
  <c r="AG93" i="5"/>
  <c r="AF93" i="5"/>
  <c r="AE93" i="5"/>
  <c r="AD93" i="5"/>
  <c r="AC93" i="5"/>
  <c r="Z93" i="5"/>
  <c r="Y93" i="5"/>
  <c r="X93" i="5"/>
  <c r="U93" i="5"/>
  <c r="T93" i="5"/>
  <c r="S93" i="5"/>
  <c r="R93" i="5"/>
  <c r="Q93" i="5"/>
  <c r="P93" i="5"/>
  <c r="O93" i="5"/>
  <c r="N93" i="5"/>
  <c r="M93" i="5"/>
  <c r="BL92" i="5"/>
  <c r="BK92" i="5"/>
  <c r="BJ92" i="5"/>
  <c r="BI92" i="5"/>
  <c r="BH92" i="5"/>
  <c r="BG92" i="5"/>
  <c r="BD92" i="5"/>
  <c r="BC92" i="5"/>
  <c r="BB92" i="5"/>
  <c r="AY92" i="5"/>
  <c r="AX92" i="5"/>
  <c r="AZ92" i="5" s="1"/>
  <c r="BA92" i="5" s="1"/>
  <c r="AW92" i="5"/>
  <c r="AQ92" i="5"/>
  <c r="AN92" i="5"/>
  <c r="AM92" i="5"/>
  <c r="AL92" i="5"/>
  <c r="AK92" i="5"/>
  <c r="AJ92" i="5"/>
  <c r="AI92" i="5"/>
  <c r="AH92" i="5"/>
  <c r="AG92" i="5"/>
  <c r="AF92" i="5"/>
  <c r="AE92" i="5"/>
  <c r="AD92" i="5"/>
  <c r="AC92" i="5"/>
  <c r="Z92" i="5"/>
  <c r="Y92" i="5"/>
  <c r="X92" i="5"/>
  <c r="U92" i="5"/>
  <c r="T92" i="5"/>
  <c r="S92" i="5"/>
  <c r="R92" i="5"/>
  <c r="Q92" i="5"/>
  <c r="P92" i="5"/>
  <c r="O92" i="5"/>
  <c r="N92" i="5"/>
  <c r="M92" i="5"/>
  <c r="BL91" i="5"/>
  <c r="BK91" i="5"/>
  <c r="BJ91" i="5"/>
  <c r="BI91" i="5"/>
  <c r="BH91" i="5"/>
  <c r="BG91" i="5"/>
  <c r="BC91" i="5"/>
  <c r="AY91" i="5"/>
  <c r="AX91" i="5"/>
  <c r="AZ91" i="5" s="1"/>
  <c r="BA91" i="5" s="1"/>
  <c r="AW91" i="5"/>
  <c r="AN91" i="5"/>
  <c r="AM91" i="5"/>
  <c r="AL91" i="5"/>
  <c r="AK91" i="5"/>
  <c r="AJ91" i="5"/>
  <c r="AI91" i="5"/>
  <c r="AH91" i="5"/>
  <c r="AG91" i="5"/>
  <c r="AF91" i="5"/>
  <c r="AE91" i="5"/>
  <c r="AD91" i="5"/>
  <c r="AC91" i="5"/>
  <c r="Z91" i="5"/>
  <c r="Y91" i="5"/>
  <c r="X91" i="5"/>
  <c r="U91" i="5"/>
  <c r="T91" i="5"/>
  <c r="S91" i="5"/>
  <c r="R91" i="5"/>
  <c r="Q91" i="5"/>
  <c r="P91" i="5"/>
  <c r="O91" i="5"/>
  <c r="N91" i="5"/>
  <c r="M91" i="5"/>
  <c r="BL90" i="5"/>
  <c r="BK90" i="5"/>
  <c r="BJ90" i="5"/>
  <c r="BI90" i="5"/>
  <c r="BH90" i="5"/>
  <c r="BG90" i="5"/>
  <c r="BD90" i="5"/>
  <c r="BC90" i="5"/>
  <c r="BB90" i="5"/>
  <c r="AY90" i="5"/>
  <c r="AX90" i="5"/>
  <c r="AZ90" i="5" s="1"/>
  <c r="BA90" i="5" s="1"/>
  <c r="AW90" i="5"/>
  <c r="AQ90" i="5"/>
  <c r="AN90" i="5"/>
  <c r="AM90" i="5"/>
  <c r="AL90" i="5"/>
  <c r="AK90" i="5"/>
  <c r="AJ90" i="5"/>
  <c r="AI90" i="5"/>
  <c r="AH90" i="5"/>
  <c r="AG90" i="5"/>
  <c r="AF90" i="5"/>
  <c r="AE90" i="5"/>
  <c r="AD90" i="5"/>
  <c r="AC90" i="5"/>
  <c r="Z90" i="5"/>
  <c r="Y90" i="5"/>
  <c r="X90" i="5"/>
  <c r="V90" i="5"/>
  <c r="U90" i="5"/>
  <c r="T90" i="5"/>
  <c r="S90" i="5"/>
  <c r="R90" i="5"/>
  <c r="Q90" i="5"/>
  <c r="P90" i="5"/>
  <c r="O90" i="5"/>
  <c r="N90" i="5"/>
  <c r="M90" i="5"/>
  <c r="BL89" i="5"/>
  <c r="BK89" i="5"/>
  <c r="BJ89" i="5"/>
  <c r="BI89" i="5"/>
  <c r="BH89" i="5"/>
  <c r="BG89" i="5"/>
  <c r="BD89" i="5"/>
  <c r="BC89" i="5"/>
  <c r="BB89" i="5"/>
  <c r="AY89" i="5"/>
  <c r="AX89" i="5"/>
  <c r="V89" i="5" s="1"/>
  <c r="AW89" i="5"/>
  <c r="AQ89" i="5"/>
  <c r="AN89" i="5"/>
  <c r="AM89" i="5"/>
  <c r="AL89" i="5"/>
  <c r="AK89" i="5"/>
  <c r="AJ89" i="5"/>
  <c r="AI89" i="5"/>
  <c r="AH89" i="5"/>
  <c r="AG89" i="5"/>
  <c r="AF89" i="5"/>
  <c r="AE89" i="5"/>
  <c r="AD89" i="5"/>
  <c r="AC89" i="5"/>
  <c r="Z89" i="5"/>
  <c r="Y89" i="5"/>
  <c r="X89" i="5"/>
  <c r="U89" i="5"/>
  <c r="T89" i="5"/>
  <c r="S89" i="5"/>
  <c r="R89" i="5"/>
  <c r="Q89" i="5"/>
  <c r="P89" i="5"/>
  <c r="O89" i="5"/>
  <c r="N89" i="5"/>
  <c r="M89" i="5"/>
  <c r="BL88" i="5"/>
  <c r="BK88" i="5"/>
  <c r="BJ88" i="5"/>
  <c r="BI88" i="5"/>
  <c r="BH88" i="5"/>
  <c r="BG88" i="5"/>
  <c r="BD88" i="5"/>
  <c r="BC88" i="5"/>
  <c r="BB88" i="5"/>
  <c r="AY88" i="5"/>
  <c r="AX88" i="5"/>
  <c r="AZ88" i="5" s="1"/>
  <c r="BA88" i="5" s="1"/>
  <c r="AW88" i="5"/>
  <c r="AQ88" i="5"/>
  <c r="AN88" i="5"/>
  <c r="AM88" i="5"/>
  <c r="AL88" i="5"/>
  <c r="AK88" i="5"/>
  <c r="AJ88" i="5"/>
  <c r="AI88" i="5"/>
  <c r="AH88" i="5"/>
  <c r="AG88" i="5"/>
  <c r="AF88" i="5"/>
  <c r="AE88" i="5"/>
  <c r="AD88" i="5"/>
  <c r="AC88" i="5"/>
  <c r="Z88" i="5"/>
  <c r="Y88" i="5"/>
  <c r="X88" i="5"/>
  <c r="U88" i="5"/>
  <c r="T88" i="5"/>
  <c r="S88" i="5"/>
  <c r="R88" i="5"/>
  <c r="Q88" i="5"/>
  <c r="P88" i="5"/>
  <c r="O88" i="5"/>
  <c r="N88" i="5"/>
  <c r="M88" i="5"/>
  <c r="BL87" i="5"/>
  <c r="BK87" i="5"/>
  <c r="BJ87" i="5"/>
  <c r="BI87" i="5"/>
  <c r="BH87" i="5"/>
  <c r="BG87" i="5"/>
  <c r="BD87" i="5"/>
  <c r="BC87" i="5"/>
  <c r="BB87" i="5"/>
  <c r="AY87" i="5"/>
  <c r="AX87" i="5"/>
  <c r="AZ87" i="5" s="1"/>
  <c r="BA87" i="5" s="1"/>
  <c r="AW87" i="5"/>
  <c r="AR87" i="5"/>
  <c r="AA87" i="5" s="1"/>
  <c r="AQ87" i="5"/>
  <c r="AN87" i="5"/>
  <c r="AM87" i="5"/>
  <c r="AL87" i="5"/>
  <c r="AK87" i="5"/>
  <c r="AJ87" i="5"/>
  <c r="AI87" i="5"/>
  <c r="AH87" i="5"/>
  <c r="AG87" i="5"/>
  <c r="AF87" i="5"/>
  <c r="AE87" i="5"/>
  <c r="AD87" i="5"/>
  <c r="AC87" i="5"/>
  <c r="Z87" i="5"/>
  <c r="Y87" i="5"/>
  <c r="X87" i="5"/>
  <c r="U87" i="5"/>
  <c r="T87" i="5"/>
  <c r="S87" i="5"/>
  <c r="R87" i="5"/>
  <c r="Q87" i="5"/>
  <c r="P87" i="5"/>
  <c r="O87" i="5"/>
  <c r="N87" i="5"/>
  <c r="M87" i="5"/>
  <c r="BL86" i="5"/>
  <c r="BK86" i="5"/>
  <c r="BJ86" i="5"/>
  <c r="BI86" i="5"/>
  <c r="BH86" i="5"/>
  <c r="BG86" i="5"/>
  <c r="BD86" i="5"/>
  <c r="BC86" i="5"/>
  <c r="BB86" i="5"/>
  <c r="AY86" i="5"/>
  <c r="AX86" i="5"/>
  <c r="AZ86" i="5" s="1"/>
  <c r="BA86" i="5" s="1"/>
  <c r="AW86" i="5"/>
  <c r="AQ86" i="5"/>
  <c r="AN86" i="5"/>
  <c r="AM86" i="5"/>
  <c r="AL86" i="5"/>
  <c r="AK86" i="5"/>
  <c r="AJ86" i="5"/>
  <c r="AI86" i="5"/>
  <c r="AH86" i="5"/>
  <c r="AG86" i="5"/>
  <c r="AF86" i="5"/>
  <c r="AE86" i="5"/>
  <c r="AD86" i="5"/>
  <c r="AC86" i="5"/>
  <c r="Z86" i="5"/>
  <c r="Y86" i="5"/>
  <c r="X86" i="5"/>
  <c r="U86" i="5"/>
  <c r="T86" i="5"/>
  <c r="S86" i="5"/>
  <c r="R86" i="5"/>
  <c r="Q86" i="5"/>
  <c r="P86" i="5"/>
  <c r="O86" i="5"/>
  <c r="N86" i="5"/>
  <c r="M86" i="5"/>
  <c r="BL85" i="5"/>
  <c r="BK85" i="5"/>
  <c r="BJ85" i="5"/>
  <c r="BI85" i="5"/>
  <c r="BH85" i="5"/>
  <c r="BG85" i="5"/>
  <c r="BD85" i="5"/>
  <c r="BC85" i="5"/>
  <c r="BB85" i="5"/>
  <c r="AY85" i="5"/>
  <c r="AX85" i="5"/>
  <c r="V85" i="5" s="1"/>
  <c r="AW85" i="5"/>
  <c r="AQ85" i="5"/>
  <c r="AN85" i="5"/>
  <c r="AM85" i="5"/>
  <c r="AL85" i="5"/>
  <c r="AK85" i="5"/>
  <c r="AJ85" i="5"/>
  <c r="AI85" i="5"/>
  <c r="AH85" i="5"/>
  <c r="AG85" i="5"/>
  <c r="AF85" i="5"/>
  <c r="AE85" i="5"/>
  <c r="AD85" i="5"/>
  <c r="AC85" i="5"/>
  <c r="Z85" i="5"/>
  <c r="Y85" i="5"/>
  <c r="X85" i="5"/>
  <c r="U85" i="5"/>
  <c r="T85" i="5"/>
  <c r="S85" i="5"/>
  <c r="R85" i="5"/>
  <c r="Q85" i="5"/>
  <c r="P85" i="5"/>
  <c r="O85" i="5"/>
  <c r="N85" i="5"/>
  <c r="M85" i="5"/>
  <c r="BL84" i="5"/>
  <c r="BK84" i="5"/>
  <c r="BJ84" i="5"/>
  <c r="BI84" i="5"/>
  <c r="BH84" i="5"/>
  <c r="BG84" i="5"/>
  <c r="BD84" i="5"/>
  <c r="BC84" i="5"/>
  <c r="BB84" i="5"/>
  <c r="AY84" i="5"/>
  <c r="AX84" i="5"/>
  <c r="AZ84" i="5" s="1"/>
  <c r="BA84" i="5" s="1"/>
  <c r="AW84" i="5"/>
  <c r="AQ84" i="5"/>
  <c r="AN84" i="5"/>
  <c r="AM84" i="5"/>
  <c r="AL84" i="5"/>
  <c r="AK84" i="5"/>
  <c r="AJ84" i="5"/>
  <c r="AI84" i="5"/>
  <c r="AH84" i="5"/>
  <c r="AG84" i="5"/>
  <c r="AF84" i="5"/>
  <c r="AE84" i="5"/>
  <c r="AD84" i="5"/>
  <c r="AC84" i="5"/>
  <c r="Z84" i="5"/>
  <c r="Y84" i="5"/>
  <c r="X84" i="5"/>
  <c r="U84" i="5"/>
  <c r="T84" i="5"/>
  <c r="S84" i="5"/>
  <c r="R84" i="5"/>
  <c r="Q84" i="5"/>
  <c r="P84" i="5"/>
  <c r="O84" i="5"/>
  <c r="N84" i="5"/>
  <c r="M84" i="5"/>
  <c r="BL83" i="5"/>
  <c r="BK83" i="5"/>
  <c r="BJ83" i="5"/>
  <c r="BI83" i="5"/>
  <c r="BH83" i="5"/>
  <c r="BG83" i="5"/>
  <c r="BD83" i="5"/>
  <c r="BC83" i="5"/>
  <c r="BB83" i="5"/>
  <c r="AY83" i="5"/>
  <c r="AX83" i="5"/>
  <c r="AZ83" i="5" s="1"/>
  <c r="BA83" i="5" s="1"/>
  <c r="AW83" i="5"/>
  <c r="AR83" i="5"/>
  <c r="AA83" i="5" s="1"/>
  <c r="AQ83" i="5"/>
  <c r="AN83" i="5"/>
  <c r="AM83" i="5"/>
  <c r="AL83" i="5"/>
  <c r="AK83" i="5"/>
  <c r="AJ83" i="5"/>
  <c r="AI83" i="5"/>
  <c r="AH83" i="5"/>
  <c r="AG83" i="5"/>
  <c r="AF83" i="5"/>
  <c r="AE83" i="5"/>
  <c r="AD83" i="5"/>
  <c r="AC83" i="5"/>
  <c r="Z83" i="5"/>
  <c r="Y83" i="5"/>
  <c r="X83" i="5"/>
  <c r="U83" i="5"/>
  <c r="T83" i="5"/>
  <c r="S83" i="5"/>
  <c r="R83" i="5"/>
  <c r="Q83" i="5"/>
  <c r="P83" i="5"/>
  <c r="O83" i="5"/>
  <c r="N83" i="5"/>
  <c r="M83" i="5"/>
  <c r="BL82" i="5"/>
  <c r="BK82" i="5"/>
  <c r="BJ82" i="5"/>
  <c r="BI82" i="5"/>
  <c r="BH82" i="5"/>
  <c r="BG82" i="5"/>
  <c r="BD82" i="5"/>
  <c r="BC82" i="5"/>
  <c r="BB82" i="5"/>
  <c r="AY82" i="5"/>
  <c r="AX82" i="5"/>
  <c r="AZ82" i="5" s="1"/>
  <c r="BA82" i="5" s="1"/>
  <c r="AW82" i="5"/>
  <c r="AQ82" i="5"/>
  <c r="AN82" i="5"/>
  <c r="AM82" i="5"/>
  <c r="AL82" i="5"/>
  <c r="AK82" i="5"/>
  <c r="AJ82" i="5"/>
  <c r="AI82" i="5"/>
  <c r="AH82" i="5"/>
  <c r="AG82" i="5"/>
  <c r="AF82" i="5"/>
  <c r="AE82" i="5"/>
  <c r="AD82" i="5"/>
  <c r="AC82" i="5"/>
  <c r="Z82" i="5"/>
  <c r="Y82" i="5"/>
  <c r="X82" i="5"/>
  <c r="V82" i="5"/>
  <c r="U82" i="5"/>
  <c r="T82" i="5"/>
  <c r="S82" i="5"/>
  <c r="R82" i="5"/>
  <c r="Q82" i="5"/>
  <c r="P82" i="5"/>
  <c r="O82" i="5"/>
  <c r="N82" i="5"/>
  <c r="M82" i="5"/>
  <c r="BL81" i="5"/>
  <c r="BK81" i="5"/>
  <c r="BJ81" i="5"/>
  <c r="BI81" i="5"/>
  <c r="BH81" i="5"/>
  <c r="BG81" i="5"/>
  <c r="BD81" i="5"/>
  <c r="BC81" i="5"/>
  <c r="BB81" i="5"/>
  <c r="AY81" i="5"/>
  <c r="AX81" i="5"/>
  <c r="V81" i="5" s="1"/>
  <c r="AW81" i="5"/>
  <c r="AQ81" i="5"/>
  <c r="AN81" i="5"/>
  <c r="AM81" i="5"/>
  <c r="AL81" i="5"/>
  <c r="AK81" i="5"/>
  <c r="AJ81" i="5"/>
  <c r="AI81" i="5"/>
  <c r="AH81" i="5"/>
  <c r="AG81" i="5"/>
  <c r="AF81" i="5"/>
  <c r="AE81" i="5"/>
  <c r="AD81" i="5"/>
  <c r="AC81" i="5"/>
  <c r="Z81" i="5"/>
  <c r="Y81" i="5"/>
  <c r="X81" i="5"/>
  <c r="U81" i="5"/>
  <c r="T81" i="5"/>
  <c r="S81" i="5"/>
  <c r="R81" i="5"/>
  <c r="Q81" i="5"/>
  <c r="P81" i="5"/>
  <c r="O81" i="5"/>
  <c r="N81" i="5"/>
  <c r="M81" i="5"/>
  <c r="BL80" i="5"/>
  <c r="BK80" i="5"/>
  <c r="BJ80" i="5"/>
  <c r="BI80" i="5"/>
  <c r="BH80" i="5"/>
  <c r="BG80" i="5"/>
  <c r="BD80" i="5"/>
  <c r="BC80" i="5"/>
  <c r="BB80" i="5"/>
  <c r="AY80" i="5"/>
  <c r="AX80" i="5"/>
  <c r="AZ80" i="5" s="1"/>
  <c r="BA80" i="5" s="1"/>
  <c r="AW80" i="5"/>
  <c r="AQ80" i="5"/>
  <c r="AN80" i="5"/>
  <c r="AM80" i="5"/>
  <c r="AL80" i="5"/>
  <c r="AK80" i="5"/>
  <c r="AJ80" i="5"/>
  <c r="AI80" i="5"/>
  <c r="AH80" i="5"/>
  <c r="AG80" i="5"/>
  <c r="AF80" i="5"/>
  <c r="AE80" i="5"/>
  <c r="AD80" i="5"/>
  <c r="AC80" i="5"/>
  <c r="Z80" i="5"/>
  <c r="Y80" i="5"/>
  <c r="X80" i="5"/>
  <c r="U80" i="5"/>
  <c r="T80" i="5"/>
  <c r="S80" i="5"/>
  <c r="R80" i="5"/>
  <c r="Q80" i="5"/>
  <c r="P80" i="5"/>
  <c r="O80" i="5"/>
  <c r="N80" i="5"/>
  <c r="M80" i="5"/>
  <c r="BL79" i="5"/>
  <c r="BK79" i="5"/>
  <c r="BJ79" i="5"/>
  <c r="BI79" i="5"/>
  <c r="BH79" i="5"/>
  <c r="BG79" i="5"/>
  <c r="BD79" i="5"/>
  <c r="BC79" i="5"/>
  <c r="BB79" i="5"/>
  <c r="AY79" i="5"/>
  <c r="AX79" i="5"/>
  <c r="AZ79" i="5" s="1"/>
  <c r="BA79" i="5" s="1"/>
  <c r="AW79" i="5"/>
  <c r="AR79" i="5"/>
  <c r="AA79" i="5" s="1"/>
  <c r="AQ79" i="5"/>
  <c r="AS79" i="5" s="1"/>
  <c r="AN79" i="5"/>
  <c r="AM79" i="5"/>
  <c r="AL79" i="5"/>
  <c r="AK79" i="5"/>
  <c r="AJ79" i="5"/>
  <c r="AI79" i="5"/>
  <c r="AH79" i="5"/>
  <c r="AG79" i="5"/>
  <c r="AF79" i="5"/>
  <c r="AE79" i="5"/>
  <c r="AD79" i="5"/>
  <c r="AC79" i="5"/>
  <c r="Z79" i="5"/>
  <c r="Y79" i="5"/>
  <c r="X79" i="5"/>
  <c r="U79" i="5"/>
  <c r="T79" i="5"/>
  <c r="S79" i="5"/>
  <c r="R79" i="5"/>
  <c r="Q79" i="5"/>
  <c r="P79" i="5"/>
  <c r="O79" i="5"/>
  <c r="N79" i="5"/>
  <c r="M79" i="5"/>
  <c r="BL78" i="5"/>
  <c r="BK78" i="5"/>
  <c r="BJ78" i="5"/>
  <c r="BI78" i="5"/>
  <c r="BH78" i="5"/>
  <c r="BG78" i="5"/>
  <c r="BD78" i="5"/>
  <c r="BC78" i="5"/>
  <c r="BB78" i="5"/>
  <c r="AY78" i="5"/>
  <c r="AX78" i="5"/>
  <c r="AZ78" i="5" s="1"/>
  <c r="BA78" i="5" s="1"/>
  <c r="AW78" i="5"/>
  <c r="AQ78" i="5"/>
  <c r="AN78" i="5"/>
  <c r="AM78" i="5"/>
  <c r="AL78" i="5"/>
  <c r="AK78" i="5"/>
  <c r="AJ78" i="5"/>
  <c r="AI78" i="5"/>
  <c r="AH78" i="5"/>
  <c r="AG78" i="5"/>
  <c r="AF78" i="5"/>
  <c r="AE78" i="5"/>
  <c r="AD78" i="5"/>
  <c r="AC78" i="5"/>
  <c r="Z78" i="5"/>
  <c r="Y78" i="5"/>
  <c r="X78" i="5"/>
  <c r="V78" i="5"/>
  <c r="U78" i="5"/>
  <c r="T78" i="5"/>
  <c r="S78" i="5"/>
  <c r="R78" i="5"/>
  <c r="Q78" i="5"/>
  <c r="P78" i="5"/>
  <c r="O78" i="5"/>
  <c r="N78" i="5"/>
  <c r="M78" i="5"/>
  <c r="BL77" i="5"/>
  <c r="BK77" i="5"/>
  <c r="BJ77" i="5"/>
  <c r="BI77" i="5"/>
  <c r="BH77" i="5"/>
  <c r="BG77" i="5"/>
  <c r="BD77" i="5"/>
  <c r="BC77" i="5"/>
  <c r="BB77" i="5"/>
  <c r="AY77" i="5"/>
  <c r="AX77" i="5"/>
  <c r="V77" i="5" s="1"/>
  <c r="AW77" i="5"/>
  <c r="AQ77" i="5"/>
  <c r="AN77" i="5"/>
  <c r="AM77" i="5"/>
  <c r="AL77" i="5"/>
  <c r="AK77" i="5"/>
  <c r="AJ77" i="5"/>
  <c r="AI77" i="5"/>
  <c r="AH77" i="5"/>
  <c r="AG77" i="5"/>
  <c r="AF77" i="5"/>
  <c r="AE77" i="5"/>
  <c r="AD77" i="5"/>
  <c r="AC77" i="5"/>
  <c r="Z77" i="5"/>
  <c r="Y77" i="5"/>
  <c r="X77" i="5"/>
  <c r="U77" i="5"/>
  <c r="T77" i="5"/>
  <c r="S77" i="5"/>
  <c r="R77" i="5"/>
  <c r="Q77" i="5"/>
  <c r="P77" i="5"/>
  <c r="O77" i="5"/>
  <c r="N77" i="5"/>
  <c r="M77" i="5"/>
  <c r="BL76" i="5"/>
  <c r="BK76" i="5"/>
  <c r="BJ76" i="5"/>
  <c r="BI76" i="5"/>
  <c r="BH76" i="5"/>
  <c r="BG76" i="5"/>
  <c r="BD76" i="5"/>
  <c r="BC76" i="5"/>
  <c r="BB76" i="5"/>
  <c r="AY76" i="5"/>
  <c r="AX76" i="5"/>
  <c r="AZ76" i="5" s="1"/>
  <c r="BA76" i="5" s="1"/>
  <c r="AW76" i="5"/>
  <c r="AQ76" i="5"/>
  <c r="AN76" i="5"/>
  <c r="AM76" i="5"/>
  <c r="AL76" i="5"/>
  <c r="AK76" i="5"/>
  <c r="AJ76" i="5"/>
  <c r="AI76" i="5"/>
  <c r="AH76" i="5"/>
  <c r="AG76" i="5"/>
  <c r="AF76" i="5"/>
  <c r="AE76" i="5"/>
  <c r="AD76" i="5"/>
  <c r="AC76" i="5"/>
  <c r="Z76" i="5"/>
  <c r="Y76" i="5"/>
  <c r="X76" i="5"/>
  <c r="U76" i="5"/>
  <c r="T76" i="5"/>
  <c r="S76" i="5"/>
  <c r="R76" i="5"/>
  <c r="Q76" i="5"/>
  <c r="P76" i="5"/>
  <c r="O76" i="5"/>
  <c r="N76" i="5"/>
  <c r="M76" i="5"/>
  <c r="BL75" i="5"/>
  <c r="BK75" i="5"/>
  <c r="BJ75" i="5"/>
  <c r="BI75" i="5"/>
  <c r="BH75" i="5"/>
  <c r="BG75" i="5"/>
  <c r="BD75" i="5"/>
  <c r="BC75" i="5"/>
  <c r="BB75" i="5"/>
  <c r="AY75" i="5"/>
  <c r="AX75" i="5"/>
  <c r="AZ75" i="5" s="1"/>
  <c r="BA75" i="5" s="1"/>
  <c r="AW75" i="5"/>
  <c r="AR75" i="5"/>
  <c r="AA75" i="5" s="1"/>
  <c r="AQ75" i="5"/>
  <c r="AS75" i="5" s="1"/>
  <c r="AN75" i="5"/>
  <c r="AM75" i="5"/>
  <c r="AL75" i="5"/>
  <c r="AK75" i="5"/>
  <c r="AJ75" i="5"/>
  <c r="AI75" i="5"/>
  <c r="AH75" i="5"/>
  <c r="AG75" i="5"/>
  <c r="AF75" i="5"/>
  <c r="AE75" i="5"/>
  <c r="AD75" i="5"/>
  <c r="AC75" i="5"/>
  <c r="Z75" i="5"/>
  <c r="Y75" i="5"/>
  <c r="X75" i="5"/>
  <c r="U75" i="5"/>
  <c r="T75" i="5"/>
  <c r="S75" i="5"/>
  <c r="R75" i="5"/>
  <c r="Q75" i="5"/>
  <c r="P75" i="5"/>
  <c r="O75" i="5"/>
  <c r="N75" i="5"/>
  <c r="M75" i="5"/>
  <c r="BL74" i="5"/>
  <c r="BK74" i="5"/>
  <c r="BJ74" i="5"/>
  <c r="BI74" i="5"/>
  <c r="BH74" i="5"/>
  <c r="BG74" i="5"/>
  <c r="BD74" i="5"/>
  <c r="BC74" i="5"/>
  <c r="BB74" i="5"/>
  <c r="AY74" i="5"/>
  <c r="AX74" i="5"/>
  <c r="AZ74" i="5" s="1"/>
  <c r="BA74" i="5" s="1"/>
  <c r="AW74" i="5"/>
  <c r="AQ74" i="5"/>
  <c r="AN74" i="5"/>
  <c r="AM74" i="5"/>
  <c r="AL74" i="5"/>
  <c r="AK74" i="5"/>
  <c r="AJ74" i="5"/>
  <c r="AI74" i="5"/>
  <c r="AH74" i="5"/>
  <c r="AG74" i="5"/>
  <c r="AF74" i="5"/>
  <c r="AE74" i="5"/>
  <c r="AD74" i="5"/>
  <c r="AC74" i="5"/>
  <c r="Z74" i="5"/>
  <c r="Y74" i="5"/>
  <c r="X74" i="5"/>
  <c r="U74" i="5"/>
  <c r="T74" i="5"/>
  <c r="S74" i="5"/>
  <c r="R74" i="5"/>
  <c r="Q74" i="5"/>
  <c r="P74" i="5"/>
  <c r="O74" i="5"/>
  <c r="N74" i="5"/>
  <c r="M74" i="5"/>
  <c r="BL73" i="5"/>
  <c r="BK73" i="5"/>
  <c r="BJ73" i="5"/>
  <c r="BI73" i="5"/>
  <c r="BH73" i="5"/>
  <c r="BG73" i="5"/>
  <c r="BD73" i="5"/>
  <c r="BC73" i="5"/>
  <c r="BB73" i="5"/>
  <c r="AY73" i="5"/>
  <c r="AX73" i="5"/>
  <c r="V73" i="5" s="1"/>
  <c r="AW73" i="5"/>
  <c r="AQ73" i="5"/>
  <c r="AN73" i="5"/>
  <c r="AM73" i="5"/>
  <c r="AL73" i="5"/>
  <c r="AK73" i="5"/>
  <c r="AJ73" i="5"/>
  <c r="AI73" i="5"/>
  <c r="AH73" i="5"/>
  <c r="AG73" i="5"/>
  <c r="AF73" i="5"/>
  <c r="AE73" i="5"/>
  <c r="AD73" i="5"/>
  <c r="AC73" i="5"/>
  <c r="Z73" i="5"/>
  <c r="Y73" i="5"/>
  <c r="X73" i="5"/>
  <c r="U73" i="5"/>
  <c r="T73" i="5"/>
  <c r="S73" i="5"/>
  <c r="R73" i="5"/>
  <c r="Q73" i="5"/>
  <c r="P73" i="5"/>
  <c r="O73" i="5"/>
  <c r="N73" i="5"/>
  <c r="M73" i="5"/>
  <c r="BL72" i="5"/>
  <c r="BK72" i="5"/>
  <c r="BJ72" i="5"/>
  <c r="BI72" i="5"/>
  <c r="BH72" i="5"/>
  <c r="BG72" i="5"/>
  <c r="BD72" i="5"/>
  <c r="BC72" i="5"/>
  <c r="BB72" i="5"/>
  <c r="AY72" i="5"/>
  <c r="AX72" i="5"/>
  <c r="AZ72" i="5" s="1"/>
  <c r="BA72" i="5" s="1"/>
  <c r="AW72" i="5"/>
  <c r="AQ72" i="5"/>
  <c r="AN72" i="5"/>
  <c r="AM72" i="5"/>
  <c r="AL72" i="5"/>
  <c r="AK72" i="5"/>
  <c r="AJ72" i="5"/>
  <c r="AI72" i="5"/>
  <c r="AH72" i="5"/>
  <c r="AG72" i="5"/>
  <c r="AF72" i="5"/>
  <c r="AE72" i="5"/>
  <c r="AD72" i="5"/>
  <c r="AC72" i="5"/>
  <c r="Z72" i="5"/>
  <c r="Y72" i="5"/>
  <c r="X72" i="5"/>
  <c r="U72" i="5"/>
  <c r="T72" i="5"/>
  <c r="S72" i="5"/>
  <c r="R72" i="5"/>
  <c r="Q72" i="5"/>
  <c r="P72" i="5"/>
  <c r="O72" i="5"/>
  <c r="N72" i="5"/>
  <c r="M72" i="5"/>
  <c r="BL71" i="5"/>
  <c r="BK71" i="5"/>
  <c r="BJ71" i="5"/>
  <c r="BI71" i="5"/>
  <c r="BH71" i="5"/>
  <c r="BG71" i="5"/>
  <c r="BD71" i="5"/>
  <c r="BC71" i="5"/>
  <c r="BB71" i="5"/>
  <c r="AY71" i="5"/>
  <c r="AX71" i="5"/>
  <c r="AZ71" i="5" s="1"/>
  <c r="BA71" i="5" s="1"/>
  <c r="AW71" i="5"/>
  <c r="AR71" i="5"/>
  <c r="AA71" i="5" s="1"/>
  <c r="AQ71" i="5"/>
  <c r="AN71" i="5"/>
  <c r="AM71" i="5"/>
  <c r="AL71" i="5"/>
  <c r="AK71" i="5"/>
  <c r="AJ71" i="5"/>
  <c r="AI71" i="5"/>
  <c r="AH71" i="5"/>
  <c r="AG71" i="5"/>
  <c r="AF71" i="5"/>
  <c r="AE71" i="5"/>
  <c r="AD71" i="5"/>
  <c r="AC71" i="5"/>
  <c r="Z71" i="5"/>
  <c r="Y71" i="5"/>
  <c r="X71" i="5"/>
  <c r="V71" i="5"/>
  <c r="U71" i="5"/>
  <c r="T71" i="5"/>
  <c r="S71" i="5"/>
  <c r="R71" i="5"/>
  <c r="Q71" i="5"/>
  <c r="P71" i="5"/>
  <c r="O71" i="5"/>
  <c r="N71" i="5"/>
  <c r="M71" i="5"/>
  <c r="BL70" i="5"/>
  <c r="BK70" i="5"/>
  <c r="BJ70" i="5"/>
  <c r="BI70" i="5"/>
  <c r="BH70" i="5"/>
  <c r="BG70" i="5"/>
  <c r="BD70" i="5"/>
  <c r="BC70" i="5"/>
  <c r="BB70" i="5"/>
  <c r="AY70" i="5"/>
  <c r="AX70" i="5"/>
  <c r="AZ70" i="5" s="1"/>
  <c r="BA70" i="5" s="1"/>
  <c r="AW70" i="5"/>
  <c r="AQ70" i="5"/>
  <c r="AN70" i="5"/>
  <c r="AM70" i="5"/>
  <c r="AL70" i="5"/>
  <c r="AK70" i="5"/>
  <c r="AJ70" i="5"/>
  <c r="AI70" i="5"/>
  <c r="AH70" i="5"/>
  <c r="AG70" i="5"/>
  <c r="AF70" i="5"/>
  <c r="AE70" i="5"/>
  <c r="AD70" i="5"/>
  <c r="AC70" i="5"/>
  <c r="Z70" i="5"/>
  <c r="Y70" i="5"/>
  <c r="X70" i="5"/>
  <c r="U70" i="5"/>
  <c r="T70" i="5"/>
  <c r="S70" i="5"/>
  <c r="R70" i="5"/>
  <c r="Q70" i="5"/>
  <c r="P70" i="5"/>
  <c r="O70" i="5"/>
  <c r="N70" i="5"/>
  <c r="M70" i="5"/>
  <c r="BL69" i="5"/>
  <c r="BK69" i="5"/>
  <c r="BJ69" i="5"/>
  <c r="BI69" i="5"/>
  <c r="BH69" i="5"/>
  <c r="BG69" i="5"/>
  <c r="BD69" i="5"/>
  <c r="BC69" i="5"/>
  <c r="BB69" i="5"/>
  <c r="AY69" i="5"/>
  <c r="AX69" i="5"/>
  <c r="V69" i="5" s="1"/>
  <c r="AW69" i="5"/>
  <c r="AQ69" i="5"/>
  <c r="AN69" i="5"/>
  <c r="AM69" i="5"/>
  <c r="AL69" i="5"/>
  <c r="AK69" i="5"/>
  <c r="AJ69" i="5"/>
  <c r="AI69" i="5"/>
  <c r="AH69" i="5"/>
  <c r="AG69" i="5"/>
  <c r="AF69" i="5"/>
  <c r="AE69" i="5"/>
  <c r="AD69" i="5"/>
  <c r="AC69" i="5"/>
  <c r="Z69" i="5"/>
  <c r="Y69" i="5"/>
  <c r="X69" i="5"/>
  <c r="U69" i="5"/>
  <c r="T69" i="5"/>
  <c r="S69" i="5"/>
  <c r="R69" i="5"/>
  <c r="Q69" i="5"/>
  <c r="P69" i="5"/>
  <c r="O69" i="5"/>
  <c r="N69" i="5"/>
  <c r="M69" i="5"/>
  <c r="BL68" i="5"/>
  <c r="BK68" i="5"/>
  <c r="BJ68" i="5"/>
  <c r="BI68" i="5"/>
  <c r="BH68" i="5"/>
  <c r="BG68" i="5"/>
  <c r="BD68" i="5"/>
  <c r="BC68" i="5"/>
  <c r="BB68" i="5"/>
  <c r="AY68" i="5"/>
  <c r="AX68" i="5"/>
  <c r="AZ68" i="5" s="1"/>
  <c r="BA68" i="5" s="1"/>
  <c r="AW68" i="5"/>
  <c r="AQ68" i="5"/>
  <c r="AN68" i="5"/>
  <c r="AM68" i="5"/>
  <c r="AL68" i="5"/>
  <c r="AK68" i="5"/>
  <c r="AJ68" i="5"/>
  <c r="AI68" i="5"/>
  <c r="AH68" i="5"/>
  <c r="AG68" i="5"/>
  <c r="AF68" i="5"/>
  <c r="AE68" i="5"/>
  <c r="AD68" i="5"/>
  <c r="AC68" i="5"/>
  <c r="Z68" i="5"/>
  <c r="Y68" i="5"/>
  <c r="X68" i="5"/>
  <c r="U68" i="5"/>
  <c r="T68" i="5"/>
  <c r="S68" i="5"/>
  <c r="R68" i="5"/>
  <c r="Q68" i="5"/>
  <c r="P68" i="5"/>
  <c r="O68" i="5"/>
  <c r="N68" i="5"/>
  <c r="M68" i="5"/>
  <c r="BL67" i="5"/>
  <c r="BK67" i="5"/>
  <c r="BJ67" i="5"/>
  <c r="BI67" i="5"/>
  <c r="BH67" i="5"/>
  <c r="BG67" i="5"/>
  <c r="BD67" i="5"/>
  <c r="BC67" i="5"/>
  <c r="BB67" i="5"/>
  <c r="AY67" i="5"/>
  <c r="AX67" i="5"/>
  <c r="AZ67" i="5" s="1"/>
  <c r="BA67" i="5" s="1"/>
  <c r="AW67" i="5"/>
  <c r="AR67" i="5"/>
  <c r="AA67" i="5" s="1"/>
  <c r="AQ67" i="5"/>
  <c r="AN67" i="5"/>
  <c r="AM67" i="5"/>
  <c r="AL67" i="5"/>
  <c r="AK67" i="5"/>
  <c r="AJ67" i="5"/>
  <c r="AI67" i="5"/>
  <c r="AH67" i="5"/>
  <c r="AG67" i="5"/>
  <c r="AF67" i="5"/>
  <c r="AE67" i="5"/>
  <c r="AD67" i="5"/>
  <c r="AC67" i="5"/>
  <c r="Z67" i="5"/>
  <c r="Y67" i="5"/>
  <c r="X67" i="5"/>
  <c r="V67" i="5"/>
  <c r="U67" i="5"/>
  <c r="T67" i="5"/>
  <c r="S67" i="5"/>
  <c r="R67" i="5"/>
  <c r="Q67" i="5"/>
  <c r="P67" i="5"/>
  <c r="O67" i="5"/>
  <c r="N67" i="5"/>
  <c r="M67" i="5"/>
  <c r="BL66" i="5"/>
  <c r="BK66" i="5"/>
  <c r="BJ66" i="5"/>
  <c r="BI66" i="5"/>
  <c r="BH66" i="5"/>
  <c r="BG66" i="5"/>
  <c r="BD66" i="5"/>
  <c r="BC66" i="5"/>
  <c r="BB66" i="5"/>
  <c r="AY66" i="5"/>
  <c r="AX66" i="5"/>
  <c r="AZ66" i="5" s="1"/>
  <c r="BA66" i="5" s="1"/>
  <c r="AW66" i="5"/>
  <c r="AQ66" i="5"/>
  <c r="AN66" i="5"/>
  <c r="AM66" i="5"/>
  <c r="AL66" i="5"/>
  <c r="AK66" i="5"/>
  <c r="AJ66" i="5"/>
  <c r="AI66" i="5"/>
  <c r="AH66" i="5"/>
  <c r="AG66" i="5"/>
  <c r="AF66" i="5"/>
  <c r="AE66" i="5"/>
  <c r="AD66" i="5"/>
  <c r="AC66" i="5"/>
  <c r="Z66" i="5"/>
  <c r="Y66" i="5"/>
  <c r="X66" i="5"/>
  <c r="U66" i="5"/>
  <c r="T66" i="5"/>
  <c r="S66" i="5"/>
  <c r="R66" i="5"/>
  <c r="Q66" i="5"/>
  <c r="P66" i="5"/>
  <c r="O66" i="5"/>
  <c r="N66" i="5"/>
  <c r="M66" i="5"/>
  <c r="BL65" i="5"/>
  <c r="BK65" i="5"/>
  <c r="BJ65" i="5"/>
  <c r="BI65" i="5"/>
  <c r="BH65" i="5"/>
  <c r="BG65" i="5"/>
  <c r="BD65" i="5"/>
  <c r="BC65" i="5"/>
  <c r="BB65" i="5"/>
  <c r="AY65" i="5"/>
  <c r="AX65" i="5"/>
  <c r="V65" i="5" s="1"/>
  <c r="AW65" i="5"/>
  <c r="AQ65" i="5"/>
  <c r="AN65" i="5"/>
  <c r="AM65" i="5"/>
  <c r="AL65" i="5"/>
  <c r="AK65" i="5"/>
  <c r="AJ65" i="5"/>
  <c r="AI65" i="5"/>
  <c r="AH65" i="5"/>
  <c r="AG65" i="5"/>
  <c r="AF65" i="5"/>
  <c r="AE65" i="5"/>
  <c r="AD65" i="5"/>
  <c r="AC65" i="5"/>
  <c r="Z65" i="5"/>
  <c r="Y65" i="5"/>
  <c r="X65" i="5"/>
  <c r="U65" i="5"/>
  <c r="T65" i="5"/>
  <c r="S65" i="5"/>
  <c r="R65" i="5"/>
  <c r="Q65" i="5"/>
  <c r="P65" i="5"/>
  <c r="O65" i="5"/>
  <c r="N65" i="5"/>
  <c r="M65" i="5"/>
  <c r="BL64" i="5"/>
  <c r="BK64" i="5"/>
  <c r="BJ64" i="5"/>
  <c r="BI64" i="5"/>
  <c r="BH64" i="5"/>
  <c r="BG64" i="5"/>
  <c r="BD64" i="5"/>
  <c r="BC64" i="5"/>
  <c r="BB64" i="5"/>
  <c r="AY64" i="5"/>
  <c r="AX64" i="5"/>
  <c r="AZ64" i="5" s="1"/>
  <c r="BA64" i="5" s="1"/>
  <c r="AW64" i="5"/>
  <c r="AQ64" i="5"/>
  <c r="AN64" i="5"/>
  <c r="AM64" i="5"/>
  <c r="AL64" i="5"/>
  <c r="AK64" i="5"/>
  <c r="AJ64" i="5"/>
  <c r="AI64" i="5"/>
  <c r="AH64" i="5"/>
  <c r="AG64" i="5"/>
  <c r="AF64" i="5"/>
  <c r="AE64" i="5"/>
  <c r="AD64" i="5"/>
  <c r="AC64" i="5"/>
  <c r="Z64" i="5"/>
  <c r="Y64" i="5"/>
  <c r="X64" i="5"/>
  <c r="U64" i="5"/>
  <c r="T64" i="5"/>
  <c r="S64" i="5"/>
  <c r="R64" i="5"/>
  <c r="Q64" i="5"/>
  <c r="P64" i="5"/>
  <c r="O64" i="5"/>
  <c r="N64" i="5"/>
  <c r="M64" i="5"/>
  <c r="BL63" i="5"/>
  <c r="BK63" i="5"/>
  <c r="BJ63" i="5"/>
  <c r="BI63" i="5"/>
  <c r="BH63" i="5"/>
  <c r="BG63" i="5"/>
  <c r="BD63" i="5"/>
  <c r="BC63" i="5"/>
  <c r="BB63" i="5"/>
  <c r="AY63" i="5"/>
  <c r="AX63" i="5"/>
  <c r="AZ63" i="5" s="1"/>
  <c r="BA63" i="5" s="1"/>
  <c r="AW63" i="5"/>
  <c r="AT63" i="5"/>
  <c r="AP63" i="5" s="1"/>
  <c r="AR63" i="5"/>
  <c r="AA63" i="5" s="1"/>
  <c r="AQ63" i="5"/>
  <c r="AS63" i="5" s="1"/>
  <c r="AN63" i="5"/>
  <c r="AM63" i="5"/>
  <c r="AL63" i="5"/>
  <c r="AK63" i="5"/>
  <c r="AJ63" i="5"/>
  <c r="AI63" i="5"/>
  <c r="AH63" i="5"/>
  <c r="AG63" i="5"/>
  <c r="AF63" i="5"/>
  <c r="AE63" i="5"/>
  <c r="AD63" i="5"/>
  <c r="AC63" i="5"/>
  <c r="Z63" i="5"/>
  <c r="Y63" i="5"/>
  <c r="X63" i="5"/>
  <c r="V63" i="5"/>
  <c r="U63" i="5"/>
  <c r="T63" i="5"/>
  <c r="S63" i="5"/>
  <c r="R63" i="5"/>
  <c r="Q63" i="5"/>
  <c r="P63" i="5"/>
  <c r="O63" i="5"/>
  <c r="N63" i="5"/>
  <c r="M63" i="5"/>
  <c r="BL62" i="5"/>
  <c r="BK62" i="5"/>
  <c r="BJ62" i="5"/>
  <c r="BI62" i="5"/>
  <c r="BH62" i="5"/>
  <c r="BG62" i="5"/>
  <c r="BD62" i="5"/>
  <c r="BC62" i="5"/>
  <c r="BB62" i="5"/>
  <c r="AY62" i="5"/>
  <c r="AX62" i="5"/>
  <c r="AZ62" i="5" s="1"/>
  <c r="BA62" i="5" s="1"/>
  <c r="AW62" i="5"/>
  <c r="AQ62" i="5"/>
  <c r="AN62" i="5"/>
  <c r="AM62" i="5"/>
  <c r="AL62" i="5"/>
  <c r="AK62" i="5"/>
  <c r="AJ62" i="5"/>
  <c r="AI62" i="5"/>
  <c r="AH62" i="5"/>
  <c r="AG62" i="5"/>
  <c r="AF62" i="5"/>
  <c r="AE62" i="5"/>
  <c r="AD62" i="5"/>
  <c r="AC62" i="5"/>
  <c r="Z62" i="5"/>
  <c r="Y62" i="5"/>
  <c r="X62" i="5"/>
  <c r="V62" i="5"/>
  <c r="U62" i="5"/>
  <c r="T62" i="5"/>
  <c r="S62" i="5"/>
  <c r="R62" i="5"/>
  <c r="Q62" i="5"/>
  <c r="P62" i="5"/>
  <c r="O62" i="5"/>
  <c r="N62" i="5"/>
  <c r="M62" i="5"/>
  <c r="BL61" i="5"/>
  <c r="BK61" i="5"/>
  <c r="BJ61" i="5"/>
  <c r="BI61" i="5"/>
  <c r="BH61" i="5"/>
  <c r="BG61" i="5"/>
  <c r="BD61" i="5"/>
  <c r="BC61" i="5"/>
  <c r="BB61" i="5"/>
  <c r="AY61" i="5"/>
  <c r="AX61" i="5"/>
  <c r="V61" i="5" s="1"/>
  <c r="AW61" i="5"/>
  <c r="AQ61" i="5"/>
  <c r="AN61" i="5"/>
  <c r="AM61" i="5"/>
  <c r="AL61" i="5"/>
  <c r="AK61" i="5"/>
  <c r="AJ61" i="5"/>
  <c r="AI61" i="5"/>
  <c r="AH61" i="5"/>
  <c r="AG61" i="5"/>
  <c r="AF61" i="5"/>
  <c r="AE61" i="5"/>
  <c r="AD61" i="5"/>
  <c r="AC61" i="5"/>
  <c r="Z61" i="5"/>
  <c r="Y61" i="5"/>
  <c r="X61" i="5"/>
  <c r="U61" i="5"/>
  <c r="T61" i="5"/>
  <c r="S61" i="5"/>
  <c r="R61" i="5"/>
  <c r="Q61" i="5"/>
  <c r="P61" i="5"/>
  <c r="O61" i="5"/>
  <c r="N61" i="5"/>
  <c r="M61" i="5"/>
  <c r="BL60" i="5"/>
  <c r="BK60" i="5"/>
  <c r="BJ60" i="5"/>
  <c r="BI60" i="5"/>
  <c r="BH60" i="5"/>
  <c r="BG60" i="5"/>
  <c r="BD60" i="5"/>
  <c r="BC60" i="5"/>
  <c r="BB60" i="5"/>
  <c r="AY60" i="5"/>
  <c r="AX60" i="5"/>
  <c r="AZ60" i="5" s="1"/>
  <c r="BA60" i="5" s="1"/>
  <c r="AW60" i="5"/>
  <c r="AQ60" i="5"/>
  <c r="AN60" i="5"/>
  <c r="AM60" i="5"/>
  <c r="AL60" i="5"/>
  <c r="AK60" i="5"/>
  <c r="AJ60" i="5"/>
  <c r="AI60" i="5"/>
  <c r="AH60" i="5"/>
  <c r="AG60" i="5"/>
  <c r="AF60" i="5"/>
  <c r="AE60" i="5"/>
  <c r="AD60" i="5"/>
  <c r="AC60" i="5"/>
  <c r="Z60" i="5"/>
  <c r="Y60" i="5"/>
  <c r="X60" i="5"/>
  <c r="U60" i="5"/>
  <c r="T60" i="5"/>
  <c r="S60" i="5"/>
  <c r="R60" i="5"/>
  <c r="Q60" i="5"/>
  <c r="P60" i="5"/>
  <c r="O60" i="5"/>
  <c r="N60" i="5"/>
  <c r="M60" i="5"/>
  <c r="BL59" i="5"/>
  <c r="BK59" i="5"/>
  <c r="BJ59" i="5"/>
  <c r="BI59" i="5"/>
  <c r="BH59" i="5"/>
  <c r="BG59" i="5"/>
  <c r="BD59" i="5"/>
  <c r="BC59" i="5"/>
  <c r="BB59" i="5"/>
  <c r="AY59" i="5"/>
  <c r="AX59" i="5"/>
  <c r="AZ59" i="5" s="1"/>
  <c r="BA59" i="5" s="1"/>
  <c r="AW59" i="5"/>
  <c r="AT59" i="5"/>
  <c r="AP59" i="5" s="1"/>
  <c r="AR59" i="5"/>
  <c r="AA59" i="5" s="1"/>
  <c r="AQ59" i="5"/>
  <c r="AS59" i="5" s="1"/>
  <c r="AN59" i="5"/>
  <c r="AM59" i="5"/>
  <c r="AL59" i="5"/>
  <c r="AK59" i="5"/>
  <c r="AJ59" i="5"/>
  <c r="AI59" i="5"/>
  <c r="AH59" i="5"/>
  <c r="AG59" i="5"/>
  <c r="AF59" i="5"/>
  <c r="AE59" i="5"/>
  <c r="AD59" i="5"/>
  <c r="AC59" i="5"/>
  <c r="Z59" i="5"/>
  <c r="Y59" i="5"/>
  <c r="X59" i="5"/>
  <c r="V59" i="5"/>
  <c r="U59" i="5"/>
  <c r="T59" i="5"/>
  <c r="S59" i="5"/>
  <c r="R59" i="5"/>
  <c r="Q59" i="5"/>
  <c r="P59" i="5"/>
  <c r="O59" i="5"/>
  <c r="N59" i="5"/>
  <c r="M59" i="5"/>
  <c r="BL58" i="5"/>
  <c r="BK58" i="5"/>
  <c r="BJ58" i="5"/>
  <c r="BI58" i="5"/>
  <c r="BH58" i="5"/>
  <c r="BG58" i="5"/>
  <c r="BD58" i="5"/>
  <c r="BC58" i="5"/>
  <c r="BB58" i="5"/>
  <c r="AY58" i="5"/>
  <c r="AX58" i="5"/>
  <c r="AZ58" i="5" s="1"/>
  <c r="BA58" i="5" s="1"/>
  <c r="AW58" i="5"/>
  <c r="AQ58" i="5"/>
  <c r="AN58" i="5"/>
  <c r="AM58" i="5"/>
  <c r="AL58" i="5"/>
  <c r="AK58" i="5"/>
  <c r="AJ58" i="5"/>
  <c r="AI58" i="5"/>
  <c r="AH58" i="5"/>
  <c r="AG58" i="5"/>
  <c r="AF58" i="5"/>
  <c r="AE58" i="5"/>
  <c r="AD58" i="5"/>
  <c r="AC58" i="5"/>
  <c r="Z58" i="5"/>
  <c r="Y58" i="5"/>
  <c r="X58" i="5"/>
  <c r="V58" i="5"/>
  <c r="U58" i="5"/>
  <c r="T58" i="5"/>
  <c r="S58" i="5"/>
  <c r="R58" i="5"/>
  <c r="Q58" i="5"/>
  <c r="P58" i="5"/>
  <c r="O58" i="5"/>
  <c r="N58" i="5"/>
  <c r="M58" i="5"/>
  <c r="BL57" i="5"/>
  <c r="BK57" i="5"/>
  <c r="BJ57" i="5"/>
  <c r="BI57" i="5"/>
  <c r="BH57" i="5"/>
  <c r="BG57" i="5"/>
  <c r="BD57" i="5"/>
  <c r="BC57" i="5"/>
  <c r="BB57" i="5"/>
  <c r="AY57" i="5"/>
  <c r="AX57" i="5"/>
  <c r="V57" i="5" s="1"/>
  <c r="AW57" i="5"/>
  <c r="AQ57" i="5"/>
  <c r="AN57" i="5"/>
  <c r="AM57" i="5"/>
  <c r="AL57" i="5"/>
  <c r="AK57" i="5"/>
  <c r="AJ57" i="5"/>
  <c r="AI57" i="5"/>
  <c r="AH57" i="5"/>
  <c r="AG57" i="5"/>
  <c r="AF57" i="5"/>
  <c r="AE57" i="5"/>
  <c r="AD57" i="5"/>
  <c r="AC57" i="5"/>
  <c r="Z57" i="5"/>
  <c r="Y57" i="5"/>
  <c r="X57" i="5"/>
  <c r="U57" i="5"/>
  <c r="T57" i="5"/>
  <c r="S57" i="5"/>
  <c r="R57" i="5"/>
  <c r="Q57" i="5"/>
  <c r="P57" i="5"/>
  <c r="O57" i="5"/>
  <c r="N57" i="5"/>
  <c r="M57" i="5"/>
  <c r="BL56" i="5"/>
  <c r="BK56" i="5"/>
  <c r="BJ56" i="5"/>
  <c r="BI56" i="5"/>
  <c r="BH56" i="5"/>
  <c r="BG56" i="5"/>
  <c r="BD56" i="5"/>
  <c r="BC56" i="5"/>
  <c r="BB56" i="5"/>
  <c r="AY56" i="5"/>
  <c r="AX56" i="5"/>
  <c r="AZ56" i="5" s="1"/>
  <c r="BA56" i="5" s="1"/>
  <c r="AW56" i="5"/>
  <c r="AQ56" i="5"/>
  <c r="AN56" i="5"/>
  <c r="AM56" i="5"/>
  <c r="AL56" i="5"/>
  <c r="AK56" i="5"/>
  <c r="AJ56" i="5"/>
  <c r="AI56" i="5"/>
  <c r="AH56" i="5"/>
  <c r="AG56" i="5"/>
  <c r="AF56" i="5"/>
  <c r="AE56" i="5"/>
  <c r="AD56" i="5"/>
  <c r="AC56" i="5"/>
  <c r="Z56" i="5"/>
  <c r="Y56" i="5"/>
  <c r="X56" i="5"/>
  <c r="U56" i="5"/>
  <c r="T56" i="5"/>
  <c r="S56" i="5"/>
  <c r="R56" i="5"/>
  <c r="Q56" i="5"/>
  <c r="P56" i="5"/>
  <c r="O56" i="5"/>
  <c r="N56" i="5"/>
  <c r="M56" i="5"/>
  <c r="BL55" i="5"/>
  <c r="BK55" i="5"/>
  <c r="BJ55" i="5"/>
  <c r="BI55" i="5"/>
  <c r="BH55" i="5"/>
  <c r="BG55" i="5"/>
  <c r="BD55" i="5"/>
  <c r="BC55" i="5"/>
  <c r="BB55" i="5"/>
  <c r="AY55" i="5"/>
  <c r="AX55" i="5"/>
  <c r="AZ55" i="5" s="1"/>
  <c r="BA55" i="5" s="1"/>
  <c r="AW55" i="5"/>
  <c r="AR55" i="5"/>
  <c r="AA55" i="5" s="1"/>
  <c r="AQ55" i="5"/>
  <c r="AN55" i="5"/>
  <c r="AM55" i="5"/>
  <c r="AL55" i="5"/>
  <c r="AK55" i="5"/>
  <c r="AJ55" i="5"/>
  <c r="AI55" i="5"/>
  <c r="AH55" i="5"/>
  <c r="AG55" i="5"/>
  <c r="AF55" i="5"/>
  <c r="AE55" i="5"/>
  <c r="AD55" i="5"/>
  <c r="AC55" i="5"/>
  <c r="Z55" i="5"/>
  <c r="Y55" i="5"/>
  <c r="X55" i="5"/>
  <c r="V55" i="5"/>
  <c r="U55" i="5"/>
  <c r="T55" i="5"/>
  <c r="S55" i="5"/>
  <c r="R55" i="5"/>
  <c r="Q55" i="5"/>
  <c r="P55" i="5"/>
  <c r="O55" i="5"/>
  <c r="N55" i="5"/>
  <c r="M55" i="5"/>
  <c r="BL54" i="5"/>
  <c r="BK54" i="5"/>
  <c r="BJ54" i="5"/>
  <c r="BI54" i="5"/>
  <c r="BH54" i="5"/>
  <c r="BG54" i="5"/>
  <c r="BD54" i="5"/>
  <c r="BC54" i="5"/>
  <c r="BB54" i="5"/>
  <c r="AY54" i="5"/>
  <c r="AX54" i="5"/>
  <c r="AW54" i="5"/>
  <c r="AQ54" i="5"/>
  <c r="AN54" i="5"/>
  <c r="AM54" i="5"/>
  <c r="AL54" i="5"/>
  <c r="AK54" i="5"/>
  <c r="AJ54" i="5"/>
  <c r="AI54" i="5"/>
  <c r="AH54" i="5"/>
  <c r="AG54" i="5"/>
  <c r="AF54" i="5"/>
  <c r="AE54" i="5"/>
  <c r="AD54" i="5"/>
  <c r="AC54" i="5"/>
  <c r="Z54" i="5"/>
  <c r="Y54" i="5"/>
  <c r="X54" i="5"/>
  <c r="U54" i="5"/>
  <c r="T54" i="5"/>
  <c r="S54" i="5"/>
  <c r="R54" i="5"/>
  <c r="Q54" i="5"/>
  <c r="P54" i="5"/>
  <c r="O54" i="5"/>
  <c r="N54" i="5"/>
  <c r="M54" i="5"/>
  <c r="BL53" i="5"/>
  <c r="BK53" i="5"/>
  <c r="BJ53" i="5"/>
  <c r="BI53" i="5"/>
  <c r="BH53" i="5"/>
  <c r="BG53" i="5"/>
  <c r="BD53" i="5"/>
  <c r="BC53" i="5"/>
  <c r="BB53" i="5"/>
  <c r="AY53" i="5"/>
  <c r="AX53" i="5"/>
  <c r="V53" i="5" s="1"/>
  <c r="AW53" i="5"/>
  <c r="AQ53" i="5"/>
  <c r="AN53" i="5"/>
  <c r="AM53" i="5"/>
  <c r="AL53" i="5"/>
  <c r="AK53" i="5"/>
  <c r="AJ53" i="5"/>
  <c r="AI53" i="5"/>
  <c r="AH53" i="5"/>
  <c r="AG53" i="5"/>
  <c r="AF53" i="5"/>
  <c r="AE53" i="5"/>
  <c r="AD53" i="5"/>
  <c r="AC53" i="5"/>
  <c r="Z53" i="5"/>
  <c r="Y53" i="5"/>
  <c r="X53" i="5"/>
  <c r="U53" i="5"/>
  <c r="T53" i="5"/>
  <c r="S53" i="5"/>
  <c r="R53" i="5"/>
  <c r="Q53" i="5"/>
  <c r="P53" i="5"/>
  <c r="O53" i="5"/>
  <c r="N53" i="5"/>
  <c r="M53" i="5"/>
  <c r="BL52" i="5"/>
  <c r="BK52" i="5"/>
  <c r="BJ52" i="5"/>
  <c r="BI52" i="5"/>
  <c r="BH52" i="5"/>
  <c r="BG52" i="5"/>
  <c r="BD52" i="5"/>
  <c r="BC52" i="5"/>
  <c r="BB52" i="5"/>
  <c r="AY52" i="5"/>
  <c r="AX52" i="5"/>
  <c r="AW52" i="5"/>
  <c r="AR52" i="5"/>
  <c r="AA52" i="5" s="1"/>
  <c r="BF52" i="5" s="1"/>
  <c r="AQ52" i="5"/>
  <c r="AN52" i="5"/>
  <c r="AM52" i="5"/>
  <c r="AL52" i="5"/>
  <c r="AK52" i="5"/>
  <c r="AJ52" i="5"/>
  <c r="AI52" i="5"/>
  <c r="AH52" i="5"/>
  <c r="AG52" i="5"/>
  <c r="AF52" i="5"/>
  <c r="AE52" i="5"/>
  <c r="AD52" i="5"/>
  <c r="AC52" i="5"/>
  <c r="Z52" i="5"/>
  <c r="Y52" i="5"/>
  <c r="X52" i="5"/>
  <c r="U52" i="5"/>
  <c r="T52" i="5"/>
  <c r="S52" i="5"/>
  <c r="R52" i="5"/>
  <c r="Q52" i="5"/>
  <c r="P52" i="5"/>
  <c r="O52" i="5"/>
  <c r="N52" i="5"/>
  <c r="M52" i="5"/>
  <c r="BL51" i="5"/>
  <c r="BK51" i="5"/>
  <c r="BJ51" i="5"/>
  <c r="BI51" i="5"/>
  <c r="BH51" i="5"/>
  <c r="BG51" i="5"/>
  <c r="BD51" i="5"/>
  <c r="BC51" i="5"/>
  <c r="BB51" i="5"/>
  <c r="AY51" i="5"/>
  <c r="AX51" i="5"/>
  <c r="AZ51" i="5" s="1"/>
  <c r="BA51" i="5" s="1"/>
  <c r="AW51" i="5"/>
  <c r="AQ51" i="5"/>
  <c r="AN51" i="5"/>
  <c r="AM51" i="5"/>
  <c r="AL51" i="5"/>
  <c r="AK51" i="5"/>
  <c r="AJ51" i="5"/>
  <c r="AI51" i="5"/>
  <c r="AH51" i="5"/>
  <c r="AG51" i="5"/>
  <c r="AF51" i="5"/>
  <c r="AE51" i="5"/>
  <c r="AD51" i="5"/>
  <c r="AC51" i="5"/>
  <c r="Z51" i="5"/>
  <c r="Y51" i="5"/>
  <c r="X51" i="5"/>
  <c r="V51" i="5"/>
  <c r="U51" i="5"/>
  <c r="T51" i="5"/>
  <c r="S51" i="5"/>
  <c r="R51" i="5"/>
  <c r="Q51" i="5"/>
  <c r="P51" i="5"/>
  <c r="O51" i="5"/>
  <c r="N51" i="5"/>
  <c r="M51" i="5"/>
  <c r="BL50" i="5"/>
  <c r="BK50" i="5"/>
  <c r="BJ50" i="5"/>
  <c r="BI50" i="5"/>
  <c r="BH50" i="5"/>
  <c r="BG50" i="5"/>
  <c r="BD50" i="5"/>
  <c r="BC50" i="5"/>
  <c r="BB50" i="5"/>
  <c r="AY50" i="5"/>
  <c r="AX50" i="5"/>
  <c r="AW50" i="5"/>
  <c r="AQ50" i="5"/>
  <c r="AN50" i="5"/>
  <c r="AM50" i="5"/>
  <c r="AL50" i="5"/>
  <c r="AK50" i="5"/>
  <c r="AJ50" i="5"/>
  <c r="AI50" i="5"/>
  <c r="AH50" i="5"/>
  <c r="AG50" i="5"/>
  <c r="AF50" i="5"/>
  <c r="AE50" i="5"/>
  <c r="AD50" i="5"/>
  <c r="AC50" i="5"/>
  <c r="Z50" i="5"/>
  <c r="Y50" i="5"/>
  <c r="X50" i="5"/>
  <c r="V50" i="5"/>
  <c r="U50" i="5"/>
  <c r="T50" i="5"/>
  <c r="S50" i="5"/>
  <c r="R50" i="5"/>
  <c r="Q50" i="5"/>
  <c r="P50" i="5"/>
  <c r="O50" i="5"/>
  <c r="N50" i="5"/>
  <c r="M50" i="5"/>
  <c r="BL49" i="5"/>
  <c r="BK49" i="5"/>
  <c r="BJ49" i="5"/>
  <c r="BI49" i="5"/>
  <c r="BH49" i="5"/>
  <c r="BG49" i="5"/>
  <c r="BD49" i="5"/>
  <c r="BC49" i="5"/>
  <c r="BB49" i="5"/>
  <c r="AY49" i="5"/>
  <c r="AX49" i="5"/>
  <c r="AW49" i="5"/>
  <c r="AQ49" i="5"/>
  <c r="AN49" i="5"/>
  <c r="AM49" i="5"/>
  <c r="AL49" i="5"/>
  <c r="AK49" i="5"/>
  <c r="AJ49" i="5"/>
  <c r="AI49" i="5"/>
  <c r="AH49" i="5"/>
  <c r="AG49" i="5"/>
  <c r="AF49" i="5"/>
  <c r="AE49" i="5"/>
  <c r="AD49" i="5"/>
  <c r="AC49" i="5"/>
  <c r="Z49" i="5"/>
  <c r="Y49" i="5"/>
  <c r="X49" i="5"/>
  <c r="U49" i="5"/>
  <c r="T49" i="5"/>
  <c r="S49" i="5"/>
  <c r="R49" i="5"/>
  <c r="Q49" i="5"/>
  <c r="P49" i="5"/>
  <c r="O49" i="5"/>
  <c r="N49" i="5"/>
  <c r="M49" i="5"/>
  <c r="BL48" i="5"/>
  <c r="BK48" i="5"/>
  <c r="BJ48" i="5"/>
  <c r="BI48" i="5"/>
  <c r="BH48" i="5"/>
  <c r="BG48" i="5"/>
  <c r="BD48" i="5"/>
  <c r="BC48" i="5"/>
  <c r="BB48" i="5"/>
  <c r="AY48" i="5"/>
  <c r="AX48" i="5"/>
  <c r="AW48" i="5"/>
  <c r="AQ48" i="5"/>
  <c r="AN48" i="5"/>
  <c r="AM48" i="5"/>
  <c r="AL48" i="5"/>
  <c r="AK48" i="5"/>
  <c r="AJ48" i="5"/>
  <c r="AI48" i="5"/>
  <c r="AH48" i="5"/>
  <c r="AG48" i="5"/>
  <c r="AF48" i="5"/>
  <c r="AE48" i="5"/>
  <c r="AD48" i="5"/>
  <c r="AC48" i="5"/>
  <c r="Z48" i="5"/>
  <c r="Y48" i="5"/>
  <c r="X48" i="5"/>
  <c r="U48" i="5"/>
  <c r="T48" i="5"/>
  <c r="S48" i="5"/>
  <c r="R48" i="5"/>
  <c r="Q48" i="5"/>
  <c r="P48" i="5"/>
  <c r="O48" i="5"/>
  <c r="N48" i="5"/>
  <c r="M48" i="5"/>
  <c r="BL47" i="5"/>
  <c r="BK47" i="5"/>
  <c r="BJ47" i="5"/>
  <c r="BI47" i="5"/>
  <c r="BH47" i="5"/>
  <c r="BG47" i="5"/>
  <c r="BD47" i="5"/>
  <c r="BC47" i="5"/>
  <c r="BB47" i="5"/>
  <c r="AY47" i="5"/>
  <c r="AX47" i="5"/>
  <c r="AZ47" i="5" s="1"/>
  <c r="BA47" i="5" s="1"/>
  <c r="AW47" i="5"/>
  <c r="AQ47" i="5"/>
  <c r="AN47" i="5"/>
  <c r="AM47" i="5"/>
  <c r="AL47" i="5"/>
  <c r="AK47" i="5"/>
  <c r="AJ47" i="5"/>
  <c r="AI47" i="5"/>
  <c r="AH47" i="5"/>
  <c r="AG47" i="5"/>
  <c r="AF47" i="5"/>
  <c r="AE47" i="5"/>
  <c r="AD47" i="5"/>
  <c r="AC47" i="5"/>
  <c r="Z47" i="5"/>
  <c r="Y47" i="5"/>
  <c r="X47" i="5"/>
  <c r="U47" i="5"/>
  <c r="T47" i="5"/>
  <c r="S47" i="5"/>
  <c r="R47" i="5"/>
  <c r="Q47" i="5"/>
  <c r="P47" i="5"/>
  <c r="O47" i="5"/>
  <c r="N47" i="5"/>
  <c r="M47" i="5"/>
  <c r="BL46" i="5"/>
  <c r="BK46" i="5"/>
  <c r="BJ46" i="5"/>
  <c r="BI46" i="5"/>
  <c r="BH46" i="5"/>
  <c r="BG46" i="5"/>
  <c r="BD46" i="5"/>
  <c r="BC46" i="5"/>
  <c r="BB46" i="5"/>
  <c r="AY46" i="5"/>
  <c r="AX46" i="5"/>
  <c r="AZ46" i="5" s="1"/>
  <c r="BA46" i="5" s="1"/>
  <c r="AW46" i="5"/>
  <c r="AQ46" i="5"/>
  <c r="AN46" i="5"/>
  <c r="AM46" i="5"/>
  <c r="AL46" i="5"/>
  <c r="AK46" i="5"/>
  <c r="AJ46" i="5"/>
  <c r="AI46" i="5"/>
  <c r="AH46" i="5"/>
  <c r="AG46" i="5"/>
  <c r="AF46" i="5"/>
  <c r="AE46" i="5"/>
  <c r="AD46" i="5"/>
  <c r="AC46" i="5"/>
  <c r="Z46" i="5"/>
  <c r="Y46" i="5"/>
  <c r="X46" i="5"/>
  <c r="U46" i="5"/>
  <c r="T46" i="5"/>
  <c r="S46" i="5"/>
  <c r="R46" i="5"/>
  <c r="Q46" i="5"/>
  <c r="P46" i="5"/>
  <c r="O46" i="5"/>
  <c r="N46" i="5"/>
  <c r="M46" i="5"/>
  <c r="BL45" i="5"/>
  <c r="BK45" i="5"/>
  <c r="BJ45" i="5"/>
  <c r="BI45" i="5"/>
  <c r="BH45" i="5"/>
  <c r="BG45" i="5"/>
  <c r="BD45" i="5"/>
  <c r="BC45" i="5"/>
  <c r="BB45" i="5"/>
  <c r="AY45" i="5"/>
  <c r="AX45" i="5"/>
  <c r="AW45" i="5"/>
  <c r="AQ45" i="5"/>
  <c r="AN45" i="5"/>
  <c r="AM45" i="5"/>
  <c r="AL45" i="5"/>
  <c r="AK45" i="5"/>
  <c r="AJ45" i="5"/>
  <c r="AI45" i="5"/>
  <c r="AH45" i="5"/>
  <c r="AG45" i="5"/>
  <c r="AF45" i="5"/>
  <c r="AE45" i="5"/>
  <c r="AD45" i="5"/>
  <c r="AC45" i="5"/>
  <c r="Z45" i="5"/>
  <c r="Y45" i="5"/>
  <c r="X45" i="5"/>
  <c r="U45" i="5"/>
  <c r="T45" i="5"/>
  <c r="S45" i="5"/>
  <c r="R45" i="5"/>
  <c r="Q45" i="5"/>
  <c r="P45" i="5"/>
  <c r="O45" i="5"/>
  <c r="N45" i="5"/>
  <c r="M45" i="5"/>
  <c r="BL44" i="5"/>
  <c r="BK44" i="5"/>
  <c r="BJ44" i="5"/>
  <c r="BI44" i="5"/>
  <c r="BH44" i="5"/>
  <c r="BG44" i="5"/>
  <c r="BD44" i="5"/>
  <c r="BC44" i="5"/>
  <c r="BB44" i="5"/>
  <c r="AY44" i="5"/>
  <c r="AX44" i="5"/>
  <c r="AW44" i="5"/>
  <c r="AR44" i="5"/>
  <c r="AA44" i="5" s="1"/>
  <c r="BF44" i="5" s="1"/>
  <c r="AQ44" i="5"/>
  <c r="AN44" i="5"/>
  <c r="AM44" i="5"/>
  <c r="AL44" i="5"/>
  <c r="AK44" i="5"/>
  <c r="AJ44" i="5"/>
  <c r="AI44" i="5"/>
  <c r="AH44" i="5"/>
  <c r="AG44" i="5"/>
  <c r="AF44" i="5"/>
  <c r="AE44" i="5"/>
  <c r="AD44" i="5"/>
  <c r="AC44" i="5"/>
  <c r="Z44" i="5"/>
  <c r="Y44" i="5"/>
  <c r="X44" i="5"/>
  <c r="U44" i="5"/>
  <c r="T44" i="5"/>
  <c r="S44" i="5"/>
  <c r="R44" i="5"/>
  <c r="Q44" i="5"/>
  <c r="P44" i="5"/>
  <c r="O44" i="5"/>
  <c r="N44" i="5"/>
  <c r="M44" i="5"/>
  <c r="BL43" i="5"/>
  <c r="BK43" i="5"/>
  <c r="BJ43" i="5"/>
  <c r="BI43" i="5"/>
  <c r="BH43" i="5"/>
  <c r="BG43" i="5"/>
  <c r="BD43" i="5"/>
  <c r="BC43" i="5"/>
  <c r="BB43" i="5"/>
  <c r="AY43" i="5"/>
  <c r="AX43" i="5"/>
  <c r="AZ43" i="5" s="1"/>
  <c r="BA43" i="5" s="1"/>
  <c r="AW43" i="5"/>
  <c r="M43" i="5" s="1"/>
  <c r="AR43" i="5"/>
  <c r="AA43" i="5" s="1"/>
  <c r="BF43" i="5" s="1"/>
  <c r="AQ43" i="5"/>
  <c r="AN43" i="5"/>
  <c r="AM43" i="5"/>
  <c r="AL43" i="5"/>
  <c r="AK43" i="5"/>
  <c r="AJ43" i="5"/>
  <c r="AI43" i="5"/>
  <c r="AH43" i="5"/>
  <c r="AG43" i="5"/>
  <c r="AF43" i="5"/>
  <c r="AE43" i="5"/>
  <c r="AD43" i="5"/>
  <c r="AC43" i="5"/>
  <c r="AB43" i="5"/>
  <c r="Z43" i="5"/>
  <c r="Y43" i="5"/>
  <c r="X43" i="5"/>
  <c r="U43" i="5"/>
  <c r="T43" i="5"/>
  <c r="S43" i="5"/>
  <c r="R43" i="5"/>
  <c r="Q43" i="5"/>
  <c r="P43" i="5"/>
  <c r="O43" i="5"/>
  <c r="N43" i="5"/>
  <c r="BL42" i="5"/>
  <c r="BK42" i="5"/>
  <c r="BJ42" i="5"/>
  <c r="BI42" i="5"/>
  <c r="BH42" i="5"/>
  <c r="BG42" i="5"/>
  <c r="BD42" i="5"/>
  <c r="BC42" i="5"/>
  <c r="BB42" i="5"/>
  <c r="AY42" i="5"/>
  <c r="AX42" i="5"/>
  <c r="AW42" i="5"/>
  <c r="AQ42" i="5"/>
  <c r="AN42" i="5"/>
  <c r="AM42" i="5"/>
  <c r="AL42" i="5"/>
  <c r="AK42" i="5"/>
  <c r="AJ42" i="5"/>
  <c r="AI42" i="5"/>
  <c r="AH42" i="5"/>
  <c r="AG42" i="5"/>
  <c r="AF42" i="5"/>
  <c r="AE42" i="5"/>
  <c r="AD42" i="5"/>
  <c r="AC42" i="5"/>
  <c r="Z42" i="5"/>
  <c r="Y42" i="5"/>
  <c r="X42" i="5"/>
  <c r="V42" i="5"/>
  <c r="U42" i="5"/>
  <c r="T42" i="5"/>
  <c r="S42" i="5"/>
  <c r="R42" i="5"/>
  <c r="Q42" i="5"/>
  <c r="P42" i="5"/>
  <c r="O42" i="5"/>
  <c r="N42" i="5"/>
  <c r="M42" i="5"/>
  <c r="BL41" i="5"/>
  <c r="BK41" i="5"/>
  <c r="BJ41" i="5"/>
  <c r="BI41" i="5"/>
  <c r="BH41" i="5"/>
  <c r="BG41" i="5"/>
  <c r="BD41" i="5"/>
  <c r="BC41" i="5"/>
  <c r="BB41" i="5"/>
  <c r="AY41" i="5"/>
  <c r="AX41" i="5"/>
  <c r="AZ41" i="5" s="1"/>
  <c r="BA41" i="5" s="1"/>
  <c r="AW41" i="5"/>
  <c r="AQ41" i="5"/>
  <c r="AN41" i="5"/>
  <c r="AM41" i="5"/>
  <c r="AL41" i="5"/>
  <c r="AK41" i="5"/>
  <c r="AJ41" i="5"/>
  <c r="AI41" i="5"/>
  <c r="AH41" i="5"/>
  <c r="AG41" i="5"/>
  <c r="AF41" i="5"/>
  <c r="AE41" i="5"/>
  <c r="AD41" i="5"/>
  <c r="AC41" i="5"/>
  <c r="Z41" i="5"/>
  <c r="Y41" i="5"/>
  <c r="X41" i="5"/>
  <c r="U41" i="5"/>
  <c r="T41" i="5"/>
  <c r="S41" i="5"/>
  <c r="R41" i="5"/>
  <c r="Q41" i="5"/>
  <c r="P41" i="5"/>
  <c r="O41" i="5"/>
  <c r="N41" i="5"/>
  <c r="M41" i="5"/>
  <c r="BL40" i="5"/>
  <c r="BK40" i="5"/>
  <c r="BJ40" i="5"/>
  <c r="BI40" i="5"/>
  <c r="BH40" i="5"/>
  <c r="BG40" i="5"/>
  <c r="BD40" i="5"/>
  <c r="BC40" i="5"/>
  <c r="BB40" i="5"/>
  <c r="AY40" i="5"/>
  <c r="AX40" i="5"/>
  <c r="AW40" i="5"/>
  <c r="AQ40" i="5"/>
  <c r="AN40" i="5"/>
  <c r="AM40" i="5"/>
  <c r="AL40" i="5"/>
  <c r="AK40" i="5"/>
  <c r="AJ40" i="5"/>
  <c r="AI40" i="5"/>
  <c r="AH40" i="5"/>
  <c r="AG40" i="5"/>
  <c r="AF40" i="5"/>
  <c r="AE40" i="5"/>
  <c r="AD40" i="5"/>
  <c r="AC40" i="5"/>
  <c r="Z40" i="5"/>
  <c r="Y40" i="5"/>
  <c r="X40" i="5"/>
  <c r="U40" i="5"/>
  <c r="T40" i="5"/>
  <c r="S40" i="5"/>
  <c r="R40" i="5"/>
  <c r="Q40" i="5"/>
  <c r="P40" i="5"/>
  <c r="O40" i="5"/>
  <c r="N40" i="5"/>
  <c r="M40" i="5"/>
  <c r="BL39" i="5"/>
  <c r="BK39" i="5"/>
  <c r="BJ39" i="5"/>
  <c r="BI39" i="5"/>
  <c r="BH39" i="5"/>
  <c r="BG39" i="5"/>
  <c r="BD39" i="5"/>
  <c r="BC39" i="5"/>
  <c r="BB39" i="5"/>
  <c r="AY39" i="5"/>
  <c r="AX39" i="5"/>
  <c r="AZ39" i="5" s="1"/>
  <c r="BA39" i="5" s="1"/>
  <c r="AW39" i="5"/>
  <c r="AQ39" i="5"/>
  <c r="AN39" i="5"/>
  <c r="AM39" i="5"/>
  <c r="AL39" i="5"/>
  <c r="AK39" i="5"/>
  <c r="AJ39" i="5"/>
  <c r="AI39" i="5"/>
  <c r="AH39" i="5"/>
  <c r="AG39" i="5"/>
  <c r="AF39" i="5"/>
  <c r="AE39" i="5"/>
  <c r="AD39" i="5"/>
  <c r="AC39" i="5"/>
  <c r="Z39" i="5"/>
  <c r="Y39" i="5"/>
  <c r="X39" i="5"/>
  <c r="V39" i="5"/>
  <c r="U39" i="5"/>
  <c r="T39" i="5"/>
  <c r="S39" i="5"/>
  <c r="R39" i="5"/>
  <c r="Q39" i="5"/>
  <c r="P39" i="5"/>
  <c r="O39" i="5"/>
  <c r="N39" i="5"/>
  <c r="M39" i="5"/>
  <c r="BL38" i="5"/>
  <c r="BK38" i="5"/>
  <c r="BJ38" i="5"/>
  <c r="BI38" i="5"/>
  <c r="BH38" i="5"/>
  <c r="BG38" i="5"/>
  <c r="BD38" i="5"/>
  <c r="BC38" i="5"/>
  <c r="BB38" i="5"/>
  <c r="AY38" i="5"/>
  <c r="AX38" i="5"/>
  <c r="AZ38" i="5" s="1"/>
  <c r="BA38" i="5" s="1"/>
  <c r="AW38" i="5"/>
  <c r="AQ38" i="5"/>
  <c r="AN38" i="5"/>
  <c r="AM38" i="5"/>
  <c r="AL38" i="5"/>
  <c r="AK38" i="5"/>
  <c r="AJ38" i="5"/>
  <c r="AI38" i="5"/>
  <c r="AH38" i="5"/>
  <c r="AG38" i="5"/>
  <c r="AF38" i="5"/>
  <c r="AE38" i="5"/>
  <c r="AD38" i="5"/>
  <c r="AC38" i="5"/>
  <c r="Z38" i="5"/>
  <c r="Y38" i="5"/>
  <c r="X38" i="5"/>
  <c r="V38" i="5"/>
  <c r="U38" i="5"/>
  <c r="T38" i="5"/>
  <c r="S38" i="5"/>
  <c r="R38" i="5"/>
  <c r="Q38" i="5"/>
  <c r="P38" i="5"/>
  <c r="O38" i="5"/>
  <c r="N38" i="5"/>
  <c r="M38" i="5"/>
  <c r="BL37" i="5"/>
  <c r="BK37" i="5"/>
  <c r="BJ37" i="5"/>
  <c r="BI37" i="5"/>
  <c r="BH37" i="5"/>
  <c r="BG37" i="5"/>
  <c r="BD37" i="5"/>
  <c r="BC37" i="5"/>
  <c r="BB37" i="5"/>
  <c r="AY37" i="5"/>
  <c r="AX37" i="5"/>
  <c r="AZ37" i="5" s="1"/>
  <c r="BA37" i="5" s="1"/>
  <c r="AW37" i="5"/>
  <c r="AQ37" i="5"/>
  <c r="AN37" i="5"/>
  <c r="AM37" i="5"/>
  <c r="AL37" i="5"/>
  <c r="AK37" i="5"/>
  <c r="AJ37" i="5"/>
  <c r="AI37" i="5"/>
  <c r="AH37" i="5"/>
  <c r="AG37" i="5"/>
  <c r="AF37" i="5"/>
  <c r="AE37" i="5"/>
  <c r="AD37" i="5"/>
  <c r="AC37" i="5"/>
  <c r="Z37" i="5"/>
  <c r="Y37" i="5"/>
  <c r="X37" i="5"/>
  <c r="U37" i="5"/>
  <c r="T37" i="5"/>
  <c r="S37" i="5"/>
  <c r="R37" i="5"/>
  <c r="Q37" i="5"/>
  <c r="P37" i="5"/>
  <c r="O37" i="5"/>
  <c r="N37" i="5"/>
  <c r="M37" i="5"/>
  <c r="BL36" i="5"/>
  <c r="BK36" i="5"/>
  <c r="BJ36" i="5"/>
  <c r="BI36" i="5"/>
  <c r="BH36" i="5"/>
  <c r="BG36" i="5"/>
  <c r="BF36" i="5"/>
  <c r="BD36" i="5"/>
  <c r="BC36" i="5"/>
  <c r="BB36" i="5"/>
  <c r="AZ36" i="5"/>
  <c r="BA36" i="5" s="1"/>
  <c r="AY36" i="5"/>
  <c r="AX36" i="5"/>
  <c r="AW36" i="5"/>
  <c r="M36" i="5" s="1"/>
  <c r="AS36" i="5"/>
  <c r="BM36" i="5" s="1"/>
  <c r="AR36" i="5"/>
  <c r="AQ36" i="5"/>
  <c r="AN36" i="5"/>
  <c r="AM36" i="5"/>
  <c r="AL36" i="5"/>
  <c r="AK36" i="5"/>
  <c r="AJ36" i="5"/>
  <c r="AI36" i="5"/>
  <c r="AH36" i="5"/>
  <c r="AG36" i="5"/>
  <c r="AF36" i="5"/>
  <c r="AE36" i="5"/>
  <c r="AD36" i="5"/>
  <c r="AC36" i="5"/>
  <c r="AA36" i="5"/>
  <c r="AB36" i="5" s="1"/>
  <c r="Z36" i="5"/>
  <c r="Y36" i="5"/>
  <c r="X36" i="5"/>
  <c r="V36" i="5"/>
  <c r="U36" i="5"/>
  <c r="T36" i="5"/>
  <c r="S36" i="5"/>
  <c r="R36" i="5"/>
  <c r="Q36" i="5"/>
  <c r="P36" i="5"/>
  <c r="O36" i="5"/>
  <c r="N36" i="5"/>
  <c r="BL35" i="5"/>
  <c r="BK35" i="5"/>
  <c r="BJ35" i="5"/>
  <c r="BI35" i="5"/>
  <c r="BH35" i="5"/>
  <c r="BG35" i="5"/>
  <c r="BD35" i="5"/>
  <c r="BC35" i="5"/>
  <c r="BB35" i="5"/>
  <c r="AY35" i="5"/>
  <c r="AX35" i="5"/>
  <c r="V35" i="5" s="1"/>
  <c r="AW35" i="5"/>
  <c r="M35" i="5" s="1"/>
  <c r="AQ35" i="5"/>
  <c r="AR35" i="5" s="1"/>
  <c r="AN35" i="5"/>
  <c r="AM35" i="5"/>
  <c r="AL35" i="5"/>
  <c r="AK35" i="5"/>
  <c r="AJ35" i="5"/>
  <c r="AI35" i="5"/>
  <c r="AH35" i="5"/>
  <c r="AG35" i="5"/>
  <c r="AF35" i="5"/>
  <c r="AE35" i="5"/>
  <c r="AD35" i="5"/>
  <c r="AC35" i="5"/>
  <c r="Z35" i="5"/>
  <c r="Y35" i="5"/>
  <c r="X35" i="5"/>
  <c r="U35" i="5"/>
  <c r="T35" i="5"/>
  <c r="S35" i="5"/>
  <c r="R35" i="5"/>
  <c r="Q35" i="5"/>
  <c r="P35" i="5"/>
  <c r="O35" i="5"/>
  <c r="N35" i="5"/>
  <c r="BL34" i="5"/>
  <c r="BK34" i="5"/>
  <c r="BJ34" i="5"/>
  <c r="BI34" i="5"/>
  <c r="BH34" i="5"/>
  <c r="BG34" i="5"/>
  <c r="BD34" i="5"/>
  <c r="BC34" i="5"/>
  <c r="BB34" i="5"/>
  <c r="AZ34" i="5"/>
  <c r="BA34" i="5" s="1"/>
  <c r="AY34" i="5"/>
  <c r="AX34" i="5"/>
  <c r="V34" i="5" s="1"/>
  <c r="AW34" i="5"/>
  <c r="M34" i="5" s="1"/>
  <c r="AQ34" i="5"/>
  <c r="AR34" i="5" s="1"/>
  <c r="AN34" i="5"/>
  <c r="AM34" i="5"/>
  <c r="AL34" i="5"/>
  <c r="AK34" i="5"/>
  <c r="AJ34" i="5"/>
  <c r="AI34" i="5"/>
  <c r="AH34" i="5"/>
  <c r="AG34" i="5"/>
  <c r="AF34" i="5"/>
  <c r="AE34" i="5"/>
  <c r="AD34" i="5"/>
  <c r="AC34" i="5"/>
  <c r="Z34" i="5"/>
  <c r="Y34" i="5"/>
  <c r="X34" i="5"/>
  <c r="U34" i="5"/>
  <c r="T34" i="5"/>
  <c r="S34" i="5"/>
  <c r="R34" i="5"/>
  <c r="Q34" i="5"/>
  <c r="P34" i="5"/>
  <c r="O34" i="5"/>
  <c r="N34" i="5"/>
  <c r="BL33" i="5"/>
  <c r="BK33" i="5"/>
  <c r="BJ33" i="5"/>
  <c r="BI33" i="5"/>
  <c r="BH33" i="5"/>
  <c r="BG33" i="5"/>
  <c r="BD33" i="5"/>
  <c r="BC33" i="5"/>
  <c r="BB33" i="5"/>
  <c r="AZ33" i="5"/>
  <c r="BA33" i="5" s="1"/>
  <c r="AY33" i="5"/>
  <c r="AX33" i="5"/>
  <c r="V33" i="5" s="1"/>
  <c r="AW33" i="5"/>
  <c r="M33" i="5" s="1"/>
  <c r="AQ33" i="5"/>
  <c r="AN33" i="5"/>
  <c r="AM33" i="5"/>
  <c r="AL33" i="5"/>
  <c r="AK33" i="5"/>
  <c r="AJ33" i="5"/>
  <c r="AI33" i="5"/>
  <c r="AH33" i="5"/>
  <c r="AG33" i="5"/>
  <c r="AF33" i="5"/>
  <c r="AE33" i="5"/>
  <c r="AD33" i="5"/>
  <c r="AC33" i="5"/>
  <c r="Z33" i="5"/>
  <c r="Y33" i="5"/>
  <c r="X33" i="5"/>
  <c r="U33" i="5"/>
  <c r="T33" i="5"/>
  <c r="S33" i="5"/>
  <c r="R33" i="5"/>
  <c r="Q33" i="5"/>
  <c r="P33" i="5"/>
  <c r="O33" i="5"/>
  <c r="N33" i="5"/>
  <c r="BL32" i="5"/>
  <c r="BK32" i="5"/>
  <c r="BJ32" i="5"/>
  <c r="BI32" i="5"/>
  <c r="BH32" i="5"/>
  <c r="BG32" i="5"/>
  <c r="BF32" i="5"/>
  <c r="BD32" i="5"/>
  <c r="BC32" i="5"/>
  <c r="BB32" i="5"/>
  <c r="AY32" i="5"/>
  <c r="AX32" i="5"/>
  <c r="AZ32" i="5" s="1"/>
  <c r="BA32" i="5" s="1"/>
  <c r="AW32" i="5"/>
  <c r="M32" i="5" s="1"/>
  <c r="AS32" i="5"/>
  <c r="BM32" i="5" s="1"/>
  <c r="AR32" i="5"/>
  <c r="AQ32" i="5"/>
  <c r="AN32" i="5"/>
  <c r="AM32" i="5"/>
  <c r="AL32" i="5"/>
  <c r="AK32" i="5"/>
  <c r="AJ32" i="5"/>
  <c r="AI32" i="5"/>
  <c r="AH32" i="5"/>
  <c r="AG32" i="5"/>
  <c r="AF32" i="5"/>
  <c r="AE32" i="5"/>
  <c r="AD32" i="5"/>
  <c r="AC32" i="5"/>
  <c r="AA32" i="5"/>
  <c r="AB32" i="5" s="1"/>
  <c r="Z32" i="5"/>
  <c r="Y32" i="5"/>
  <c r="X32" i="5"/>
  <c r="V32" i="5"/>
  <c r="U32" i="5"/>
  <c r="T32" i="5"/>
  <c r="S32" i="5"/>
  <c r="R32" i="5"/>
  <c r="Q32" i="5"/>
  <c r="P32" i="5"/>
  <c r="O32" i="5"/>
  <c r="N32" i="5"/>
  <c r="BL31" i="5"/>
  <c r="BK31" i="5"/>
  <c r="BJ31" i="5"/>
  <c r="BI31" i="5"/>
  <c r="BH31" i="5"/>
  <c r="BG31" i="5"/>
  <c r="BD31" i="5"/>
  <c r="BC31" i="5"/>
  <c r="BB31" i="5"/>
  <c r="AY31" i="5"/>
  <c r="AX31" i="5"/>
  <c r="V31" i="5" s="1"/>
  <c r="AW31" i="5"/>
  <c r="M31" i="5" s="1"/>
  <c r="AQ31" i="5"/>
  <c r="AR31" i="5" s="1"/>
  <c r="AN31" i="5"/>
  <c r="AM31" i="5"/>
  <c r="AL31" i="5"/>
  <c r="AK31" i="5"/>
  <c r="AJ31" i="5"/>
  <c r="AI31" i="5"/>
  <c r="AH31" i="5"/>
  <c r="AG31" i="5"/>
  <c r="AF31" i="5"/>
  <c r="AE31" i="5"/>
  <c r="AD31" i="5"/>
  <c r="AC31" i="5"/>
  <c r="Z31" i="5"/>
  <c r="Y31" i="5"/>
  <c r="X31" i="5"/>
  <c r="U31" i="5"/>
  <c r="T31" i="5"/>
  <c r="S31" i="5"/>
  <c r="R31" i="5"/>
  <c r="Q31" i="5"/>
  <c r="P31" i="5"/>
  <c r="O31" i="5"/>
  <c r="N31" i="5"/>
  <c r="BL30" i="5"/>
  <c r="BK30" i="5"/>
  <c r="BJ30" i="5"/>
  <c r="BI30" i="5"/>
  <c r="BH30" i="5"/>
  <c r="BG30" i="5"/>
  <c r="BD30" i="5"/>
  <c r="BC30" i="5"/>
  <c r="BB30" i="5"/>
  <c r="AZ30" i="5"/>
  <c r="BA30" i="5" s="1"/>
  <c r="AY30" i="5"/>
  <c r="AX30" i="5"/>
  <c r="V30" i="5" s="1"/>
  <c r="AW30" i="5"/>
  <c r="M30" i="5" s="1"/>
  <c r="AQ30" i="5"/>
  <c r="AN30" i="5"/>
  <c r="AM30" i="5"/>
  <c r="AL30" i="5"/>
  <c r="AK30" i="5"/>
  <c r="AJ30" i="5"/>
  <c r="AI30" i="5"/>
  <c r="AH30" i="5"/>
  <c r="AG30" i="5"/>
  <c r="AF30" i="5"/>
  <c r="AE30" i="5"/>
  <c r="AD30" i="5"/>
  <c r="AC30" i="5"/>
  <c r="Z30" i="5"/>
  <c r="Y30" i="5"/>
  <c r="X30" i="5"/>
  <c r="U30" i="5"/>
  <c r="T30" i="5"/>
  <c r="S30" i="5"/>
  <c r="R30" i="5"/>
  <c r="Q30" i="5"/>
  <c r="P30" i="5"/>
  <c r="O30" i="5"/>
  <c r="N30" i="5"/>
  <c r="BL29" i="5"/>
  <c r="BK29" i="5"/>
  <c r="BJ29" i="5"/>
  <c r="BI29" i="5"/>
  <c r="BH29" i="5"/>
  <c r="BG29" i="5"/>
  <c r="BD29" i="5"/>
  <c r="BC29" i="5"/>
  <c r="BB29" i="5"/>
  <c r="AZ29" i="5"/>
  <c r="BA29" i="5" s="1"/>
  <c r="AY29" i="5"/>
  <c r="AX29" i="5"/>
  <c r="V29" i="5" s="1"/>
  <c r="AW29" i="5"/>
  <c r="M29" i="5" s="1"/>
  <c r="AQ29" i="5"/>
  <c r="AN29" i="5"/>
  <c r="AM29" i="5"/>
  <c r="AL29" i="5"/>
  <c r="AK29" i="5"/>
  <c r="AJ29" i="5"/>
  <c r="AI29" i="5"/>
  <c r="AH29" i="5"/>
  <c r="AG29" i="5"/>
  <c r="AF29" i="5"/>
  <c r="AE29" i="5"/>
  <c r="AD29" i="5"/>
  <c r="AC29" i="5"/>
  <c r="Z29" i="5"/>
  <c r="Y29" i="5"/>
  <c r="X29" i="5"/>
  <c r="U29" i="5"/>
  <c r="T29" i="5"/>
  <c r="S29" i="5"/>
  <c r="R29" i="5"/>
  <c r="Q29" i="5"/>
  <c r="P29" i="5"/>
  <c r="O29" i="5"/>
  <c r="N29" i="5"/>
  <c r="BL28" i="5"/>
  <c r="BK28" i="5"/>
  <c r="BJ28" i="5"/>
  <c r="BI28" i="5"/>
  <c r="BH28" i="5"/>
  <c r="BG28" i="5"/>
  <c r="BD28" i="5"/>
  <c r="BC28" i="5"/>
  <c r="BB28" i="5"/>
  <c r="AY28" i="5"/>
  <c r="AX28" i="5"/>
  <c r="AZ28" i="5" s="1"/>
  <c r="BA28" i="5" s="1"/>
  <c r="AW28" i="5"/>
  <c r="M28" i="5" s="1"/>
  <c r="AQ28" i="5"/>
  <c r="AR28" i="5" s="1"/>
  <c r="AN28" i="5"/>
  <c r="AM28" i="5"/>
  <c r="AL28" i="5"/>
  <c r="AK28" i="5"/>
  <c r="AJ28" i="5"/>
  <c r="AI28" i="5"/>
  <c r="AH28" i="5"/>
  <c r="AG28" i="5"/>
  <c r="AF28" i="5"/>
  <c r="AE28" i="5"/>
  <c r="AD28" i="5"/>
  <c r="AC28" i="5"/>
  <c r="Z28" i="5"/>
  <c r="Y28" i="5"/>
  <c r="X28" i="5"/>
  <c r="V28" i="5"/>
  <c r="U28" i="5"/>
  <c r="T28" i="5"/>
  <c r="S28" i="5"/>
  <c r="R28" i="5"/>
  <c r="Q28" i="5"/>
  <c r="P28" i="5"/>
  <c r="O28" i="5"/>
  <c r="N28" i="5"/>
  <c r="BL27" i="5"/>
  <c r="BK27" i="5"/>
  <c r="BJ27" i="5"/>
  <c r="BI27" i="5"/>
  <c r="BH27" i="5"/>
  <c r="BG27" i="5"/>
  <c r="BD27" i="5"/>
  <c r="BC27" i="5"/>
  <c r="BB27" i="5"/>
  <c r="AY27" i="5"/>
  <c r="AX27" i="5"/>
  <c r="V27" i="5" s="1"/>
  <c r="AW27" i="5"/>
  <c r="M27" i="5" s="1"/>
  <c r="AQ27" i="5"/>
  <c r="AR27" i="5" s="1"/>
  <c r="AN27" i="5"/>
  <c r="AM27" i="5"/>
  <c r="AL27" i="5"/>
  <c r="AK27" i="5"/>
  <c r="AJ27" i="5"/>
  <c r="AI27" i="5"/>
  <c r="AH27" i="5"/>
  <c r="AG27" i="5"/>
  <c r="AF27" i="5"/>
  <c r="AE27" i="5"/>
  <c r="AD27" i="5"/>
  <c r="AC27" i="5"/>
  <c r="Z27" i="5"/>
  <c r="Y27" i="5"/>
  <c r="X27" i="5"/>
  <c r="U27" i="5"/>
  <c r="T27" i="5"/>
  <c r="S27" i="5"/>
  <c r="R27" i="5"/>
  <c r="Q27" i="5"/>
  <c r="P27" i="5"/>
  <c r="O27" i="5"/>
  <c r="N27" i="5"/>
  <c r="BL26" i="5"/>
  <c r="BK26" i="5"/>
  <c r="BJ26" i="5"/>
  <c r="BI26" i="5"/>
  <c r="BH26" i="5"/>
  <c r="BG26" i="5"/>
  <c r="BD26" i="5"/>
  <c r="BC26" i="5"/>
  <c r="BB26" i="5"/>
  <c r="AZ26" i="5"/>
  <c r="BA26" i="5" s="1"/>
  <c r="AY26" i="5"/>
  <c r="AX26" i="5"/>
  <c r="V26" i="5" s="1"/>
  <c r="AW26" i="5"/>
  <c r="M26" i="5" s="1"/>
  <c r="AQ26" i="5"/>
  <c r="AN26" i="5"/>
  <c r="AM26" i="5"/>
  <c r="AL26" i="5"/>
  <c r="AK26" i="5"/>
  <c r="AJ26" i="5"/>
  <c r="AI26" i="5"/>
  <c r="AH26" i="5"/>
  <c r="AG26" i="5"/>
  <c r="AF26" i="5"/>
  <c r="AE26" i="5"/>
  <c r="AD26" i="5"/>
  <c r="AC26" i="5"/>
  <c r="Z26" i="5"/>
  <c r="Y26" i="5"/>
  <c r="X26" i="5"/>
  <c r="U26" i="5"/>
  <c r="T26" i="5"/>
  <c r="S26" i="5"/>
  <c r="R26" i="5"/>
  <c r="Q26" i="5"/>
  <c r="P26" i="5"/>
  <c r="O26" i="5"/>
  <c r="N26" i="5"/>
  <c r="BL25" i="5"/>
  <c r="BK25" i="5"/>
  <c r="BJ25" i="5"/>
  <c r="BI25" i="5"/>
  <c r="BH25" i="5"/>
  <c r="BG25" i="5"/>
  <c r="BD25" i="5"/>
  <c r="BC25" i="5"/>
  <c r="BB25" i="5"/>
  <c r="AZ25" i="5"/>
  <c r="BA25" i="5" s="1"/>
  <c r="AY25" i="5"/>
  <c r="AX25" i="5"/>
  <c r="V25" i="5" s="1"/>
  <c r="AW25" i="5"/>
  <c r="M25" i="5" s="1"/>
  <c r="AQ25" i="5"/>
  <c r="AN25" i="5"/>
  <c r="AM25" i="5"/>
  <c r="AL25" i="5"/>
  <c r="AK25" i="5"/>
  <c r="AJ25" i="5"/>
  <c r="AI25" i="5"/>
  <c r="AH25" i="5"/>
  <c r="AG25" i="5"/>
  <c r="AF25" i="5"/>
  <c r="AE25" i="5"/>
  <c r="AD25" i="5"/>
  <c r="AC25" i="5"/>
  <c r="Z25" i="5"/>
  <c r="Y25" i="5"/>
  <c r="X25" i="5"/>
  <c r="U25" i="5"/>
  <c r="T25" i="5"/>
  <c r="S25" i="5"/>
  <c r="R25" i="5"/>
  <c r="Q25" i="5"/>
  <c r="P25" i="5"/>
  <c r="O25" i="5"/>
  <c r="N25" i="5"/>
  <c r="BL24" i="5"/>
  <c r="BK24" i="5"/>
  <c r="BJ24" i="5"/>
  <c r="BI24" i="5"/>
  <c r="BH24" i="5"/>
  <c r="BG24" i="5"/>
  <c r="BD24" i="5"/>
  <c r="BC24" i="5"/>
  <c r="BB24" i="5"/>
  <c r="AY24" i="5"/>
  <c r="AX24" i="5"/>
  <c r="AZ24" i="5" s="1"/>
  <c r="BA24" i="5" s="1"/>
  <c r="AW24" i="5"/>
  <c r="M24" i="5" s="1"/>
  <c r="AQ24" i="5"/>
  <c r="AR24" i="5" s="1"/>
  <c r="AN24" i="5"/>
  <c r="AM24" i="5"/>
  <c r="AL24" i="5"/>
  <c r="AK24" i="5"/>
  <c r="AJ24" i="5"/>
  <c r="AI24" i="5"/>
  <c r="AH24" i="5"/>
  <c r="AG24" i="5"/>
  <c r="AF24" i="5"/>
  <c r="AE24" i="5"/>
  <c r="AD24" i="5"/>
  <c r="AC24" i="5"/>
  <c r="Z24" i="5"/>
  <c r="Y24" i="5"/>
  <c r="X24" i="5"/>
  <c r="U24" i="5"/>
  <c r="T24" i="5"/>
  <c r="S24" i="5"/>
  <c r="R24" i="5"/>
  <c r="Q24" i="5"/>
  <c r="P24" i="5"/>
  <c r="O24" i="5"/>
  <c r="N24" i="5"/>
  <c r="BL23" i="5"/>
  <c r="BK23" i="5"/>
  <c r="BJ23" i="5"/>
  <c r="BI23" i="5"/>
  <c r="BH23" i="5"/>
  <c r="BG23" i="5"/>
  <c r="BD23" i="5"/>
  <c r="BC23" i="5"/>
  <c r="BB23" i="5"/>
  <c r="AY23" i="5"/>
  <c r="AX23" i="5"/>
  <c r="V23" i="5" s="1"/>
  <c r="AW23" i="5"/>
  <c r="M23" i="5" s="1"/>
  <c r="AQ23" i="5"/>
  <c r="AR23" i="5" s="1"/>
  <c r="AN23" i="5"/>
  <c r="AM23" i="5"/>
  <c r="AL23" i="5"/>
  <c r="AK23" i="5"/>
  <c r="AJ23" i="5"/>
  <c r="AI23" i="5"/>
  <c r="AH23" i="5"/>
  <c r="AG23" i="5"/>
  <c r="AF23" i="5"/>
  <c r="AE23" i="5"/>
  <c r="AD23" i="5"/>
  <c r="AC23" i="5"/>
  <c r="Z23" i="5"/>
  <c r="Y23" i="5"/>
  <c r="X23" i="5"/>
  <c r="U23" i="5"/>
  <c r="T23" i="5"/>
  <c r="S23" i="5"/>
  <c r="R23" i="5"/>
  <c r="Q23" i="5"/>
  <c r="P23" i="5"/>
  <c r="O23" i="5"/>
  <c r="N23" i="5"/>
  <c r="BL22" i="5"/>
  <c r="BK22" i="5"/>
  <c r="BJ22" i="5"/>
  <c r="BI22" i="5"/>
  <c r="BH22" i="5"/>
  <c r="BG22" i="5"/>
  <c r="BD22" i="5"/>
  <c r="BC22" i="5"/>
  <c r="BB22" i="5"/>
  <c r="AZ22" i="5"/>
  <c r="BA22" i="5" s="1"/>
  <c r="AY22" i="5"/>
  <c r="AX22" i="5"/>
  <c r="V22" i="5" s="1"/>
  <c r="AW22" i="5"/>
  <c r="M22" i="5" s="1"/>
  <c r="AQ22" i="5"/>
  <c r="AN22" i="5"/>
  <c r="AM22" i="5"/>
  <c r="AL22" i="5"/>
  <c r="AK22" i="5"/>
  <c r="AJ22" i="5"/>
  <c r="AI22" i="5"/>
  <c r="AH22" i="5"/>
  <c r="AG22" i="5"/>
  <c r="AF22" i="5"/>
  <c r="AE22" i="5"/>
  <c r="AD22" i="5"/>
  <c r="AC22" i="5"/>
  <c r="Z22" i="5"/>
  <c r="Y22" i="5"/>
  <c r="X22" i="5"/>
  <c r="U22" i="5"/>
  <c r="T22" i="5"/>
  <c r="S22" i="5"/>
  <c r="R22" i="5"/>
  <c r="Q22" i="5"/>
  <c r="P22" i="5"/>
  <c r="O22" i="5"/>
  <c r="N22" i="5"/>
  <c r="BL21" i="5"/>
  <c r="BK21" i="5"/>
  <c r="BJ21" i="5"/>
  <c r="BI21" i="5"/>
  <c r="BH21" i="5"/>
  <c r="BG21" i="5"/>
  <c r="BD21" i="5"/>
  <c r="BC21" i="5"/>
  <c r="BB21" i="5"/>
  <c r="AY21" i="5"/>
  <c r="AX21" i="5"/>
  <c r="AZ21" i="5" s="1"/>
  <c r="BA21" i="5" s="1"/>
  <c r="AW21" i="5"/>
  <c r="M21" i="5" s="1"/>
  <c r="AQ21" i="5"/>
  <c r="AN21" i="5"/>
  <c r="AM21" i="5"/>
  <c r="AL21" i="5"/>
  <c r="AK21" i="5"/>
  <c r="AJ21" i="5"/>
  <c r="AI21" i="5"/>
  <c r="AH21" i="5"/>
  <c r="AG21" i="5"/>
  <c r="AF21" i="5"/>
  <c r="AE21" i="5"/>
  <c r="AD21" i="5"/>
  <c r="AC21" i="5"/>
  <c r="Z21" i="5"/>
  <c r="Y21" i="5"/>
  <c r="X21" i="5"/>
  <c r="U21" i="5"/>
  <c r="T21" i="5"/>
  <c r="S21" i="5"/>
  <c r="R21" i="5"/>
  <c r="Q21" i="5"/>
  <c r="P21" i="5"/>
  <c r="O21" i="5"/>
  <c r="N21" i="5"/>
  <c r="BL20" i="5"/>
  <c r="BK20" i="5"/>
  <c r="BJ20" i="5"/>
  <c r="BI20" i="5"/>
  <c r="BH20" i="5"/>
  <c r="BG20" i="5"/>
  <c r="BD20" i="5"/>
  <c r="BC20" i="5"/>
  <c r="BB20" i="5"/>
  <c r="AY20" i="5"/>
  <c r="AX20" i="5"/>
  <c r="AZ20" i="5" s="1"/>
  <c r="BA20" i="5" s="1"/>
  <c r="AW20" i="5"/>
  <c r="M20" i="5" s="1"/>
  <c r="AQ20" i="5"/>
  <c r="AR20" i="5" s="1"/>
  <c r="AN20" i="5"/>
  <c r="AM20" i="5"/>
  <c r="AL20" i="5"/>
  <c r="AK20" i="5"/>
  <c r="AJ20" i="5"/>
  <c r="AI20" i="5"/>
  <c r="AH20" i="5"/>
  <c r="AG20" i="5"/>
  <c r="AF20" i="5"/>
  <c r="AE20" i="5"/>
  <c r="AD20" i="5"/>
  <c r="AC20" i="5"/>
  <c r="Z20" i="5"/>
  <c r="Y20" i="5"/>
  <c r="X20" i="5"/>
  <c r="U20" i="5"/>
  <c r="T20" i="5"/>
  <c r="S20" i="5"/>
  <c r="R20" i="5"/>
  <c r="Q20" i="5"/>
  <c r="P20" i="5"/>
  <c r="O20" i="5"/>
  <c r="N20" i="5"/>
  <c r="BL19" i="5"/>
  <c r="BK19" i="5"/>
  <c r="BJ19" i="5"/>
  <c r="BI19" i="5"/>
  <c r="BH19" i="5"/>
  <c r="BG19" i="5"/>
  <c r="BD19" i="5"/>
  <c r="BC19" i="5"/>
  <c r="BB19" i="5"/>
  <c r="AY19" i="5"/>
  <c r="AX19" i="5"/>
  <c r="V19" i="5" s="1"/>
  <c r="AW19" i="5"/>
  <c r="M19" i="5" s="1"/>
  <c r="AQ19" i="5"/>
  <c r="AN19" i="5"/>
  <c r="AM19" i="5"/>
  <c r="AL19" i="5"/>
  <c r="AK19" i="5"/>
  <c r="AJ19" i="5"/>
  <c r="AI19" i="5"/>
  <c r="AH19" i="5"/>
  <c r="AG19" i="5"/>
  <c r="AF19" i="5"/>
  <c r="AE19" i="5"/>
  <c r="AD19" i="5"/>
  <c r="AC19" i="5"/>
  <c r="Z19" i="5"/>
  <c r="Y19" i="5"/>
  <c r="X19" i="5"/>
  <c r="U19" i="5"/>
  <c r="T19" i="5"/>
  <c r="S19" i="5"/>
  <c r="R19" i="5"/>
  <c r="Q19" i="5"/>
  <c r="P19" i="5"/>
  <c r="O19" i="5"/>
  <c r="N19" i="5"/>
  <c r="BL18" i="5"/>
  <c r="BK18" i="5"/>
  <c r="BJ18" i="5"/>
  <c r="BI18" i="5"/>
  <c r="BH18" i="5"/>
  <c r="BG18" i="5"/>
  <c r="BD18" i="5"/>
  <c r="BC18" i="5"/>
  <c r="BB18" i="5"/>
  <c r="AZ18" i="5"/>
  <c r="BA18" i="5" s="1"/>
  <c r="AY18" i="5"/>
  <c r="AX18" i="5"/>
  <c r="V18" i="5" s="1"/>
  <c r="AW18" i="5"/>
  <c r="M18" i="5" s="1"/>
  <c r="AQ18" i="5"/>
  <c r="AN18" i="5"/>
  <c r="AM18" i="5"/>
  <c r="AL18" i="5"/>
  <c r="AK18" i="5"/>
  <c r="AJ18" i="5"/>
  <c r="AI18" i="5"/>
  <c r="AH18" i="5"/>
  <c r="AG18" i="5"/>
  <c r="AF18" i="5"/>
  <c r="AE18" i="5"/>
  <c r="AD18" i="5"/>
  <c r="AC18" i="5"/>
  <c r="Z18" i="5"/>
  <c r="Y18" i="5"/>
  <c r="X18" i="5"/>
  <c r="U18" i="5"/>
  <c r="T18" i="5"/>
  <c r="S18" i="5"/>
  <c r="R18" i="5"/>
  <c r="Q18" i="5"/>
  <c r="P18" i="5"/>
  <c r="O18" i="5"/>
  <c r="N18" i="5"/>
  <c r="BL17" i="5"/>
  <c r="BK17" i="5"/>
  <c r="BJ17" i="5"/>
  <c r="BI17" i="5"/>
  <c r="BH17" i="5"/>
  <c r="BG17" i="5"/>
  <c r="BD17" i="5"/>
  <c r="BC17" i="5"/>
  <c r="BB17" i="5"/>
  <c r="AY17" i="5"/>
  <c r="AX17" i="5"/>
  <c r="AZ17" i="5" s="1"/>
  <c r="BA17" i="5" s="1"/>
  <c r="AW17" i="5"/>
  <c r="M17" i="5" s="1"/>
  <c r="AQ17" i="5"/>
  <c r="AN17" i="5"/>
  <c r="AM17" i="5"/>
  <c r="AL17" i="5"/>
  <c r="AK17" i="5"/>
  <c r="AJ17" i="5"/>
  <c r="AI17" i="5"/>
  <c r="AH17" i="5"/>
  <c r="AG17" i="5"/>
  <c r="AF17" i="5"/>
  <c r="AE17" i="5"/>
  <c r="AD17" i="5"/>
  <c r="AC17" i="5"/>
  <c r="Z17" i="5"/>
  <c r="Y17" i="5"/>
  <c r="X17" i="5"/>
  <c r="U17" i="5"/>
  <c r="T17" i="5"/>
  <c r="S17" i="5"/>
  <c r="R17" i="5"/>
  <c r="Q17" i="5"/>
  <c r="P17" i="5"/>
  <c r="O17" i="5"/>
  <c r="N17" i="5"/>
  <c r="BL16" i="5"/>
  <c r="BK16" i="5"/>
  <c r="BJ16" i="5"/>
  <c r="BI16" i="5"/>
  <c r="BH16" i="5"/>
  <c r="BG16" i="5"/>
  <c r="BD16" i="5"/>
  <c r="BC16" i="5"/>
  <c r="BB16" i="5"/>
  <c r="AY16" i="5"/>
  <c r="AX16" i="5"/>
  <c r="AZ16" i="5" s="1"/>
  <c r="BA16" i="5" s="1"/>
  <c r="AW16" i="5"/>
  <c r="M16" i="5" s="1"/>
  <c r="AQ16" i="5"/>
  <c r="AR16" i="5" s="1"/>
  <c r="AN16" i="5"/>
  <c r="AM16" i="5"/>
  <c r="AL16" i="5"/>
  <c r="AK16" i="5"/>
  <c r="AJ16" i="5"/>
  <c r="AI16" i="5"/>
  <c r="AH16" i="5"/>
  <c r="AG16" i="5"/>
  <c r="AF16" i="5"/>
  <c r="AE16" i="5"/>
  <c r="AD16" i="5"/>
  <c r="AC16" i="5"/>
  <c r="Z16" i="5"/>
  <c r="Y16" i="5"/>
  <c r="X16" i="5"/>
  <c r="U16" i="5"/>
  <c r="T16" i="5"/>
  <c r="S16" i="5"/>
  <c r="R16" i="5"/>
  <c r="Q16" i="5"/>
  <c r="P16" i="5"/>
  <c r="O16" i="5"/>
  <c r="N16" i="5"/>
  <c r="BL15" i="5"/>
  <c r="BK15" i="5"/>
  <c r="BJ15" i="5"/>
  <c r="BI15" i="5"/>
  <c r="BH15" i="5"/>
  <c r="BG15" i="5"/>
  <c r="BD15" i="5"/>
  <c r="BC15" i="5"/>
  <c r="BB15" i="5"/>
  <c r="AY15" i="5"/>
  <c r="AX15" i="5"/>
  <c r="V15" i="5" s="1"/>
  <c r="AW15" i="5"/>
  <c r="M15" i="5" s="1"/>
  <c r="AQ15" i="5"/>
  <c r="AN15" i="5"/>
  <c r="AM15" i="5"/>
  <c r="AL15" i="5"/>
  <c r="AK15" i="5"/>
  <c r="AJ15" i="5"/>
  <c r="AI15" i="5"/>
  <c r="AH15" i="5"/>
  <c r="AG15" i="5"/>
  <c r="AF15" i="5"/>
  <c r="AE15" i="5"/>
  <c r="AD15" i="5"/>
  <c r="AC15" i="5"/>
  <c r="Z15" i="5"/>
  <c r="Y15" i="5"/>
  <c r="X15" i="5"/>
  <c r="U15" i="5"/>
  <c r="T15" i="5"/>
  <c r="S15" i="5"/>
  <c r="R15" i="5"/>
  <c r="Q15" i="5"/>
  <c r="P15" i="5"/>
  <c r="O15" i="5"/>
  <c r="N15" i="5"/>
  <c r="BL14" i="5"/>
  <c r="BK14" i="5"/>
  <c r="BJ14" i="5"/>
  <c r="BI14" i="5"/>
  <c r="BH14" i="5"/>
  <c r="BG14" i="5"/>
  <c r="BD14" i="5"/>
  <c r="BC14" i="5"/>
  <c r="BB14" i="5"/>
  <c r="AZ14" i="5"/>
  <c r="BA14" i="5" s="1"/>
  <c r="AY14" i="5"/>
  <c r="AX14" i="5"/>
  <c r="V14" i="5" s="1"/>
  <c r="AW14" i="5"/>
  <c r="M14" i="5" s="1"/>
  <c r="AQ14" i="5"/>
  <c r="AN14" i="5"/>
  <c r="AM14" i="5"/>
  <c r="AL14" i="5"/>
  <c r="AK14" i="5"/>
  <c r="AJ14" i="5"/>
  <c r="AI14" i="5"/>
  <c r="AH14" i="5"/>
  <c r="AG14" i="5"/>
  <c r="AF14" i="5"/>
  <c r="AE14" i="5"/>
  <c r="AD14" i="5"/>
  <c r="AC14" i="5"/>
  <c r="Z14" i="5"/>
  <c r="Y14" i="5"/>
  <c r="X14" i="5"/>
  <c r="U14" i="5"/>
  <c r="T14" i="5"/>
  <c r="S14" i="5"/>
  <c r="R14" i="5"/>
  <c r="Q14" i="5"/>
  <c r="P14" i="5"/>
  <c r="O14" i="5"/>
  <c r="N14" i="5"/>
  <c r="BL13" i="5"/>
  <c r="BK13" i="5"/>
  <c r="BJ13" i="5"/>
  <c r="BI13" i="5"/>
  <c r="BH13" i="5"/>
  <c r="BG13" i="5"/>
  <c r="BD13" i="5"/>
  <c r="BC13" i="5"/>
  <c r="BB13" i="5"/>
  <c r="AY13" i="5"/>
  <c r="AX13" i="5"/>
  <c r="AZ13" i="5" s="1"/>
  <c r="BA13" i="5" s="1"/>
  <c r="AW13" i="5"/>
  <c r="M13" i="5" s="1"/>
  <c r="AQ13" i="5"/>
  <c r="AN13" i="5"/>
  <c r="AM13" i="5"/>
  <c r="AL13" i="5"/>
  <c r="AK13" i="5"/>
  <c r="AJ13" i="5"/>
  <c r="AI13" i="5"/>
  <c r="AH13" i="5"/>
  <c r="AG13" i="5"/>
  <c r="AF13" i="5"/>
  <c r="AE13" i="5"/>
  <c r="AD13" i="5"/>
  <c r="AC13" i="5"/>
  <c r="Z13" i="5"/>
  <c r="Y13" i="5"/>
  <c r="X13" i="5"/>
  <c r="U13" i="5"/>
  <c r="T13" i="5"/>
  <c r="S13" i="5"/>
  <c r="R13" i="5"/>
  <c r="Q13" i="5"/>
  <c r="P13" i="5"/>
  <c r="O13" i="5"/>
  <c r="N13" i="5"/>
  <c r="BL12" i="5"/>
  <c r="BK12" i="5"/>
  <c r="BJ12" i="5"/>
  <c r="BI12" i="5"/>
  <c r="BH12" i="5"/>
  <c r="BG12" i="5"/>
  <c r="BD12" i="5"/>
  <c r="BC12" i="5"/>
  <c r="BB12" i="5"/>
  <c r="AY12" i="5"/>
  <c r="AX12" i="5"/>
  <c r="AZ12" i="5" s="1"/>
  <c r="BA12" i="5" s="1"/>
  <c r="AW12" i="5"/>
  <c r="AQ12" i="5"/>
  <c r="AR12" i="5" s="1"/>
  <c r="AN12" i="5"/>
  <c r="AM12" i="5"/>
  <c r="AL12" i="5"/>
  <c r="AK12" i="5"/>
  <c r="AJ12" i="5"/>
  <c r="AI12" i="5"/>
  <c r="AH12" i="5"/>
  <c r="AG12" i="5"/>
  <c r="AF12" i="5"/>
  <c r="AE12" i="5"/>
  <c r="AD12" i="5"/>
  <c r="AC12" i="5"/>
  <c r="Z12" i="5"/>
  <c r="Y12" i="5"/>
  <c r="X12" i="5"/>
  <c r="U12" i="5"/>
  <c r="T12" i="5"/>
  <c r="S12" i="5"/>
  <c r="R12" i="5"/>
  <c r="Q12" i="5"/>
  <c r="P12" i="5"/>
  <c r="O12" i="5"/>
  <c r="N12" i="5"/>
  <c r="M12" i="5"/>
  <c r="BL11" i="5"/>
  <c r="BK11" i="5"/>
  <c r="BJ11" i="5"/>
  <c r="BI11" i="5"/>
  <c r="BH11" i="5"/>
  <c r="BG11" i="5"/>
  <c r="BD11" i="5"/>
  <c r="BC11" i="5"/>
  <c r="BB11" i="5"/>
  <c r="AY11" i="5"/>
  <c r="AX11" i="5"/>
  <c r="V11" i="5" s="1"/>
  <c r="AW11" i="5"/>
  <c r="M11" i="5" s="1"/>
  <c r="AQ11" i="5"/>
  <c r="AN11" i="5"/>
  <c r="AM11" i="5"/>
  <c r="AL11" i="5"/>
  <c r="AK11" i="5"/>
  <c r="AJ11" i="5"/>
  <c r="AI11" i="5"/>
  <c r="AH11" i="5"/>
  <c r="AG11" i="5"/>
  <c r="AF11" i="5"/>
  <c r="AE11" i="5"/>
  <c r="AD11" i="5"/>
  <c r="AC11" i="5"/>
  <c r="Z11" i="5"/>
  <c r="Y11" i="5"/>
  <c r="X11" i="5"/>
  <c r="U11" i="5"/>
  <c r="T11" i="5"/>
  <c r="S11" i="5"/>
  <c r="R11" i="5"/>
  <c r="Q11" i="5"/>
  <c r="P11" i="5"/>
  <c r="O11" i="5"/>
  <c r="N11" i="5"/>
  <c r="BL10" i="5"/>
  <c r="BK10" i="5"/>
  <c r="BJ10" i="5"/>
  <c r="BI10" i="5"/>
  <c r="BH10" i="5"/>
  <c r="BG10" i="5"/>
  <c r="BD10" i="5"/>
  <c r="BC10" i="5"/>
  <c r="BB10" i="5"/>
  <c r="AZ10" i="5"/>
  <c r="BA10" i="5" s="1"/>
  <c r="AY10" i="5"/>
  <c r="AX10" i="5"/>
  <c r="V10" i="5" s="1"/>
  <c r="AW10" i="5"/>
  <c r="M10" i="5" s="1"/>
  <c r="AQ10" i="5"/>
  <c r="AN10" i="5"/>
  <c r="AM10" i="5"/>
  <c r="AL10" i="5"/>
  <c r="AK10" i="5"/>
  <c r="AJ10" i="5"/>
  <c r="AI10" i="5"/>
  <c r="AH10" i="5"/>
  <c r="AG10" i="5"/>
  <c r="AF10" i="5"/>
  <c r="AE10" i="5"/>
  <c r="AD10" i="5"/>
  <c r="AC10" i="5"/>
  <c r="Z10" i="5"/>
  <c r="Y10" i="5"/>
  <c r="X10" i="5"/>
  <c r="U10" i="5"/>
  <c r="T10" i="5"/>
  <c r="S10" i="5"/>
  <c r="R10" i="5"/>
  <c r="Q10" i="5"/>
  <c r="P10" i="5"/>
  <c r="O10" i="5"/>
  <c r="N10" i="5"/>
  <c r="BL9" i="5"/>
  <c r="BK9" i="5"/>
  <c r="BJ9" i="5"/>
  <c r="BI9" i="5"/>
  <c r="BH9" i="5"/>
  <c r="BG9" i="5"/>
  <c r="BD9" i="5"/>
  <c r="BC9" i="5"/>
  <c r="BB9" i="5"/>
  <c r="AY9" i="5"/>
  <c r="AX9" i="5"/>
  <c r="AZ9" i="5" s="1"/>
  <c r="BA9" i="5" s="1"/>
  <c r="AW9" i="5"/>
  <c r="M9" i="5" s="1"/>
  <c r="AQ9" i="5"/>
  <c r="AN9" i="5"/>
  <c r="AM9" i="5"/>
  <c r="AL9" i="5"/>
  <c r="AK9" i="5"/>
  <c r="AJ9" i="5"/>
  <c r="AI9" i="5"/>
  <c r="AH9" i="5"/>
  <c r="AG9" i="5"/>
  <c r="AF9" i="5"/>
  <c r="AE9" i="5"/>
  <c r="AD9" i="5"/>
  <c r="AC9" i="5"/>
  <c r="Z9" i="5"/>
  <c r="Y9" i="5"/>
  <c r="X9" i="5"/>
  <c r="U9" i="5"/>
  <c r="T9" i="5"/>
  <c r="S9" i="5"/>
  <c r="R9" i="5"/>
  <c r="Q9" i="5"/>
  <c r="P9" i="5"/>
  <c r="O9" i="5"/>
  <c r="N9" i="5"/>
  <c r="BL8" i="5"/>
  <c r="BK8" i="5"/>
  <c r="BJ8" i="5"/>
  <c r="BI8" i="5"/>
  <c r="BH8" i="5"/>
  <c r="BG8" i="5"/>
  <c r="BD8" i="5"/>
  <c r="BC8" i="5"/>
  <c r="BB8" i="5"/>
  <c r="AY8" i="5"/>
  <c r="AX8" i="5"/>
  <c r="AZ8" i="5" s="1"/>
  <c r="BA8" i="5" s="1"/>
  <c r="AW8" i="5"/>
  <c r="AQ8" i="5"/>
  <c r="AR8" i="5" s="1"/>
  <c r="AN8" i="5"/>
  <c r="AM8" i="5"/>
  <c r="AL8" i="5"/>
  <c r="AK8" i="5"/>
  <c r="AJ8" i="5"/>
  <c r="AI8" i="5"/>
  <c r="AH8" i="5"/>
  <c r="AG8" i="5"/>
  <c r="AF8" i="5"/>
  <c r="AE8" i="5"/>
  <c r="AD8" i="5"/>
  <c r="AC8" i="5"/>
  <c r="Z8" i="5"/>
  <c r="Y8" i="5"/>
  <c r="X8" i="5"/>
  <c r="U8" i="5"/>
  <c r="T8" i="5"/>
  <c r="S8" i="5"/>
  <c r="R8" i="5"/>
  <c r="Q8" i="5"/>
  <c r="P8" i="5"/>
  <c r="O8" i="5"/>
  <c r="N8" i="5"/>
  <c r="M8" i="5"/>
  <c r="BL7" i="5"/>
  <c r="BK7" i="5"/>
  <c r="BJ7" i="5"/>
  <c r="BI7" i="5"/>
  <c r="BH7" i="5"/>
  <c r="BG7" i="5"/>
  <c r="BD7" i="5"/>
  <c r="BC7" i="5"/>
  <c r="BB7" i="5"/>
  <c r="AY7" i="5"/>
  <c r="AX7" i="5"/>
  <c r="V7" i="5" s="1"/>
  <c r="AW7" i="5"/>
  <c r="M7" i="5" s="1"/>
  <c r="AQ7" i="5"/>
  <c r="AN7" i="5"/>
  <c r="AM7" i="5"/>
  <c r="AL7" i="5"/>
  <c r="AK7" i="5"/>
  <c r="AJ7" i="5"/>
  <c r="AI7" i="5"/>
  <c r="AH7" i="5"/>
  <c r="AG7" i="5"/>
  <c r="AF7" i="5"/>
  <c r="AE7" i="5"/>
  <c r="AD7" i="5"/>
  <c r="AC7" i="5"/>
  <c r="Z7" i="5"/>
  <c r="Y7" i="5"/>
  <c r="X7" i="5"/>
  <c r="U7" i="5"/>
  <c r="T7" i="5"/>
  <c r="S7" i="5"/>
  <c r="R7" i="5"/>
  <c r="Q7" i="5"/>
  <c r="P7" i="5"/>
  <c r="O7" i="5"/>
  <c r="N7" i="5"/>
  <c r="BL6" i="5"/>
  <c r="BK6" i="5"/>
  <c r="BJ6" i="5"/>
  <c r="BI6" i="5"/>
  <c r="BH6" i="5"/>
  <c r="BG6" i="5"/>
  <c r="BD6" i="5"/>
  <c r="BC6" i="5"/>
  <c r="BB6" i="5"/>
  <c r="AZ6" i="5"/>
  <c r="BA6" i="5" s="1"/>
  <c r="AY6" i="5"/>
  <c r="AX6" i="5"/>
  <c r="V6" i="5" s="1"/>
  <c r="AW6" i="5"/>
  <c r="M6" i="5" s="1"/>
  <c r="AQ6" i="5"/>
  <c r="AN6" i="5"/>
  <c r="AM6" i="5"/>
  <c r="AL6" i="5"/>
  <c r="AK6" i="5"/>
  <c r="AJ6" i="5"/>
  <c r="AI6" i="5"/>
  <c r="AH6" i="5"/>
  <c r="AG6" i="5"/>
  <c r="AF6" i="5"/>
  <c r="AE6" i="5"/>
  <c r="AD6" i="5"/>
  <c r="AC6" i="5"/>
  <c r="Z6" i="5"/>
  <c r="Y6" i="5"/>
  <c r="X6" i="5"/>
  <c r="U6" i="5"/>
  <c r="T6" i="5"/>
  <c r="S6" i="5"/>
  <c r="R6" i="5"/>
  <c r="Q6" i="5"/>
  <c r="P6" i="5"/>
  <c r="O6" i="5"/>
  <c r="N6" i="5"/>
  <c r="BL5" i="5"/>
  <c r="BK5" i="5"/>
  <c r="BJ5" i="5"/>
  <c r="BI5" i="5"/>
  <c r="BH5" i="5"/>
  <c r="BG5" i="5"/>
  <c r="BD5" i="5"/>
  <c r="BC5" i="5"/>
  <c r="BB5" i="5"/>
  <c r="AY5" i="5"/>
  <c r="AX5" i="5"/>
  <c r="AZ5" i="5" s="1"/>
  <c r="BA5" i="5" s="1"/>
  <c r="AW5" i="5"/>
  <c r="M5" i="5" s="1"/>
  <c r="AQ5" i="5"/>
  <c r="AN5" i="5"/>
  <c r="AM5" i="5"/>
  <c r="AL5" i="5"/>
  <c r="AK5" i="5"/>
  <c r="AJ5" i="5"/>
  <c r="AI5" i="5"/>
  <c r="AH5" i="5"/>
  <c r="AG5" i="5"/>
  <c r="AF5" i="5"/>
  <c r="AE5" i="5"/>
  <c r="AD5" i="5"/>
  <c r="AC5" i="5"/>
  <c r="Z5" i="5"/>
  <c r="Y5" i="5"/>
  <c r="X5" i="5"/>
  <c r="U5" i="5"/>
  <c r="T5" i="5"/>
  <c r="S5" i="5"/>
  <c r="R5" i="5"/>
  <c r="Q5" i="5"/>
  <c r="P5" i="5"/>
  <c r="O5" i="5"/>
  <c r="N5" i="5"/>
  <c r="BL4" i="5"/>
  <c r="BK4" i="5"/>
  <c r="BJ4" i="5"/>
  <c r="BI4" i="5"/>
  <c r="BH4" i="5"/>
  <c r="BG4" i="5"/>
  <c r="BF4" i="5"/>
  <c r="BD4" i="5"/>
  <c r="BC4" i="5"/>
  <c r="BB4" i="5"/>
  <c r="AY4" i="5"/>
  <c r="AX4" i="5"/>
  <c r="AZ4" i="5" s="1"/>
  <c r="BA4" i="5" s="1"/>
  <c r="AW4" i="5"/>
  <c r="AS4" i="5"/>
  <c r="AQ4" i="5"/>
  <c r="AR4" i="5" s="1"/>
  <c r="AA4" i="5" s="1"/>
  <c r="AB4" i="5" s="1"/>
  <c r="AN4" i="5"/>
  <c r="AM4" i="5"/>
  <c r="AL4" i="5"/>
  <c r="AK4" i="5"/>
  <c r="AJ4" i="5"/>
  <c r="AI4" i="5"/>
  <c r="AH4" i="5"/>
  <c r="AG4" i="5"/>
  <c r="AF4" i="5"/>
  <c r="AE4" i="5"/>
  <c r="AD4" i="5"/>
  <c r="AC4" i="5"/>
  <c r="Z4" i="5"/>
  <c r="Y4" i="5"/>
  <c r="X4" i="5"/>
  <c r="U4" i="5"/>
  <c r="T4" i="5"/>
  <c r="S4" i="5"/>
  <c r="R4" i="5"/>
  <c r="Q4" i="5"/>
  <c r="P4" i="5"/>
  <c r="O4" i="5"/>
  <c r="N4" i="5"/>
  <c r="M4" i="5"/>
  <c r="BL3" i="5"/>
  <c r="BK3" i="5"/>
  <c r="BJ3" i="5"/>
  <c r="BI3" i="5"/>
  <c r="BH3" i="5"/>
  <c r="BG3" i="5"/>
  <c r="BD3" i="5"/>
  <c r="BC3" i="5"/>
  <c r="BB3" i="5"/>
  <c r="AY3" i="5"/>
  <c r="AX3" i="5"/>
  <c r="V3" i="5" s="1"/>
  <c r="AW3" i="5"/>
  <c r="M3" i="5" s="1"/>
  <c r="AQ3" i="5"/>
  <c r="AN3" i="5"/>
  <c r="AM3" i="5"/>
  <c r="AL3" i="5"/>
  <c r="AK3" i="5"/>
  <c r="AJ3" i="5"/>
  <c r="AI3" i="5"/>
  <c r="AH3" i="5"/>
  <c r="AG3" i="5"/>
  <c r="AF3" i="5"/>
  <c r="AE3" i="5"/>
  <c r="AD3" i="5"/>
  <c r="AC3" i="5"/>
  <c r="Z3" i="5"/>
  <c r="Y3" i="5"/>
  <c r="X3" i="5"/>
  <c r="U3" i="5"/>
  <c r="T3" i="5"/>
  <c r="S3" i="5"/>
  <c r="R3" i="5"/>
  <c r="Q3" i="5"/>
  <c r="P3" i="5"/>
  <c r="O3" i="5"/>
  <c r="N3" i="5"/>
  <c r="BL2" i="5"/>
  <c r="BK2" i="5"/>
  <c r="BJ2" i="5"/>
  <c r="BI2" i="5"/>
  <c r="BH2" i="5"/>
  <c r="BG2" i="5"/>
  <c r="BD2" i="5"/>
  <c r="BC2" i="5"/>
  <c r="BB2" i="5"/>
  <c r="AZ2" i="5"/>
  <c r="BA2" i="5" s="1"/>
  <c r="AY2" i="5"/>
  <c r="AX2" i="5"/>
  <c r="V2" i="5" s="1"/>
  <c r="AW2" i="5"/>
  <c r="M2" i="5" s="1"/>
  <c r="AQ2" i="5"/>
  <c r="AN2" i="5"/>
  <c r="AM2" i="5"/>
  <c r="AL2" i="5"/>
  <c r="AK2" i="5"/>
  <c r="AJ2" i="5"/>
  <c r="AI2" i="5"/>
  <c r="AH2" i="5"/>
  <c r="AG2" i="5"/>
  <c r="AF2" i="5"/>
  <c r="AE2" i="5"/>
  <c r="AD2" i="5"/>
  <c r="AC2" i="5"/>
  <c r="Z2" i="5"/>
  <c r="Y2" i="5"/>
  <c r="X2" i="5"/>
  <c r="U2" i="5"/>
  <c r="T2" i="5"/>
  <c r="S2" i="5"/>
  <c r="R2" i="5"/>
  <c r="Q2" i="5"/>
  <c r="P2" i="5"/>
  <c r="O2" i="5"/>
  <c r="N2" i="5"/>
  <c r="AA20" i="5" l="1"/>
  <c r="AS20" i="5"/>
  <c r="AS34" i="5"/>
  <c r="AA34" i="5"/>
  <c r="AS23" i="5"/>
  <c r="AA23" i="5"/>
  <c r="AS27" i="5"/>
  <c r="AA27" i="5"/>
  <c r="AS25" i="5"/>
  <c r="AS28" i="5"/>
  <c r="AA28" i="5"/>
  <c r="BM4" i="5"/>
  <c r="AT4" i="5"/>
  <c r="AP4" i="5" s="1"/>
  <c r="AS5" i="5"/>
  <c r="AS31" i="5"/>
  <c r="AA31" i="5"/>
  <c r="AS35" i="5"/>
  <c r="AA35" i="5"/>
  <c r="AS8" i="5"/>
  <c r="AA8" i="5"/>
  <c r="AS37" i="5"/>
  <c r="AA24" i="5"/>
  <c r="AS24" i="5"/>
  <c r="AA12" i="5"/>
  <c r="AS12" i="5"/>
  <c r="AS13" i="5"/>
  <c r="AA16" i="5"/>
  <c r="AS16" i="5"/>
  <c r="AS18" i="5"/>
  <c r="AT32" i="5"/>
  <c r="AP32" i="5" s="1"/>
  <c r="AT36" i="5"/>
  <c r="AP36" i="5" s="1"/>
  <c r="AR37" i="5"/>
  <c r="AA37" i="5" s="1"/>
  <c r="AR41" i="5"/>
  <c r="AA41" i="5" s="1"/>
  <c r="AS43" i="5"/>
  <c r="AZ52" i="5"/>
  <c r="BA52" i="5" s="1"/>
  <c r="V52" i="5"/>
  <c r="AZ54" i="5"/>
  <c r="BA54" i="5" s="1"/>
  <c r="AS55" i="5"/>
  <c r="AS71" i="5"/>
  <c r="V4" i="5"/>
  <c r="AR5" i="5"/>
  <c r="AA5" i="5" s="1"/>
  <c r="V8" i="5"/>
  <c r="AR9" i="5"/>
  <c r="AA9" i="5" s="1"/>
  <c r="V12" i="5"/>
  <c r="AR13" i="5"/>
  <c r="AA13" i="5" s="1"/>
  <c r="V16" i="5"/>
  <c r="AR17" i="5"/>
  <c r="AA17" i="5" s="1"/>
  <c r="V20" i="5"/>
  <c r="AR21" i="5"/>
  <c r="AA21" i="5" s="1"/>
  <c r="V24" i="5"/>
  <c r="AR25" i="5"/>
  <c r="AA25" i="5" s="1"/>
  <c r="AR29" i="5"/>
  <c r="AA29" i="5" s="1"/>
  <c r="AR33" i="5"/>
  <c r="AA33" i="5" s="1"/>
  <c r="AZ44" i="5"/>
  <c r="BA44" i="5" s="1"/>
  <c r="V44" i="5"/>
  <c r="V47" i="5"/>
  <c r="AR51" i="5"/>
  <c r="AA51" i="5" s="1"/>
  <c r="AB55" i="5"/>
  <c r="BF55" i="5"/>
  <c r="AR64" i="5"/>
  <c r="AA64" i="5" s="1"/>
  <c r="AB71" i="5"/>
  <c r="BF71" i="5"/>
  <c r="BM75" i="5"/>
  <c r="AZ3" i="5"/>
  <c r="BA3" i="5" s="1"/>
  <c r="AZ7" i="5"/>
  <c r="BA7" i="5" s="1"/>
  <c r="AZ11" i="5"/>
  <c r="BA11" i="5" s="1"/>
  <c r="AZ15" i="5"/>
  <c r="BA15" i="5" s="1"/>
  <c r="AZ19" i="5"/>
  <c r="BA19" i="5" s="1"/>
  <c r="AZ23" i="5"/>
  <c r="BA23" i="5" s="1"/>
  <c r="AZ27" i="5"/>
  <c r="BA27" i="5" s="1"/>
  <c r="AZ31" i="5"/>
  <c r="BA31" i="5" s="1"/>
  <c r="AZ35" i="5"/>
  <c r="BA35" i="5" s="1"/>
  <c r="AR38" i="5"/>
  <c r="AA38" i="5" s="1"/>
  <c r="AR40" i="5"/>
  <c r="AA40" i="5" s="1"/>
  <c r="V49" i="5"/>
  <c r="AZ49" i="5"/>
  <c r="BA49" i="5" s="1"/>
  <c r="AB75" i="5"/>
  <c r="BF75" i="5"/>
  <c r="BM79" i="5"/>
  <c r="AS86" i="5"/>
  <c r="V66" i="5"/>
  <c r="AS68" i="5"/>
  <c r="AR68" i="5"/>
  <c r="AA68" i="5" s="1"/>
  <c r="AT75" i="5"/>
  <c r="AP75" i="5" s="1"/>
  <c r="AB79" i="5"/>
  <c r="BF79" i="5"/>
  <c r="AS83" i="5"/>
  <c r="BM95" i="5"/>
  <c r="AR2" i="5"/>
  <c r="AA2" i="5" s="1"/>
  <c r="V5" i="5"/>
  <c r="AR6" i="5"/>
  <c r="AA6" i="5" s="1"/>
  <c r="V9" i="5"/>
  <c r="AR10" i="5"/>
  <c r="AA10" i="5" s="1"/>
  <c r="V13" i="5"/>
  <c r="AR14" i="5"/>
  <c r="AA14" i="5" s="1"/>
  <c r="V17" i="5"/>
  <c r="AR18" i="5"/>
  <c r="AA18" i="5" s="1"/>
  <c r="V21" i="5"/>
  <c r="AR22" i="5"/>
  <c r="AA22" i="5" s="1"/>
  <c r="AR26" i="5"/>
  <c r="AA26" i="5" s="1"/>
  <c r="AR30" i="5"/>
  <c r="AA30" i="5" s="1"/>
  <c r="V37" i="5"/>
  <c r="AR39" i="5"/>
  <c r="AA39" i="5" s="1"/>
  <c r="AR48" i="5"/>
  <c r="AA48" i="5" s="1"/>
  <c r="AT79" i="5"/>
  <c r="AP79" i="5" s="1"/>
  <c r="AB83" i="5"/>
  <c r="BF83" i="5"/>
  <c r="AS87" i="5"/>
  <c r="AB95" i="5"/>
  <c r="BF95" i="5"/>
  <c r="BM99" i="5"/>
  <c r="AS45" i="5"/>
  <c r="AR45" i="5"/>
  <c r="AA45" i="5" s="1"/>
  <c r="AS50" i="5"/>
  <c r="AR50" i="5"/>
  <c r="AA50" i="5" s="1"/>
  <c r="V54" i="5"/>
  <c r="V70" i="5"/>
  <c r="AS72" i="5"/>
  <c r="AR72" i="5"/>
  <c r="AA72" i="5" s="1"/>
  <c r="AB87" i="5"/>
  <c r="BF87" i="5"/>
  <c r="AB99" i="5"/>
  <c r="BF99" i="5"/>
  <c r="AZ40" i="5"/>
  <c r="BA40" i="5" s="1"/>
  <c r="V40" i="5"/>
  <c r="V41" i="5"/>
  <c r="AR42" i="5"/>
  <c r="AA42" i="5" s="1"/>
  <c r="V46" i="5"/>
  <c r="BM59" i="5"/>
  <c r="AS76" i="5"/>
  <c r="AR76" i="5"/>
  <c r="AA76" i="5" s="1"/>
  <c r="AR49" i="5"/>
  <c r="AA49" i="5" s="1"/>
  <c r="AR3" i="5"/>
  <c r="AA3" i="5" s="1"/>
  <c r="AR7" i="5"/>
  <c r="AA7" i="5" s="1"/>
  <c r="AR11" i="5"/>
  <c r="AA11" i="5" s="1"/>
  <c r="AR15" i="5"/>
  <c r="AA15" i="5" s="1"/>
  <c r="AR19" i="5"/>
  <c r="AA19" i="5" s="1"/>
  <c r="V43" i="5"/>
  <c r="AB44" i="5"/>
  <c r="AR47" i="5"/>
  <c r="AA47" i="5" s="1"/>
  <c r="AZ48" i="5"/>
  <c r="BA48" i="5" s="1"/>
  <c r="V48" i="5"/>
  <c r="AB52" i="5"/>
  <c r="AR56" i="5"/>
  <c r="AA56" i="5" s="1"/>
  <c r="AB59" i="5"/>
  <c r="BF59" i="5"/>
  <c r="AS73" i="5"/>
  <c r="V74" i="5"/>
  <c r="AR80" i="5"/>
  <c r="AA80" i="5" s="1"/>
  <c r="AS92" i="5"/>
  <c r="AR92" i="5"/>
  <c r="AA92" i="5" s="1"/>
  <c r="V45" i="5"/>
  <c r="AZ45" i="5"/>
  <c r="BA45" i="5" s="1"/>
  <c r="BM63" i="5"/>
  <c r="AS84" i="5"/>
  <c r="AR84" i="5"/>
  <c r="AA84" i="5" s="1"/>
  <c r="AS96" i="5"/>
  <c r="AR96" i="5"/>
  <c r="AA96" i="5" s="1"/>
  <c r="AR60" i="5"/>
  <c r="AA60" i="5" s="1"/>
  <c r="AS44" i="5"/>
  <c r="AZ50" i="5"/>
  <c r="BA50" i="5" s="1"/>
  <c r="AS52" i="5"/>
  <c r="AB63" i="5"/>
  <c r="BF63" i="5"/>
  <c r="AS81" i="5"/>
  <c r="AS88" i="5"/>
  <c r="AR88" i="5"/>
  <c r="AA88" i="5" s="1"/>
  <c r="AS93" i="5"/>
  <c r="V94" i="5"/>
  <c r="AR100" i="5"/>
  <c r="AA100" i="5" s="1"/>
  <c r="AS46" i="5"/>
  <c r="AR46" i="5"/>
  <c r="AA46" i="5" s="1"/>
  <c r="AS57" i="5"/>
  <c r="AB67" i="5"/>
  <c r="BF67" i="5"/>
  <c r="AZ42" i="5"/>
  <c r="BA42" i="5" s="1"/>
  <c r="AS67" i="5"/>
  <c r="V86" i="5"/>
  <c r="V98" i="5"/>
  <c r="AQ91" i="5"/>
  <c r="AS104" i="5"/>
  <c r="AR104" i="5"/>
  <c r="AZ53" i="5"/>
  <c r="BA53" i="5" s="1"/>
  <c r="AZ57" i="5"/>
  <c r="BA57" i="5" s="1"/>
  <c r="AZ61" i="5"/>
  <c r="BA61" i="5" s="1"/>
  <c r="AZ65" i="5"/>
  <c r="BA65" i="5" s="1"/>
  <c r="AZ69" i="5"/>
  <c r="BA69" i="5" s="1"/>
  <c r="AZ73" i="5"/>
  <c r="BA73" i="5" s="1"/>
  <c r="AZ77" i="5"/>
  <c r="BA77" i="5" s="1"/>
  <c r="AZ81" i="5"/>
  <c r="BA81" i="5" s="1"/>
  <c r="AZ85" i="5"/>
  <c r="BA85" i="5" s="1"/>
  <c r="AZ89" i="5"/>
  <c r="BA89" i="5" s="1"/>
  <c r="AZ93" i="5"/>
  <c r="BA93" i="5" s="1"/>
  <c r="AZ97" i="5"/>
  <c r="BA97" i="5" s="1"/>
  <c r="V75" i="5"/>
  <c r="V79" i="5"/>
  <c r="V83" i="5"/>
  <c r="V87" i="5"/>
  <c r="V91" i="5"/>
  <c r="V95" i="5"/>
  <c r="V99" i="5"/>
  <c r="AR53" i="5"/>
  <c r="AA53" i="5" s="1"/>
  <c r="V56" i="5"/>
  <c r="AR57" i="5"/>
  <c r="AA57" i="5" s="1"/>
  <c r="V60" i="5"/>
  <c r="AR61" i="5"/>
  <c r="AA61" i="5" s="1"/>
  <c r="V64" i="5"/>
  <c r="AR65" i="5"/>
  <c r="AA65" i="5" s="1"/>
  <c r="V68" i="5"/>
  <c r="AR69" i="5"/>
  <c r="AA69" i="5" s="1"/>
  <c r="V72" i="5"/>
  <c r="AR73" i="5"/>
  <c r="AA73" i="5" s="1"/>
  <c r="V76" i="5"/>
  <c r="AR77" i="5"/>
  <c r="AA77" i="5" s="1"/>
  <c r="V80" i="5"/>
  <c r="AR81" i="5"/>
  <c r="AA81" i="5" s="1"/>
  <c r="V84" i="5"/>
  <c r="AR85" i="5"/>
  <c r="AA85" i="5" s="1"/>
  <c r="V88" i="5"/>
  <c r="AR89" i="5"/>
  <c r="AA89" i="5" s="1"/>
  <c r="V92" i="5"/>
  <c r="AR93" i="5"/>
  <c r="AA93" i="5" s="1"/>
  <c r="V96" i="5"/>
  <c r="AR97" i="5"/>
  <c r="AA97" i="5" s="1"/>
  <c r="V100" i="5"/>
  <c r="V104" i="5"/>
  <c r="AR54" i="5"/>
  <c r="AA54" i="5" s="1"/>
  <c r="AR58" i="5"/>
  <c r="AA58" i="5" s="1"/>
  <c r="AR62" i="5"/>
  <c r="AA62" i="5" s="1"/>
  <c r="AR66" i="5"/>
  <c r="AA66" i="5" s="1"/>
  <c r="AR70" i="5"/>
  <c r="AA70" i="5" s="1"/>
  <c r="AR74" i="5"/>
  <c r="AA74" i="5" s="1"/>
  <c r="AR78" i="5"/>
  <c r="AA78" i="5" s="1"/>
  <c r="AR82" i="5"/>
  <c r="AA82" i="5" s="1"/>
  <c r="AR86" i="5"/>
  <c r="AA86" i="5" s="1"/>
  <c r="AR90" i="5"/>
  <c r="AA90" i="5" s="1"/>
  <c r="AR94" i="5"/>
  <c r="AA94" i="5" s="1"/>
  <c r="AR98" i="5"/>
  <c r="AA98" i="5" s="1"/>
  <c r="AT81" i="5" l="1"/>
  <c r="AP81" i="5" s="1"/>
  <c r="BM81" i="5"/>
  <c r="AB80" i="5"/>
  <c r="BF80" i="5"/>
  <c r="BM50" i="5"/>
  <c r="AT50" i="5"/>
  <c r="AP50" i="5" s="1"/>
  <c r="BF48" i="5"/>
  <c r="AB48" i="5"/>
  <c r="AB21" i="5"/>
  <c r="BF21" i="5"/>
  <c r="BM55" i="5"/>
  <c r="AT55" i="5"/>
  <c r="AP55" i="5" s="1"/>
  <c r="AT18" i="5"/>
  <c r="AP18" i="5" s="1"/>
  <c r="BM18" i="5"/>
  <c r="AB24" i="5"/>
  <c r="BF24" i="5"/>
  <c r="AT31" i="5"/>
  <c r="AP31" i="5" s="1"/>
  <c r="BM31" i="5"/>
  <c r="BM25" i="5"/>
  <c r="AT25" i="5"/>
  <c r="AP25" i="5" s="1"/>
  <c r="BF65" i="5"/>
  <c r="AB65" i="5"/>
  <c r="BM96" i="5"/>
  <c r="AT96" i="5"/>
  <c r="AP96" i="5" s="1"/>
  <c r="BM76" i="5"/>
  <c r="AT76" i="5"/>
  <c r="AP76" i="5" s="1"/>
  <c r="BF66" i="5"/>
  <c r="AB66" i="5"/>
  <c r="AS70" i="5"/>
  <c r="AB84" i="5"/>
  <c r="BF84" i="5"/>
  <c r="AS80" i="5"/>
  <c r="AO59" i="5"/>
  <c r="BE59" i="5"/>
  <c r="BF45" i="5"/>
  <c r="AB45" i="5"/>
  <c r="BF39" i="5"/>
  <c r="AB39" i="5"/>
  <c r="BF6" i="5"/>
  <c r="AB6" i="5"/>
  <c r="AB68" i="5"/>
  <c r="BF68" i="5"/>
  <c r="AS17" i="5"/>
  <c r="AS11" i="5"/>
  <c r="AS6" i="5"/>
  <c r="BF27" i="5"/>
  <c r="AB27" i="5"/>
  <c r="BF82" i="5"/>
  <c r="AB82" i="5"/>
  <c r="BF61" i="5"/>
  <c r="AB61" i="5"/>
  <c r="BM45" i="5"/>
  <c r="AT45" i="5"/>
  <c r="AP45" i="5" s="1"/>
  <c r="AT27" i="5"/>
  <c r="AP27" i="5" s="1"/>
  <c r="BM27" i="5"/>
  <c r="BF58" i="5"/>
  <c r="AB58" i="5"/>
  <c r="AT57" i="5"/>
  <c r="AP57" i="5" s="1"/>
  <c r="BM57" i="5"/>
  <c r="AS77" i="5"/>
  <c r="AT73" i="5"/>
  <c r="AP73" i="5" s="1"/>
  <c r="BM73" i="5"/>
  <c r="BF15" i="5"/>
  <c r="AB15" i="5"/>
  <c r="AS56" i="5"/>
  <c r="AO99" i="5"/>
  <c r="BE99" i="5"/>
  <c r="BF30" i="5"/>
  <c r="AB30" i="5"/>
  <c r="BF2" i="5"/>
  <c r="AB2" i="5"/>
  <c r="AS94" i="5"/>
  <c r="AB16" i="5"/>
  <c r="BF16" i="5"/>
  <c r="AS10" i="5"/>
  <c r="AS22" i="5"/>
  <c r="AS3" i="5"/>
  <c r="BF89" i="5"/>
  <c r="AB89" i="5"/>
  <c r="BM84" i="5"/>
  <c r="AT84" i="5"/>
  <c r="AP84" i="5" s="1"/>
  <c r="BM68" i="5"/>
  <c r="AT68" i="5"/>
  <c r="AP68" i="5" s="1"/>
  <c r="BM37" i="5"/>
  <c r="AT37" i="5"/>
  <c r="AP37" i="5" s="1"/>
  <c r="BF54" i="5"/>
  <c r="AB54" i="5"/>
  <c r="BF81" i="5"/>
  <c r="AB81" i="5"/>
  <c r="BF57" i="5"/>
  <c r="AB57" i="5"/>
  <c r="AA104" i="5"/>
  <c r="AR91" i="5"/>
  <c r="AA91" i="5" s="1"/>
  <c r="AB91" i="5" s="1"/>
  <c r="BF46" i="5"/>
  <c r="AB46" i="5"/>
  <c r="AS54" i="5"/>
  <c r="AO63" i="5"/>
  <c r="BE63" i="5"/>
  <c r="AS66" i="5"/>
  <c r="BF11" i="5"/>
  <c r="AB11" i="5"/>
  <c r="AS47" i="5"/>
  <c r="BF26" i="5"/>
  <c r="AB26" i="5"/>
  <c r="AS89" i="5"/>
  <c r="AS65" i="5"/>
  <c r="AB40" i="5"/>
  <c r="BF40" i="5"/>
  <c r="AS82" i="5"/>
  <c r="AB13" i="5"/>
  <c r="BF13" i="5"/>
  <c r="AS51" i="5"/>
  <c r="AS15" i="5"/>
  <c r="AS9" i="5"/>
  <c r="AS19" i="5"/>
  <c r="BF23" i="5"/>
  <c r="AB23" i="5"/>
  <c r="BF85" i="5"/>
  <c r="AB85" i="5"/>
  <c r="BF19" i="5"/>
  <c r="AB19" i="5"/>
  <c r="BF51" i="5"/>
  <c r="AB51" i="5"/>
  <c r="BM5" i="5"/>
  <c r="AT5" i="5"/>
  <c r="AP5" i="5" s="1"/>
  <c r="BF98" i="5"/>
  <c r="AB98" i="5"/>
  <c r="BM104" i="5"/>
  <c r="AT104" i="5"/>
  <c r="AP104" i="5" s="1"/>
  <c r="AS91" i="5"/>
  <c r="BM46" i="5"/>
  <c r="AT46" i="5"/>
  <c r="AP46" i="5" s="1"/>
  <c r="AT52" i="5"/>
  <c r="AP52" i="5" s="1"/>
  <c r="BM52" i="5"/>
  <c r="BF7" i="5"/>
  <c r="AB7" i="5"/>
  <c r="AB72" i="5"/>
  <c r="BF72" i="5"/>
  <c r="BF22" i="5"/>
  <c r="AB22" i="5"/>
  <c r="AS58" i="5"/>
  <c r="AB38" i="5"/>
  <c r="BF38" i="5"/>
  <c r="AO75" i="5"/>
  <c r="BE75" i="5"/>
  <c r="BM43" i="5"/>
  <c r="AT43" i="5"/>
  <c r="AP43" i="5" s="1"/>
  <c r="AS40" i="5"/>
  <c r="AB8" i="5"/>
  <c r="BF8" i="5"/>
  <c r="AS30" i="5"/>
  <c r="AT23" i="5"/>
  <c r="AP23" i="5" s="1"/>
  <c r="BM23" i="5"/>
  <c r="BF94" i="5"/>
  <c r="AB94" i="5"/>
  <c r="BF53" i="5"/>
  <c r="AB53" i="5"/>
  <c r="BF3" i="5"/>
  <c r="AB3" i="5"/>
  <c r="BF42" i="5"/>
  <c r="AB42" i="5"/>
  <c r="BM72" i="5"/>
  <c r="AT72" i="5"/>
  <c r="AP72" i="5" s="1"/>
  <c r="AO95" i="5"/>
  <c r="BE95" i="5"/>
  <c r="AS48" i="5"/>
  <c r="BE36" i="5"/>
  <c r="AO36" i="5"/>
  <c r="AB9" i="5"/>
  <c r="BF9" i="5"/>
  <c r="BF41" i="5"/>
  <c r="AB41" i="5"/>
  <c r="AS38" i="5"/>
  <c r="BM8" i="5"/>
  <c r="AT8" i="5"/>
  <c r="AP8" i="5" s="1"/>
  <c r="BF34" i="5"/>
  <c r="AB34" i="5"/>
  <c r="BF62" i="5"/>
  <c r="AB62" i="5"/>
  <c r="AB17" i="5"/>
  <c r="BF17" i="5"/>
  <c r="AB100" i="5"/>
  <c r="BF100" i="5"/>
  <c r="AS100" i="5"/>
  <c r="AT44" i="5"/>
  <c r="AP44" i="5" s="1"/>
  <c r="BM44" i="5"/>
  <c r="AB56" i="5"/>
  <c r="BF56" i="5"/>
  <c r="BF49" i="5"/>
  <c r="AB49" i="5"/>
  <c r="AS42" i="5"/>
  <c r="BM87" i="5"/>
  <c r="AT87" i="5"/>
  <c r="AP87" i="5" s="1"/>
  <c r="BF18" i="5"/>
  <c r="AB18" i="5"/>
  <c r="AS39" i="5"/>
  <c r="AB33" i="5"/>
  <c r="BF33" i="5"/>
  <c r="AS41" i="5"/>
  <c r="AS14" i="5"/>
  <c r="BF35" i="5"/>
  <c r="AB35" i="5"/>
  <c r="BE4" i="5"/>
  <c r="AO4" i="5"/>
  <c r="AT34" i="5"/>
  <c r="AP34" i="5" s="1"/>
  <c r="BM34" i="5"/>
  <c r="BF70" i="5"/>
  <c r="AB70" i="5"/>
  <c r="BM16" i="5"/>
  <c r="AT16" i="5"/>
  <c r="AP16" i="5" s="1"/>
  <c r="BF77" i="5"/>
  <c r="AB77" i="5"/>
  <c r="BF90" i="5"/>
  <c r="AB90" i="5"/>
  <c r="BF86" i="5"/>
  <c r="AB86" i="5"/>
  <c r="BF97" i="5"/>
  <c r="AB97" i="5"/>
  <c r="BF73" i="5"/>
  <c r="AB73" i="5"/>
  <c r="AS97" i="5"/>
  <c r="AS74" i="5"/>
  <c r="AS49" i="5"/>
  <c r="AS69" i="5"/>
  <c r="AS90" i="5"/>
  <c r="AS98" i="5"/>
  <c r="BE32" i="5"/>
  <c r="AO32" i="5"/>
  <c r="AB5" i="5"/>
  <c r="BF5" i="5"/>
  <c r="AB37" i="5"/>
  <c r="BF37" i="5"/>
  <c r="BM13" i="5"/>
  <c r="AT13" i="5"/>
  <c r="AP13" i="5" s="1"/>
  <c r="AT35" i="5"/>
  <c r="AP35" i="5" s="1"/>
  <c r="BM35" i="5"/>
  <c r="AS26" i="5"/>
  <c r="AT93" i="5"/>
  <c r="AP93" i="5" s="1"/>
  <c r="BM93" i="5"/>
  <c r="AS62" i="5"/>
  <c r="AT86" i="5"/>
  <c r="AP86" i="5" s="1"/>
  <c r="BM86" i="5"/>
  <c r="BM12" i="5"/>
  <c r="AT12" i="5"/>
  <c r="AP12" i="5" s="1"/>
  <c r="AS21" i="5"/>
  <c r="AS29" i="5"/>
  <c r="AS2" i="5"/>
  <c r="BM83" i="5"/>
  <c r="AT83" i="5"/>
  <c r="AP83" i="5" s="1"/>
  <c r="AB64" i="5"/>
  <c r="BF64" i="5"/>
  <c r="BF78" i="5"/>
  <c r="AB78" i="5"/>
  <c r="BF93" i="5"/>
  <c r="AB93" i="5"/>
  <c r="BF69" i="5"/>
  <c r="AB69" i="5"/>
  <c r="AS85" i="5"/>
  <c r="AB88" i="5"/>
  <c r="BF88" i="5"/>
  <c r="AS60" i="5"/>
  <c r="AB92" i="5"/>
  <c r="BF92" i="5"/>
  <c r="AO79" i="5"/>
  <c r="BE79" i="5"/>
  <c r="AS64" i="5"/>
  <c r="AB25" i="5"/>
  <c r="BF25" i="5"/>
  <c r="AS78" i="5"/>
  <c r="BF12" i="5"/>
  <c r="AB12" i="5"/>
  <c r="AS7" i="5"/>
  <c r="AB28" i="5"/>
  <c r="BF28" i="5"/>
  <c r="BM20" i="5"/>
  <c r="AT20" i="5"/>
  <c r="AP20" i="5" s="1"/>
  <c r="AB60" i="5"/>
  <c r="BF60" i="5"/>
  <c r="BF14" i="5"/>
  <c r="AB14" i="5"/>
  <c r="AB29" i="5"/>
  <c r="BF29" i="5"/>
  <c r="BF74" i="5"/>
  <c r="AB74" i="5"/>
  <c r="BM67" i="5"/>
  <c r="AT67" i="5"/>
  <c r="AP67" i="5" s="1"/>
  <c r="BM88" i="5"/>
  <c r="AT88" i="5"/>
  <c r="AP88" i="5" s="1"/>
  <c r="AB96" i="5"/>
  <c r="BF96" i="5"/>
  <c r="BM92" i="5"/>
  <c r="AT92" i="5"/>
  <c r="AP92" i="5" s="1"/>
  <c r="BF47" i="5"/>
  <c r="AB47" i="5"/>
  <c r="AB76" i="5"/>
  <c r="BF76" i="5"/>
  <c r="BF50" i="5"/>
  <c r="AB50" i="5"/>
  <c r="AS53" i="5"/>
  <c r="BF10" i="5"/>
  <c r="AB10" i="5"/>
  <c r="AS61" i="5"/>
  <c r="BM71" i="5"/>
  <c r="AT71" i="5"/>
  <c r="AP71" i="5" s="1"/>
  <c r="AS33" i="5"/>
  <c r="BM24" i="5"/>
  <c r="AT24" i="5"/>
  <c r="AP24" i="5" s="1"/>
  <c r="BF31" i="5"/>
  <c r="AB31" i="5"/>
  <c r="BM28" i="5"/>
  <c r="AT28" i="5"/>
  <c r="AP28" i="5" s="1"/>
  <c r="AB20" i="5"/>
  <c r="BF20" i="5"/>
  <c r="BE45" i="5" l="1"/>
  <c r="AO45" i="5"/>
  <c r="AT61" i="5"/>
  <c r="AP61" i="5" s="1"/>
  <c r="BM61" i="5"/>
  <c r="AT7" i="5"/>
  <c r="AP7" i="5" s="1"/>
  <c r="BM7" i="5"/>
  <c r="AO83" i="5"/>
  <c r="BE83" i="5"/>
  <c r="BM48" i="5"/>
  <c r="AT48" i="5"/>
  <c r="AP48" i="5" s="1"/>
  <c r="BM9" i="5"/>
  <c r="AT9" i="5"/>
  <c r="AP9" i="5" s="1"/>
  <c r="AT47" i="5"/>
  <c r="AP47" i="5" s="1"/>
  <c r="BM47" i="5"/>
  <c r="AT77" i="5"/>
  <c r="AP77" i="5" s="1"/>
  <c r="BM77" i="5"/>
  <c r="AT94" i="5"/>
  <c r="AP94" i="5" s="1"/>
  <c r="BM94" i="5"/>
  <c r="BM39" i="5"/>
  <c r="AT39" i="5"/>
  <c r="AP39" i="5" s="1"/>
  <c r="AT85" i="5"/>
  <c r="AP85" i="5" s="1"/>
  <c r="BM85" i="5"/>
  <c r="AT2" i="5"/>
  <c r="AP2" i="5" s="1"/>
  <c r="BM2" i="5"/>
  <c r="BE93" i="5"/>
  <c r="AO93" i="5"/>
  <c r="AO44" i="5"/>
  <c r="BE44" i="5"/>
  <c r="AO52" i="5"/>
  <c r="BE52" i="5"/>
  <c r="BM51" i="5"/>
  <c r="AT51" i="5"/>
  <c r="AP51" i="5" s="1"/>
  <c r="BE84" i="5"/>
  <c r="AO84" i="5"/>
  <c r="BE76" i="5"/>
  <c r="AO76" i="5"/>
  <c r="BE31" i="5"/>
  <c r="AO31" i="5"/>
  <c r="AT62" i="5"/>
  <c r="AP62" i="5" s="1"/>
  <c r="BM62" i="5"/>
  <c r="BM29" i="5"/>
  <c r="AT29" i="5"/>
  <c r="AP29" i="5" s="1"/>
  <c r="AT26" i="5"/>
  <c r="AP26" i="5" s="1"/>
  <c r="BM26" i="5"/>
  <c r="BM100" i="5"/>
  <c r="AT100" i="5"/>
  <c r="AP100" i="5" s="1"/>
  <c r="BE8" i="5"/>
  <c r="AO8" i="5"/>
  <c r="AT66" i="5"/>
  <c r="AP66" i="5" s="1"/>
  <c r="BM66" i="5"/>
  <c r="BE57" i="5"/>
  <c r="AO57" i="5"/>
  <c r="AO5" i="5"/>
  <c r="BE5" i="5"/>
  <c r="AT78" i="5"/>
  <c r="AP78" i="5" s="1"/>
  <c r="BM78" i="5"/>
  <c r="AT98" i="5"/>
  <c r="AP98" i="5" s="1"/>
  <c r="BM98" i="5"/>
  <c r="BE34" i="5"/>
  <c r="AO34" i="5"/>
  <c r="BE72" i="5"/>
  <c r="AO72" i="5"/>
  <c r="BE23" i="5"/>
  <c r="AO23" i="5"/>
  <c r="AT58" i="5"/>
  <c r="AP58" i="5" s="1"/>
  <c r="BM58" i="5"/>
  <c r="BE46" i="5"/>
  <c r="AO46" i="5"/>
  <c r="BE50" i="5"/>
  <c r="AO50" i="5"/>
  <c r="AT19" i="5"/>
  <c r="AP19" i="5" s="1"/>
  <c r="BM19" i="5"/>
  <c r="BE28" i="5"/>
  <c r="AO28" i="5"/>
  <c r="AT90" i="5"/>
  <c r="AP90" i="5" s="1"/>
  <c r="BM90" i="5"/>
  <c r="AO87" i="5"/>
  <c r="BE87" i="5"/>
  <c r="BM38" i="5"/>
  <c r="AT38" i="5"/>
  <c r="AP38" i="5" s="1"/>
  <c r="AT30" i="5"/>
  <c r="AP30" i="5" s="1"/>
  <c r="BM30" i="5"/>
  <c r="AT82" i="5"/>
  <c r="AP82" i="5" s="1"/>
  <c r="BM82" i="5"/>
  <c r="BE96" i="5"/>
  <c r="AO96" i="5"/>
  <c r="BE68" i="5"/>
  <c r="AO68" i="5"/>
  <c r="BE92" i="5"/>
  <c r="AO92" i="5"/>
  <c r="AT15" i="5"/>
  <c r="AP15" i="5" s="1"/>
  <c r="BM15" i="5"/>
  <c r="BE88" i="5"/>
  <c r="AO88" i="5"/>
  <c r="BM64" i="5"/>
  <c r="AT64" i="5"/>
  <c r="AP64" i="5" s="1"/>
  <c r="BE12" i="5"/>
  <c r="AO12" i="5"/>
  <c r="BE35" i="5"/>
  <c r="AO35" i="5"/>
  <c r="AT69" i="5"/>
  <c r="AP69" i="5" s="1"/>
  <c r="BM69" i="5"/>
  <c r="BM91" i="5"/>
  <c r="AT91" i="5"/>
  <c r="AP91" i="5" s="1"/>
  <c r="AT54" i="5"/>
  <c r="AP54" i="5" s="1"/>
  <c r="BM54" i="5"/>
  <c r="AT3" i="5"/>
  <c r="AP3" i="5" s="1"/>
  <c r="BM3" i="5"/>
  <c r="BM56" i="5"/>
  <c r="AT56" i="5"/>
  <c r="AP56" i="5" s="1"/>
  <c r="AT6" i="5"/>
  <c r="AP6" i="5" s="1"/>
  <c r="BM6" i="5"/>
  <c r="BE73" i="5"/>
  <c r="AO73" i="5"/>
  <c r="BM53" i="5"/>
  <c r="AT53" i="5"/>
  <c r="AP53" i="5" s="1"/>
  <c r="BM21" i="5"/>
  <c r="AT21" i="5"/>
  <c r="AP21" i="5" s="1"/>
  <c r="BE24" i="5"/>
  <c r="AO24" i="5"/>
  <c r="BM49" i="5"/>
  <c r="AT49" i="5"/>
  <c r="AP49" i="5" s="1"/>
  <c r="BM42" i="5"/>
  <c r="AT42" i="5"/>
  <c r="AP42" i="5" s="1"/>
  <c r="AT22" i="5"/>
  <c r="AP22" i="5" s="1"/>
  <c r="BM22" i="5"/>
  <c r="AT11" i="5"/>
  <c r="AP11" i="5" s="1"/>
  <c r="BM11" i="5"/>
  <c r="BM80" i="5"/>
  <c r="AT80" i="5"/>
  <c r="AP80" i="5" s="1"/>
  <c r="BE18" i="5"/>
  <c r="AO18" i="5"/>
  <c r="BM60" i="5"/>
  <c r="AT60" i="5"/>
  <c r="AP60" i="5" s="1"/>
  <c r="BM33" i="5"/>
  <c r="AT33" i="5"/>
  <c r="AP33" i="5" s="1"/>
  <c r="BE20" i="5"/>
  <c r="AO20" i="5"/>
  <c r="BE86" i="5"/>
  <c r="AO86" i="5"/>
  <c r="AO13" i="5"/>
  <c r="BE13" i="5"/>
  <c r="AT74" i="5"/>
  <c r="AP74" i="5" s="1"/>
  <c r="BM74" i="5"/>
  <c r="BM40" i="5"/>
  <c r="AT40" i="5"/>
  <c r="AP40" i="5" s="1"/>
  <c r="BE104" i="5"/>
  <c r="BE91" i="5" s="1"/>
  <c r="AO91" i="5"/>
  <c r="AO104" i="5"/>
  <c r="AT65" i="5"/>
  <c r="AP65" i="5" s="1"/>
  <c r="BM65" i="5"/>
  <c r="AO37" i="5"/>
  <c r="BE37" i="5"/>
  <c r="AT10" i="5"/>
  <c r="AP10" i="5" s="1"/>
  <c r="BM10" i="5"/>
  <c r="BE27" i="5"/>
  <c r="AO27" i="5"/>
  <c r="BM17" i="5"/>
  <c r="AT17" i="5"/>
  <c r="AP17" i="5" s="1"/>
  <c r="AT14" i="5"/>
  <c r="AP14" i="5" s="1"/>
  <c r="BM14" i="5"/>
  <c r="AT89" i="5"/>
  <c r="AP89" i="5" s="1"/>
  <c r="BM89" i="5"/>
  <c r="AO55" i="5"/>
  <c r="BE55" i="5"/>
  <c r="AO67" i="5"/>
  <c r="BE67" i="5"/>
  <c r="AO71" i="5"/>
  <c r="BE71" i="5"/>
  <c r="AT97" i="5"/>
  <c r="AP97" i="5" s="1"/>
  <c r="BM97" i="5"/>
  <c r="BE16" i="5"/>
  <c r="AO16" i="5"/>
  <c r="BM41" i="5"/>
  <c r="AT41" i="5"/>
  <c r="AP41" i="5" s="1"/>
  <c r="AO43" i="5"/>
  <c r="BE43" i="5"/>
  <c r="AB104" i="5"/>
  <c r="BF104" i="5"/>
  <c r="BF91" i="5" s="1"/>
  <c r="AT70" i="5"/>
  <c r="AP70" i="5" s="1"/>
  <c r="BM70" i="5"/>
  <c r="AO25" i="5"/>
  <c r="BE25" i="5"/>
  <c r="BE81" i="5"/>
  <c r="AO81" i="5"/>
  <c r="AO21" i="5" l="1"/>
  <c r="BE21" i="5"/>
  <c r="BE41" i="5"/>
  <c r="AO41" i="5"/>
  <c r="BE6" i="5"/>
  <c r="AO6" i="5"/>
  <c r="BE100" i="5"/>
  <c r="AO100" i="5"/>
  <c r="AO48" i="5"/>
  <c r="BE48" i="5"/>
  <c r="BE89" i="5"/>
  <c r="AO89" i="5"/>
  <c r="BE70" i="5"/>
  <c r="AO70" i="5"/>
  <c r="BE74" i="5"/>
  <c r="AO74" i="5"/>
  <c r="BE26" i="5"/>
  <c r="AO26" i="5"/>
  <c r="BE2" i="5"/>
  <c r="AO2" i="5"/>
  <c r="BE77" i="5"/>
  <c r="AO77" i="5"/>
  <c r="AO33" i="5"/>
  <c r="BE33" i="5"/>
  <c r="AO56" i="5"/>
  <c r="BE56" i="5"/>
  <c r="BE22" i="5"/>
  <c r="AO22" i="5"/>
  <c r="BE30" i="5"/>
  <c r="AO30" i="5"/>
  <c r="BE3" i="5"/>
  <c r="AO3" i="5"/>
  <c r="BE19" i="5"/>
  <c r="AO19" i="5"/>
  <c r="BE66" i="5"/>
  <c r="AO66" i="5"/>
  <c r="AO29" i="5"/>
  <c r="BE29" i="5"/>
  <c r="AO51" i="5"/>
  <c r="BE51" i="5"/>
  <c r="BE7" i="5"/>
  <c r="AO7" i="5"/>
  <c r="BE40" i="5"/>
  <c r="AO40" i="5"/>
  <c r="BE60" i="5"/>
  <c r="AO60" i="5"/>
  <c r="BE42" i="5"/>
  <c r="AO42" i="5"/>
  <c r="AO38" i="5"/>
  <c r="BE38" i="5"/>
  <c r="BE85" i="5"/>
  <c r="AO85" i="5"/>
  <c r="AO47" i="5"/>
  <c r="BE47" i="5"/>
  <c r="BE10" i="5"/>
  <c r="AO10" i="5"/>
  <c r="BE53" i="5"/>
  <c r="AO53" i="5"/>
  <c r="BE64" i="5"/>
  <c r="AO64" i="5"/>
  <c r="BE98" i="5"/>
  <c r="AO98" i="5"/>
  <c r="BE62" i="5"/>
  <c r="AO62" i="5"/>
  <c r="BE69" i="5"/>
  <c r="AO69" i="5"/>
  <c r="BE14" i="5"/>
  <c r="AO14" i="5"/>
  <c r="BE54" i="5"/>
  <c r="AO54" i="5"/>
  <c r="BE65" i="5"/>
  <c r="AO65" i="5"/>
  <c r="BE82" i="5"/>
  <c r="AO82" i="5"/>
  <c r="BE39" i="5"/>
  <c r="AO39" i="5"/>
  <c r="AO9" i="5"/>
  <c r="BE9" i="5"/>
  <c r="BE61" i="5"/>
  <c r="AO61" i="5"/>
  <c r="BE11" i="5"/>
  <c r="AO11" i="5"/>
  <c r="BE15" i="5"/>
  <c r="AO15" i="5"/>
  <c r="BE97" i="5"/>
  <c r="AO97" i="5"/>
  <c r="AO17" i="5"/>
  <c r="BE17" i="5"/>
  <c r="BE80" i="5"/>
  <c r="AO80" i="5"/>
  <c r="BE49" i="5"/>
  <c r="AO49" i="5"/>
  <c r="BE90" i="5"/>
  <c r="AO90" i="5"/>
  <c r="BE58" i="5"/>
  <c r="AO58" i="5"/>
  <c r="BE78" i="5"/>
  <c r="AO78" i="5"/>
  <c r="BE94" i="5"/>
  <c r="AO94" i="5"/>
  <c r="C8" i="4" l="1"/>
  <c r="J100" i="10"/>
  <c r="J99" i="10"/>
  <c r="J98" i="10"/>
  <c r="J97" i="10"/>
  <c r="J96" i="10"/>
  <c r="J95" i="10"/>
  <c r="J94" i="10"/>
  <c r="J93"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E21" i="8"/>
  <c r="E19" i="8"/>
  <c r="E17" i="8"/>
  <c r="E15" i="8"/>
  <c r="E13" i="8"/>
  <c r="E11" i="8"/>
  <c r="E9" i="8"/>
  <c r="E7" i="8"/>
  <c r="E5" i="8"/>
  <c r="E3" i="8"/>
  <c r="G92" i="9" l="1"/>
  <c r="G101" i="9"/>
  <c r="U1" i="4" l="1"/>
  <c r="F100" i="5" l="1"/>
  <c r="H100" i="5"/>
  <c r="J100" i="5"/>
  <c r="D100" i="5" l="1"/>
  <c r="A3" i="3" l="1"/>
  <c r="B25" i="3"/>
  <c r="G53" i="4" l="1"/>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Q4" i="4"/>
  <c r="R4" i="4" s="1"/>
  <c r="T4" i="4" l="1"/>
  <c r="AI4" i="4" s="1"/>
  <c r="J104" i="4" l="1"/>
  <c r="K21" i="3" l="1"/>
  <c r="K18" i="3"/>
  <c r="K15" i="3"/>
  <c r="K12" i="3"/>
  <c r="K9" i="3"/>
  <c r="C4" i="3" l="1"/>
  <c r="B4" i="3"/>
  <c r="I3" i="3"/>
  <c r="I24" i="3" l="1"/>
  <c r="I23" i="3"/>
  <c r="I22" i="3"/>
  <c r="I21" i="3"/>
  <c r="I20" i="3"/>
  <c r="I19" i="3"/>
  <c r="I18" i="3"/>
  <c r="I17" i="3"/>
  <c r="I16" i="3"/>
  <c r="I15" i="3"/>
  <c r="I13" i="3"/>
  <c r="AU4" i="2" l="1"/>
  <c r="AV4" i="2" s="1"/>
  <c r="A3" i="8" l="1"/>
  <c r="A4" i="3"/>
  <c r="A5" i="3" s="1"/>
  <c r="A6" i="3" s="1"/>
  <c r="A7" i="3" s="1"/>
  <c r="A8" i="3" s="1"/>
  <c r="A9" i="3" s="1"/>
  <c r="A10" i="3" s="1"/>
  <c r="A11" i="3" s="1"/>
  <c r="A12" i="3" s="1"/>
  <c r="A2" i="7" l="1"/>
  <c r="I9" i="3"/>
  <c r="I10" i="3" l="1"/>
  <c r="I12" i="3"/>
  <c r="I8" i="3"/>
  <c r="I11" i="3"/>
  <c r="H24" i="1"/>
  <c r="H104" i="5"/>
  <c r="J104" i="5"/>
  <c r="J91" i="5" l="1"/>
  <c r="H25" i="1"/>
  <c r="F104" i="5"/>
  <c r="N104" i="4"/>
  <c r="M104" i="4"/>
  <c r="L104" i="4"/>
  <c r="K104" i="4"/>
  <c r="I104" i="4"/>
  <c r="H104" i="4"/>
  <c r="G104" i="4"/>
  <c r="F104" i="4"/>
  <c r="E104" i="4"/>
  <c r="D104" i="4"/>
  <c r="C104" i="4"/>
  <c r="N101" i="4"/>
  <c r="M101" i="4"/>
  <c r="AG101" i="4" s="1"/>
  <c r="L101" i="4"/>
  <c r="K101" i="4"/>
  <c r="Q101" i="4"/>
  <c r="R101" i="4" s="1"/>
  <c r="I101" i="4"/>
  <c r="AF101" i="4" s="1"/>
  <c r="H101" i="4"/>
  <c r="G101" i="4"/>
  <c r="F101" i="4"/>
  <c r="E101" i="4"/>
  <c r="D101" i="4"/>
  <c r="C101" i="4"/>
  <c r="N100" i="4"/>
  <c r="M100" i="4"/>
  <c r="AG100" i="4" s="1"/>
  <c r="L100" i="4"/>
  <c r="K100" i="4"/>
  <c r="Q100" i="4"/>
  <c r="R100" i="4" s="1"/>
  <c r="I100" i="4"/>
  <c r="AF100" i="4" s="1"/>
  <c r="H100" i="4"/>
  <c r="G100" i="4"/>
  <c r="F100" i="4"/>
  <c r="E100" i="4"/>
  <c r="D100" i="4"/>
  <c r="C100" i="4"/>
  <c r="N99" i="4"/>
  <c r="M99" i="4"/>
  <c r="AG99" i="4" s="1"/>
  <c r="L99" i="4"/>
  <c r="K99" i="4"/>
  <c r="Q99" i="4"/>
  <c r="R99" i="4" s="1"/>
  <c r="I99" i="4"/>
  <c r="AF99" i="4" s="1"/>
  <c r="H99" i="4"/>
  <c r="G99" i="4"/>
  <c r="F99" i="4"/>
  <c r="E99" i="4"/>
  <c r="D99" i="4"/>
  <c r="C99" i="4"/>
  <c r="N98" i="4"/>
  <c r="M98" i="4"/>
  <c r="AG98" i="4" s="1"/>
  <c r="L98" i="4"/>
  <c r="K98" i="4"/>
  <c r="Q98" i="4"/>
  <c r="R98" i="4" s="1"/>
  <c r="I98" i="4"/>
  <c r="AF98" i="4" s="1"/>
  <c r="H98" i="4"/>
  <c r="G98" i="4"/>
  <c r="F98" i="4"/>
  <c r="E98" i="4"/>
  <c r="D98" i="4"/>
  <c r="C98" i="4"/>
  <c r="N97" i="4"/>
  <c r="M97" i="4"/>
  <c r="AG97" i="4" s="1"/>
  <c r="L97" i="4"/>
  <c r="K97" i="4"/>
  <c r="Q97" i="4"/>
  <c r="R97" i="4" s="1"/>
  <c r="I97" i="4"/>
  <c r="AF97" i="4" s="1"/>
  <c r="H97" i="4"/>
  <c r="G97" i="4"/>
  <c r="F97" i="4"/>
  <c r="E97" i="4"/>
  <c r="D97" i="4"/>
  <c r="C97" i="4"/>
  <c r="N96" i="4"/>
  <c r="M96" i="4"/>
  <c r="AG96" i="4" s="1"/>
  <c r="L96" i="4"/>
  <c r="K96" i="4"/>
  <c r="Q96" i="4"/>
  <c r="R96" i="4" s="1"/>
  <c r="I96" i="4"/>
  <c r="AF96" i="4" s="1"/>
  <c r="H96" i="4"/>
  <c r="G96" i="4"/>
  <c r="F96" i="4"/>
  <c r="E96" i="4"/>
  <c r="D96" i="4"/>
  <c r="C96" i="4"/>
  <c r="N95" i="4"/>
  <c r="M95" i="4"/>
  <c r="AG95" i="4" s="1"/>
  <c r="L95" i="4"/>
  <c r="K95" i="4"/>
  <c r="Q95" i="4"/>
  <c r="R95" i="4" s="1"/>
  <c r="I95" i="4"/>
  <c r="AF95" i="4" s="1"/>
  <c r="H95" i="4"/>
  <c r="G95" i="4"/>
  <c r="F95" i="4"/>
  <c r="E95" i="4"/>
  <c r="D95" i="4"/>
  <c r="C95" i="4"/>
  <c r="N94" i="4"/>
  <c r="M94" i="4"/>
  <c r="AG94" i="4" s="1"/>
  <c r="L94" i="4"/>
  <c r="K94" i="4"/>
  <c r="Q94" i="4"/>
  <c r="R94" i="4" s="1"/>
  <c r="I94" i="4"/>
  <c r="AF94" i="4" s="1"/>
  <c r="H94" i="4"/>
  <c r="G94" i="4"/>
  <c r="F94" i="4"/>
  <c r="E94" i="4"/>
  <c r="D94" i="4"/>
  <c r="C94" i="4"/>
  <c r="N92" i="4"/>
  <c r="M92" i="4"/>
  <c r="AG92" i="4" s="1"/>
  <c r="L92" i="4"/>
  <c r="K92" i="4"/>
  <c r="Q92" i="4"/>
  <c r="R92" i="4" s="1"/>
  <c r="I92" i="4"/>
  <c r="AF92" i="4" s="1"/>
  <c r="H92" i="4"/>
  <c r="G92" i="4"/>
  <c r="F92" i="4"/>
  <c r="E92" i="4"/>
  <c r="D92" i="4"/>
  <c r="C92" i="4"/>
  <c r="N91" i="4"/>
  <c r="M91" i="4"/>
  <c r="AG91" i="4" s="1"/>
  <c r="L91" i="4"/>
  <c r="K91" i="4"/>
  <c r="Q91" i="4"/>
  <c r="R91" i="4" s="1"/>
  <c r="I91" i="4"/>
  <c r="AF91" i="4" s="1"/>
  <c r="H91" i="4"/>
  <c r="G91" i="4"/>
  <c r="F91" i="4"/>
  <c r="E91" i="4"/>
  <c r="D91" i="4"/>
  <c r="C91" i="4"/>
  <c r="N90" i="4"/>
  <c r="M90" i="4"/>
  <c r="AG90" i="4" s="1"/>
  <c r="L90" i="4"/>
  <c r="K90" i="4"/>
  <c r="Q90" i="4"/>
  <c r="R90" i="4" s="1"/>
  <c r="I90" i="4"/>
  <c r="AF90" i="4" s="1"/>
  <c r="H90" i="4"/>
  <c r="G90" i="4"/>
  <c r="F90" i="4"/>
  <c r="E90" i="4"/>
  <c r="D90" i="4"/>
  <c r="C90" i="4"/>
  <c r="N89" i="4"/>
  <c r="M89" i="4"/>
  <c r="AG89" i="4" s="1"/>
  <c r="L89" i="4"/>
  <c r="K89" i="4"/>
  <c r="Q89" i="4"/>
  <c r="R89" i="4" s="1"/>
  <c r="I89" i="4"/>
  <c r="AF89" i="4" s="1"/>
  <c r="H89" i="4"/>
  <c r="G89" i="4"/>
  <c r="F89" i="4"/>
  <c r="E89" i="4"/>
  <c r="D89" i="4"/>
  <c r="C89" i="4"/>
  <c r="N88" i="4"/>
  <c r="M88" i="4"/>
  <c r="AG88" i="4" s="1"/>
  <c r="L88" i="4"/>
  <c r="K88" i="4"/>
  <c r="Q88" i="4"/>
  <c r="R88" i="4" s="1"/>
  <c r="I88" i="4"/>
  <c r="AF88" i="4" s="1"/>
  <c r="H88" i="4"/>
  <c r="G88" i="4"/>
  <c r="F88" i="4"/>
  <c r="E88" i="4"/>
  <c r="D88" i="4"/>
  <c r="C88" i="4"/>
  <c r="N87" i="4"/>
  <c r="M87" i="4"/>
  <c r="AG87" i="4" s="1"/>
  <c r="L87" i="4"/>
  <c r="K87" i="4"/>
  <c r="Q87" i="4"/>
  <c r="R87" i="4" s="1"/>
  <c r="I87" i="4"/>
  <c r="AF87" i="4" s="1"/>
  <c r="H87" i="4"/>
  <c r="G87" i="4"/>
  <c r="F87" i="4"/>
  <c r="E87" i="4"/>
  <c r="D87" i="4"/>
  <c r="C87" i="4"/>
  <c r="N86" i="4"/>
  <c r="M86" i="4"/>
  <c r="AG86" i="4" s="1"/>
  <c r="L86" i="4"/>
  <c r="K86" i="4"/>
  <c r="Q86" i="4"/>
  <c r="R86" i="4" s="1"/>
  <c r="I86" i="4"/>
  <c r="AF86" i="4" s="1"/>
  <c r="H86" i="4"/>
  <c r="G86" i="4"/>
  <c r="F86" i="4"/>
  <c r="E86" i="4"/>
  <c r="D86" i="4"/>
  <c r="C86" i="4"/>
  <c r="N85" i="4"/>
  <c r="M85" i="4"/>
  <c r="AG85" i="4" s="1"/>
  <c r="L85" i="4"/>
  <c r="K85" i="4"/>
  <c r="Q85" i="4"/>
  <c r="R85" i="4" s="1"/>
  <c r="I85" i="4"/>
  <c r="AF85" i="4" s="1"/>
  <c r="H85" i="4"/>
  <c r="G85" i="4"/>
  <c r="F85" i="4"/>
  <c r="E85" i="4"/>
  <c r="D85" i="4"/>
  <c r="C85" i="4"/>
  <c r="N84" i="4"/>
  <c r="M84" i="4"/>
  <c r="AG84" i="4" s="1"/>
  <c r="L84" i="4"/>
  <c r="K84" i="4"/>
  <c r="Q84" i="4"/>
  <c r="R84" i="4" s="1"/>
  <c r="I84" i="4"/>
  <c r="AF84" i="4" s="1"/>
  <c r="H84" i="4"/>
  <c r="G84" i="4"/>
  <c r="F84" i="4"/>
  <c r="E84" i="4"/>
  <c r="D84" i="4"/>
  <c r="C84" i="4"/>
  <c r="N83" i="4"/>
  <c r="M83" i="4"/>
  <c r="AG83" i="4" s="1"/>
  <c r="L83" i="4"/>
  <c r="K83" i="4"/>
  <c r="Q83" i="4"/>
  <c r="R83" i="4" s="1"/>
  <c r="I83" i="4"/>
  <c r="AF83" i="4" s="1"/>
  <c r="H83" i="4"/>
  <c r="G83" i="4"/>
  <c r="F83" i="4"/>
  <c r="E83" i="4"/>
  <c r="D83" i="4"/>
  <c r="C83" i="4"/>
  <c r="N82" i="4"/>
  <c r="M82" i="4"/>
  <c r="AG82" i="4" s="1"/>
  <c r="L82" i="4"/>
  <c r="K82" i="4"/>
  <c r="Q82" i="4"/>
  <c r="R82" i="4" s="1"/>
  <c r="I82" i="4"/>
  <c r="AF82" i="4" s="1"/>
  <c r="H82" i="4"/>
  <c r="G82" i="4"/>
  <c r="F82" i="4"/>
  <c r="E82" i="4"/>
  <c r="D82" i="4"/>
  <c r="C82" i="4"/>
  <c r="N81" i="4"/>
  <c r="M81" i="4"/>
  <c r="AG81" i="4" s="1"/>
  <c r="L81" i="4"/>
  <c r="K81" i="4"/>
  <c r="Q81" i="4"/>
  <c r="R81" i="4" s="1"/>
  <c r="I81" i="4"/>
  <c r="AF81" i="4" s="1"/>
  <c r="H81" i="4"/>
  <c r="G81" i="4"/>
  <c r="F81" i="4"/>
  <c r="E81" i="4"/>
  <c r="D81" i="4"/>
  <c r="C81" i="4"/>
  <c r="N80" i="4"/>
  <c r="M80" i="4"/>
  <c r="AG80" i="4" s="1"/>
  <c r="L80" i="4"/>
  <c r="K80" i="4"/>
  <c r="Q80" i="4"/>
  <c r="R80" i="4" s="1"/>
  <c r="I80" i="4"/>
  <c r="AF80" i="4" s="1"/>
  <c r="H80" i="4"/>
  <c r="G80" i="4"/>
  <c r="F80" i="4"/>
  <c r="E80" i="4"/>
  <c r="D80" i="4"/>
  <c r="C80" i="4"/>
  <c r="N79" i="4"/>
  <c r="M79" i="4"/>
  <c r="AG79" i="4" s="1"/>
  <c r="L79" i="4"/>
  <c r="K79" i="4"/>
  <c r="Q79" i="4"/>
  <c r="R79" i="4" s="1"/>
  <c r="I79" i="4"/>
  <c r="AF79" i="4" s="1"/>
  <c r="H79" i="4"/>
  <c r="G79" i="4"/>
  <c r="F79" i="4"/>
  <c r="E79" i="4"/>
  <c r="D79" i="4"/>
  <c r="C79" i="4"/>
  <c r="N78" i="4"/>
  <c r="M78" i="4"/>
  <c r="AG78" i="4" s="1"/>
  <c r="L78" i="4"/>
  <c r="K78" i="4"/>
  <c r="Q78" i="4"/>
  <c r="R78" i="4" s="1"/>
  <c r="I78" i="4"/>
  <c r="AF78" i="4" s="1"/>
  <c r="H78" i="4"/>
  <c r="G78" i="4"/>
  <c r="F78" i="4"/>
  <c r="E78" i="4"/>
  <c r="D78" i="4"/>
  <c r="C78" i="4"/>
  <c r="N77" i="4"/>
  <c r="M77" i="4"/>
  <c r="AG77" i="4" s="1"/>
  <c r="L77" i="4"/>
  <c r="K77" i="4"/>
  <c r="Q77" i="4"/>
  <c r="R77" i="4" s="1"/>
  <c r="I77" i="4"/>
  <c r="AF77" i="4" s="1"/>
  <c r="H77" i="4"/>
  <c r="G77" i="4"/>
  <c r="F77" i="4"/>
  <c r="E77" i="4"/>
  <c r="D77" i="4"/>
  <c r="C77" i="4"/>
  <c r="N76" i="4"/>
  <c r="M76" i="4"/>
  <c r="AG76" i="4" s="1"/>
  <c r="L76" i="4"/>
  <c r="K76" i="4"/>
  <c r="Q76" i="4"/>
  <c r="R76" i="4" s="1"/>
  <c r="I76" i="4"/>
  <c r="AF76" i="4" s="1"/>
  <c r="H76" i="4"/>
  <c r="G76" i="4"/>
  <c r="F76" i="4"/>
  <c r="E76" i="4"/>
  <c r="D76" i="4"/>
  <c r="C76" i="4"/>
  <c r="N75" i="4"/>
  <c r="M75" i="4"/>
  <c r="AG75" i="4" s="1"/>
  <c r="L75" i="4"/>
  <c r="K75" i="4"/>
  <c r="Q75" i="4"/>
  <c r="R75" i="4" s="1"/>
  <c r="I75" i="4"/>
  <c r="AF75" i="4" s="1"/>
  <c r="H75" i="4"/>
  <c r="G75" i="4"/>
  <c r="F75" i="4"/>
  <c r="E75" i="4"/>
  <c r="D75" i="4"/>
  <c r="C75" i="4"/>
  <c r="N74" i="4"/>
  <c r="M74" i="4"/>
  <c r="AG74" i="4" s="1"/>
  <c r="L74" i="4"/>
  <c r="K74" i="4"/>
  <c r="Q74" i="4"/>
  <c r="R74" i="4" s="1"/>
  <c r="I74" i="4"/>
  <c r="AF74" i="4" s="1"/>
  <c r="H74" i="4"/>
  <c r="G74" i="4"/>
  <c r="F74" i="4"/>
  <c r="E74" i="4"/>
  <c r="D74" i="4"/>
  <c r="C74" i="4"/>
  <c r="N73" i="4"/>
  <c r="M73" i="4"/>
  <c r="AG73" i="4" s="1"/>
  <c r="L73" i="4"/>
  <c r="K73" i="4"/>
  <c r="Q73" i="4"/>
  <c r="R73" i="4" s="1"/>
  <c r="I73" i="4"/>
  <c r="AF73" i="4" s="1"/>
  <c r="H73" i="4"/>
  <c r="G73" i="4"/>
  <c r="F73" i="4"/>
  <c r="E73" i="4"/>
  <c r="D73" i="4"/>
  <c r="C73" i="4"/>
  <c r="N72" i="4"/>
  <c r="M72" i="4"/>
  <c r="AG72" i="4" s="1"/>
  <c r="L72" i="4"/>
  <c r="K72" i="4"/>
  <c r="Q72" i="4"/>
  <c r="R72" i="4" s="1"/>
  <c r="I72" i="4"/>
  <c r="AF72" i="4" s="1"/>
  <c r="H72" i="4"/>
  <c r="G72" i="4"/>
  <c r="F72" i="4"/>
  <c r="E72" i="4"/>
  <c r="D72" i="4"/>
  <c r="C72" i="4"/>
  <c r="N71" i="4"/>
  <c r="M71" i="4"/>
  <c r="AG71" i="4" s="1"/>
  <c r="L71" i="4"/>
  <c r="K71" i="4"/>
  <c r="Q71" i="4"/>
  <c r="R71" i="4" s="1"/>
  <c r="I71" i="4"/>
  <c r="AF71" i="4" s="1"/>
  <c r="H71" i="4"/>
  <c r="G71" i="4"/>
  <c r="F71" i="4"/>
  <c r="E71" i="4"/>
  <c r="D71" i="4"/>
  <c r="C71" i="4"/>
  <c r="N70" i="4"/>
  <c r="M70" i="4"/>
  <c r="AG70" i="4" s="1"/>
  <c r="L70" i="4"/>
  <c r="K70" i="4"/>
  <c r="Q70" i="4"/>
  <c r="R70" i="4" s="1"/>
  <c r="I70" i="4"/>
  <c r="AF70" i="4" s="1"/>
  <c r="H70" i="4"/>
  <c r="G70" i="4"/>
  <c r="F70" i="4"/>
  <c r="E70" i="4"/>
  <c r="D70" i="4"/>
  <c r="C70" i="4"/>
  <c r="N69" i="4"/>
  <c r="M69" i="4"/>
  <c r="AG69" i="4" s="1"/>
  <c r="L69" i="4"/>
  <c r="K69" i="4"/>
  <c r="Q69" i="4"/>
  <c r="R69" i="4" s="1"/>
  <c r="I69" i="4"/>
  <c r="AF69" i="4" s="1"/>
  <c r="H69" i="4"/>
  <c r="G69" i="4"/>
  <c r="F69" i="4"/>
  <c r="E69" i="4"/>
  <c r="D69" i="4"/>
  <c r="C69" i="4"/>
  <c r="N68" i="4"/>
  <c r="M68" i="4"/>
  <c r="AG68" i="4" s="1"/>
  <c r="L68" i="4"/>
  <c r="K68" i="4"/>
  <c r="Q68" i="4"/>
  <c r="R68" i="4" s="1"/>
  <c r="I68" i="4"/>
  <c r="AF68" i="4" s="1"/>
  <c r="H68" i="4"/>
  <c r="G68" i="4"/>
  <c r="F68" i="4"/>
  <c r="E68" i="4"/>
  <c r="D68" i="4"/>
  <c r="C68" i="4"/>
  <c r="N67" i="4"/>
  <c r="M67" i="4"/>
  <c r="AG67" i="4" s="1"/>
  <c r="L67" i="4"/>
  <c r="K67" i="4"/>
  <c r="Q67" i="4"/>
  <c r="R67" i="4" s="1"/>
  <c r="I67" i="4"/>
  <c r="AF67" i="4" s="1"/>
  <c r="H67" i="4"/>
  <c r="G67" i="4"/>
  <c r="F67" i="4"/>
  <c r="E67" i="4"/>
  <c r="D67" i="4"/>
  <c r="C67" i="4"/>
  <c r="N66" i="4"/>
  <c r="M66" i="4"/>
  <c r="AG66" i="4" s="1"/>
  <c r="L66" i="4"/>
  <c r="K66" i="4"/>
  <c r="Q66" i="4"/>
  <c r="R66" i="4" s="1"/>
  <c r="I66" i="4"/>
  <c r="AF66" i="4" s="1"/>
  <c r="H66" i="4"/>
  <c r="G66" i="4"/>
  <c r="F66" i="4"/>
  <c r="E66" i="4"/>
  <c r="D66" i="4"/>
  <c r="C66" i="4"/>
  <c r="N65" i="4"/>
  <c r="M65" i="4"/>
  <c r="AG65" i="4" s="1"/>
  <c r="L65" i="4"/>
  <c r="K65" i="4"/>
  <c r="Q65" i="4"/>
  <c r="R65" i="4" s="1"/>
  <c r="I65" i="4"/>
  <c r="AF65" i="4" s="1"/>
  <c r="H65" i="4"/>
  <c r="G65" i="4"/>
  <c r="F65" i="4"/>
  <c r="E65" i="4"/>
  <c r="D65" i="4"/>
  <c r="C65" i="4"/>
  <c r="N64" i="4"/>
  <c r="M64" i="4"/>
  <c r="AG64" i="4" s="1"/>
  <c r="L64" i="4"/>
  <c r="K64" i="4"/>
  <c r="Q64" i="4"/>
  <c r="R64" i="4" s="1"/>
  <c r="I64" i="4"/>
  <c r="AF64" i="4" s="1"/>
  <c r="H64" i="4"/>
  <c r="G64" i="4"/>
  <c r="F64" i="4"/>
  <c r="E64" i="4"/>
  <c r="D64" i="4"/>
  <c r="C64" i="4"/>
  <c r="N63" i="4"/>
  <c r="M63" i="4"/>
  <c r="AG63" i="4" s="1"/>
  <c r="L63" i="4"/>
  <c r="K63" i="4"/>
  <c r="Q63" i="4"/>
  <c r="R63" i="4" s="1"/>
  <c r="I63" i="4"/>
  <c r="AF63" i="4" s="1"/>
  <c r="H63" i="4"/>
  <c r="G63" i="4"/>
  <c r="F63" i="4"/>
  <c r="E63" i="4"/>
  <c r="D63" i="4"/>
  <c r="C63" i="4"/>
  <c r="N62" i="4"/>
  <c r="M62" i="4"/>
  <c r="AG62" i="4" s="1"/>
  <c r="L62" i="4"/>
  <c r="K62" i="4"/>
  <c r="Q62" i="4"/>
  <c r="R62" i="4" s="1"/>
  <c r="I62" i="4"/>
  <c r="AF62" i="4" s="1"/>
  <c r="H62" i="4"/>
  <c r="G62" i="4"/>
  <c r="F62" i="4"/>
  <c r="E62" i="4"/>
  <c r="D62" i="4"/>
  <c r="C62" i="4"/>
  <c r="N61" i="4"/>
  <c r="M61" i="4"/>
  <c r="AG61" i="4" s="1"/>
  <c r="L61" i="4"/>
  <c r="K61" i="4"/>
  <c r="Q61" i="4"/>
  <c r="R61" i="4" s="1"/>
  <c r="I61" i="4"/>
  <c r="AF61" i="4" s="1"/>
  <c r="H61" i="4"/>
  <c r="G61" i="4"/>
  <c r="F61" i="4"/>
  <c r="E61" i="4"/>
  <c r="D61" i="4"/>
  <c r="C61" i="4"/>
  <c r="N60" i="4"/>
  <c r="M60" i="4"/>
  <c r="AG60" i="4" s="1"/>
  <c r="L60" i="4"/>
  <c r="K60" i="4"/>
  <c r="Q60" i="4"/>
  <c r="R60" i="4" s="1"/>
  <c r="I60" i="4"/>
  <c r="AF60" i="4" s="1"/>
  <c r="H60" i="4"/>
  <c r="G60" i="4"/>
  <c r="F60" i="4"/>
  <c r="E60" i="4"/>
  <c r="D60" i="4"/>
  <c r="C60" i="4"/>
  <c r="N59" i="4"/>
  <c r="M59" i="4"/>
  <c r="AG59" i="4" s="1"/>
  <c r="L59" i="4"/>
  <c r="K59" i="4"/>
  <c r="Q59" i="4"/>
  <c r="R59" i="4" s="1"/>
  <c r="I59" i="4"/>
  <c r="AF59" i="4" s="1"/>
  <c r="H59" i="4"/>
  <c r="G59" i="4"/>
  <c r="F59" i="4"/>
  <c r="E59" i="4"/>
  <c r="D59" i="4"/>
  <c r="C59" i="4"/>
  <c r="N58" i="4"/>
  <c r="M58" i="4"/>
  <c r="AG58" i="4" s="1"/>
  <c r="L58" i="4"/>
  <c r="K58" i="4"/>
  <c r="Q58" i="4"/>
  <c r="R58" i="4" s="1"/>
  <c r="I58" i="4"/>
  <c r="AF58" i="4" s="1"/>
  <c r="H58" i="4"/>
  <c r="G58" i="4"/>
  <c r="F58" i="4"/>
  <c r="E58" i="4"/>
  <c r="D58" i="4"/>
  <c r="C58" i="4"/>
  <c r="N57" i="4"/>
  <c r="M57" i="4"/>
  <c r="AG57" i="4" s="1"/>
  <c r="L57" i="4"/>
  <c r="K57" i="4"/>
  <c r="Q57" i="4"/>
  <c r="R57" i="4" s="1"/>
  <c r="I57" i="4"/>
  <c r="AF57" i="4" s="1"/>
  <c r="H57" i="4"/>
  <c r="G57" i="4"/>
  <c r="F57" i="4"/>
  <c r="E57" i="4"/>
  <c r="D57" i="4"/>
  <c r="C57" i="4"/>
  <c r="N56" i="4"/>
  <c r="M56" i="4"/>
  <c r="AG56" i="4" s="1"/>
  <c r="L56" i="4"/>
  <c r="K56" i="4"/>
  <c r="Q56" i="4"/>
  <c r="R56" i="4" s="1"/>
  <c r="I56" i="4"/>
  <c r="AF56" i="4" s="1"/>
  <c r="H56" i="4"/>
  <c r="G56" i="4"/>
  <c r="F56" i="4"/>
  <c r="E56" i="4"/>
  <c r="D56" i="4"/>
  <c r="C56" i="4"/>
  <c r="N55" i="4"/>
  <c r="M55" i="4"/>
  <c r="AG55" i="4" s="1"/>
  <c r="L55" i="4"/>
  <c r="K55" i="4"/>
  <c r="Q55" i="4"/>
  <c r="R55" i="4" s="1"/>
  <c r="I55" i="4"/>
  <c r="AF55" i="4" s="1"/>
  <c r="H55" i="4"/>
  <c r="G55" i="4"/>
  <c r="F55" i="4"/>
  <c r="E55" i="4"/>
  <c r="D55" i="4"/>
  <c r="C55" i="4"/>
  <c r="N54" i="4"/>
  <c r="M54" i="4"/>
  <c r="AG54" i="4" s="1"/>
  <c r="L54" i="4"/>
  <c r="K54" i="4"/>
  <c r="Q54" i="4"/>
  <c r="R54" i="4" s="1"/>
  <c r="I54" i="4"/>
  <c r="AF54" i="4" s="1"/>
  <c r="H54" i="4"/>
  <c r="G54" i="4"/>
  <c r="F54" i="4"/>
  <c r="E54" i="4"/>
  <c r="D54" i="4"/>
  <c r="C54" i="4"/>
  <c r="N53" i="4"/>
  <c r="M53" i="4"/>
  <c r="AG53" i="4" s="1"/>
  <c r="L53" i="4"/>
  <c r="K53" i="4"/>
  <c r="Q53" i="4"/>
  <c r="R53" i="4" s="1"/>
  <c r="I53" i="4"/>
  <c r="AF53" i="4" s="1"/>
  <c r="H53" i="4"/>
  <c r="F53" i="4"/>
  <c r="E53" i="4"/>
  <c r="D53" i="4"/>
  <c r="C53" i="4"/>
  <c r="N52" i="4"/>
  <c r="M52" i="4"/>
  <c r="AG52" i="4" s="1"/>
  <c r="L52" i="4"/>
  <c r="K52" i="4"/>
  <c r="Q52" i="4"/>
  <c r="R52" i="4" s="1"/>
  <c r="I52" i="4"/>
  <c r="AF52" i="4" s="1"/>
  <c r="H52" i="4"/>
  <c r="F52" i="4"/>
  <c r="E52" i="4"/>
  <c r="D52" i="4"/>
  <c r="C52" i="4"/>
  <c r="N51" i="4"/>
  <c r="M51" i="4"/>
  <c r="AG51" i="4" s="1"/>
  <c r="L51" i="4"/>
  <c r="K51" i="4"/>
  <c r="Q51" i="4"/>
  <c r="R51" i="4" s="1"/>
  <c r="I51" i="4"/>
  <c r="AF51" i="4" s="1"/>
  <c r="H51" i="4"/>
  <c r="F51" i="4"/>
  <c r="E51" i="4"/>
  <c r="D51" i="4"/>
  <c r="C51" i="4"/>
  <c r="N50" i="4"/>
  <c r="M50" i="4"/>
  <c r="AG50" i="4" s="1"/>
  <c r="L50" i="4"/>
  <c r="K50" i="4"/>
  <c r="Q50" i="4"/>
  <c r="R50" i="4" s="1"/>
  <c r="I50" i="4"/>
  <c r="AF50" i="4" s="1"/>
  <c r="H50" i="4"/>
  <c r="F50" i="4"/>
  <c r="E50" i="4"/>
  <c r="D50" i="4"/>
  <c r="C50" i="4"/>
  <c r="N49" i="4"/>
  <c r="M49" i="4"/>
  <c r="AG49" i="4" s="1"/>
  <c r="L49" i="4"/>
  <c r="K49" i="4"/>
  <c r="Q49" i="4"/>
  <c r="R49" i="4" s="1"/>
  <c r="I49" i="4"/>
  <c r="AF49" i="4" s="1"/>
  <c r="H49" i="4"/>
  <c r="F49" i="4"/>
  <c r="E49" i="4"/>
  <c r="D49" i="4"/>
  <c r="C49" i="4"/>
  <c r="N48" i="4"/>
  <c r="M48" i="4"/>
  <c r="AG48" i="4" s="1"/>
  <c r="L48" i="4"/>
  <c r="K48" i="4"/>
  <c r="Q48" i="4"/>
  <c r="R48" i="4" s="1"/>
  <c r="I48" i="4"/>
  <c r="AF48" i="4" s="1"/>
  <c r="H48" i="4"/>
  <c r="F48" i="4"/>
  <c r="E48" i="4"/>
  <c r="D48" i="4"/>
  <c r="C48" i="4"/>
  <c r="N47" i="4"/>
  <c r="M47" i="4"/>
  <c r="AG47" i="4" s="1"/>
  <c r="L47" i="4"/>
  <c r="K47" i="4"/>
  <c r="Q47" i="4"/>
  <c r="R47" i="4" s="1"/>
  <c r="I47" i="4"/>
  <c r="AF47" i="4" s="1"/>
  <c r="H47" i="4"/>
  <c r="F47" i="4"/>
  <c r="E47" i="4"/>
  <c r="D47" i="4"/>
  <c r="C47" i="4"/>
  <c r="N46" i="4"/>
  <c r="M46" i="4"/>
  <c r="AG46" i="4" s="1"/>
  <c r="L46" i="4"/>
  <c r="K46" i="4"/>
  <c r="Q46" i="4"/>
  <c r="R46" i="4" s="1"/>
  <c r="I46" i="4"/>
  <c r="AF46" i="4" s="1"/>
  <c r="H46" i="4"/>
  <c r="F46" i="4"/>
  <c r="E46" i="4"/>
  <c r="D46" i="4"/>
  <c r="C46" i="4"/>
  <c r="N45" i="4"/>
  <c r="M45" i="4"/>
  <c r="AG45" i="4" s="1"/>
  <c r="L45" i="4"/>
  <c r="K45" i="4"/>
  <c r="Q45" i="4"/>
  <c r="R45" i="4" s="1"/>
  <c r="I45" i="4"/>
  <c r="AF45" i="4" s="1"/>
  <c r="H45" i="4"/>
  <c r="F45" i="4"/>
  <c r="E45" i="4"/>
  <c r="D45" i="4"/>
  <c r="C45" i="4"/>
  <c r="N44" i="4"/>
  <c r="M44" i="4"/>
  <c r="AG44" i="4" s="1"/>
  <c r="L44" i="4"/>
  <c r="K44" i="4"/>
  <c r="Q44" i="4"/>
  <c r="R44" i="4" s="1"/>
  <c r="I44" i="4"/>
  <c r="AF44" i="4" s="1"/>
  <c r="H44" i="4"/>
  <c r="F44" i="4"/>
  <c r="E44" i="4"/>
  <c r="D44" i="4"/>
  <c r="C44" i="4"/>
  <c r="N43" i="4"/>
  <c r="M43" i="4"/>
  <c r="AG43" i="4" s="1"/>
  <c r="L43" i="4"/>
  <c r="K43" i="4"/>
  <c r="Q43" i="4"/>
  <c r="R43" i="4" s="1"/>
  <c r="I43" i="4"/>
  <c r="AF43" i="4" s="1"/>
  <c r="H43" i="4"/>
  <c r="F43" i="4"/>
  <c r="E43" i="4"/>
  <c r="D43" i="4"/>
  <c r="C43" i="4"/>
  <c r="N42" i="4"/>
  <c r="M42" i="4"/>
  <c r="AG42" i="4" s="1"/>
  <c r="L42" i="4"/>
  <c r="K42" i="4"/>
  <c r="Q42" i="4"/>
  <c r="R42" i="4" s="1"/>
  <c r="I42" i="4"/>
  <c r="AF42" i="4" s="1"/>
  <c r="H42" i="4"/>
  <c r="F42" i="4"/>
  <c r="E42" i="4"/>
  <c r="D42" i="4"/>
  <c r="C42" i="4"/>
  <c r="N41" i="4"/>
  <c r="M41" i="4"/>
  <c r="AG41" i="4" s="1"/>
  <c r="L41" i="4"/>
  <c r="K41" i="4"/>
  <c r="Q41" i="4"/>
  <c r="R41" i="4" s="1"/>
  <c r="I41" i="4"/>
  <c r="AF41" i="4" s="1"/>
  <c r="H41" i="4"/>
  <c r="F41" i="4"/>
  <c r="E41" i="4"/>
  <c r="D41" i="4"/>
  <c r="C41" i="4"/>
  <c r="N40" i="4"/>
  <c r="M40" i="4"/>
  <c r="AG40" i="4" s="1"/>
  <c r="L40" i="4"/>
  <c r="K40" i="4"/>
  <c r="Q40" i="4"/>
  <c r="R40" i="4" s="1"/>
  <c r="I40" i="4"/>
  <c r="AF40" i="4" s="1"/>
  <c r="H40" i="4"/>
  <c r="F40" i="4"/>
  <c r="E40" i="4"/>
  <c r="D40" i="4"/>
  <c r="C40" i="4"/>
  <c r="N39" i="4"/>
  <c r="M39" i="4"/>
  <c r="AG39" i="4" s="1"/>
  <c r="L39" i="4"/>
  <c r="K39" i="4"/>
  <c r="Q39" i="4"/>
  <c r="R39" i="4" s="1"/>
  <c r="I39" i="4"/>
  <c r="AF39" i="4" s="1"/>
  <c r="H39" i="4"/>
  <c r="F39" i="4"/>
  <c r="E39" i="4"/>
  <c r="D39" i="4"/>
  <c r="C39" i="4"/>
  <c r="N38" i="4"/>
  <c r="M38" i="4"/>
  <c r="AG38" i="4" s="1"/>
  <c r="L38" i="4"/>
  <c r="K38" i="4"/>
  <c r="Q38" i="4"/>
  <c r="R38" i="4" s="1"/>
  <c r="I38" i="4"/>
  <c r="AF38" i="4" s="1"/>
  <c r="H38" i="4"/>
  <c r="F38" i="4"/>
  <c r="E38" i="4"/>
  <c r="D38" i="4"/>
  <c r="C38" i="4"/>
  <c r="N37" i="4"/>
  <c r="M37" i="4"/>
  <c r="AG37" i="4" s="1"/>
  <c r="L37" i="4"/>
  <c r="K37" i="4"/>
  <c r="Q37" i="4"/>
  <c r="R37" i="4" s="1"/>
  <c r="I37" i="4"/>
  <c r="AF37" i="4" s="1"/>
  <c r="H37" i="4"/>
  <c r="F37" i="4"/>
  <c r="E37" i="4"/>
  <c r="D37" i="4"/>
  <c r="C37" i="4"/>
  <c r="N36" i="4"/>
  <c r="M36" i="4"/>
  <c r="AG36" i="4" s="1"/>
  <c r="L36" i="4"/>
  <c r="K36" i="4"/>
  <c r="Q36" i="4"/>
  <c r="R36" i="4" s="1"/>
  <c r="I36" i="4"/>
  <c r="AF36" i="4" s="1"/>
  <c r="H36" i="4"/>
  <c r="F36" i="4"/>
  <c r="E36" i="4"/>
  <c r="D36" i="4"/>
  <c r="C36" i="4"/>
  <c r="N35" i="4"/>
  <c r="M35" i="4"/>
  <c r="AG35" i="4" s="1"/>
  <c r="L35" i="4"/>
  <c r="K35" i="4"/>
  <c r="Q35" i="4"/>
  <c r="R35" i="4" s="1"/>
  <c r="I35" i="4"/>
  <c r="AF35" i="4" s="1"/>
  <c r="H35" i="4"/>
  <c r="F35" i="4"/>
  <c r="E35" i="4"/>
  <c r="D35" i="4"/>
  <c r="C35" i="4"/>
  <c r="N34" i="4"/>
  <c r="M34" i="4"/>
  <c r="AG34" i="4" s="1"/>
  <c r="L34" i="4"/>
  <c r="K34" i="4"/>
  <c r="Q34" i="4"/>
  <c r="R34" i="4" s="1"/>
  <c r="I34" i="4"/>
  <c r="AF34" i="4" s="1"/>
  <c r="H34" i="4"/>
  <c r="F34" i="4"/>
  <c r="E34" i="4"/>
  <c r="D34" i="4"/>
  <c r="C34" i="4"/>
  <c r="N33" i="4"/>
  <c r="M33" i="4"/>
  <c r="AG33" i="4" s="1"/>
  <c r="L33" i="4"/>
  <c r="K33" i="4"/>
  <c r="Q33" i="4"/>
  <c r="R33" i="4" s="1"/>
  <c r="I33" i="4"/>
  <c r="AF33" i="4" s="1"/>
  <c r="H33" i="4"/>
  <c r="F33" i="4"/>
  <c r="E33" i="4"/>
  <c r="D33" i="4"/>
  <c r="C33" i="4"/>
  <c r="N32" i="4"/>
  <c r="M32" i="4"/>
  <c r="AG32" i="4" s="1"/>
  <c r="L32" i="4"/>
  <c r="K32" i="4"/>
  <c r="Q32" i="4"/>
  <c r="R32" i="4" s="1"/>
  <c r="I32" i="4"/>
  <c r="AF32" i="4" s="1"/>
  <c r="H32" i="4"/>
  <c r="F32" i="4"/>
  <c r="E32" i="4"/>
  <c r="D32" i="4"/>
  <c r="C32" i="4"/>
  <c r="N31" i="4"/>
  <c r="M31" i="4"/>
  <c r="AG31" i="4" s="1"/>
  <c r="L31" i="4"/>
  <c r="K31" i="4"/>
  <c r="Q31" i="4"/>
  <c r="R31" i="4" s="1"/>
  <c r="I31" i="4"/>
  <c r="AF31" i="4" s="1"/>
  <c r="H31" i="4"/>
  <c r="F31" i="4"/>
  <c r="E31" i="4"/>
  <c r="D31" i="4"/>
  <c r="C31" i="4"/>
  <c r="N30" i="4"/>
  <c r="M30" i="4"/>
  <c r="AG30" i="4" s="1"/>
  <c r="L30" i="4"/>
  <c r="K30" i="4"/>
  <c r="Q30" i="4"/>
  <c r="R30" i="4" s="1"/>
  <c r="I30" i="4"/>
  <c r="AF30" i="4" s="1"/>
  <c r="H30" i="4"/>
  <c r="F30" i="4"/>
  <c r="E30" i="4"/>
  <c r="D30" i="4"/>
  <c r="C30" i="4"/>
  <c r="N29" i="4"/>
  <c r="M29" i="4"/>
  <c r="AG29" i="4" s="1"/>
  <c r="L29" i="4"/>
  <c r="K29" i="4"/>
  <c r="Q29" i="4"/>
  <c r="R29" i="4" s="1"/>
  <c r="I29" i="4"/>
  <c r="AF29" i="4" s="1"/>
  <c r="H29" i="4"/>
  <c r="F29" i="4"/>
  <c r="E29" i="4"/>
  <c r="D29" i="4"/>
  <c r="C29" i="4"/>
  <c r="N28" i="4"/>
  <c r="M28" i="4"/>
  <c r="AG28" i="4" s="1"/>
  <c r="L28" i="4"/>
  <c r="K28" i="4"/>
  <c r="Q28" i="4"/>
  <c r="R28" i="4" s="1"/>
  <c r="I28" i="4"/>
  <c r="AF28" i="4" s="1"/>
  <c r="H28" i="4"/>
  <c r="F28" i="4"/>
  <c r="E28" i="4"/>
  <c r="D28" i="4"/>
  <c r="C28" i="4"/>
  <c r="N27" i="4"/>
  <c r="M27" i="4"/>
  <c r="AG27" i="4" s="1"/>
  <c r="L27" i="4"/>
  <c r="K27" i="4"/>
  <c r="Q27" i="4"/>
  <c r="R27" i="4" s="1"/>
  <c r="I27" i="4"/>
  <c r="AF27" i="4" s="1"/>
  <c r="H27" i="4"/>
  <c r="F27" i="4"/>
  <c r="E27" i="4"/>
  <c r="D27" i="4"/>
  <c r="C27" i="4"/>
  <c r="N26" i="4"/>
  <c r="M26" i="4"/>
  <c r="AG26" i="4" s="1"/>
  <c r="L26" i="4"/>
  <c r="K26" i="4"/>
  <c r="Q26" i="4"/>
  <c r="R26" i="4" s="1"/>
  <c r="I26" i="4"/>
  <c r="AF26" i="4" s="1"/>
  <c r="H26" i="4"/>
  <c r="F26" i="4"/>
  <c r="E26" i="4"/>
  <c r="D26" i="4"/>
  <c r="C26" i="4"/>
  <c r="N25" i="4"/>
  <c r="M25" i="4"/>
  <c r="AG25" i="4" s="1"/>
  <c r="L25" i="4"/>
  <c r="K25" i="4"/>
  <c r="Q25" i="4"/>
  <c r="R25" i="4" s="1"/>
  <c r="I25" i="4"/>
  <c r="AF25" i="4" s="1"/>
  <c r="H25" i="4"/>
  <c r="F25" i="4"/>
  <c r="E25" i="4"/>
  <c r="D25" i="4"/>
  <c r="C25" i="4"/>
  <c r="N24" i="4"/>
  <c r="M24" i="4"/>
  <c r="AG24" i="4" s="1"/>
  <c r="L24" i="4"/>
  <c r="K24" i="4"/>
  <c r="Q24" i="4"/>
  <c r="R24" i="4" s="1"/>
  <c r="I24" i="4"/>
  <c r="AF24" i="4" s="1"/>
  <c r="H24" i="4"/>
  <c r="F24" i="4"/>
  <c r="E24" i="4"/>
  <c r="D24" i="4"/>
  <c r="C24" i="4"/>
  <c r="N23" i="4"/>
  <c r="M23" i="4"/>
  <c r="AG23" i="4" s="1"/>
  <c r="L23" i="4"/>
  <c r="K23" i="4"/>
  <c r="Q23" i="4"/>
  <c r="R23" i="4" s="1"/>
  <c r="I23" i="4"/>
  <c r="AF23" i="4" s="1"/>
  <c r="H23" i="4"/>
  <c r="F23" i="4"/>
  <c r="E23" i="4"/>
  <c r="D23" i="4"/>
  <c r="C23" i="4"/>
  <c r="N22" i="4"/>
  <c r="M22" i="4"/>
  <c r="AG22" i="4" s="1"/>
  <c r="L22" i="4"/>
  <c r="K22" i="4"/>
  <c r="Q22" i="4"/>
  <c r="R22" i="4" s="1"/>
  <c r="I22" i="4"/>
  <c r="AF22" i="4" s="1"/>
  <c r="H22" i="4"/>
  <c r="F22" i="4"/>
  <c r="E22" i="4"/>
  <c r="D22" i="4"/>
  <c r="C22" i="4"/>
  <c r="N21" i="4"/>
  <c r="M21" i="4"/>
  <c r="AG21" i="4" s="1"/>
  <c r="L21" i="4"/>
  <c r="K21" i="4"/>
  <c r="Q21" i="4"/>
  <c r="R21" i="4" s="1"/>
  <c r="I21" i="4"/>
  <c r="AF21" i="4" s="1"/>
  <c r="H21" i="4"/>
  <c r="F21" i="4"/>
  <c r="E21" i="4"/>
  <c r="D21" i="4"/>
  <c r="C21" i="4"/>
  <c r="N20" i="4"/>
  <c r="M20" i="4"/>
  <c r="AG20" i="4" s="1"/>
  <c r="L20" i="4"/>
  <c r="K20" i="4"/>
  <c r="Q20" i="4"/>
  <c r="R20" i="4" s="1"/>
  <c r="I20" i="4"/>
  <c r="AF20" i="4" s="1"/>
  <c r="H20" i="4"/>
  <c r="F20" i="4"/>
  <c r="E20" i="4"/>
  <c r="D20" i="4"/>
  <c r="C20" i="4"/>
  <c r="N19" i="4"/>
  <c r="M19" i="4"/>
  <c r="AG19" i="4" s="1"/>
  <c r="L19" i="4"/>
  <c r="K19" i="4"/>
  <c r="Q19" i="4"/>
  <c r="R19" i="4" s="1"/>
  <c r="I19" i="4"/>
  <c r="AF19" i="4" s="1"/>
  <c r="H19" i="4"/>
  <c r="F19" i="4"/>
  <c r="E19" i="4"/>
  <c r="D19" i="4"/>
  <c r="C19" i="4"/>
  <c r="N18" i="4"/>
  <c r="M18" i="4"/>
  <c r="AG18" i="4" s="1"/>
  <c r="L18" i="4"/>
  <c r="K18" i="4"/>
  <c r="Q18" i="4"/>
  <c r="R18" i="4" s="1"/>
  <c r="I18" i="4"/>
  <c r="AF18" i="4" s="1"/>
  <c r="H18" i="4"/>
  <c r="F18" i="4"/>
  <c r="E18" i="4"/>
  <c r="D18" i="4"/>
  <c r="C18" i="4"/>
  <c r="N17" i="4"/>
  <c r="M17" i="4"/>
  <c r="AG17" i="4" s="1"/>
  <c r="L17" i="4"/>
  <c r="K17" i="4"/>
  <c r="Q17" i="4"/>
  <c r="R17" i="4" s="1"/>
  <c r="I17" i="4"/>
  <c r="AF17" i="4" s="1"/>
  <c r="H17" i="4"/>
  <c r="F17" i="4"/>
  <c r="E17" i="4"/>
  <c r="D17" i="4"/>
  <c r="C17" i="4"/>
  <c r="N16" i="4"/>
  <c r="M16" i="4"/>
  <c r="AG16" i="4" s="1"/>
  <c r="L16" i="4"/>
  <c r="K16" i="4"/>
  <c r="Q16" i="4"/>
  <c r="R16" i="4" s="1"/>
  <c r="I16" i="4"/>
  <c r="AF16" i="4" s="1"/>
  <c r="H16" i="4"/>
  <c r="F16" i="4"/>
  <c r="E16" i="4"/>
  <c r="D16" i="4"/>
  <c r="C16" i="4"/>
  <c r="N15" i="4"/>
  <c r="M15" i="4"/>
  <c r="AG15" i="4" s="1"/>
  <c r="L15" i="4"/>
  <c r="K15" i="4"/>
  <c r="Q15" i="4"/>
  <c r="R15" i="4" s="1"/>
  <c r="I15" i="4"/>
  <c r="AF15" i="4" s="1"/>
  <c r="H15" i="4"/>
  <c r="F15" i="4"/>
  <c r="E15" i="4"/>
  <c r="D15" i="4"/>
  <c r="C15" i="4"/>
  <c r="N14" i="4"/>
  <c r="M14" i="4"/>
  <c r="AG14" i="4" s="1"/>
  <c r="L14" i="4"/>
  <c r="K14" i="4"/>
  <c r="Q14" i="4"/>
  <c r="R14" i="4" s="1"/>
  <c r="I14" i="4"/>
  <c r="AF14" i="4" s="1"/>
  <c r="H14" i="4"/>
  <c r="F14" i="4"/>
  <c r="E14" i="4"/>
  <c r="D14" i="4"/>
  <c r="C14" i="4"/>
  <c r="N13" i="4"/>
  <c r="M13" i="4"/>
  <c r="AG13" i="4" s="1"/>
  <c r="L13" i="4"/>
  <c r="K13" i="4"/>
  <c r="Q13" i="4"/>
  <c r="R13" i="4" s="1"/>
  <c r="I13" i="4"/>
  <c r="AF13" i="4" s="1"/>
  <c r="H13" i="4"/>
  <c r="F13" i="4"/>
  <c r="E13" i="4"/>
  <c r="D13" i="4"/>
  <c r="C13" i="4"/>
  <c r="N12" i="4"/>
  <c r="M12" i="4"/>
  <c r="AG12" i="4" s="1"/>
  <c r="L12" i="4"/>
  <c r="K12" i="4"/>
  <c r="Q12" i="4"/>
  <c r="R12" i="4" s="1"/>
  <c r="I12" i="4"/>
  <c r="AF12" i="4" s="1"/>
  <c r="H12" i="4"/>
  <c r="F12" i="4"/>
  <c r="E12" i="4"/>
  <c r="D12" i="4"/>
  <c r="C12" i="4"/>
  <c r="N11" i="4"/>
  <c r="M11" i="4"/>
  <c r="AG11" i="4" s="1"/>
  <c r="L11" i="4"/>
  <c r="K11" i="4"/>
  <c r="Q11" i="4"/>
  <c r="R11" i="4" s="1"/>
  <c r="I11" i="4"/>
  <c r="AF11" i="4" s="1"/>
  <c r="H11" i="4"/>
  <c r="F11" i="4"/>
  <c r="E11" i="4"/>
  <c r="D11" i="4"/>
  <c r="C11" i="4"/>
  <c r="N10" i="4"/>
  <c r="M10" i="4"/>
  <c r="AG10" i="4" s="1"/>
  <c r="L10" i="4"/>
  <c r="K10" i="4"/>
  <c r="Q10" i="4"/>
  <c r="R10" i="4" s="1"/>
  <c r="I10" i="4"/>
  <c r="AF10" i="4" s="1"/>
  <c r="H10" i="4"/>
  <c r="F10" i="4"/>
  <c r="E10" i="4"/>
  <c r="D10" i="4"/>
  <c r="C10" i="4"/>
  <c r="N9" i="4"/>
  <c r="M9" i="4"/>
  <c r="AG9" i="4" s="1"/>
  <c r="L9" i="4"/>
  <c r="K9" i="4"/>
  <c r="Q9" i="4"/>
  <c r="R9" i="4" s="1"/>
  <c r="I9" i="4"/>
  <c r="AF9" i="4" s="1"/>
  <c r="H9" i="4"/>
  <c r="F9" i="4"/>
  <c r="E9" i="4"/>
  <c r="D9" i="4"/>
  <c r="C9" i="4"/>
  <c r="N8" i="4"/>
  <c r="M8" i="4"/>
  <c r="AG8" i="4" s="1"/>
  <c r="L8" i="4"/>
  <c r="K8" i="4"/>
  <c r="Q8" i="4"/>
  <c r="R8" i="4" s="1"/>
  <c r="I8" i="4"/>
  <c r="AF8" i="4" s="1"/>
  <c r="H8" i="4"/>
  <c r="F8" i="4"/>
  <c r="E8" i="4"/>
  <c r="D8" i="4"/>
  <c r="N7" i="4"/>
  <c r="M7" i="4"/>
  <c r="AG7" i="4" s="1"/>
  <c r="L7" i="4"/>
  <c r="K7" i="4"/>
  <c r="Q7" i="4"/>
  <c r="R7" i="4" s="1"/>
  <c r="I7" i="4"/>
  <c r="AF7" i="4" s="1"/>
  <c r="H7" i="4"/>
  <c r="F7" i="4"/>
  <c r="E7" i="4"/>
  <c r="D7" i="4"/>
  <c r="C7" i="4"/>
  <c r="N6" i="4"/>
  <c r="M6" i="4"/>
  <c r="AG6" i="4" s="1"/>
  <c r="L6" i="4"/>
  <c r="K6" i="4"/>
  <c r="Q6" i="4"/>
  <c r="R6" i="4" s="1"/>
  <c r="I6" i="4"/>
  <c r="AF6" i="4" s="1"/>
  <c r="H6" i="4"/>
  <c r="F6" i="4"/>
  <c r="E6" i="4"/>
  <c r="D6" i="4"/>
  <c r="C6" i="4"/>
  <c r="N5" i="4"/>
  <c r="M5" i="4"/>
  <c r="AG5" i="4" s="1"/>
  <c r="L5" i="4"/>
  <c r="K5" i="4"/>
  <c r="Q5" i="4"/>
  <c r="R5" i="4" s="1"/>
  <c r="I5" i="4"/>
  <c r="AF5" i="4" s="1"/>
  <c r="H5" i="4"/>
  <c r="F5" i="4"/>
  <c r="E5" i="4"/>
  <c r="D5" i="4"/>
  <c r="C5" i="4"/>
  <c r="N4" i="4"/>
  <c r="M4" i="4"/>
  <c r="AG4" i="4" s="1"/>
  <c r="L4" i="4"/>
  <c r="K4" i="4"/>
  <c r="I4" i="4"/>
  <c r="AF4" i="4" s="1"/>
  <c r="H4" i="4"/>
  <c r="C4" i="4"/>
  <c r="D4" i="4"/>
  <c r="E4" i="4"/>
  <c r="F4" i="4"/>
  <c r="G4" i="4"/>
  <c r="F99" i="5"/>
  <c r="H99" i="5"/>
  <c r="J99" i="5"/>
  <c r="F98" i="5"/>
  <c r="H98" i="5"/>
  <c r="J98" i="5"/>
  <c r="F97" i="5"/>
  <c r="H97" i="5"/>
  <c r="J97" i="5"/>
  <c r="F96" i="5"/>
  <c r="H96" i="5"/>
  <c r="J96" i="5"/>
  <c r="F95" i="5"/>
  <c r="H95" i="5"/>
  <c r="J95" i="5"/>
  <c r="F94" i="5"/>
  <c r="H94" i="5"/>
  <c r="J94" i="5"/>
  <c r="F93" i="5"/>
  <c r="H93" i="5"/>
  <c r="J93" i="5"/>
  <c r="F92" i="5"/>
  <c r="H92" i="5"/>
  <c r="J92" i="5"/>
  <c r="F90" i="5"/>
  <c r="H90" i="5"/>
  <c r="J90" i="5"/>
  <c r="F89" i="5"/>
  <c r="H89" i="5"/>
  <c r="J89" i="5"/>
  <c r="F88" i="5"/>
  <c r="H88" i="5"/>
  <c r="J88" i="5"/>
  <c r="F87" i="5"/>
  <c r="H87" i="5"/>
  <c r="J87" i="5"/>
  <c r="F86" i="5"/>
  <c r="H86" i="5"/>
  <c r="J86" i="5"/>
  <c r="F85" i="5"/>
  <c r="H85" i="5"/>
  <c r="J85" i="5"/>
  <c r="F84" i="5"/>
  <c r="H84" i="5"/>
  <c r="J84" i="5"/>
  <c r="F83" i="5"/>
  <c r="H83" i="5"/>
  <c r="J83" i="5"/>
  <c r="F82" i="5"/>
  <c r="H82" i="5"/>
  <c r="J82" i="5"/>
  <c r="F81" i="5"/>
  <c r="H81" i="5"/>
  <c r="J81" i="5"/>
  <c r="F80" i="5"/>
  <c r="H80" i="5"/>
  <c r="J80" i="5"/>
  <c r="F79" i="5"/>
  <c r="H79" i="5"/>
  <c r="J79" i="5"/>
  <c r="F78" i="5"/>
  <c r="H78" i="5"/>
  <c r="J78" i="5"/>
  <c r="F77" i="5"/>
  <c r="H77" i="5"/>
  <c r="J77" i="5"/>
  <c r="F76" i="5"/>
  <c r="H76" i="5"/>
  <c r="J76" i="5"/>
  <c r="F75" i="5"/>
  <c r="H75" i="5"/>
  <c r="J75" i="5"/>
  <c r="F74" i="5"/>
  <c r="H74" i="5"/>
  <c r="J74" i="5"/>
  <c r="F73" i="5"/>
  <c r="H73" i="5"/>
  <c r="J73" i="5"/>
  <c r="F72" i="5"/>
  <c r="H72" i="5"/>
  <c r="J72" i="5"/>
  <c r="F71" i="5"/>
  <c r="H71" i="5"/>
  <c r="J71" i="5"/>
  <c r="F70" i="5"/>
  <c r="H70" i="5"/>
  <c r="J70" i="5"/>
  <c r="F69" i="5"/>
  <c r="H69" i="5"/>
  <c r="J69" i="5"/>
  <c r="F68" i="5"/>
  <c r="H68" i="5"/>
  <c r="J68" i="5"/>
  <c r="F67" i="5"/>
  <c r="H67" i="5"/>
  <c r="J67" i="5"/>
  <c r="F66" i="5"/>
  <c r="H66" i="5"/>
  <c r="J66" i="5"/>
  <c r="F65" i="5"/>
  <c r="H65" i="5"/>
  <c r="J65" i="5"/>
  <c r="F64" i="5"/>
  <c r="H64" i="5"/>
  <c r="J64" i="5"/>
  <c r="F63" i="5"/>
  <c r="H63" i="5"/>
  <c r="J63" i="5"/>
  <c r="F62" i="5"/>
  <c r="H62" i="5"/>
  <c r="J62" i="5"/>
  <c r="F61" i="5"/>
  <c r="H61" i="5"/>
  <c r="J61" i="5"/>
  <c r="F60" i="5"/>
  <c r="H60" i="5"/>
  <c r="J60" i="5"/>
  <c r="F59" i="5"/>
  <c r="H59" i="5"/>
  <c r="J59" i="5"/>
  <c r="F58" i="5"/>
  <c r="H58" i="5"/>
  <c r="J58" i="5"/>
  <c r="F57" i="5"/>
  <c r="H57" i="5"/>
  <c r="J57" i="5"/>
  <c r="F56" i="5"/>
  <c r="H56" i="5"/>
  <c r="J56" i="5"/>
  <c r="F55" i="5"/>
  <c r="H55" i="5"/>
  <c r="J55" i="5"/>
  <c r="F54" i="5"/>
  <c r="H54" i="5"/>
  <c r="J54" i="5"/>
  <c r="F53" i="5"/>
  <c r="H53" i="5"/>
  <c r="J53" i="5"/>
  <c r="F52" i="5"/>
  <c r="H52" i="5"/>
  <c r="J52" i="5"/>
  <c r="F51" i="5"/>
  <c r="H51" i="5"/>
  <c r="J51" i="5"/>
  <c r="F50" i="5"/>
  <c r="H50" i="5"/>
  <c r="J50" i="5"/>
  <c r="F49" i="5"/>
  <c r="H49" i="5"/>
  <c r="J49" i="5"/>
  <c r="F48" i="5"/>
  <c r="H48" i="5"/>
  <c r="J48" i="5"/>
  <c r="F47" i="5"/>
  <c r="H47" i="5"/>
  <c r="J47" i="5"/>
  <c r="F46" i="5"/>
  <c r="H46" i="5"/>
  <c r="J46" i="5"/>
  <c r="F45" i="5"/>
  <c r="H45" i="5"/>
  <c r="J45" i="5"/>
  <c r="F44" i="5"/>
  <c r="H44" i="5"/>
  <c r="J44" i="5"/>
  <c r="F43" i="5"/>
  <c r="H43" i="5"/>
  <c r="J43" i="5"/>
  <c r="F42" i="5"/>
  <c r="H42" i="5"/>
  <c r="J42" i="5"/>
  <c r="F41" i="5"/>
  <c r="H41" i="5"/>
  <c r="J41" i="5"/>
  <c r="F40" i="5"/>
  <c r="H40" i="5"/>
  <c r="J40" i="5"/>
  <c r="F39" i="5"/>
  <c r="H39" i="5"/>
  <c r="J39" i="5"/>
  <c r="F38" i="5"/>
  <c r="H38" i="5"/>
  <c r="J38" i="5"/>
  <c r="F37" i="5"/>
  <c r="H37" i="5"/>
  <c r="J37" i="5"/>
  <c r="F36" i="5"/>
  <c r="H36" i="5"/>
  <c r="J36" i="5"/>
  <c r="F35" i="5"/>
  <c r="H35" i="5"/>
  <c r="J35" i="5"/>
  <c r="F34" i="5"/>
  <c r="H34" i="5"/>
  <c r="J34" i="5"/>
  <c r="F33" i="5"/>
  <c r="H33" i="5"/>
  <c r="J33" i="5"/>
  <c r="F32" i="5"/>
  <c r="H32" i="5"/>
  <c r="J32" i="5"/>
  <c r="F31" i="5"/>
  <c r="H31" i="5"/>
  <c r="J31" i="5"/>
  <c r="F30" i="5"/>
  <c r="H30" i="5"/>
  <c r="J30" i="5"/>
  <c r="F29" i="5"/>
  <c r="H29" i="5"/>
  <c r="J29" i="5"/>
  <c r="F28" i="5"/>
  <c r="H28" i="5"/>
  <c r="J28" i="5"/>
  <c r="F27" i="5"/>
  <c r="H27" i="5"/>
  <c r="J27" i="5"/>
  <c r="F26" i="5"/>
  <c r="H26" i="5"/>
  <c r="J26" i="5"/>
  <c r="F25" i="5"/>
  <c r="H25" i="5"/>
  <c r="J25" i="5"/>
  <c r="F24" i="5"/>
  <c r="H24" i="5"/>
  <c r="J24" i="5"/>
  <c r="F23" i="5"/>
  <c r="H23" i="5"/>
  <c r="J23" i="5"/>
  <c r="F22" i="5"/>
  <c r="H22" i="5"/>
  <c r="J22" i="5"/>
  <c r="F21" i="5"/>
  <c r="H21" i="5"/>
  <c r="J21" i="5"/>
  <c r="F20" i="5"/>
  <c r="H20" i="5"/>
  <c r="J20" i="5"/>
  <c r="F19" i="5"/>
  <c r="H19" i="5"/>
  <c r="J19" i="5"/>
  <c r="F18" i="5"/>
  <c r="H18" i="5"/>
  <c r="J18" i="5"/>
  <c r="F17" i="5"/>
  <c r="H17" i="5"/>
  <c r="J17" i="5"/>
  <c r="F16" i="5"/>
  <c r="H16" i="5"/>
  <c r="J16" i="5"/>
  <c r="F15" i="5"/>
  <c r="H15" i="5"/>
  <c r="J15" i="5"/>
  <c r="F14" i="5"/>
  <c r="H14" i="5"/>
  <c r="J14" i="5"/>
  <c r="F13" i="5"/>
  <c r="H13" i="5"/>
  <c r="J13" i="5"/>
  <c r="F12" i="5"/>
  <c r="H12" i="5"/>
  <c r="J12" i="5"/>
  <c r="F11" i="5"/>
  <c r="H11" i="5"/>
  <c r="J11" i="5"/>
  <c r="F10" i="5"/>
  <c r="H10" i="5"/>
  <c r="J10" i="5"/>
  <c r="F9" i="5"/>
  <c r="H9" i="5"/>
  <c r="J9" i="5"/>
  <c r="F8" i="5"/>
  <c r="H8" i="5"/>
  <c r="J8" i="5"/>
  <c r="F7" i="5"/>
  <c r="H7" i="5"/>
  <c r="J7" i="5"/>
  <c r="F6" i="5"/>
  <c r="H6" i="5"/>
  <c r="J6" i="5"/>
  <c r="F5" i="5"/>
  <c r="H5" i="5"/>
  <c r="J5" i="5"/>
  <c r="F4" i="5"/>
  <c r="H4" i="5"/>
  <c r="J4" i="5"/>
  <c r="F3" i="5"/>
  <c r="H3" i="5"/>
  <c r="J3" i="5"/>
  <c r="V73" i="4" l="1"/>
  <c r="V75" i="4"/>
  <c r="V77" i="4"/>
  <c r="V79" i="4"/>
  <c r="V81" i="4"/>
  <c r="V83" i="4"/>
  <c r="V85" i="4"/>
  <c r="V87" i="4"/>
  <c r="V89" i="4"/>
  <c r="V91" i="4"/>
  <c r="V94" i="4"/>
  <c r="V96" i="4"/>
  <c r="V98" i="4"/>
  <c r="V100" i="4"/>
  <c r="V74" i="4"/>
  <c r="V78" i="4"/>
  <c r="V101" i="4"/>
  <c r="V72" i="4"/>
  <c r="V76" i="4"/>
  <c r="V84" i="4"/>
  <c r="V88" i="4"/>
  <c r="V95" i="4"/>
  <c r="V99" i="4"/>
  <c r="V80" i="4"/>
  <c r="V82" i="4"/>
  <c r="V86" i="4"/>
  <c r="V90" i="4"/>
  <c r="V92" i="4"/>
  <c r="V97" i="4"/>
  <c r="V64" i="4"/>
  <c r="V69" i="4"/>
  <c r="V61" i="4"/>
  <c r="V67" i="4"/>
  <c r="V71" i="4"/>
  <c r="V58" i="4"/>
  <c r="V65" i="4"/>
  <c r="V60" i="4"/>
  <c r="V63" i="4"/>
  <c r="V68" i="4"/>
  <c r="V62" i="4"/>
  <c r="V66" i="4"/>
  <c r="V70" i="4"/>
  <c r="V30" i="4"/>
  <c r="V42" i="4"/>
  <c r="V57" i="4"/>
  <c r="V55" i="4"/>
  <c r="V59" i="4"/>
  <c r="V54" i="4"/>
  <c r="V56" i="4"/>
  <c r="V13" i="4"/>
  <c r="V25" i="4"/>
  <c r="V37" i="4"/>
  <c r="V49" i="4"/>
  <c r="V6" i="4"/>
  <c r="V18" i="4"/>
  <c r="V14" i="4"/>
  <c r="V26" i="4"/>
  <c r="V38" i="4"/>
  <c r="V50" i="4"/>
  <c r="V9" i="4"/>
  <c r="V21" i="4"/>
  <c r="V33" i="4"/>
  <c r="V45" i="4"/>
  <c r="V7" i="4"/>
  <c r="V19" i="4"/>
  <c r="V31" i="4"/>
  <c r="V43" i="4"/>
  <c r="V15" i="4"/>
  <c r="V27" i="4"/>
  <c r="V39" i="4"/>
  <c r="V51" i="4"/>
  <c r="V4" i="4"/>
  <c r="V12" i="4"/>
  <c r="V24" i="4"/>
  <c r="V36" i="4"/>
  <c r="V48" i="4"/>
  <c r="V11" i="4"/>
  <c r="V23" i="4"/>
  <c r="V35" i="4"/>
  <c r="V47" i="4"/>
  <c r="V10" i="4"/>
  <c r="V22" i="4"/>
  <c r="V34" i="4"/>
  <c r="V46" i="4"/>
  <c r="V8" i="4"/>
  <c r="V20" i="4"/>
  <c r="V32" i="4"/>
  <c r="V44" i="4"/>
  <c r="V5" i="4"/>
  <c r="V17" i="4"/>
  <c r="V29" i="4"/>
  <c r="V41" i="4"/>
  <c r="V53" i="4"/>
  <c r="V16" i="4"/>
  <c r="V28" i="4"/>
  <c r="V40" i="4"/>
  <c r="V52" i="4"/>
  <c r="U6" i="4"/>
  <c r="U18" i="4"/>
  <c r="U62" i="4"/>
  <c r="U4" i="4"/>
  <c r="U14" i="4"/>
  <c r="U26" i="4"/>
  <c r="U38" i="4"/>
  <c r="U50" i="4"/>
  <c r="U49" i="4"/>
  <c r="U12" i="4"/>
  <c r="U48" i="4"/>
  <c r="U11" i="4"/>
  <c r="U23" i="4"/>
  <c r="U10" i="4"/>
  <c r="U22" i="4"/>
  <c r="U34" i="4"/>
  <c r="U46" i="4"/>
  <c r="U35" i="4"/>
  <c r="U47" i="4"/>
  <c r="U21" i="4"/>
  <c r="U33" i="4"/>
  <c r="U45" i="4"/>
  <c r="U9" i="4"/>
  <c r="U8" i="4"/>
  <c r="U20" i="4"/>
  <c r="U32" i="4"/>
  <c r="U44" i="4"/>
  <c r="U7" i="4"/>
  <c r="U43" i="4"/>
  <c r="U13" i="4"/>
  <c r="U25" i="4"/>
  <c r="U24" i="4"/>
  <c r="U55" i="4"/>
  <c r="U58" i="4"/>
  <c r="U63" i="4"/>
  <c r="U66" i="4"/>
  <c r="U69" i="4"/>
  <c r="U71" i="4"/>
  <c r="U74" i="4"/>
  <c r="U75" i="4"/>
  <c r="U76" i="4"/>
  <c r="U79" i="4"/>
  <c r="U80" i="4"/>
  <c r="U81" i="4"/>
  <c r="U82" i="4"/>
  <c r="U83" i="4"/>
  <c r="U84" i="4"/>
  <c r="U85" i="4"/>
  <c r="U86" i="4"/>
  <c r="U87" i="4"/>
  <c r="U88" i="4"/>
  <c r="U89" i="4"/>
  <c r="U90" i="4"/>
  <c r="U91" i="4"/>
  <c r="U92" i="4"/>
  <c r="U94" i="4"/>
  <c r="U95" i="4"/>
  <c r="U96" i="4"/>
  <c r="U97" i="4"/>
  <c r="U98" i="4"/>
  <c r="U99" i="4"/>
  <c r="U100" i="4"/>
  <c r="U101" i="4"/>
  <c r="U36" i="4"/>
  <c r="U19" i="4"/>
  <c r="U56" i="4"/>
  <c r="U61" i="4"/>
  <c r="U65" i="4"/>
  <c r="U68" i="4"/>
  <c r="U72" i="4"/>
  <c r="U78" i="4"/>
  <c r="U5" i="4"/>
  <c r="U17" i="4"/>
  <c r="U29" i="4"/>
  <c r="U41" i="4"/>
  <c r="U53" i="4"/>
  <c r="U37" i="4"/>
  <c r="U31" i="4"/>
  <c r="U30" i="4"/>
  <c r="U42" i="4"/>
  <c r="U54" i="4"/>
  <c r="U57" i="4"/>
  <c r="U60" i="4"/>
  <c r="U64" i="4"/>
  <c r="U67" i="4"/>
  <c r="U70" i="4"/>
  <c r="U73" i="4"/>
  <c r="U77" i="4"/>
  <c r="U16" i="4"/>
  <c r="U28" i="4"/>
  <c r="U40" i="4"/>
  <c r="U52" i="4"/>
  <c r="U59" i="4"/>
  <c r="U15" i="4"/>
  <c r="U27" i="4"/>
  <c r="U39" i="4"/>
  <c r="U51" i="4"/>
  <c r="D91" i="5"/>
  <c r="D104" i="5"/>
  <c r="F102" i="4"/>
  <c r="F93" i="4"/>
  <c r="G102" i="4"/>
  <c r="G93" i="4"/>
  <c r="D8" i="5"/>
  <c r="D14" i="5"/>
  <c r="D20" i="5"/>
  <c r="D26" i="5"/>
  <c r="D32" i="5"/>
  <c r="D38" i="5"/>
  <c r="D44" i="5"/>
  <c r="D46" i="5"/>
  <c r="D52" i="5"/>
  <c r="D58" i="5"/>
  <c r="D64" i="5"/>
  <c r="D70" i="5"/>
  <c r="D76" i="5"/>
  <c r="D82" i="5"/>
  <c r="D88" i="5"/>
  <c r="D95" i="5"/>
  <c r="D7" i="5"/>
  <c r="D13" i="5"/>
  <c r="D19" i="5"/>
  <c r="D25" i="5"/>
  <c r="D31" i="5"/>
  <c r="D37" i="5"/>
  <c r="D43" i="5"/>
  <c r="D45" i="5"/>
  <c r="D51" i="5"/>
  <c r="D57" i="5"/>
  <c r="D63" i="5"/>
  <c r="D69" i="5"/>
  <c r="D75" i="5"/>
  <c r="D81" i="5"/>
  <c r="D87" i="5"/>
  <c r="D94" i="5"/>
  <c r="D18" i="5"/>
  <c r="D24" i="5"/>
  <c r="D30" i="5"/>
  <c r="D36" i="5"/>
  <c r="D42" i="5"/>
  <c r="D50" i="5"/>
  <c r="D56" i="5"/>
  <c r="D62" i="5"/>
  <c r="D68" i="5"/>
  <c r="D74" i="5"/>
  <c r="D80" i="5"/>
  <c r="D86" i="5"/>
  <c r="D93" i="5"/>
  <c r="D99" i="5"/>
  <c r="D6" i="5"/>
  <c r="D12" i="5"/>
  <c r="D17" i="5"/>
  <c r="D29" i="5"/>
  <c r="D41" i="5"/>
  <c r="D49" i="5"/>
  <c r="D55" i="5"/>
  <c r="D61" i="5"/>
  <c r="D67" i="5"/>
  <c r="D73" i="5"/>
  <c r="D79" i="5"/>
  <c r="D85" i="5"/>
  <c r="D92" i="5"/>
  <c r="D98" i="5"/>
  <c r="D11" i="5"/>
  <c r="D35" i="5"/>
  <c r="D23" i="5"/>
  <c r="D16" i="5"/>
  <c r="D22" i="5"/>
  <c r="D34" i="5"/>
  <c r="D48" i="5"/>
  <c r="D54" i="5"/>
  <c r="D60" i="5"/>
  <c r="D66" i="5"/>
  <c r="D72" i="5"/>
  <c r="D78" i="5"/>
  <c r="D84" i="5"/>
  <c r="D90" i="5"/>
  <c r="D97" i="5"/>
  <c r="D5" i="5"/>
  <c r="D4" i="5"/>
  <c r="D10" i="5"/>
  <c r="D28" i="5"/>
  <c r="D40" i="5"/>
  <c r="D15" i="5"/>
  <c r="D21" i="5"/>
  <c r="D27" i="5"/>
  <c r="D39" i="5"/>
  <c r="D47" i="5"/>
  <c r="D53" i="5"/>
  <c r="D59" i="5"/>
  <c r="D65" i="5"/>
  <c r="D71" i="5"/>
  <c r="D77" i="5"/>
  <c r="D83" i="5"/>
  <c r="D89" i="5"/>
  <c r="D96" i="5"/>
  <c r="D3" i="5"/>
  <c r="D9" i="5"/>
  <c r="D33" i="5"/>
  <c r="T102" i="4"/>
  <c r="AI102" i="4" s="1"/>
  <c r="T101" i="4"/>
  <c r="AI101" i="4" s="1"/>
  <c r="T100" i="4"/>
  <c r="AI100" i="4" s="1"/>
  <c r="T99" i="4"/>
  <c r="AI99" i="4" s="1"/>
  <c r="T98" i="4"/>
  <c r="AI98" i="4" s="1"/>
  <c r="T97" i="4"/>
  <c r="AI97" i="4" s="1"/>
  <c r="T96" i="4"/>
  <c r="AI96" i="4" s="1"/>
  <c r="T95" i="4"/>
  <c r="AI95" i="4" s="1"/>
  <c r="T94" i="4"/>
  <c r="AI94" i="4" s="1"/>
  <c r="T93" i="4"/>
  <c r="AI93" i="4" s="1"/>
  <c r="T92" i="4"/>
  <c r="AI92" i="4" s="1"/>
  <c r="T91" i="4"/>
  <c r="AI91" i="4" s="1"/>
  <c r="T90" i="4"/>
  <c r="AI90" i="4" s="1"/>
  <c r="T89" i="4"/>
  <c r="AI89" i="4" s="1"/>
  <c r="T88" i="4"/>
  <c r="AI88" i="4" s="1"/>
  <c r="T87" i="4"/>
  <c r="AI87" i="4" s="1"/>
  <c r="T86" i="4"/>
  <c r="AI86" i="4" s="1"/>
  <c r="T85" i="4"/>
  <c r="AI85" i="4" s="1"/>
  <c r="T84" i="4"/>
  <c r="AI84" i="4" s="1"/>
  <c r="T83" i="4"/>
  <c r="AI83" i="4" s="1"/>
  <c r="T82" i="4"/>
  <c r="AI82" i="4" s="1"/>
  <c r="T81" i="4"/>
  <c r="AI81" i="4" s="1"/>
  <c r="T80" i="4"/>
  <c r="AI80" i="4" s="1"/>
  <c r="T79" i="4"/>
  <c r="AI79" i="4" s="1"/>
  <c r="T78" i="4"/>
  <c r="AI78" i="4" s="1"/>
  <c r="T77" i="4"/>
  <c r="AI77" i="4" s="1"/>
  <c r="T76" i="4"/>
  <c r="AI76" i="4" s="1"/>
  <c r="T75" i="4"/>
  <c r="AI75" i="4" s="1"/>
  <c r="T74" i="4"/>
  <c r="AI74" i="4" s="1"/>
  <c r="T73" i="4"/>
  <c r="AI73" i="4" s="1"/>
  <c r="T72" i="4"/>
  <c r="AI72" i="4" s="1"/>
  <c r="T71" i="4"/>
  <c r="AI71" i="4" s="1"/>
  <c r="T70" i="4"/>
  <c r="AI70" i="4" s="1"/>
  <c r="T69" i="4"/>
  <c r="AI69" i="4" s="1"/>
  <c r="T68" i="4"/>
  <c r="AI68" i="4" s="1"/>
  <c r="T67" i="4"/>
  <c r="AI67" i="4" s="1"/>
  <c r="T66" i="4"/>
  <c r="AI66" i="4" s="1"/>
  <c r="T65" i="4"/>
  <c r="AI65" i="4" s="1"/>
  <c r="T64" i="4"/>
  <c r="AI64" i="4" s="1"/>
  <c r="T63" i="4"/>
  <c r="AI63" i="4" s="1"/>
  <c r="T62" i="4"/>
  <c r="AI62" i="4" s="1"/>
  <c r="T61" i="4"/>
  <c r="AI61" i="4" s="1"/>
  <c r="T60" i="4"/>
  <c r="AI60" i="4" s="1"/>
  <c r="T59" i="4"/>
  <c r="AI59" i="4" s="1"/>
  <c r="T58" i="4"/>
  <c r="AI58" i="4" s="1"/>
  <c r="T57" i="4"/>
  <c r="AI57" i="4" s="1"/>
  <c r="T56" i="4"/>
  <c r="AI56" i="4" s="1"/>
  <c r="T55" i="4"/>
  <c r="AI55" i="4" s="1"/>
  <c r="T54" i="4"/>
  <c r="AI54" i="4" s="1"/>
  <c r="T53" i="4"/>
  <c r="AI53" i="4" s="1"/>
  <c r="T52" i="4"/>
  <c r="AI52" i="4" s="1"/>
  <c r="T51" i="4"/>
  <c r="AI51" i="4" s="1"/>
  <c r="T50" i="4"/>
  <c r="AI50" i="4" s="1"/>
  <c r="T49" i="4"/>
  <c r="AI49" i="4" s="1"/>
  <c r="T48" i="4"/>
  <c r="AI48" i="4" s="1"/>
  <c r="T47" i="4"/>
  <c r="AI47" i="4" s="1"/>
  <c r="T46" i="4"/>
  <c r="AI46" i="4" s="1"/>
  <c r="T45" i="4"/>
  <c r="AI45" i="4" s="1"/>
  <c r="T44" i="4"/>
  <c r="AI44" i="4" s="1"/>
  <c r="T43" i="4"/>
  <c r="AI43" i="4" s="1"/>
  <c r="T42" i="4"/>
  <c r="AI42" i="4" s="1"/>
  <c r="T41" i="4"/>
  <c r="AI41" i="4" s="1"/>
  <c r="T40" i="4"/>
  <c r="AI40" i="4" s="1"/>
  <c r="T39" i="4"/>
  <c r="AI39" i="4" s="1"/>
  <c r="T38" i="4"/>
  <c r="AI38" i="4" s="1"/>
  <c r="T37" i="4"/>
  <c r="AI37" i="4" s="1"/>
  <c r="T36" i="4"/>
  <c r="AI36" i="4" s="1"/>
  <c r="T35" i="4"/>
  <c r="AI35" i="4" s="1"/>
  <c r="T34" i="4"/>
  <c r="AI34" i="4" s="1"/>
  <c r="T33" i="4"/>
  <c r="AI33" i="4" s="1"/>
  <c r="T32" i="4"/>
  <c r="AI32" i="4" s="1"/>
  <c r="T31" i="4"/>
  <c r="AI31" i="4" s="1"/>
  <c r="T30" i="4"/>
  <c r="AI30" i="4" s="1"/>
  <c r="T29" i="4"/>
  <c r="AI29" i="4" s="1"/>
  <c r="T28" i="4"/>
  <c r="AI28" i="4" s="1"/>
  <c r="T27" i="4"/>
  <c r="AI27" i="4" s="1"/>
  <c r="T26" i="4"/>
  <c r="AI26" i="4" s="1"/>
  <c r="T25" i="4"/>
  <c r="AI25" i="4" s="1"/>
  <c r="T24" i="4"/>
  <c r="AI24" i="4" s="1"/>
  <c r="T23" i="4"/>
  <c r="AI23" i="4" s="1"/>
  <c r="T22" i="4"/>
  <c r="AI22" i="4" s="1"/>
  <c r="T21" i="4"/>
  <c r="AI21" i="4" s="1"/>
  <c r="T20" i="4"/>
  <c r="AI20" i="4" s="1"/>
  <c r="T19" i="4"/>
  <c r="AI19" i="4" s="1"/>
  <c r="T18" i="4"/>
  <c r="AI18" i="4" s="1"/>
  <c r="T17" i="4"/>
  <c r="AI17" i="4" s="1"/>
  <c r="T16" i="4"/>
  <c r="AI16" i="4" s="1"/>
  <c r="T15" i="4"/>
  <c r="AI15" i="4" s="1"/>
  <c r="T14" i="4"/>
  <c r="AI14" i="4" s="1"/>
  <c r="T13" i="4"/>
  <c r="AI13" i="4" s="1"/>
  <c r="T12" i="4"/>
  <c r="AI12" i="4" s="1"/>
  <c r="T11" i="4"/>
  <c r="AI11" i="4" s="1"/>
  <c r="T10" i="4"/>
  <c r="AI10" i="4" s="1"/>
  <c r="T9" i="4"/>
  <c r="AI9" i="4" s="1"/>
  <c r="T8" i="4"/>
  <c r="AI8" i="4" s="1"/>
  <c r="T7" i="4"/>
  <c r="AI7" i="4" s="1"/>
  <c r="T6" i="4"/>
  <c r="AI6" i="4" s="1"/>
  <c r="T5" i="4"/>
  <c r="AI5" i="4" s="1"/>
  <c r="S102" i="4"/>
  <c r="S101" i="4"/>
  <c r="S100" i="4"/>
  <c r="S99" i="4"/>
  <c r="S98" i="4"/>
  <c r="S97" i="4"/>
  <c r="S96" i="4"/>
  <c r="S95" i="4"/>
  <c r="S94" i="4"/>
  <c r="S93" i="4"/>
  <c r="S92" i="4"/>
  <c r="S91" i="4"/>
  <c r="S90" i="4"/>
  <c r="S89" i="4"/>
  <c r="S88" i="4"/>
  <c r="S87" i="4"/>
  <c r="S86" i="4"/>
  <c r="S85" i="4"/>
  <c r="S84" i="4"/>
  <c r="S83" i="4"/>
  <c r="S82" i="4"/>
  <c r="S81" i="4"/>
  <c r="S80" i="4"/>
  <c r="S79" i="4"/>
  <c r="S78" i="4"/>
  <c r="S77" i="4"/>
  <c r="S76" i="4"/>
  <c r="S75" i="4"/>
  <c r="S74" i="4"/>
  <c r="S73" i="4"/>
  <c r="S72" i="4"/>
  <c r="S71" i="4"/>
  <c r="S70" i="4"/>
  <c r="S69" i="4"/>
  <c r="S68" i="4"/>
  <c r="S67" i="4"/>
  <c r="S66" i="4"/>
  <c r="S65" i="4"/>
  <c r="S64" i="4"/>
  <c r="S63" i="4"/>
  <c r="S62" i="4"/>
  <c r="S61" i="4"/>
  <c r="S60" i="4"/>
  <c r="S59" i="4"/>
  <c r="S58" i="4"/>
  <c r="S57" i="4"/>
  <c r="S56" i="4"/>
  <c r="S55" i="4"/>
  <c r="S54" i="4"/>
  <c r="S53" i="4"/>
  <c r="S52" i="4"/>
  <c r="S51" i="4"/>
  <c r="S50" i="4"/>
  <c r="S49" i="4"/>
  <c r="S48" i="4"/>
  <c r="S47" i="4"/>
  <c r="S46" i="4"/>
  <c r="S45" i="4"/>
  <c r="S44" i="4"/>
  <c r="S43" i="4"/>
  <c r="S42" i="4"/>
  <c r="S41" i="4"/>
  <c r="S40" i="4"/>
  <c r="S39" i="4"/>
  <c r="S38" i="4"/>
  <c r="S37" i="4"/>
  <c r="S36" i="4"/>
  <c r="S35" i="4"/>
  <c r="S34" i="4"/>
  <c r="S33" i="4"/>
  <c r="S32" i="4"/>
  <c r="S31" i="4"/>
  <c r="S30" i="4"/>
  <c r="S29" i="4"/>
  <c r="S28" i="4"/>
  <c r="S27" i="4"/>
  <c r="S26" i="4"/>
  <c r="S25" i="4"/>
  <c r="S24" i="4"/>
  <c r="S23" i="4"/>
  <c r="S22" i="4"/>
  <c r="S21" i="4"/>
  <c r="S20" i="4"/>
  <c r="S19" i="4"/>
  <c r="S18" i="4"/>
  <c r="S17" i="4"/>
  <c r="S16" i="4"/>
  <c r="S15" i="4"/>
  <c r="S14" i="4"/>
  <c r="S13" i="4"/>
  <c r="S12" i="4"/>
  <c r="S11" i="4"/>
  <c r="S10" i="4"/>
  <c r="S9" i="4"/>
  <c r="S8" i="4"/>
  <c r="S7" i="4"/>
  <c r="S6" i="4"/>
  <c r="S5" i="4"/>
  <c r="S4" i="4"/>
  <c r="X5" i="4" l="1"/>
  <c r="W5" i="4" l="1"/>
  <c r="AH5" i="4"/>
  <c r="O102" i="4"/>
  <c r="N102" i="4"/>
  <c r="M102" i="4"/>
  <c r="AG102" i="4" s="1"/>
  <c r="L102" i="4"/>
  <c r="K102" i="4"/>
  <c r="Q102" i="4"/>
  <c r="R102" i="4" s="1"/>
  <c r="I102" i="4"/>
  <c r="AF102" i="4" s="1"/>
  <c r="H102" i="4"/>
  <c r="E102" i="4"/>
  <c r="D102" i="4"/>
  <c r="C102" i="4"/>
  <c r="O93" i="4"/>
  <c r="N93" i="4"/>
  <c r="M93" i="4"/>
  <c r="AG93" i="4" s="1"/>
  <c r="L93" i="4"/>
  <c r="K93" i="4"/>
  <c r="Q93" i="4"/>
  <c r="R93" i="4" s="1"/>
  <c r="I93" i="4"/>
  <c r="AF93" i="4" s="1"/>
  <c r="H93" i="4"/>
  <c r="E93" i="4"/>
  <c r="D93" i="4"/>
  <c r="C93" i="4"/>
  <c r="V102" i="4" l="1"/>
  <c r="V93" i="4"/>
  <c r="U102" i="4"/>
  <c r="U93" i="4"/>
  <c r="H101" i="10"/>
  <c r="J101" i="10" s="1"/>
  <c r="F101" i="10"/>
  <c r="H92" i="10"/>
  <c r="J92" i="10" s="1"/>
  <c r="F92" i="10"/>
  <c r="B104" i="10"/>
  <c r="J92" i="9"/>
  <c r="I92" i="9"/>
  <c r="J101" i="9"/>
  <c r="I101" i="9"/>
  <c r="B104" i="9"/>
  <c r="L91" i="5"/>
  <c r="I91" i="5"/>
  <c r="H91" i="5"/>
  <c r="G91" i="5"/>
  <c r="F91" i="5"/>
  <c r="E91" i="5"/>
  <c r="P4" i="4"/>
  <c r="E104" i="9" l="1"/>
  <c r="E104" i="10"/>
  <c r="D104" i="10"/>
  <c r="D104" i="9"/>
  <c r="C104" i="10"/>
  <c r="C104" i="9"/>
  <c r="C92" i="9" l="1"/>
  <c r="C101" i="9"/>
  <c r="C92" i="10"/>
  <c r="C101" i="10"/>
  <c r="D101" i="9"/>
  <c r="D92" i="9"/>
  <c r="D101" i="10"/>
  <c r="D92" i="10"/>
  <c r="E101" i="10"/>
  <c r="E92" i="10"/>
  <c r="E101" i="9"/>
  <c r="E92" i="9"/>
  <c r="B101" i="10"/>
  <c r="E100" i="10"/>
  <c r="D100" i="10"/>
  <c r="C100" i="10"/>
  <c r="B100" i="10"/>
  <c r="E99" i="10"/>
  <c r="D99" i="10"/>
  <c r="C99" i="10"/>
  <c r="B99" i="10"/>
  <c r="E98" i="10"/>
  <c r="D98" i="10"/>
  <c r="C98" i="10"/>
  <c r="B98" i="10"/>
  <c r="E97" i="10"/>
  <c r="D97" i="10"/>
  <c r="C97" i="10"/>
  <c r="B97" i="10"/>
  <c r="E96" i="10"/>
  <c r="D96" i="10"/>
  <c r="C96" i="10"/>
  <c r="B96" i="10"/>
  <c r="E95" i="10"/>
  <c r="D95" i="10"/>
  <c r="C95" i="10"/>
  <c r="B95" i="10"/>
  <c r="E94" i="10"/>
  <c r="D94" i="10"/>
  <c r="C94" i="10"/>
  <c r="B94" i="10"/>
  <c r="E93" i="10"/>
  <c r="D93" i="10"/>
  <c r="C93" i="10"/>
  <c r="B93" i="10"/>
  <c r="B92" i="10"/>
  <c r="E91" i="10"/>
  <c r="D91" i="10"/>
  <c r="C91" i="10"/>
  <c r="B91" i="10"/>
  <c r="E90" i="10"/>
  <c r="D90" i="10"/>
  <c r="C90" i="10"/>
  <c r="B90" i="10"/>
  <c r="E89" i="10"/>
  <c r="D89" i="10"/>
  <c r="C89" i="10"/>
  <c r="B89" i="10"/>
  <c r="E88" i="10"/>
  <c r="D88" i="10"/>
  <c r="C88" i="10"/>
  <c r="B88" i="10"/>
  <c r="E87" i="10"/>
  <c r="D87" i="10"/>
  <c r="C87" i="10"/>
  <c r="B87" i="10"/>
  <c r="E86" i="10"/>
  <c r="D86" i="10"/>
  <c r="C86" i="10"/>
  <c r="B86" i="10"/>
  <c r="E85" i="10"/>
  <c r="D85" i="10"/>
  <c r="C85" i="10"/>
  <c r="B85" i="10"/>
  <c r="E84" i="10"/>
  <c r="D84" i="10"/>
  <c r="C84" i="10"/>
  <c r="B84" i="10"/>
  <c r="E83" i="10"/>
  <c r="D83" i="10"/>
  <c r="C83" i="10"/>
  <c r="B83" i="10"/>
  <c r="E82" i="10"/>
  <c r="D82" i="10"/>
  <c r="C82" i="10"/>
  <c r="B82" i="10"/>
  <c r="E81" i="10"/>
  <c r="D81" i="10"/>
  <c r="C81" i="10"/>
  <c r="B81" i="10"/>
  <c r="E80" i="10"/>
  <c r="D80" i="10"/>
  <c r="C80" i="10"/>
  <c r="B80" i="10"/>
  <c r="E79" i="10"/>
  <c r="D79" i="10"/>
  <c r="C79" i="10"/>
  <c r="B79" i="10"/>
  <c r="E78" i="10"/>
  <c r="D78" i="10"/>
  <c r="C78" i="10"/>
  <c r="B78" i="10"/>
  <c r="E77" i="10"/>
  <c r="D77" i="10"/>
  <c r="C77" i="10"/>
  <c r="B77" i="10"/>
  <c r="E76" i="10"/>
  <c r="D76" i="10"/>
  <c r="C76" i="10"/>
  <c r="B76" i="10"/>
  <c r="E75" i="10"/>
  <c r="D75" i="10"/>
  <c r="C75" i="10"/>
  <c r="B75" i="10"/>
  <c r="E74" i="10"/>
  <c r="D74" i="10"/>
  <c r="C74" i="10"/>
  <c r="B74" i="10"/>
  <c r="E73" i="10"/>
  <c r="D73" i="10"/>
  <c r="C73" i="10"/>
  <c r="B73" i="10"/>
  <c r="E72" i="10"/>
  <c r="D72" i="10"/>
  <c r="C72" i="10"/>
  <c r="B72" i="10"/>
  <c r="E71" i="10"/>
  <c r="D71" i="10"/>
  <c r="C71" i="10"/>
  <c r="B71" i="10"/>
  <c r="E70" i="10"/>
  <c r="D70" i="10"/>
  <c r="C70" i="10"/>
  <c r="B70" i="10"/>
  <c r="E69" i="10"/>
  <c r="D69" i="10"/>
  <c r="C69" i="10"/>
  <c r="B69" i="10"/>
  <c r="E68" i="10"/>
  <c r="D68" i="10"/>
  <c r="C68" i="10"/>
  <c r="B68" i="10"/>
  <c r="E67" i="10"/>
  <c r="D67" i="10"/>
  <c r="C67" i="10"/>
  <c r="B67" i="10"/>
  <c r="E66" i="10"/>
  <c r="D66" i="10"/>
  <c r="C66" i="10"/>
  <c r="B66" i="10"/>
  <c r="E65" i="10"/>
  <c r="D65" i="10"/>
  <c r="C65" i="10"/>
  <c r="B65" i="10"/>
  <c r="E64" i="10"/>
  <c r="D64" i="10"/>
  <c r="C64" i="10"/>
  <c r="B64" i="10"/>
  <c r="E63" i="10"/>
  <c r="D63" i="10"/>
  <c r="C63" i="10"/>
  <c r="B63" i="10"/>
  <c r="E62" i="10"/>
  <c r="D62" i="10"/>
  <c r="C62" i="10"/>
  <c r="B62" i="10"/>
  <c r="E61" i="10"/>
  <c r="D61" i="10"/>
  <c r="C61" i="10"/>
  <c r="B61" i="10"/>
  <c r="E60" i="10"/>
  <c r="D60" i="10"/>
  <c r="C60" i="10"/>
  <c r="B60" i="10"/>
  <c r="E59" i="10"/>
  <c r="D59" i="10"/>
  <c r="C59" i="10"/>
  <c r="B59" i="10"/>
  <c r="E58" i="10"/>
  <c r="D58" i="10"/>
  <c r="C58" i="10"/>
  <c r="B58" i="10"/>
  <c r="E57" i="10"/>
  <c r="D57" i="10"/>
  <c r="C57" i="10"/>
  <c r="B57" i="10"/>
  <c r="E56" i="10"/>
  <c r="D56" i="10"/>
  <c r="C56" i="10"/>
  <c r="B56" i="10"/>
  <c r="E55" i="10"/>
  <c r="D55" i="10"/>
  <c r="C55" i="10"/>
  <c r="B55" i="10"/>
  <c r="E54" i="10"/>
  <c r="D54" i="10"/>
  <c r="C54" i="10"/>
  <c r="B54" i="10"/>
  <c r="E53" i="10"/>
  <c r="D53" i="10"/>
  <c r="C53" i="10"/>
  <c r="B53" i="10"/>
  <c r="E52" i="10"/>
  <c r="D52" i="10"/>
  <c r="C52" i="10"/>
  <c r="B52" i="10"/>
  <c r="E51" i="10"/>
  <c r="D51" i="10"/>
  <c r="C51" i="10"/>
  <c r="B51" i="10"/>
  <c r="E50" i="10"/>
  <c r="D50" i="10"/>
  <c r="C50" i="10"/>
  <c r="B50" i="10"/>
  <c r="E49" i="10"/>
  <c r="D49" i="10"/>
  <c r="C49" i="10"/>
  <c r="B49" i="10"/>
  <c r="E48" i="10"/>
  <c r="D48" i="10"/>
  <c r="C48" i="10"/>
  <c r="B48" i="10"/>
  <c r="E47" i="10"/>
  <c r="D47" i="10"/>
  <c r="C47" i="10"/>
  <c r="B47" i="10"/>
  <c r="E46" i="10"/>
  <c r="D46" i="10"/>
  <c r="C46" i="10"/>
  <c r="B46" i="10"/>
  <c r="E45" i="10"/>
  <c r="D45" i="10"/>
  <c r="C45" i="10"/>
  <c r="B45" i="10"/>
  <c r="E44" i="10"/>
  <c r="D44" i="10"/>
  <c r="C44" i="10"/>
  <c r="B44" i="10"/>
  <c r="E43" i="10"/>
  <c r="D43" i="10"/>
  <c r="C43" i="10"/>
  <c r="B43" i="10"/>
  <c r="E42" i="10"/>
  <c r="D42" i="10"/>
  <c r="C42" i="10"/>
  <c r="B42" i="10"/>
  <c r="E41" i="10"/>
  <c r="D41" i="10"/>
  <c r="C41" i="10"/>
  <c r="B41" i="10"/>
  <c r="E40" i="10"/>
  <c r="D40" i="10"/>
  <c r="C40" i="10"/>
  <c r="B40" i="10"/>
  <c r="E39" i="10"/>
  <c r="D39" i="10"/>
  <c r="C39" i="10"/>
  <c r="B39" i="10"/>
  <c r="E38" i="10"/>
  <c r="D38" i="10"/>
  <c r="C38" i="10"/>
  <c r="B38" i="10"/>
  <c r="E37" i="10"/>
  <c r="D37" i="10"/>
  <c r="C37" i="10"/>
  <c r="B37" i="10"/>
  <c r="E36" i="10"/>
  <c r="D36" i="10"/>
  <c r="C36" i="10"/>
  <c r="B36" i="10"/>
  <c r="E35" i="10"/>
  <c r="D35" i="10"/>
  <c r="C35" i="10"/>
  <c r="B35" i="10"/>
  <c r="E34" i="10"/>
  <c r="D34" i="10"/>
  <c r="C34" i="10"/>
  <c r="B34" i="10"/>
  <c r="E33" i="10"/>
  <c r="D33" i="10"/>
  <c r="C33" i="10"/>
  <c r="B33" i="10"/>
  <c r="E32" i="10"/>
  <c r="D32" i="10"/>
  <c r="C32" i="10"/>
  <c r="B32" i="10"/>
  <c r="E31" i="10"/>
  <c r="D31" i="10"/>
  <c r="C31" i="10"/>
  <c r="B31" i="10"/>
  <c r="E30" i="10"/>
  <c r="D30" i="10"/>
  <c r="C30" i="10"/>
  <c r="B30" i="10"/>
  <c r="E29" i="10"/>
  <c r="D29" i="10"/>
  <c r="C29" i="10"/>
  <c r="B29" i="10"/>
  <c r="E28" i="10"/>
  <c r="D28" i="10"/>
  <c r="C28" i="10"/>
  <c r="B28" i="10"/>
  <c r="E27" i="10"/>
  <c r="D27" i="10"/>
  <c r="C27" i="10"/>
  <c r="B27" i="10"/>
  <c r="E26" i="10"/>
  <c r="D26" i="10"/>
  <c r="C26" i="10"/>
  <c r="B26" i="10"/>
  <c r="E25" i="10"/>
  <c r="D25" i="10"/>
  <c r="C25" i="10"/>
  <c r="B25" i="10"/>
  <c r="E24" i="10"/>
  <c r="D24" i="10"/>
  <c r="C24" i="10"/>
  <c r="B24" i="10"/>
  <c r="E23" i="10"/>
  <c r="D23" i="10"/>
  <c r="C23" i="10"/>
  <c r="B23" i="10"/>
  <c r="E22" i="10"/>
  <c r="D22" i="10"/>
  <c r="C22" i="10"/>
  <c r="B22" i="10"/>
  <c r="E21" i="10"/>
  <c r="D21" i="10"/>
  <c r="C21" i="10"/>
  <c r="B21" i="10"/>
  <c r="E20" i="10"/>
  <c r="D20" i="10"/>
  <c r="C20" i="10"/>
  <c r="B20" i="10"/>
  <c r="E19" i="10"/>
  <c r="D19" i="10"/>
  <c r="C19" i="10"/>
  <c r="B19" i="10"/>
  <c r="E18" i="10"/>
  <c r="D18" i="10"/>
  <c r="C18" i="10"/>
  <c r="B18" i="10"/>
  <c r="E17" i="10"/>
  <c r="D17" i="10"/>
  <c r="C17" i="10"/>
  <c r="B17" i="10"/>
  <c r="E16" i="10"/>
  <c r="D16" i="10"/>
  <c r="C16" i="10"/>
  <c r="B16" i="10"/>
  <c r="E15" i="10"/>
  <c r="D15" i="10"/>
  <c r="C15" i="10"/>
  <c r="B15" i="10"/>
  <c r="E14" i="10"/>
  <c r="D14" i="10"/>
  <c r="C14" i="10"/>
  <c r="B14" i="10"/>
  <c r="E13" i="10"/>
  <c r="D13" i="10"/>
  <c r="C13" i="10"/>
  <c r="B13" i="10"/>
  <c r="E12" i="10"/>
  <c r="D12" i="10"/>
  <c r="C12" i="10"/>
  <c r="B12" i="10"/>
  <c r="E11" i="10"/>
  <c r="D11" i="10"/>
  <c r="C11" i="10"/>
  <c r="B11" i="10"/>
  <c r="E10" i="10"/>
  <c r="D10" i="10"/>
  <c r="C10" i="10"/>
  <c r="B10" i="10"/>
  <c r="E9" i="10"/>
  <c r="D9" i="10"/>
  <c r="C9" i="10"/>
  <c r="B9" i="10"/>
  <c r="E8" i="10"/>
  <c r="D8" i="10"/>
  <c r="C8" i="10"/>
  <c r="B8" i="10"/>
  <c r="E7" i="10"/>
  <c r="D7" i="10"/>
  <c r="C7" i="10"/>
  <c r="B7" i="10"/>
  <c r="E6" i="10"/>
  <c r="D6" i="10"/>
  <c r="C6" i="10"/>
  <c r="B6" i="10"/>
  <c r="E5" i="10"/>
  <c r="D5" i="10"/>
  <c r="C5" i="10"/>
  <c r="B5" i="10"/>
  <c r="E4" i="10"/>
  <c r="D4" i="10"/>
  <c r="C4" i="10"/>
  <c r="B4" i="10"/>
  <c r="E3" i="10"/>
  <c r="D3" i="10"/>
  <c r="B3" i="10"/>
  <c r="B101" i="9"/>
  <c r="E100" i="9"/>
  <c r="D100" i="9"/>
  <c r="C100" i="9"/>
  <c r="B100" i="9"/>
  <c r="E99" i="9"/>
  <c r="D99" i="9"/>
  <c r="C99" i="9"/>
  <c r="B99" i="9"/>
  <c r="E98" i="9"/>
  <c r="D98" i="9"/>
  <c r="C98" i="9"/>
  <c r="B98" i="9"/>
  <c r="E97" i="9"/>
  <c r="D97" i="9"/>
  <c r="C97" i="9"/>
  <c r="B97" i="9"/>
  <c r="E96" i="9"/>
  <c r="D96" i="9"/>
  <c r="C96" i="9"/>
  <c r="B96" i="9"/>
  <c r="E95" i="9"/>
  <c r="D95" i="9"/>
  <c r="C95" i="9"/>
  <c r="B95" i="9"/>
  <c r="E94" i="9"/>
  <c r="D94" i="9"/>
  <c r="C94" i="9"/>
  <c r="B94" i="9"/>
  <c r="E93" i="9"/>
  <c r="D93" i="9"/>
  <c r="C93" i="9"/>
  <c r="B93" i="9"/>
  <c r="B92" i="9"/>
  <c r="E91" i="9"/>
  <c r="D91" i="9"/>
  <c r="C91" i="9"/>
  <c r="B91" i="9"/>
  <c r="E90" i="9"/>
  <c r="D90" i="9"/>
  <c r="C90" i="9"/>
  <c r="B90" i="9"/>
  <c r="E89" i="9"/>
  <c r="D89" i="9"/>
  <c r="C89" i="9"/>
  <c r="B89" i="9"/>
  <c r="E88" i="9"/>
  <c r="D88" i="9"/>
  <c r="C88" i="9"/>
  <c r="B88" i="9"/>
  <c r="E87" i="9"/>
  <c r="D87" i="9"/>
  <c r="C87" i="9"/>
  <c r="B87" i="9"/>
  <c r="E86" i="9"/>
  <c r="D86" i="9"/>
  <c r="C86" i="9"/>
  <c r="B86" i="9"/>
  <c r="E85" i="9"/>
  <c r="D85" i="9"/>
  <c r="C85" i="9"/>
  <c r="B85" i="9"/>
  <c r="E84" i="9"/>
  <c r="D84" i="9"/>
  <c r="C84" i="9"/>
  <c r="B84" i="9"/>
  <c r="E83" i="9"/>
  <c r="D83" i="9"/>
  <c r="C83" i="9"/>
  <c r="B83" i="9"/>
  <c r="E82" i="9"/>
  <c r="D82" i="9"/>
  <c r="C82" i="9"/>
  <c r="B82" i="9"/>
  <c r="E81" i="9"/>
  <c r="D81" i="9"/>
  <c r="C81" i="9"/>
  <c r="B81" i="9"/>
  <c r="E80" i="9"/>
  <c r="D80" i="9"/>
  <c r="C80" i="9"/>
  <c r="B80" i="9"/>
  <c r="E79" i="9"/>
  <c r="D79" i="9"/>
  <c r="C79" i="9"/>
  <c r="B79" i="9"/>
  <c r="E78" i="9"/>
  <c r="D78" i="9"/>
  <c r="C78" i="9"/>
  <c r="B78" i="9"/>
  <c r="E77" i="9"/>
  <c r="D77" i="9"/>
  <c r="C77" i="9"/>
  <c r="B77" i="9"/>
  <c r="E76" i="9"/>
  <c r="D76" i="9"/>
  <c r="C76" i="9"/>
  <c r="B76" i="9"/>
  <c r="E75" i="9"/>
  <c r="D75" i="9"/>
  <c r="C75" i="9"/>
  <c r="B75" i="9"/>
  <c r="E74" i="9"/>
  <c r="D74" i="9"/>
  <c r="C74" i="9"/>
  <c r="B74" i="9"/>
  <c r="E73" i="9"/>
  <c r="D73" i="9"/>
  <c r="C73" i="9"/>
  <c r="B73" i="9"/>
  <c r="E72" i="9"/>
  <c r="D72" i="9"/>
  <c r="C72" i="9"/>
  <c r="B72" i="9"/>
  <c r="E71" i="9"/>
  <c r="D71" i="9"/>
  <c r="C71" i="9"/>
  <c r="B71" i="9"/>
  <c r="E70" i="9"/>
  <c r="D70" i="9"/>
  <c r="C70" i="9"/>
  <c r="B70" i="9"/>
  <c r="E69" i="9"/>
  <c r="D69" i="9"/>
  <c r="C69" i="9"/>
  <c r="B69" i="9"/>
  <c r="E68" i="9"/>
  <c r="D68" i="9"/>
  <c r="C68" i="9"/>
  <c r="B68" i="9"/>
  <c r="E67" i="9"/>
  <c r="D67" i="9"/>
  <c r="C67" i="9"/>
  <c r="B67" i="9"/>
  <c r="E66" i="9"/>
  <c r="D66" i="9"/>
  <c r="C66" i="9"/>
  <c r="B66" i="9"/>
  <c r="E65" i="9"/>
  <c r="D65" i="9"/>
  <c r="C65" i="9"/>
  <c r="B65" i="9"/>
  <c r="E64" i="9"/>
  <c r="D64" i="9"/>
  <c r="C64" i="9"/>
  <c r="B64" i="9"/>
  <c r="E63" i="9"/>
  <c r="D63" i="9"/>
  <c r="C63" i="9"/>
  <c r="B63" i="9"/>
  <c r="E62" i="9"/>
  <c r="D62" i="9"/>
  <c r="C62" i="9"/>
  <c r="B62" i="9"/>
  <c r="E61" i="9"/>
  <c r="D61" i="9"/>
  <c r="C61" i="9"/>
  <c r="B61" i="9"/>
  <c r="E60" i="9"/>
  <c r="D60" i="9"/>
  <c r="C60" i="9"/>
  <c r="B60" i="9"/>
  <c r="E59" i="9"/>
  <c r="D59" i="9"/>
  <c r="C59" i="9"/>
  <c r="B59" i="9"/>
  <c r="E58" i="9"/>
  <c r="D58" i="9"/>
  <c r="C58" i="9"/>
  <c r="B58" i="9"/>
  <c r="E57" i="9"/>
  <c r="D57" i="9"/>
  <c r="C57" i="9"/>
  <c r="B57" i="9"/>
  <c r="E56" i="9"/>
  <c r="D56" i="9"/>
  <c r="C56" i="9"/>
  <c r="B56" i="9"/>
  <c r="E55" i="9"/>
  <c r="D55" i="9"/>
  <c r="C55" i="9"/>
  <c r="B55" i="9"/>
  <c r="E54" i="9"/>
  <c r="D54" i="9"/>
  <c r="C54" i="9"/>
  <c r="B54" i="9"/>
  <c r="E53" i="9"/>
  <c r="D53" i="9"/>
  <c r="C53" i="9"/>
  <c r="B53" i="9"/>
  <c r="E52" i="9"/>
  <c r="D52" i="9"/>
  <c r="C52" i="9"/>
  <c r="B52" i="9"/>
  <c r="E51" i="9"/>
  <c r="D51" i="9"/>
  <c r="C51" i="9"/>
  <c r="B51" i="9"/>
  <c r="E50" i="9"/>
  <c r="D50" i="9"/>
  <c r="C50" i="9"/>
  <c r="B50" i="9"/>
  <c r="E49" i="9"/>
  <c r="D49" i="9"/>
  <c r="C49" i="9"/>
  <c r="B49" i="9"/>
  <c r="E48" i="9"/>
  <c r="D48" i="9"/>
  <c r="C48" i="9"/>
  <c r="B48" i="9"/>
  <c r="E47" i="9"/>
  <c r="D47" i="9"/>
  <c r="C47" i="9"/>
  <c r="B47" i="9"/>
  <c r="E46" i="9"/>
  <c r="D46" i="9"/>
  <c r="C46" i="9"/>
  <c r="B46" i="9"/>
  <c r="E45" i="9"/>
  <c r="D45" i="9"/>
  <c r="C45" i="9"/>
  <c r="B45" i="9"/>
  <c r="E44" i="9"/>
  <c r="D44" i="9"/>
  <c r="C44" i="9"/>
  <c r="B44" i="9"/>
  <c r="E43" i="9"/>
  <c r="D43" i="9"/>
  <c r="C43" i="9"/>
  <c r="B43" i="9"/>
  <c r="E42" i="9"/>
  <c r="D42" i="9"/>
  <c r="C42" i="9"/>
  <c r="B42" i="9"/>
  <c r="E41" i="9"/>
  <c r="D41" i="9"/>
  <c r="C41" i="9"/>
  <c r="B41" i="9"/>
  <c r="E40" i="9"/>
  <c r="D40" i="9"/>
  <c r="C40" i="9"/>
  <c r="B40" i="9"/>
  <c r="E39" i="9"/>
  <c r="D39" i="9"/>
  <c r="C39" i="9"/>
  <c r="B39" i="9"/>
  <c r="E38" i="9"/>
  <c r="D38" i="9"/>
  <c r="C38" i="9"/>
  <c r="B38" i="9"/>
  <c r="E37" i="9"/>
  <c r="D37" i="9"/>
  <c r="C37" i="9"/>
  <c r="B37" i="9"/>
  <c r="E36" i="9"/>
  <c r="D36" i="9"/>
  <c r="C36" i="9"/>
  <c r="B36" i="9"/>
  <c r="E35" i="9"/>
  <c r="D35" i="9"/>
  <c r="C35" i="9"/>
  <c r="B35" i="9"/>
  <c r="E34" i="9"/>
  <c r="D34" i="9"/>
  <c r="C34" i="9"/>
  <c r="B34" i="9"/>
  <c r="E33" i="9"/>
  <c r="D33" i="9"/>
  <c r="C33" i="9"/>
  <c r="B33" i="9"/>
  <c r="E32" i="9"/>
  <c r="D32" i="9"/>
  <c r="C32" i="9"/>
  <c r="B32" i="9"/>
  <c r="E31" i="9"/>
  <c r="D31" i="9"/>
  <c r="C31" i="9"/>
  <c r="B31" i="9"/>
  <c r="E30" i="9"/>
  <c r="D30" i="9"/>
  <c r="C30" i="9"/>
  <c r="B30" i="9"/>
  <c r="E29" i="9"/>
  <c r="D29" i="9"/>
  <c r="C29" i="9"/>
  <c r="B29" i="9"/>
  <c r="E28" i="9"/>
  <c r="D28" i="9"/>
  <c r="C28" i="9"/>
  <c r="B28" i="9"/>
  <c r="E27" i="9"/>
  <c r="D27" i="9"/>
  <c r="C27" i="9"/>
  <c r="B27" i="9"/>
  <c r="E26" i="9"/>
  <c r="D26" i="9"/>
  <c r="C26" i="9"/>
  <c r="B26" i="9"/>
  <c r="E25" i="9"/>
  <c r="D25" i="9"/>
  <c r="C25" i="9"/>
  <c r="B25" i="9"/>
  <c r="E24" i="9"/>
  <c r="D24" i="9"/>
  <c r="C24" i="9"/>
  <c r="B24" i="9"/>
  <c r="E23" i="9"/>
  <c r="D23" i="9"/>
  <c r="C23" i="9"/>
  <c r="B23" i="9"/>
  <c r="E22" i="9"/>
  <c r="D22" i="9"/>
  <c r="C22" i="9"/>
  <c r="B22" i="9"/>
  <c r="E21" i="9"/>
  <c r="D21" i="9"/>
  <c r="C21" i="9"/>
  <c r="B21" i="9"/>
  <c r="E20" i="9"/>
  <c r="D20" i="9"/>
  <c r="C20" i="9"/>
  <c r="B20" i="9"/>
  <c r="E19" i="9"/>
  <c r="D19" i="9"/>
  <c r="C19" i="9"/>
  <c r="B19" i="9"/>
  <c r="E18" i="9"/>
  <c r="D18" i="9"/>
  <c r="C18" i="9"/>
  <c r="B18" i="9"/>
  <c r="E17" i="9"/>
  <c r="D17" i="9"/>
  <c r="C17" i="9"/>
  <c r="B17" i="9"/>
  <c r="E16" i="9"/>
  <c r="D16" i="9"/>
  <c r="C16" i="9"/>
  <c r="B16" i="9"/>
  <c r="E15" i="9"/>
  <c r="D15" i="9"/>
  <c r="C15" i="9"/>
  <c r="B15" i="9"/>
  <c r="E14" i="9"/>
  <c r="D14" i="9"/>
  <c r="C14" i="9"/>
  <c r="B14" i="9"/>
  <c r="E13" i="9"/>
  <c r="D13" i="9"/>
  <c r="C13" i="9"/>
  <c r="B13" i="9"/>
  <c r="E12" i="9"/>
  <c r="D12" i="9"/>
  <c r="C12" i="9"/>
  <c r="B12"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B3" i="9"/>
  <c r="E3" i="9"/>
  <c r="D3" i="9"/>
  <c r="D41" i="1"/>
  <c r="I4" i="6" l="1"/>
  <c r="I10" i="6"/>
  <c r="I8" i="6"/>
  <c r="K11" i="6" l="1"/>
  <c r="K10" i="6"/>
  <c r="K14" i="6"/>
  <c r="K13" i="6"/>
  <c r="K9" i="6"/>
  <c r="K16" i="6"/>
  <c r="K8" i="6"/>
  <c r="K7" i="6"/>
  <c r="K5" i="6"/>
  <c r="K15" i="6"/>
  <c r="K6" i="6"/>
  <c r="K12" i="6"/>
  <c r="A3" i="7"/>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 i="8"/>
  <c r="A11" i="8" l="1"/>
  <c r="A9" i="8"/>
  <c r="A15" i="8"/>
  <c r="A21" i="8"/>
  <c r="A19" i="8"/>
  <c r="A7" i="8"/>
  <c r="A13" i="8"/>
  <c r="A17" i="8"/>
  <c r="K24" i="3"/>
  <c r="B29" i="3"/>
  <c r="B28" i="3"/>
  <c r="D38" i="1"/>
  <c r="AB102" i="4" l="1"/>
  <c r="AA102" i="4"/>
  <c r="AB101" i="4"/>
  <c r="AA101" i="4"/>
  <c r="AB100" i="4"/>
  <c r="AA100" i="4"/>
  <c r="AB99" i="4"/>
  <c r="AA99" i="4"/>
  <c r="AB98" i="4"/>
  <c r="AA98" i="4"/>
  <c r="AB97" i="4"/>
  <c r="AA97" i="4"/>
  <c r="AB96" i="4"/>
  <c r="AA96" i="4"/>
  <c r="AB95" i="4"/>
  <c r="AA95" i="4"/>
  <c r="AB94" i="4"/>
  <c r="AA94" i="4"/>
  <c r="AB93" i="4"/>
  <c r="AA93" i="4"/>
  <c r="AB92" i="4"/>
  <c r="AA92" i="4"/>
  <c r="AB91" i="4"/>
  <c r="AA91" i="4"/>
  <c r="AB90" i="4"/>
  <c r="AA90" i="4"/>
  <c r="AB89" i="4"/>
  <c r="AA89" i="4"/>
  <c r="AB88" i="4"/>
  <c r="AA88" i="4"/>
  <c r="AB87" i="4"/>
  <c r="AA87" i="4"/>
  <c r="AB86" i="4"/>
  <c r="AA86" i="4"/>
  <c r="AB85" i="4"/>
  <c r="AA85" i="4"/>
  <c r="AB84" i="4"/>
  <c r="AA84" i="4"/>
  <c r="AB83" i="4"/>
  <c r="AA83" i="4"/>
  <c r="AB82" i="4"/>
  <c r="AA82" i="4"/>
  <c r="AB81" i="4"/>
  <c r="AA81" i="4"/>
  <c r="AB80" i="4"/>
  <c r="AA80" i="4"/>
  <c r="AB79" i="4"/>
  <c r="AA79" i="4"/>
  <c r="AB78" i="4"/>
  <c r="AA78" i="4"/>
  <c r="AB77" i="4"/>
  <c r="AA77" i="4"/>
  <c r="AB76" i="4"/>
  <c r="AA76" i="4"/>
  <c r="AB75" i="4"/>
  <c r="AA75" i="4"/>
  <c r="AB74" i="4"/>
  <c r="AA74" i="4"/>
  <c r="AB73" i="4"/>
  <c r="AA73" i="4"/>
  <c r="AB72" i="4"/>
  <c r="AA72" i="4"/>
  <c r="AB71" i="4"/>
  <c r="AA71" i="4"/>
  <c r="AB70" i="4"/>
  <c r="AA70" i="4"/>
  <c r="AB69" i="4"/>
  <c r="AA69" i="4"/>
  <c r="AB68" i="4"/>
  <c r="AA68" i="4"/>
  <c r="AB67" i="4"/>
  <c r="AA67" i="4"/>
  <c r="AB66" i="4"/>
  <c r="AA66" i="4"/>
  <c r="AB65" i="4"/>
  <c r="AA65" i="4"/>
  <c r="AB64" i="4"/>
  <c r="AA64" i="4"/>
  <c r="AB63" i="4"/>
  <c r="AA63" i="4"/>
  <c r="AB62" i="4"/>
  <c r="AA62" i="4"/>
  <c r="AB61" i="4"/>
  <c r="AA61" i="4"/>
  <c r="AB60" i="4"/>
  <c r="AA60" i="4"/>
  <c r="AB59" i="4"/>
  <c r="AA59" i="4"/>
  <c r="AB58" i="4"/>
  <c r="AA58" i="4"/>
  <c r="AB57" i="4"/>
  <c r="AA57" i="4"/>
  <c r="AB56" i="4"/>
  <c r="AA56" i="4"/>
  <c r="AB55" i="4"/>
  <c r="AA55" i="4"/>
  <c r="AB54" i="4"/>
  <c r="AA54" i="4"/>
  <c r="AB53" i="4"/>
  <c r="AA53" i="4"/>
  <c r="AB52" i="4"/>
  <c r="AA52" i="4"/>
  <c r="AB51" i="4"/>
  <c r="AA51" i="4"/>
  <c r="AB50" i="4"/>
  <c r="AA50" i="4"/>
  <c r="AB49" i="4"/>
  <c r="AA49" i="4"/>
  <c r="AB48" i="4"/>
  <c r="AA48" i="4"/>
  <c r="AB47" i="4"/>
  <c r="AA47" i="4"/>
  <c r="AB46" i="4"/>
  <c r="AA46" i="4"/>
  <c r="AB45" i="4"/>
  <c r="AA45" i="4"/>
  <c r="AB44" i="4"/>
  <c r="AA44" i="4"/>
  <c r="AB43" i="4"/>
  <c r="AA43" i="4"/>
  <c r="AB42" i="4"/>
  <c r="AA42" i="4"/>
  <c r="AB41" i="4"/>
  <c r="AA41" i="4"/>
  <c r="AB40" i="4"/>
  <c r="AA40" i="4"/>
  <c r="AB39" i="4"/>
  <c r="AA39" i="4"/>
  <c r="AB38" i="4"/>
  <c r="AA38" i="4"/>
  <c r="AB37" i="4"/>
  <c r="AA37" i="4"/>
  <c r="AB36" i="4"/>
  <c r="AA36" i="4"/>
  <c r="AB35" i="4"/>
  <c r="AA35" i="4"/>
  <c r="AB34" i="4"/>
  <c r="AA34" i="4"/>
  <c r="AB33" i="4"/>
  <c r="AA33" i="4"/>
  <c r="AB32" i="4"/>
  <c r="AA32" i="4"/>
  <c r="AB31" i="4"/>
  <c r="AA31" i="4"/>
  <c r="AB30" i="4"/>
  <c r="AA30" i="4"/>
  <c r="AB29" i="4"/>
  <c r="AA29" i="4"/>
  <c r="AB28" i="4"/>
  <c r="AA28" i="4"/>
  <c r="AB27" i="4"/>
  <c r="AA27" i="4"/>
  <c r="AB26" i="4"/>
  <c r="AA26" i="4"/>
  <c r="AB25" i="4"/>
  <c r="AA25" i="4"/>
  <c r="AB24" i="4"/>
  <c r="AA24" i="4"/>
  <c r="AB23" i="4"/>
  <c r="AA23" i="4"/>
  <c r="AB22" i="4"/>
  <c r="AA22" i="4"/>
  <c r="AB21" i="4"/>
  <c r="AA21" i="4"/>
  <c r="AB20" i="4"/>
  <c r="AA20" i="4"/>
  <c r="AB19" i="4"/>
  <c r="AA19" i="4"/>
  <c r="AB18" i="4"/>
  <c r="AA18" i="4"/>
  <c r="AB17" i="4"/>
  <c r="AA17" i="4"/>
  <c r="AB16" i="4"/>
  <c r="AA16" i="4"/>
  <c r="AB15" i="4"/>
  <c r="AA15" i="4"/>
  <c r="AB14" i="4"/>
  <c r="AA14" i="4"/>
  <c r="AB13" i="4"/>
  <c r="AA13" i="4"/>
  <c r="AB12" i="4"/>
  <c r="AA12" i="4"/>
  <c r="AB11" i="4"/>
  <c r="AA11" i="4"/>
  <c r="AB10" i="4"/>
  <c r="AA10" i="4"/>
  <c r="AB9" i="4"/>
  <c r="AA9" i="4"/>
  <c r="AB8" i="4"/>
  <c r="AA8" i="4"/>
  <c r="AB7" i="4"/>
  <c r="AA7" i="4"/>
  <c r="AB6" i="4"/>
  <c r="AA6" i="4"/>
  <c r="AB5" i="4"/>
  <c r="AA5" i="4"/>
  <c r="AB4" i="4"/>
  <c r="I5" i="3" l="1"/>
  <c r="F20" i="1"/>
  <c r="H19" i="1"/>
  <c r="I4" i="3" l="1"/>
  <c r="I6" i="3"/>
  <c r="I7" i="3"/>
  <c r="H20" i="1"/>
  <c r="C13" i="1" s="1"/>
  <c r="F21" i="1"/>
  <c r="C14" i="1" s="1"/>
  <c r="A14" i="3" l="1"/>
  <c r="A23" i="3" s="1"/>
  <c r="A16" i="3" l="1"/>
  <c r="A17" i="3"/>
  <c r="A18" i="3"/>
  <c r="A19" i="3"/>
  <c r="A20" i="3"/>
  <c r="A21" i="3"/>
  <c r="A22" i="3"/>
  <c r="A15" i="3"/>
  <c r="B2" i="5"/>
  <c r="A2" i="5"/>
  <c r="J2" i="5" l="1"/>
  <c r="F2" i="5"/>
  <c r="H2" i="5"/>
  <c r="AD102" i="4"/>
  <c r="Z102" i="4"/>
  <c r="X102" i="4"/>
  <c r="C100" i="5" s="1"/>
  <c r="AC102" i="4"/>
  <c r="AE102" i="4" s="1"/>
  <c r="AD101" i="4"/>
  <c r="Z101" i="4"/>
  <c r="X101" i="4"/>
  <c r="AC101" i="4"/>
  <c r="AE101" i="4" s="1"/>
  <c r="AD100" i="4"/>
  <c r="Z100" i="4"/>
  <c r="X100" i="4"/>
  <c r="AC100" i="4"/>
  <c r="AE100" i="4" s="1"/>
  <c r="AD99" i="4"/>
  <c r="Z99" i="4"/>
  <c r="X99" i="4"/>
  <c r="AC99" i="4"/>
  <c r="AE99" i="4" s="1"/>
  <c r="AD98" i="4"/>
  <c r="Z98" i="4"/>
  <c r="X98" i="4"/>
  <c r="AC98" i="4"/>
  <c r="AE98" i="4" s="1"/>
  <c r="AD97" i="4"/>
  <c r="Z97" i="4"/>
  <c r="X97" i="4"/>
  <c r="AC97" i="4"/>
  <c r="AE97" i="4" s="1"/>
  <c r="AD96" i="4"/>
  <c r="Z96" i="4"/>
  <c r="X96" i="4"/>
  <c r="AC96" i="4"/>
  <c r="AE96" i="4" s="1"/>
  <c r="AD95" i="4"/>
  <c r="Z95" i="4"/>
  <c r="X95" i="4"/>
  <c r="AC95" i="4"/>
  <c r="AE95" i="4" s="1"/>
  <c r="AD94" i="4"/>
  <c r="Z94" i="4"/>
  <c r="X94" i="4"/>
  <c r="AC94" i="4"/>
  <c r="AE94" i="4" s="1"/>
  <c r="AD93" i="4"/>
  <c r="Z93" i="4"/>
  <c r="X93" i="4"/>
  <c r="AC93" i="4"/>
  <c r="AD92" i="4"/>
  <c r="Z92" i="4"/>
  <c r="X92" i="4"/>
  <c r="AC92" i="4"/>
  <c r="AE92" i="4" s="1"/>
  <c r="AD91" i="4"/>
  <c r="Z91" i="4"/>
  <c r="X91" i="4"/>
  <c r="AC91" i="4"/>
  <c r="AE91" i="4" s="1"/>
  <c r="AD90" i="4"/>
  <c r="Z90" i="4"/>
  <c r="X90" i="4"/>
  <c r="AC90" i="4"/>
  <c r="AE90" i="4" s="1"/>
  <c r="AD89" i="4"/>
  <c r="Z89" i="4"/>
  <c r="X89" i="4"/>
  <c r="AC89" i="4"/>
  <c r="AE89" i="4" s="1"/>
  <c r="AD88" i="4"/>
  <c r="Z88" i="4"/>
  <c r="X88" i="4"/>
  <c r="AC88" i="4"/>
  <c r="AE88" i="4" s="1"/>
  <c r="AD87" i="4"/>
  <c r="Z87" i="4"/>
  <c r="X87" i="4"/>
  <c r="AC87" i="4"/>
  <c r="AE87" i="4" s="1"/>
  <c r="AD86" i="4"/>
  <c r="Z86" i="4"/>
  <c r="X86" i="4"/>
  <c r="AC86" i="4"/>
  <c r="AE86" i="4" s="1"/>
  <c r="AD85" i="4"/>
  <c r="Z85" i="4"/>
  <c r="X85" i="4"/>
  <c r="AC85" i="4"/>
  <c r="AE85" i="4" s="1"/>
  <c r="AD84" i="4"/>
  <c r="Z84" i="4"/>
  <c r="X84" i="4"/>
  <c r="AC84" i="4"/>
  <c r="AE84" i="4" s="1"/>
  <c r="AD83" i="4"/>
  <c r="Z83" i="4"/>
  <c r="X83" i="4"/>
  <c r="AC83" i="4"/>
  <c r="AE83" i="4" s="1"/>
  <c r="AD82" i="4"/>
  <c r="Z82" i="4"/>
  <c r="X82" i="4"/>
  <c r="AC82" i="4"/>
  <c r="AE82" i="4" s="1"/>
  <c r="AD81" i="4"/>
  <c r="Z81" i="4"/>
  <c r="X81" i="4"/>
  <c r="AC81" i="4"/>
  <c r="AE81" i="4" s="1"/>
  <c r="AD80" i="4"/>
  <c r="Z80" i="4"/>
  <c r="X80" i="4"/>
  <c r="AC80" i="4"/>
  <c r="AE80" i="4" s="1"/>
  <c r="AD79" i="4"/>
  <c r="Z79" i="4"/>
  <c r="X79" i="4"/>
  <c r="AC79" i="4"/>
  <c r="AE79" i="4" s="1"/>
  <c r="AD78" i="4"/>
  <c r="Z78" i="4"/>
  <c r="X78" i="4"/>
  <c r="AC78" i="4"/>
  <c r="AE78" i="4" s="1"/>
  <c r="AD77" i="4"/>
  <c r="Z77" i="4"/>
  <c r="X77" i="4"/>
  <c r="AC77" i="4"/>
  <c r="AE77" i="4" s="1"/>
  <c r="AD76" i="4"/>
  <c r="Z76" i="4"/>
  <c r="X76" i="4"/>
  <c r="AC76" i="4"/>
  <c r="AE76" i="4" s="1"/>
  <c r="AD75" i="4"/>
  <c r="Z75" i="4"/>
  <c r="X75" i="4"/>
  <c r="AC75" i="4"/>
  <c r="AE75" i="4" s="1"/>
  <c r="AD74" i="4"/>
  <c r="Z74" i="4"/>
  <c r="X74" i="4"/>
  <c r="AC74" i="4"/>
  <c r="AE74" i="4" s="1"/>
  <c r="AD73" i="4"/>
  <c r="Z73" i="4"/>
  <c r="X73" i="4"/>
  <c r="AC73" i="4"/>
  <c r="AE73" i="4" s="1"/>
  <c r="AD72" i="4"/>
  <c r="Z72" i="4"/>
  <c r="X72" i="4"/>
  <c r="AC72" i="4"/>
  <c r="AE72" i="4" s="1"/>
  <c r="AD71" i="4"/>
  <c r="Z71" i="4"/>
  <c r="X71" i="4"/>
  <c r="AC71" i="4"/>
  <c r="AE71" i="4" s="1"/>
  <c r="AD70" i="4"/>
  <c r="Z70" i="4"/>
  <c r="X70" i="4"/>
  <c r="AC70" i="4"/>
  <c r="AE70" i="4" s="1"/>
  <c r="AD69" i="4"/>
  <c r="Z69" i="4"/>
  <c r="X69" i="4"/>
  <c r="AC69" i="4"/>
  <c r="AE69" i="4" s="1"/>
  <c r="AD68" i="4"/>
  <c r="Z68" i="4"/>
  <c r="X68" i="4"/>
  <c r="AC68" i="4"/>
  <c r="AE68" i="4" s="1"/>
  <c r="AD67" i="4"/>
  <c r="Z67" i="4"/>
  <c r="X67" i="4"/>
  <c r="AC67" i="4"/>
  <c r="AE67" i="4" s="1"/>
  <c r="AD66" i="4"/>
  <c r="Z66" i="4"/>
  <c r="X66" i="4"/>
  <c r="AC66" i="4"/>
  <c r="AE66" i="4" s="1"/>
  <c r="AD65" i="4"/>
  <c r="Z65" i="4"/>
  <c r="X65" i="4"/>
  <c r="AC65" i="4"/>
  <c r="AE65" i="4" s="1"/>
  <c r="AD64" i="4"/>
  <c r="Z64" i="4"/>
  <c r="X64" i="4"/>
  <c r="AC64" i="4"/>
  <c r="AE64" i="4" s="1"/>
  <c r="AD63" i="4"/>
  <c r="Z63" i="4"/>
  <c r="X63" i="4"/>
  <c r="AC63" i="4"/>
  <c r="AE63" i="4" s="1"/>
  <c r="AD62" i="4"/>
  <c r="Z62" i="4"/>
  <c r="X62" i="4"/>
  <c r="AC62" i="4"/>
  <c r="AE62" i="4" s="1"/>
  <c r="AD61" i="4"/>
  <c r="Z61" i="4"/>
  <c r="X61" i="4"/>
  <c r="AC61" i="4"/>
  <c r="AE61" i="4" s="1"/>
  <c r="AD60" i="4"/>
  <c r="Z60" i="4"/>
  <c r="X60" i="4"/>
  <c r="AC60" i="4"/>
  <c r="AE60" i="4" s="1"/>
  <c r="AD59" i="4"/>
  <c r="Z59" i="4"/>
  <c r="X59" i="4"/>
  <c r="AC59" i="4"/>
  <c r="AE59" i="4" s="1"/>
  <c r="AD58" i="4"/>
  <c r="Z58" i="4"/>
  <c r="X58" i="4"/>
  <c r="AC58" i="4"/>
  <c r="AE58" i="4" s="1"/>
  <c r="AD57" i="4"/>
  <c r="Z57" i="4"/>
  <c r="X57" i="4"/>
  <c r="AC57" i="4"/>
  <c r="AE57" i="4" s="1"/>
  <c r="AD56" i="4"/>
  <c r="Z56" i="4"/>
  <c r="X56" i="4"/>
  <c r="AC56" i="4"/>
  <c r="AE56" i="4" s="1"/>
  <c r="AD55" i="4"/>
  <c r="Z55" i="4"/>
  <c r="X55" i="4"/>
  <c r="AC55" i="4"/>
  <c r="AE55" i="4" s="1"/>
  <c r="AD54" i="4"/>
  <c r="Z54" i="4"/>
  <c r="X54" i="4"/>
  <c r="AC54" i="4"/>
  <c r="AE54" i="4" s="1"/>
  <c r="AD53" i="4"/>
  <c r="Z53" i="4"/>
  <c r="X53" i="4"/>
  <c r="AC53" i="4"/>
  <c r="AE53" i="4" s="1"/>
  <c r="AD52" i="4"/>
  <c r="Z52" i="4"/>
  <c r="X52" i="4"/>
  <c r="AC52" i="4"/>
  <c r="AE52" i="4" s="1"/>
  <c r="AD51" i="4"/>
  <c r="Z51" i="4"/>
  <c r="X51" i="4"/>
  <c r="AC51" i="4"/>
  <c r="AE51" i="4" s="1"/>
  <c r="AD50" i="4"/>
  <c r="Z50" i="4"/>
  <c r="X50" i="4"/>
  <c r="AC50" i="4"/>
  <c r="AE50" i="4" s="1"/>
  <c r="AD49" i="4"/>
  <c r="Z49" i="4"/>
  <c r="X49" i="4"/>
  <c r="AC49" i="4"/>
  <c r="AE49" i="4" s="1"/>
  <c r="AD48" i="4"/>
  <c r="Z48" i="4"/>
  <c r="X48" i="4"/>
  <c r="AC48" i="4"/>
  <c r="AE48" i="4" s="1"/>
  <c r="AD47" i="4"/>
  <c r="Z47" i="4"/>
  <c r="X47" i="4"/>
  <c r="AC47" i="4"/>
  <c r="AE47" i="4" s="1"/>
  <c r="AD46" i="4"/>
  <c r="Z46" i="4"/>
  <c r="X46" i="4"/>
  <c r="AC46" i="4"/>
  <c r="AE46" i="4" s="1"/>
  <c r="AD45" i="4"/>
  <c r="Z45" i="4"/>
  <c r="X45" i="4"/>
  <c r="AC45" i="4"/>
  <c r="AE45" i="4" s="1"/>
  <c r="AD44" i="4"/>
  <c r="Z44" i="4"/>
  <c r="X44" i="4"/>
  <c r="AC44" i="4"/>
  <c r="AE44" i="4" s="1"/>
  <c r="AD43" i="4"/>
  <c r="Z43" i="4"/>
  <c r="X43" i="4"/>
  <c r="AC43" i="4"/>
  <c r="AE43" i="4" s="1"/>
  <c r="AD42" i="4"/>
  <c r="Z42" i="4"/>
  <c r="X42" i="4"/>
  <c r="AC42" i="4"/>
  <c r="AE42" i="4" s="1"/>
  <c r="AD41" i="4"/>
  <c r="Z41" i="4"/>
  <c r="X41" i="4"/>
  <c r="AC41" i="4"/>
  <c r="AE41" i="4" s="1"/>
  <c r="AD40" i="4"/>
  <c r="Z40" i="4"/>
  <c r="X40" i="4"/>
  <c r="AC40" i="4"/>
  <c r="AE40" i="4" s="1"/>
  <c r="AD39" i="4"/>
  <c r="Z39" i="4"/>
  <c r="X39" i="4"/>
  <c r="AC39" i="4"/>
  <c r="AE39" i="4" s="1"/>
  <c r="AD38" i="4"/>
  <c r="Z38" i="4"/>
  <c r="X38" i="4"/>
  <c r="AC38" i="4"/>
  <c r="AE38" i="4" s="1"/>
  <c r="AD37" i="4"/>
  <c r="Z37" i="4"/>
  <c r="X37" i="4"/>
  <c r="AC37" i="4"/>
  <c r="AE37" i="4" s="1"/>
  <c r="AD36" i="4"/>
  <c r="Z36" i="4"/>
  <c r="X36" i="4"/>
  <c r="AC36" i="4"/>
  <c r="AE36" i="4" s="1"/>
  <c r="AD35" i="4"/>
  <c r="Z35" i="4"/>
  <c r="X35" i="4"/>
  <c r="AC35" i="4"/>
  <c r="AE35" i="4" s="1"/>
  <c r="AD34" i="4"/>
  <c r="Z34" i="4"/>
  <c r="X34" i="4"/>
  <c r="AC34" i="4"/>
  <c r="AE34" i="4" s="1"/>
  <c r="AD33" i="4"/>
  <c r="Z33" i="4"/>
  <c r="X33" i="4"/>
  <c r="AC33" i="4"/>
  <c r="AE33" i="4" s="1"/>
  <c r="AD32" i="4"/>
  <c r="Z32" i="4"/>
  <c r="X32" i="4"/>
  <c r="AC32" i="4"/>
  <c r="AE32" i="4" s="1"/>
  <c r="AD31" i="4"/>
  <c r="Z31" i="4"/>
  <c r="X31" i="4"/>
  <c r="AC31" i="4"/>
  <c r="AE31" i="4" s="1"/>
  <c r="AD30" i="4"/>
  <c r="Z30" i="4"/>
  <c r="X30" i="4"/>
  <c r="AC30" i="4"/>
  <c r="AE30" i="4" s="1"/>
  <c r="AD29" i="4"/>
  <c r="Z29" i="4"/>
  <c r="X29" i="4"/>
  <c r="AC29" i="4"/>
  <c r="AE29" i="4" s="1"/>
  <c r="AD28" i="4"/>
  <c r="Z28" i="4"/>
  <c r="X28" i="4"/>
  <c r="AC28" i="4"/>
  <c r="AE28" i="4" s="1"/>
  <c r="AD27" i="4"/>
  <c r="Z27" i="4"/>
  <c r="X27" i="4"/>
  <c r="AC27" i="4"/>
  <c r="AE27" i="4" s="1"/>
  <c r="AD26" i="4"/>
  <c r="Z26" i="4"/>
  <c r="X26" i="4"/>
  <c r="AC26" i="4"/>
  <c r="AE26" i="4" s="1"/>
  <c r="AD25" i="4"/>
  <c r="Z25" i="4"/>
  <c r="X25" i="4"/>
  <c r="AC25" i="4"/>
  <c r="AE25" i="4" s="1"/>
  <c r="AD24" i="4"/>
  <c r="Z24" i="4"/>
  <c r="X24" i="4"/>
  <c r="AC24" i="4"/>
  <c r="AE24" i="4" s="1"/>
  <c r="AD23" i="4"/>
  <c r="Z23" i="4"/>
  <c r="X23" i="4"/>
  <c r="AC23" i="4"/>
  <c r="AE23" i="4" s="1"/>
  <c r="AD22" i="4"/>
  <c r="Z22" i="4"/>
  <c r="X22" i="4"/>
  <c r="AC22" i="4"/>
  <c r="AE22" i="4" s="1"/>
  <c r="AD21" i="4"/>
  <c r="Z21" i="4"/>
  <c r="X21" i="4"/>
  <c r="AC21" i="4"/>
  <c r="AE21" i="4" s="1"/>
  <c r="AD20" i="4"/>
  <c r="Z20" i="4"/>
  <c r="X20" i="4"/>
  <c r="AC20" i="4"/>
  <c r="AE20" i="4" s="1"/>
  <c r="AD19" i="4"/>
  <c r="Z19" i="4"/>
  <c r="X19" i="4"/>
  <c r="AC19" i="4"/>
  <c r="AE19" i="4" s="1"/>
  <c r="AD18" i="4"/>
  <c r="Z18" i="4"/>
  <c r="X18" i="4"/>
  <c r="AC18" i="4"/>
  <c r="AE18" i="4" s="1"/>
  <c r="AD17" i="4"/>
  <c r="Z17" i="4"/>
  <c r="X17" i="4"/>
  <c r="AC17" i="4"/>
  <c r="AE17" i="4" s="1"/>
  <c r="AD16" i="4"/>
  <c r="Z16" i="4"/>
  <c r="X16" i="4"/>
  <c r="AC16" i="4"/>
  <c r="AE16" i="4" s="1"/>
  <c r="AD15" i="4"/>
  <c r="Z15" i="4"/>
  <c r="X15" i="4"/>
  <c r="AC15" i="4"/>
  <c r="AE15" i="4" s="1"/>
  <c r="AD14" i="4"/>
  <c r="Z14" i="4"/>
  <c r="X14" i="4"/>
  <c r="AC14" i="4"/>
  <c r="AE14" i="4" s="1"/>
  <c r="AD13" i="4"/>
  <c r="Z13" i="4"/>
  <c r="X13" i="4"/>
  <c r="AC13" i="4"/>
  <c r="AE13" i="4" s="1"/>
  <c r="AD12" i="4"/>
  <c r="Z12" i="4"/>
  <c r="X12" i="4"/>
  <c r="AC12" i="4"/>
  <c r="AE12" i="4" s="1"/>
  <c r="AD11" i="4"/>
  <c r="Z11" i="4"/>
  <c r="X11" i="4"/>
  <c r="AC11" i="4"/>
  <c r="AE11" i="4" s="1"/>
  <c r="AD10" i="4"/>
  <c r="Z10" i="4"/>
  <c r="X10" i="4"/>
  <c r="AC10" i="4"/>
  <c r="AE10" i="4" s="1"/>
  <c r="AD9" i="4"/>
  <c r="Z9" i="4"/>
  <c r="X9" i="4"/>
  <c r="AC9" i="4"/>
  <c r="AE9" i="4" s="1"/>
  <c r="AD8" i="4"/>
  <c r="Z8" i="4"/>
  <c r="X8" i="4"/>
  <c r="AC8" i="4"/>
  <c r="AD7" i="4"/>
  <c r="Z7" i="4"/>
  <c r="X7" i="4"/>
  <c r="AC7" i="4"/>
  <c r="AD6" i="4"/>
  <c r="Z6" i="4"/>
  <c r="X6" i="4"/>
  <c r="AC6" i="4"/>
  <c r="AD5" i="4"/>
  <c r="Z5" i="4"/>
  <c r="AC5" i="4"/>
  <c r="AC4" i="4"/>
  <c r="AD4" i="4"/>
  <c r="D2" i="5" l="1"/>
  <c r="W20" i="4"/>
  <c r="AH20" i="4"/>
  <c r="W80" i="4"/>
  <c r="AH80" i="4"/>
  <c r="W7" i="4"/>
  <c r="AH7" i="4"/>
  <c r="W19" i="4"/>
  <c r="AH19" i="4"/>
  <c r="W31" i="4"/>
  <c r="AH31" i="4"/>
  <c r="W43" i="4"/>
  <c r="AH43" i="4"/>
  <c r="W55" i="4"/>
  <c r="AH55" i="4"/>
  <c r="W67" i="4"/>
  <c r="AH67" i="4"/>
  <c r="W79" i="4"/>
  <c r="AH79" i="4"/>
  <c r="W91" i="4"/>
  <c r="AH91" i="4"/>
  <c r="W56" i="4"/>
  <c r="AH56" i="4"/>
  <c r="W12" i="4"/>
  <c r="AH12" i="4"/>
  <c r="W36" i="4"/>
  <c r="AH36" i="4"/>
  <c r="W48" i="4"/>
  <c r="AH48" i="4"/>
  <c r="W60" i="4"/>
  <c r="AH60" i="4"/>
  <c r="W72" i="4"/>
  <c r="AH72" i="4"/>
  <c r="W84" i="4"/>
  <c r="AH84" i="4"/>
  <c r="W96" i="4"/>
  <c r="AH96" i="4"/>
  <c r="W17" i="4"/>
  <c r="AH17" i="4"/>
  <c r="W29" i="4"/>
  <c r="AH29" i="4"/>
  <c r="W41" i="4"/>
  <c r="AH41" i="4"/>
  <c r="W53" i="4"/>
  <c r="AH53" i="4"/>
  <c r="W65" i="4"/>
  <c r="AH65" i="4"/>
  <c r="W77" i="4"/>
  <c r="AH77" i="4"/>
  <c r="W89" i="4"/>
  <c r="AH89" i="4"/>
  <c r="W101" i="4"/>
  <c r="AH101" i="4"/>
  <c r="W15" i="4"/>
  <c r="AH15" i="4"/>
  <c r="W32" i="4"/>
  <c r="AH32" i="4"/>
  <c r="W44" i="4"/>
  <c r="AH44" i="4"/>
  <c r="W68" i="4"/>
  <c r="AH68" i="4"/>
  <c r="W24" i="4"/>
  <c r="AH24" i="4"/>
  <c r="W10" i="4"/>
  <c r="AH10" i="4"/>
  <c r="W22" i="4"/>
  <c r="AH22" i="4"/>
  <c r="W34" i="4"/>
  <c r="AH34" i="4"/>
  <c r="W46" i="4"/>
  <c r="AH46" i="4"/>
  <c r="W58" i="4"/>
  <c r="AH58" i="4"/>
  <c r="W70" i="4"/>
  <c r="AH70" i="4"/>
  <c r="W82" i="4"/>
  <c r="AH82" i="4"/>
  <c r="W94" i="4"/>
  <c r="AH94" i="4"/>
  <c r="W87" i="4"/>
  <c r="AH87" i="4"/>
  <c r="W92" i="4"/>
  <c r="AH92" i="4"/>
  <c r="W25" i="4"/>
  <c r="AH25" i="4"/>
  <c r="W37" i="4"/>
  <c r="AH37" i="4"/>
  <c r="W49" i="4"/>
  <c r="AH49" i="4"/>
  <c r="W61" i="4"/>
  <c r="AH61" i="4"/>
  <c r="W73" i="4"/>
  <c r="AH73" i="4"/>
  <c r="W85" i="4"/>
  <c r="AH85" i="4"/>
  <c r="W97" i="4"/>
  <c r="AH97" i="4"/>
  <c r="W39" i="4"/>
  <c r="AH39" i="4"/>
  <c r="W75" i="4"/>
  <c r="AH75" i="4"/>
  <c r="W13" i="4"/>
  <c r="AH13" i="4"/>
  <c r="W6" i="4"/>
  <c r="AH6" i="4"/>
  <c r="W18" i="4"/>
  <c r="AH18" i="4"/>
  <c r="W30" i="4"/>
  <c r="AH30" i="4"/>
  <c r="W42" i="4"/>
  <c r="AH42" i="4"/>
  <c r="W54" i="4"/>
  <c r="AH54" i="4"/>
  <c r="W66" i="4"/>
  <c r="AH66" i="4"/>
  <c r="W78" i="4"/>
  <c r="AH78" i="4"/>
  <c r="W90" i="4"/>
  <c r="AH90" i="4"/>
  <c r="W102" i="4"/>
  <c r="AH102" i="4"/>
  <c r="W27" i="4"/>
  <c r="AH27" i="4"/>
  <c r="W63" i="4"/>
  <c r="AH63" i="4"/>
  <c r="W99" i="4"/>
  <c r="AH99" i="4"/>
  <c r="W11" i="4"/>
  <c r="AH11" i="4"/>
  <c r="W35" i="4"/>
  <c r="AH35" i="4"/>
  <c r="W47" i="4"/>
  <c r="AH47" i="4"/>
  <c r="W59" i="4"/>
  <c r="AH59" i="4"/>
  <c r="W71" i="4"/>
  <c r="AH71" i="4"/>
  <c r="W83" i="4"/>
  <c r="AH83" i="4"/>
  <c r="W95" i="4"/>
  <c r="AH95" i="4"/>
  <c r="W23" i="4"/>
  <c r="AH23" i="4"/>
  <c r="W16" i="4"/>
  <c r="AH16" i="4"/>
  <c r="W28" i="4"/>
  <c r="AH28" i="4"/>
  <c r="W40" i="4"/>
  <c r="AH40" i="4"/>
  <c r="W52" i="4"/>
  <c r="AH52" i="4"/>
  <c r="W64" i="4"/>
  <c r="AH64" i="4"/>
  <c r="W76" i="4"/>
  <c r="AH76" i="4"/>
  <c r="W88" i="4"/>
  <c r="AH88" i="4"/>
  <c r="W100" i="4"/>
  <c r="AH100" i="4"/>
  <c r="W51" i="4"/>
  <c r="AH51" i="4"/>
  <c r="W9" i="4"/>
  <c r="AH9" i="4"/>
  <c r="W21" i="4"/>
  <c r="AH21" i="4"/>
  <c r="W33" i="4"/>
  <c r="AH33" i="4"/>
  <c r="W45" i="4"/>
  <c r="AH45" i="4"/>
  <c r="W57" i="4"/>
  <c r="AH57" i="4"/>
  <c r="W69" i="4"/>
  <c r="AH69" i="4"/>
  <c r="W81" i="4"/>
  <c r="AH81" i="4"/>
  <c r="W93" i="4"/>
  <c r="AH93" i="4"/>
  <c r="W8" i="4"/>
  <c r="AH8" i="4"/>
  <c r="W14" i="4"/>
  <c r="AH14" i="4"/>
  <c r="W26" i="4"/>
  <c r="AH26" i="4"/>
  <c r="W38" i="4"/>
  <c r="AH38" i="4"/>
  <c r="W50" i="4"/>
  <c r="AH50" i="4"/>
  <c r="W62" i="4"/>
  <c r="AH62" i="4"/>
  <c r="W74" i="4"/>
  <c r="AH74" i="4"/>
  <c r="W86" i="4"/>
  <c r="AH86" i="4"/>
  <c r="W98" i="4"/>
  <c r="AH98" i="4"/>
  <c r="Y94" i="4"/>
  <c r="Y99" i="4"/>
  <c r="Y97" i="4"/>
  <c r="Y96" i="4"/>
  <c r="Y101" i="4"/>
  <c r="Y98" i="4"/>
  <c r="Y95" i="4"/>
  <c r="Y100" i="4"/>
  <c r="Y41" i="4"/>
  <c r="Y49" i="4"/>
  <c r="Y57" i="4"/>
  <c r="Y65" i="4"/>
  <c r="Y73" i="4"/>
  <c r="Y81" i="4"/>
  <c r="Y89" i="4"/>
  <c r="Y35" i="4"/>
  <c r="Y51" i="4"/>
  <c r="Y59" i="4"/>
  <c r="Y38" i="4"/>
  <c r="Y46" i="4"/>
  <c r="Y54" i="4"/>
  <c r="Y62" i="4"/>
  <c r="Y70" i="4"/>
  <c r="Y78" i="4"/>
  <c r="Y86" i="4"/>
  <c r="Y83" i="4"/>
  <c r="Y91" i="4"/>
  <c r="Y40" i="4"/>
  <c r="Y48" i="4"/>
  <c r="Y56" i="4"/>
  <c r="Y64" i="4"/>
  <c r="Y72" i="4"/>
  <c r="Y80" i="4"/>
  <c r="Y88" i="4"/>
  <c r="Y37" i="4"/>
  <c r="Y45" i="4"/>
  <c r="Y53" i="4"/>
  <c r="Y61" i="4"/>
  <c r="Y69" i="4"/>
  <c r="Y77" i="4"/>
  <c r="Y85" i="4"/>
  <c r="Y75" i="4"/>
  <c r="Y34" i="4"/>
  <c r="Y42" i="4"/>
  <c r="Y50" i="4"/>
  <c r="Y58" i="4"/>
  <c r="Y66" i="4"/>
  <c r="Y74" i="4"/>
  <c r="Y82" i="4"/>
  <c r="Y90" i="4"/>
  <c r="Y43" i="4"/>
  <c r="Y39" i="4"/>
  <c r="Y47" i="4"/>
  <c r="Y55" i="4"/>
  <c r="Y63" i="4"/>
  <c r="Y71" i="4"/>
  <c r="Y79" i="4"/>
  <c r="Y87" i="4"/>
  <c r="Y67" i="4"/>
  <c r="Y36" i="4"/>
  <c r="Y44" i="4"/>
  <c r="Y52" i="4"/>
  <c r="Y60" i="4"/>
  <c r="Y68" i="4"/>
  <c r="Y76" i="4"/>
  <c r="Y84" i="4"/>
  <c r="Y92" i="4"/>
  <c r="Y13" i="4"/>
  <c r="Y21" i="4"/>
  <c r="Y29" i="4"/>
  <c r="Y10" i="4"/>
  <c r="Y18" i="4"/>
  <c r="Y26" i="4"/>
  <c r="Y32" i="4"/>
  <c r="Y15" i="4"/>
  <c r="Y23" i="4"/>
  <c r="Y31" i="4"/>
  <c r="Y24" i="4"/>
  <c r="Y12" i="4"/>
  <c r="Y20" i="4"/>
  <c r="Y28" i="4"/>
  <c r="Y17" i="4"/>
  <c r="Y25" i="4"/>
  <c r="Y33" i="4"/>
  <c r="Y14" i="4"/>
  <c r="Y22" i="4"/>
  <c r="Y30" i="4"/>
  <c r="Y16" i="4"/>
  <c r="Y9" i="4"/>
  <c r="Y11" i="4"/>
  <c r="Y19" i="4"/>
  <c r="Y27" i="4"/>
  <c r="Y102" i="4"/>
  <c r="C104" i="5"/>
  <c r="AE93" i="4"/>
  <c r="Y93" i="4"/>
  <c r="Y7" i="4"/>
  <c r="AE4" i="4"/>
  <c r="AE7" i="4"/>
  <c r="AE5" i="4"/>
  <c r="Y5" i="4"/>
  <c r="AE8" i="4"/>
  <c r="AE6" i="4"/>
  <c r="Y8" i="4"/>
  <c r="Y6" i="4"/>
  <c r="C58" i="5"/>
  <c r="C66" i="5"/>
  <c r="C98" i="5"/>
  <c r="C17" i="5"/>
  <c r="C18" i="5"/>
  <c r="C26" i="5"/>
  <c r="C42" i="5"/>
  <c r="C82" i="5"/>
  <c r="C33" i="5"/>
  <c r="C97" i="5"/>
  <c r="C16" i="5"/>
  <c r="C32" i="5"/>
  <c r="C56" i="5"/>
  <c r="C72" i="5"/>
  <c r="C88" i="5"/>
  <c r="C96" i="5"/>
  <c r="C7" i="5"/>
  <c r="C55" i="5"/>
  <c r="C79" i="5"/>
  <c r="C87" i="5"/>
  <c r="C6" i="5"/>
  <c r="C30" i="5"/>
  <c r="C46" i="5"/>
  <c r="C54" i="5"/>
  <c r="C62" i="5"/>
  <c r="C70" i="5"/>
  <c r="C78" i="5"/>
  <c r="C86" i="5"/>
  <c r="C45" i="5"/>
  <c r="C69" i="5"/>
  <c r="C85" i="5"/>
  <c r="C34" i="5"/>
  <c r="C50" i="5"/>
  <c r="C74" i="5"/>
  <c r="C9" i="5"/>
  <c r="C49" i="5"/>
  <c r="C57" i="5"/>
  <c r="C73" i="5"/>
  <c r="C89" i="5"/>
  <c r="C8" i="5"/>
  <c r="C48" i="5"/>
  <c r="C80" i="5"/>
  <c r="C15" i="5"/>
  <c r="C31" i="5"/>
  <c r="C47" i="5"/>
  <c r="C63" i="5"/>
  <c r="C71" i="5"/>
  <c r="C95" i="5"/>
  <c r="C22" i="5"/>
  <c r="C38" i="5"/>
  <c r="C94" i="5"/>
  <c r="C5" i="5"/>
  <c r="C13" i="5"/>
  <c r="C21" i="5"/>
  <c r="C29" i="5"/>
  <c r="C37" i="5"/>
  <c r="C53" i="5"/>
  <c r="C61" i="5"/>
  <c r="C77" i="5"/>
  <c r="C93" i="5"/>
  <c r="C4" i="5"/>
  <c r="C12" i="5"/>
  <c r="C20" i="5"/>
  <c r="C28" i="5"/>
  <c r="C36" i="5"/>
  <c r="C44" i="5"/>
  <c r="C52" i="5"/>
  <c r="C60" i="5"/>
  <c r="C68" i="5"/>
  <c r="C76" i="5"/>
  <c r="C84" i="5"/>
  <c r="C92" i="5"/>
  <c r="C10" i="5"/>
  <c r="C90" i="5"/>
  <c r="C25" i="5"/>
  <c r="C41" i="5"/>
  <c r="C65" i="5"/>
  <c r="C81" i="5"/>
  <c r="C24" i="5"/>
  <c r="C40" i="5"/>
  <c r="C64" i="5"/>
  <c r="C23" i="5"/>
  <c r="C39" i="5"/>
  <c r="C14" i="5"/>
  <c r="C3" i="5"/>
  <c r="C11" i="5"/>
  <c r="C19" i="5"/>
  <c r="C27" i="5"/>
  <c r="C35" i="5"/>
  <c r="C43" i="5"/>
  <c r="C51" i="5"/>
  <c r="C59" i="5"/>
  <c r="C67" i="5"/>
  <c r="C75" i="5"/>
  <c r="C83" i="5"/>
  <c r="C99" i="5"/>
  <c r="K3" i="3"/>
  <c r="C91" i="5" l="1"/>
  <c r="D16" i="1" l="1"/>
  <c r="D17" i="1" s="1"/>
  <c r="H14" i="1" l="1"/>
  <c r="H15" i="1" s="1"/>
  <c r="C12" i="1" s="1"/>
  <c r="D35" i="1"/>
  <c r="D20" i="1"/>
  <c r="D13" i="1"/>
  <c r="D9" i="1"/>
  <c r="D10" i="1" s="1"/>
  <c r="D6" i="1"/>
  <c r="D7" i="1" s="1"/>
  <c r="D3" i="1"/>
  <c r="F6" i="1"/>
  <c r="F13" i="1" s="1"/>
  <c r="F2" i="1"/>
  <c r="F10" i="1" s="1"/>
  <c r="F9" i="1" l="1"/>
  <c r="F3" i="1"/>
  <c r="F12" i="1"/>
  <c r="F7" i="1"/>
  <c r="D31" i="1"/>
  <c r="D32" i="1" s="1"/>
  <c r="D27" i="1"/>
  <c r="D28" i="1" s="1"/>
  <c r="D23" i="1"/>
  <c r="D24" i="1" s="1"/>
  <c r="C3" i="9" l="1"/>
  <c r="C3" i="10"/>
  <c r="AA4" i="4"/>
  <c r="Z4" i="4"/>
  <c r="X4" i="4"/>
  <c r="W4" i="4" l="1"/>
  <c r="AH4" i="4"/>
  <c r="C2" i="5"/>
  <c r="Y4" i="4"/>
</calcChain>
</file>

<file path=xl/sharedStrings.xml><?xml version="1.0" encoding="utf-8"?>
<sst xmlns="http://schemas.openxmlformats.org/spreadsheetml/2006/main" count="1943" uniqueCount="1162">
  <si>
    <t>ESPN Team Sheet</t>
  </si>
  <si>
    <t>TEAM INFO</t>
  </si>
  <si>
    <t>TODAY_TONIGHT_SEL</t>
  </si>
  <si>
    <t>SWATCH SEL</t>
  </si>
  <si>
    <t xml:space="preserve"> TEAM INFO</t>
  </si>
  <si>
    <t>TEAM_RANK</t>
  </si>
  <si>
    <t>SEASON_SEL</t>
  </si>
  <si>
    <t>TEAM_CITY_COLLEGE</t>
  </si>
  <si>
    <t>TODAY_TONIGHT_SEL_COLON</t>
  </si>
  <si>
    <t>TODAY/SEASON SEL</t>
  </si>
  <si>
    <t>TEAM_NICKNAME</t>
  </si>
  <si>
    <t>SEASON_SEL_COLON</t>
  </si>
  <si>
    <t>TEAM LOGOS / SWATCH / HEADSHOTS</t>
  </si>
  <si>
    <t>Last Season</t>
  </si>
  <si>
    <t>ALABAMA</t>
  </si>
  <si>
    <t>Swatch Selector</t>
  </si>
  <si>
    <t>TEAM_TRICODE</t>
  </si>
  <si>
    <t>Today</t>
  </si>
  <si>
    <t>Tonight</t>
  </si>
  <si>
    <t>TEAM_FULL_NAME</t>
  </si>
  <si>
    <t>SWATCH_SELECT</t>
  </si>
  <si>
    <t>TEAM_DASH_NAME</t>
  </si>
  <si>
    <t>TODAY / SEASON SELECTION</t>
  </si>
  <si>
    <t>Today / Tonight Selection</t>
  </si>
  <si>
    <t>Season / Last Season</t>
  </si>
  <si>
    <t>TEAM_RANK_NAME</t>
  </si>
  <si>
    <t>TEAM_RANK_NAME_NICKNAME</t>
  </si>
  <si>
    <t>TEAM_RANK_NAME_RECORD</t>
  </si>
  <si>
    <t>TEAM_LOGOTEXT</t>
  </si>
  <si>
    <t>TEAM_RECORD_OVERALL</t>
  </si>
  <si>
    <t>COACH_RESUME_TITLE</t>
  </si>
  <si>
    <t>Title</t>
  </si>
  <si>
    <t>COACH_RESUME_SUBTITLE</t>
  </si>
  <si>
    <t>Line1</t>
  </si>
  <si>
    <t>Line2</t>
  </si>
  <si>
    <t>Line3</t>
  </si>
  <si>
    <t>COACH_RESUME_LINE3</t>
  </si>
  <si>
    <t>COACH_RESUME_DROP</t>
  </si>
  <si>
    <t>Roster</t>
  </si>
  <si>
    <t>Jersey</t>
  </si>
  <si>
    <t>Display</t>
  </si>
  <si>
    <t>First Name</t>
  </si>
  <si>
    <t>Last Name</t>
  </si>
  <si>
    <t>POS</t>
  </si>
  <si>
    <t>Height</t>
  </si>
  <si>
    <t>Weight</t>
  </si>
  <si>
    <t>Birthday</t>
  </si>
  <si>
    <t>Hometown</t>
  </si>
  <si>
    <t>Year</t>
  </si>
  <si>
    <t>Age</t>
  </si>
  <si>
    <t>Headshot</t>
  </si>
  <si>
    <t>Full Name</t>
  </si>
  <si>
    <t>Initial Name</t>
  </si>
  <si>
    <t>AVG</t>
  </si>
  <si>
    <t>TEAM HEADER INFO</t>
  </si>
  <si>
    <t>TEAM INFO LINE 1</t>
  </si>
  <si>
    <t>TEAM 1 LINE DROP</t>
  </si>
  <si>
    <t>TEAM 2-LINE HEADER</t>
  </si>
  <si>
    <t>TEAM 2-LINE INFO LINE 1</t>
  </si>
  <si>
    <t>TEAM 2-LINE INFO LINE 2</t>
  </si>
  <si>
    <t>TEAM 2 LINE DROP</t>
  </si>
  <si>
    <t>1-Line Team lower third</t>
  </si>
  <si>
    <t>Line 1 of 2</t>
  </si>
  <si>
    <t>Line 2 of 2</t>
  </si>
  <si>
    <t>TEAM HEADER INFO HERE</t>
  </si>
  <si>
    <t>Line 2</t>
  </si>
  <si>
    <t>Line 3</t>
  </si>
  <si>
    <t>Line 4</t>
  </si>
  <si>
    <t>Line 5</t>
  </si>
  <si>
    <t>Line 6</t>
  </si>
  <si>
    <t>Line 7</t>
  </si>
  <si>
    <t>Line 8</t>
  </si>
  <si>
    <t>Line 9</t>
  </si>
  <si>
    <t>Line 10</t>
  </si>
  <si>
    <t>PROMOS/SCHEDULES</t>
  </si>
  <si>
    <t>NETWORK_LOGO_PATH</t>
  </si>
  <si>
    <t>SCHED_NETWORK</t>
  </si>
  <si>
    <t>Upcoming TV Games</t>
  </si>
  <si>
    <t>OPPONENT</t>
  </si>
  <si>
    <t>DATE</t>
  </si>
  <si>
    <t xml:space="preserve">TIME </t>
  </si>
  <si>
    <t>NETWORK LOGO</t>
  </si>
  <si>
    <t>ABC</t>
  </si>
  <si>
    <t>ABC_ESPN2_MIRROR_BLACK</t>
  </si>
  <si>
    <t>ESPNU_LIGHTGRAY</t>
  </si>
  <si>
    <t>ABC_ESPN2_MIRROR_WHITE</t>
  </si>
  <si>
    <t>ACC_ON_ESPN</t>
  </si>
  <si>
    <t>ACC_NETWORK_EXTRA_GRAY</t>
  </si>
  <si>
    <t>TEAM_LOGOS</t>
  </si>
  <si>
    <t>CONFERENCE_LOGOS</t>
  </si>
  <si>
    <t>NETWORK_LOGOS</t>
  </si>
  <si>
    <t>ABILENE_CHRISTIAN</t>
  </si>
  <si>
    <t>AMERICAN</t>
  </si>
  <si>
    <t>AIR_FORCE</t>
  </si>
  <si>
    <t>ABCAPPMIRROR</t>
  </si>
  <si>
    <t>AKRON</t>
  </si>
  <si>
    <t>BIG_12</t>
  </si>
  <si>
    <t>ABCAPPMIRROR_WHITE</t>
  </si>
  <si>
    <t>BIG_SKY</t>
  </si>
  <si>
    <t>ABC_ESPN2_MIRROR</t>
  </si>
  <si>
    <t>ALABAMA_AM</t>
  </si>
  <si>
    <t>BIG_SOUTH</t>
  </si>
  <si>
    <t>ALABAMA_ST</t>
  </si>
  <si>
    <t>BIG_TEN</t>
  </si>
  <si>
    <t>ALCORN_ST</t>
  </si>
  <si>
    <t>CONFERENCE_USA</t>
  </si>
  <si>
    <t>ABC_ESPN3_MIRROR</t>
  </si>
  <si>
    <t>AMERICAN_UNIVERSITY</t>
  </si>
  <si>
    <t>GREAT_WEST</t>
  </si>
  <si>
    <t>ABC_ESPN3_MIRROR_WHITE</t>
  </si>
  <si>
    <t>APPALACHIAN_ST</t>
  </si>
  <si>
    <t>IVY_LEAGUE</t>
  </si>
  <si>
    <t>ABC_ESPN_MIRROR</t>
  </si>
  <si>
    <t>ARIZONA</t>
  </si>
  <si>
    <t>MEAC</t>
  </si>
  <si>
    <t>ABC_ESPN_MIRROR_BLACK</t>
  </si>
  <si>
    <t>ARIZONA_ST</t>
  </si>
  <si>
    <t>ABC_ESPN_MIRROR_WHITE</t>
  </si>
  <si>
    <t>ARKANSAS</t>
  </si>
  <si>
    <t>MISSOURI_VALLEY</t>
  </si>
  <si>
    <t>ABC_GRAY</t>
  </si>
  <si>
    <t>ARKANSAS_PINE_BLUFF</t>
  </si>
  <si>
    <t>MOUNTAIN_WEST</t>
  </si>
  <si>
    <t>ABC_LIGHTGRAY</t>
  </si>
  <si>
    <t>ARKANSAS_ST</t>
  </si>
  <si>
    <t>NORTHEAST</t>
  </si>
  <si>
    <t>ABC_WHITE</t>
  </si>
  <si>
    <t>ARMY</t>
  </si>
  <si>
    <t>OHIO_VALLEY</t>
  </si>
  <si>
    <t>AUBURN</t>
  </si>
  <si>
    <t>AUSTIN_PEAY</t>
  </si>
  <si>
    <t>PATRIOT_LEAGUE</t>
  </si>
  <si>
    <t>BALL_ST</t>
  </si>
  <si>
    <t>BAYLOR</t>
  </si>
  <si>
    <t>SOUTHLAND</t>
  </si>
  <si>
    <t>BELLARMINE</t>
  </si>
  <si>
    <t>BELMONT</t>
  </si>
  <si>
    <t>SWAC</t>
  </si>
  <si>
    <t>BETHUNE_COOKMAN</t>
  </si>
  <si>
    <t>ACC_DIGITALNETWORK</t>
  </si>
  <si>
    <t>BOISE_ST</t>
  </si>
  <si>
    <t>ACC_DIGITAL_NETWORK</t>
  </si>
  <si>
    <t>BOSTON_COLLEGE</t>
  </si>
  <si>
    <t>ACC_ESPN</t>
  </si>
  <si>
    <t>BOSTON_UNIVERSITY</t>
  </si>
  <si>
    <t>ACC_ESPN_NETWORK</t>
  </si>
  <si>
    <t>BOWLING_GREEN</t>
  </si>
  <si>
    <t>ACC_ESPN_NETWORK_BLACK</t>
  </si>
  <si>
    <t>BRADLEY</t>
  </si>
  <si>
    <t>ACC_ESPN_NETWORK_GRAY</t>
  </si>
  <si>
    <t>BROWN</t>
  </si>
  <si>
    <t>ACC_ESPN_NETWORK_LIGHTGRAY</t>
  </si>
  <si>
    <t>BRYANT</t>
  </si>
  <si>
    <t>ACC_ESPN_NETWORK_WHITE</t>
  </si>
  <si>
    <t>BUCKNELL</t>
  </si>
  <si>
    <t>ACC_NETWORK</t>
  </si>
  <si>
    <t>BUFFALO</t>
  </si>
  <si>
    <t>ACC_NETWORK_BLACK</t>
  </si>
  <si>
    <t>BYU</t>
  </si>
  <si>
    <t>CALIFORNIA</t>
  </si>
  <si>
    <t>CALIFORNIA_BAPTIST</t>
  </si>
  <si>
    <t>CAL_POLY</t>
  </si>
  <si>
    <t>ACC_NETWORK_EXTRA</t>
  </si>
  <si>
    <t>CAL_ST_BAKERSFIELD</t>
  </si>
  <si>
    <t>CAL_ST_FULLERTON</t>
  </si>
  <si>
    <t>ACC_NETWORK_EXTRA_BLACK</t>
  </si>
  <si>
    <t>CAL_ST_NORTHRIDGE</t>
  </si>
  <si>
    <t>CAMPBELL</t>
  </si>
  <si>
    <t>ACC_NETWORK_EXTRA_LIGHTGRAY</t>
  </si>
  <si>
    <t>CANISIUS</t>
  </si>
  <si>
    <t>ACC_NETWORK_EXTRA_WHITE</t>
  </si>
  <si>
    <t>CENTRAL_ARKANSAS</t>
  </si>
  <si>
    <t>ACC_NETWORK_GRAY</t>
  </si>
  <si>
    <t>CENTRAL_CONNECTICUT_ST</t>
  </si>
  <si>
    <t>ACC_NETWORK_LIGHTGRAY</t>
  </si>
  <si>
    <t>CENTRAL_MICHIGAN</t>
  </si>
  <si>
    <t>CHARLESTON_SOUTHERN</t>
  </si>
  <si>
    <t>ACC_NETWORK_WHITE</t>
  </si>
  <si>
    <t>CHARLOTTE</t>
  </si>
  <si>
    <t>CHATTANOOGA</t>
  </si>
  <si>
    <t>ACC_WHITE</t>
  </si>
  <si>
    <t>CHICAGO_ST</t>
  </si>
  <si>
    <t>AMERICAN_BLACK</t>
  </si>
  <si>
    <t>CINCINNATI</t>
  </si>
  <si>
    <t>AMERICAN_GRAY</t>
  </si>
  <si>
    <t>CLEMSON</t>
  </si>
  <si>
    <t>AMERICAN_WHITE</t>
  </si>
  <si>
    <t>CLEVELAND_ST</t>
  </si>
  <si>
    <t>AMERICA_EAST_ESPN3</t>
  </si>
  <si>
    <t>COASTAL_CAROLINA</t>
  </si>
  <si>
    <t>COLGATE</t>
  </si>
  <si>
    <t>COLLEGE_OF_CHARLESTON</t>
  </si>
  <si>
    <t>COLORADO</t>
  </si>
  <si>
    <t>BIGEAST_NETWORK</t>
  </si>
  <si>
    <t>COLORADO_ST</t>
  </si>
  <si>
    <t>BIGEAST_NETWORK_GRAY</t>
  </si>
  <si>
    <t>COLUMBIA</t>
  </si>
  <si>
    <t>BIGEAST_NETWORK_LIGHTGRAY</t>
  </si>
  <si>
    <t>CONNECTICUT</t>
  </si>
  <si>
    <t>BIGEAST_NETWORK_WHITE</t>
  </si>
  <si>
    <t>COPPIN_ST</t>
  </si>
  <si>
    <t>BIGTENABC_BLACK</t>
  </si>
  <si>
    <t>CORNELL</t>
  </si>
  <si>
    <t>BIGTENABC_COLORPOSITIVE</t>
  </si>
  <si>
    <t>DARTMOUTH</t>
  </si>
  <si>
    <t>BIGTENABC_GRAY</t>
  </si>
  <si>
    <t>DAVIDSON</t>
  </si>
  <si>
    <t>BIGTENABC_LIGHTGRAY</t>
  </si>
  <si>
    <t>DAYTON</t>
  </si>
  <si>
    <t>BIGTENABC_WHITE</t>
  </si>
  <si>
    <t>DELAWARE</t>
  </si>
  <si>
    <t>BIGTENESPN_BLACK</t>
  </si>
  <si>
    <t>DELAWARE_ST</t>
  </si>
  <si>
    <t>BIGTENESPN_COLORPOSITIVE</t>
  </si>
  <si>
    <t>DENVER</t>
  </si>
  <si>
    <t>BIGTENESPN_GRAY</t>
  </si>
  <si>
    <t>DETROIT_MERCY</t>
  </si>
  <si>
    <t>BIGTENESPN_LIGHTGRAY</t>
  </si>
  <si>
    <t>BIGTENESPN_WHITE</t>
  </si>
  <si>
    <t>DRAKE</t>
  </si>
  <si>
    <t>BIGTEN_ABC</t>
  </si>
  <si>
    <t>DREXEL</t>
  </si>
  <si>
    <t>BIGTEN_ABC_BLACK</t>
  </si>
  <si>
    <t>DUKE</t>
  </si>
  <si>
    <t>BIGTEN_ABC_GRAY</t>
  </si>
  <si>
    <t>DUQUESNE</t>
  </si>
  <si>
    <t>BIGTEN_ABC_LIGHTGRAY</t>
  </si>
  <si>
    <t>EASTERN_ILLINOIS</t>
  </si>
  <si>
    <t>BIGTEN_ABC_WHITE</t>
  </si>
  <si>
    <t>EASTERN_KENTUCKY</t>
  </si>
  <si>
    <t>BIGTEN_ESPN</t>
  </si>
  <si>
    <t>EASTERN_MICHIGAN</t>
  </si>
  <si>
    <t>BIGTEN_ESPN_BLACK</t>
  </si>
  <si>
    <t>EASTERN_WASHINGTON</t>
  </si>
  <si>
    <t>BIGTEN_ESPN_GRAY</t>
  </si>
  <si>
    <t>EAST_CAROLINA</t>
  </si>
  <si>
    <t>BIGTEN_ESPN_LIGHTGRAY</t>
  </si>
  <si>
    <t>EAST_TENNESSEE_ST</t>
  </si>
  <si>
    <t>BIGTEN_ESPN_WHITE</t>
  </si>
  <si>
    <t>ELON</t>
  </si>
  <si>
    <t>CBSNETWORK</t>
  </si>
  <si>
    <t>EVANSVILLE</t>
  </si>
  <si>
    <t>CBSNETWORK_GRAY</t>
  </si>
  <si>
    <t>FAIRFIELD</t>
  </si>
  <si>
    <t>CBSNETWORK_LIGHTGRAY</t>
  </si>
  <si>
    <t>FAIRLEIGH_DICKINSON</t>
  </si>
  <si>
    <t>CBSNETWORK_WHITE</t>
  </si>
  <si>
    <t>FLORIDA</t>
  </si>
  <si>
    <t>CBS_SPORTS</t>
  </si>
  <si>
    <t>FLORIDA_AM</t>
  </si>
  <si>
    <t>CBS_SPORTS_GRAY</t>
  </si>
  <si>
    <t>FLORIDA_ATLANTIC</t>
  </si>
  <si>
    <t>CBS_SPORTS_NK</t>
  </si>
  <si>
    <t>FLORIDA_GULF_COAST</t>
  </si>
  <si>
    <t>CBS_SPORTS_WHITE</t>
  </si>
  <si>
    <t>FLORIDA_INTERNATIONAL</t>
  </si>
  <si>
    <t>FLORIDA_ST</t>
  </si>
  <si>
    <t>ESPN+</t>
  </si>
  <si>
    <t>FORDHAM</t>
  </si>
  <si>
    <t>ESPN+_BLACK</t>
  </si>
  <si>
    <t>FRESNO_ST</t>
  </si>
  <si>
    <t>ESPN+_COLORNEGATIVE</t>
  </si>
  <si>
    <t>FURMAN</t>
  </si>
  <si>
    <t>ESPN+_GRAY</t>
  </si>
  <si>
    <t>GARDNER_WEBB</t>
  </si>
  <si>
    <t>ESPN+_ICON</t>
  </si>
  <si>
    <t>GEORGETOWN</t>
  </si>
  <si>
    <t>ESPN+_ICON_BLACK</t>
  </si>
  <si>
    <t>GEORGE_MASON</t>
  </si>
  <si>
    <t>ESPN+_ICON_COLORNEGATIVE</t>
  </si>
  <si>
    <t>GEORGE_WASHINGTON</t>
  </si>
  <si>
    <t>ESPN+_ICON_GRAY</t>
  </si>
  <si>
    <t>GEORGIA</t>
  </si>
  <si>
    <t>ESPN+_ICON_LIGHTGRAY</t>
  </si>
  <si>
    <t>GEORGIA_SOUTHERN</t>
  </si>
  <si>
    <t>ESPN+_ICON_WHITE</t>
  </si>
  <si>
    <t>GEORGIA_ST</t>
  </si>
  <si>
    <t>ESPN+_LIGHTGRAY</t>
  </si>
  <si>
    <t>GEORGIA_TECH</t>
  </si>
  <si>
    <t>ESPN+_WHITE</t>
  </si>
  <si>
    <t>GONZAGA</t>
  </si>
  <si>
    <t>ESPN</t>
  </si>
  <si>
    <t>GRAMBLING_ST</t>
  </si>
  <si>
    <t>ESPN2</t>
  </si>
  <si>
    <t>GRAND_CANYON</t>
  </si>
  <si>
    <t>ESPN2_BLACK</t>
  </si>
  <si>
    <t>GREEN_BAY</t>
  </si>
  <si>
    <t>ESPN2_ESPNAPP_MIRROR</t>
  </si>
  <si>
    <t>HAMPTON</t>
  </si>
  <si>
    <t>ESPN2_ESPNAPP_MIRRORWHITE</t>
  </si>
  <si>
    <t>HAMPTON_W</t>
  </si>
  <si>
    <t>ESPN2_ESPNEWS_WHITE</t>
  </si>
  <si>
    <t>HARVARD</t>
  </si>
  <si>
    <t>ESPN2_ESPNU_WHITE</t>
  </si>
  <si>
    <t>HAWAII</t>
  </si>
  <si>
    <t>ESPN2_GRAY</t>
  </si>
  <si>
    <t>ESPN2_GREY</t>
  </si>
  <si>
    <t>HOFSTRA</t>
  </si>
  <si>
    <t>ESPN2_LIGHTGRAY</t>
  </si>
  <si>
    <t>HOLY_CROSS</t>
  </si>
  <si>
    <t>ESPN2_RED</t>
  </si>
  <si>
    <t>HOUSTON</t>
  </si>
  <si>
    <t>ESPN2_WATCHESPN_MIRROR</t>
  </si>
  <si>
    <t>HOUSTON_BAPTIST</t>
  </si>
  <si>
    <t>ESPN2_WATCHESPN_MIRROR_WHITE</t>
  </si>
  <si>
    <t>HOWARD</t>
  </si>
  <si>
    <t>ESPN2_WHITE</t>
  </si>
  <si>
    <t>IDAHO</t>
  </si>
  <si>
    <t>ESPN3</t>
  </si>
  <si>
    <t>IDAHO_ST</t>
  </si>
  <si>
    <t>ESPN3_ESPNAPP_MIRROR</t>
  </si>
  <si>
    <t>ILLINOIS</t>
  </si>
  <si>
    <t>ESPN3_ESPNAPP_MIRRORWHITE</t>
  </si>
  <si>
    <t>ILLINOIS_CHICAGO</t>
  </si>
  <si>
    <t>ESPN3_GRAY</t>
  </si>
  <si>
    <t>ILLINOIS_ST</t>
  </si>
  <si>
    <t>ESPN3_LIGHTGRAY</t>
  </si>
  <si>
    <t>INCARNATE_WORD</t>
  </si>
  <si>
    <t>ESPN3_WATCHESPN_MIRROR</t>
  </si>
  <si>
    <t>INDIANA</t>
  </si>
  <si>
    <t>ESPN3_WATCHESPN_MIRROR_WHITE</t>
  </si>
  <si>
    <t>INDIANA_ST</t>
  </si>
  <si>
    <t>ESPN3_WHITE</t>
  </si>
  <si>
    <t>IONA</t>
  </si>
  <si>
    <t>IOWA</t>
  </si>
  <si>
    <t>IOWA_ST</t>
  </si>
  <si>
    <t>IUPUI</t>
  </si>
  <si>
    <t>JACKSONVILLE</t>
  </si>
  <si>
    <t>ESPNAPP</t>
  </si>
  <si>
    <t>JACKSONVILLE_ST</t>
  </si>
  <si>
    <t>ESPNAPP_1LINE</t>
  </si>
  <si>
    <t>JACKSON_ST</t>
  </si>
  <si>
    <t>ESPNAPP_1LINE_BLACK</t>
  </si>
  <si>
    <t>JAMES_MADISON</t>
  </si>
  <si>
    <t>ESPNAPP_1LINE_BWNEGATIVE</t>
  </si>
  <si>
    <t>KANSAS</t>
  </si>
  <si>
    <t>ESPNAPP_1LINE_BWPOSITIVE</t>
  </si>
  <si>
    <t>KANSAS_ST</t>
  </si>
  <si>
    <t>ESPNAPP_1LINE_COLORNEGATIVE</t>
  </si>
  <si>
    <t>KENNESAW_ST</t>
  </si>
  <si>
    <t>ESPNAPP_1LINE_GRAY</t>
  </si>
  <si>
    <t>KENTUCKY</t>
  </si>
  <si>
    <t>ESPNAPP_1LINE_LIGHTGRAY</t>
  </si>
  <si>
    <t>KENT_ST</t>
  </si>
  <si>
    <t>ESPNAPP_1LINE_WHITE</t>
  </si>
  <si>
    <t>LAFAYETTE</t>
  </si>
  <si>
    <t>ESPNAPP_BLACK</t>
  </si>
  <si>
    <t>LAMAR</t>
  </si>
  <si>
    <t>ESPNAPP_BLACK_512</t>
  </si>
  <si>
    <t>LASALLE</t>
  </si>
  <si>
    <t>ESPNAPP_BWNEGATIVE</t>
  </si>
  <si>
    <t>LEHIGH</t>
  </si>
  <si>
    <t>ESPNAPP_BWPOSITIVE</t>
  </si>
  <si>
    <t>LIBERTY</t>
  </si>
  <si>
    <t>ESPNAPP_COLORNEGATIVE</t>
  </si>
  <si>
    <t>LIPSCOMB</t>
  </si>
  <si>
    <t>ESPNAPP_ENVIVO</t>
  </si>
  <si>
    <t>LITTLE_ROCK</t>
  </si>
  <si>
    <t>ESPNAPP_ENVIVO_BLACK</t>
  </si>
  <si>
    <t>LONGWOOD</t>
  </si>
  <si>
    <t>ESPNAPP_ENVIVO_BWNEGATIVE</t>
  </si>
  <si>
    <t>LONG_BEACH_ST</t>
  </si>
  <si>
    <t>ESPNAPP_ENVIVO_BWPOSITIVE</t>
  </si>
  <si>
    <t>LOUISIANA</t>
  </si>
  <si>
    <t>ESPNAPP_ENVIVO_COLORNEGATIVE</t>
  </si>
  <si>
    <t>LOUISIANA_TECH</t>
  </si>
  <si>
    <t>ESPNAPP_ENVIVO_GRAY</t>
  </si>
  <si>
    <t>LOUISVILLE</t>
  </si>
  <si>
    <t>ESPNAPP_ENVIVO_LIGHTGRAY</t>
  </si>
  <si>
    <t>LOYOLA_CHICAGO</t>
  </si>
  <si>
    <t>ESPNAPP_ENVIVO_WHITE</t>
  </si>
  <si>
    <t>LOYOLA_MARYLAND</t>
  </si>
  <si>
    <t>ESPNAPP_GRAY</t>
  </si>
  <si>
    <t>LOYOLA_MARYMOUNT</t>
  </si>
  <si>
    <t>ESPNAPP_ICON_OVERDARK</t>
  </si>
  <si>
    <t>LSU</t>
  </si>
  <si>
    <t>ESPNAPP_ICON_OVERLIGHT</t>
  </si>
  <si>
    <t>MANHATTAN</t>
  </si>
  <si>
    <t>ESPNAPP_KNOCKOUT</t>
  </si>
  <si>
    <t>MARIST</t>
  </si>
  <si>
    <t>ESPNAPP_LIGHTGRAY</t>
  </si>
  <si>
    <t>MARSHALL</t>
  </si>
  <si>
    <t>ESPNAPP_SPANISH</t>
  </si>
  <si>
    <t>MARYLAND</t>
  </si>
  <si>
    <t>ESPNAPP_WATCHESPN_NOTEXTCOMBO1</t>
  </si>
  <si>
    <t>MARYLAND_EASTERN_SHORE</t>
  </si>
  <si>
    <t>ESPNAPP_WATCHESPN_NOTEXTCOMBO2</t>
  </si>
  <si>
    <t>MASSACHUSETTS</t>
  </si>
  <si>
    <t>ESPNAPP_WHITE</t>
  </si>
  <si>
    <t>MCNEESE_ST</t>
  </si>
  <si>
    <t>MEMPHIS</t>
  </si>
  <si>
    <t>MERCER</t>
  </si>
  <si>
    <t>MIAMI_FL</t>
  </si>
  <si>
    <t>MIAMI_OH</t>
  </si>
  <si>
    <t>ESPNCLASSIC</t>
  </si>
  <si>
    <t>MICHIGAN</t>
  </si>
  <si>
    <t>ESPNCLASSIC_GRAY</t>
  </si>
  <si>
    <t>MICHIGAN_ST</t>
  </si>
  <si>
    <t>ESPNCLASSIC_LIGHTGRAY</t>
  </si>
  <si>
    <t>MIDDLE_TENNESSEE</t>
  </si>
  <si>
    <t>ESPNCLASSIC_WHITE</t>
  </si>
  <si>
    <t>MILWAUKEE</t>
  </si>
  <si>
    <t>ESPNDEPORTESRADIO_1050NUEVAYORK</t>
  </si>
  <si>
    <t>MINNESOTA</t>
  </si>
  <si>
    <t>ESPNDEPORTESRADIO_1050NUEVAYORK_GRAY</t>
  </si>
  <si>
    <t>MISSISSIPPI_ST</t>
  </si>
  <si>
    <t>ESPNDEPORTESRADIO_1050NUEVAYORK_LIGHTGRAY</t>
  </si>
  <si>
    <t>MISSISSIPPI_VALLEY_ST</t>
  </si>
  <si>
    <t>ESPNDEPORTESRADIO_1050NUEVAYORK_WHITE</t>
  </si>
  <si>
    <t>MISSOURI</t>
  </si>
  <si>
    <t>ESPNDEPORTES_DARKBG</t>
  </si>
  <si>
    <t>MISSOURI_ST</t>
  </si>
  <si>
    <t>ESPNDEPORTES_HORIZONTAL</t>
  </si>
  <si>
    <t>MONMOUTH</t>
  </si>
  <si>
    <t>ESPNDEPORTES_HORIZONTAL_GRAY</t>
  </si>
  <si>
    <t>MONTANA</t>
  </si>
  <si>
    <t>ESPNDEPORTES_HORIZONTAL_LIGHTGRAY</t>
  </si>
  <si>
    <t>MONTANA_ST</t>
  </si>
  <si>
    <t>ESPNDEPORTES_HORIZONTAL_WHITE</t>
  </si>
  <si>
    <t>MOREHEAD_ST</t>
  </si>
  <si>
    <t>ESPNDEPORTES_LIGHTGRAY</t>
  </si>
  <si>
    <t>MORGAN_ST</t>
  </si>
  <si>
    <t>ESPNDEPORTES_RADIO</t>
  </si>
  <si>
    <t>MOUNT_ST_MARYS</t>
  </si>
  <si>
    <t>ESPNDEPORTES_RADIO_GRAY</t>
  </si>
  <si>
    <t>MURRAY_ST</t>
  </si>
  <si>
    <t>ESPNDEPORTES_RADIO_LIGHTGRAY</t>
  </si>
  <si>
    <t>NAVY</t>
  </si>
  <si>
    <t>ESPNDEPORTES_RADIO_WHITE</t>
  </si>
  <si>
    <t>NC_ST</t>
  </si>
  <si>
    <t>ESPNDOTCOM</t>
  </si>
  <si>
    <t>NEBRASKA</t>
  </si>
  <si>
    <t>ESPNDOTCOM_GRAY</t>
  </si>
  <si>
    <t>NEVADA</t>
  </si>
  <si>
    <t>ESPNDOTCOM_LIGHTGRAY</t>
  </si>
  <si>
    <t>NEW_MEXICO</t>
  </si>
  <si>
    <t>ESPNDOTCOM_WHITE</t>
  </si>
  <si>
    <t>NEW_MEXICO_ST</t>
  </si>
  <si>
    <t>ESPND_DEPORTESRADIO105_LIGHTGRAY</t>
  </si>
  <si>
    <t>NEW_ORLEANS</t>
  </si>
  <si>
    <t>ESPNEWS</t>
  </si>
  <si>
    <t>NIAGARA</t>
  </si>
  <si>
    <t>ESPNEWS_GRAY</t>
  </si>
  <si>
    <t>NICHOLLS_ST</t>
  </si>
  <si>
    <t>ESPNEWS_LIGHTGRAY</t>
  </si>
  <si>
    <t>NJIT</t>
  </si>
  <si>
    <t>ESPNEWS_RED</t>
  </si>
  <si>
    <t>NORFOLK_ST</t>
  </si>
  <si>
    <t>ESPNEWS_WHITE</t>
  </si>
  <si>
    <t>NORTHEASTERN</t>
  </si>
  <si>
    <t>NORTHERN_ARIZONA</t>
  </si>
  <si>
    <t>NORTHERN_COLORADO</t>
  </si>
  <si>
    <t>NORTHERN_ILLINOIS</t>
  </si>
  <si>
    <t>NORTHERN_IOWA</t>
  </si>
  <si>
    <t>ESPNPLUS</t>
  </si>
  <si>
    <t>NORTHERN_KENTUCKY</t>
  </si>
  <si>
    <t>ESPNPLUS_GRAY</t>
  </si>
  <si>
    <t>NORTHWESTERN</t>
  </si>
  <si>
    <t>ESPNPLUS_LIGHTGRAY</t>
  </si>
  <si>
    <t>NORTHWESTERN_ST</t>
  </si>
  <si>
    <t>ESPNPLUS_WHITE</t>
  </si>
  <si>
    <t>NORTH_ALABAMA</t>
  </si>
  <si>
    <t>ESPNRADIO</t>
  </si>
  <si>
    <t>NORTH_CAROLINA</t>
  </si>
  <si>
    <t>NORTH_CAROLINA_AT</t>
  </si>
  <si>
    <t>NORTH_CAROLINA_CENTRAL</t>
  </si>
  <si>
    <t>NORTH_DAKOTA</t>
  </si>
  <si>
    <t>NORTH_DAKOTA_ST</t>
  </si>
  <si>
    <t>NORTH_FLORIDA</t>
  </si>
  <si>
    <t>ESPNRADIO_BLACK</t>
  </si>
  <si>
    <t>NORTH_TEXAS</t>
  </si>
  <si>
    <t>ESPNRADIO_ESPNAPP_MIRROR</t>
  </si>
  <si>
    <t>NOTRE_DAME</t>
  </si>
  <si>
    <t>ESPNRADIO_GRAY</t>
  </si>
  <si>
    <t>OAKLAND</t>
  </si>
  <si>
    <t>ESPNRADIO_LIGHTGRAY</t>
  </si>
  <si>
    <t>OHIO</t>
  </si>
  <si>
    <t>ESPNRADIO_WATCHESPNAPP_MIRROR</t>
  </si>
  <si>
    <t>OHIO_ST</t>
  </si>
  <si>
    <t>ESPNRADIO_WHITE</t>
  </si>
  <si>
    <t>OKLAHOMA</t>
  </si>
  <si>
    <t>OKLAHOMA_ST</t>
  </si>
  <si>
    <t>OLD_DOMINION</t>
  </si>
  <si>
    <t>OLE_MISS</t>
  </si>
  <si>
    <t>OMAHA</t>
  </si>
  <si>
    <t>ESPNU</t>
  </si>
  <si>
    <t>ORAL_ROBERTS</t>
  </si>
  <si>
    <t>ESPNU_BLACK</t>
  </si>
  <si>
    <t>OREGON</t>
  </si>
  <si>
    <t>ESPNU_ESPNAPP_MIRROR</t>
  </si>
  <si>
    <t>OREGON_ST</t>
  </si>
  <si>
    <t>ESPNU_ESPNAPP_MIRRORWHITE</t>
  </si>
  <si>
    <t>PACIFIC</t>
  </si>
  <si>
    <t>ESPNU_ESPNEWS_WHITE</t>
  </si>
  <si>
    <t>PENNSYLVANIA</t>
  </si>
  <si>
    <t>ESPNU_GRAY</t>
  </si>
  <si>
    <t>PENN_ST</t>
  </si>
  <si>
    <t>PEPPERDINE</t>
  </si>
  <si>
    <t>ESPNU_VERTICAL</t>
  </si>
  <si>
    <t>PITTSBURGH</t>
  </si>
  <si>
    <t>ESPNU_WATCHESPN_MIRROR</t>
  </si>
  <si>
    <t>PORTLAND</t>
  </si>
  <si>
    <t>ESPNU_WATCHESPN_MIRROR_WHITE</t>
  </si>
  <si>
    <t>PORTLAND_ST</t>
  </si>
  <si>
    <t>ESPNU_WHITE</t>
  </si>
  <si>
    <t>PRAIRIE_VIEW</t>
  </si>
  <si>
    <t>ESPNW</t>
  </si>
  <si>
    <t>PRESBYTERIAN</t>
  </si>
  <si>
    <t>ESPNWCOM_RED_HORIZONTAL</t>
  </si>
  <si>
    <t>PRINCETON</t>
  </si>
  <si>
    <t>ESPNWCOM_RED_STACKED</t>
  </si>
  <si>
    <t>PURDUE</t>
  </si>
  <si>
    <t>ESPNW_GRAY</t>
  </si>
  <si>
    <t>PURDUE_FORT_WAYNE</t>
  </si>
  <si>
    <t>ESPNW_LIGHTGRAY</t>
  </si>
  <si>
    <t>QUINNIPIAC</t>
  </si>
  <si>
    <t>ESPNW_RED_HORIZONTAL</t>
  </si>
  <si>
    <t>RADFORD</t>
  </si>
  <si>
    <t>ESPNW_RED_STACKED</t>
  </si>
  <si>
    <t>RHODE_ISLAND</t>
  </si>
  <si>
    <t>ESPNW_WHITE</t>
  </si>
  <si>
    <t>RICE</t>
  </si>
  <si>
    <t>RICHMOND</t>
  </si>
  <si>
    <t>RIDER</t>
  </si>
  <si>
    <t>ROBERT_MORRIS</t>
  </si>
  <si>
    <t>RUTGERS</t>
  </si>
  <si>
    <t>SACRAMENTO_ST</t>
  </si>
  <si>
    <t>ESPN_APP</t>
  </si>
  <si>
    <t>SACRED_HEART</t>
  </si>
  <si>
    <t>ESPN_APP_ICON</t>
  </si>
  <si>
    <t>SAINT_JOSEPHS</t>
  </si>
  <si>
    <t>ESPN_BLACK</t>
  </si>
  <si>
    <t>SAINT_LOUIS</t>
  </si>
  <si>
    <t>ESPN_COLLEGE_BPI</t>
  </si>
  <si>
    <t>SAINT_MARYS</t>
  </si>
  <si>
    <t>SAMFORD</t>
  </si>
  <si>
    <t>ESPN_DEPORTESRADIO_LIGHTGRAY</t>
  </si>
  <si>
    <t>SAM_HOUSTON_ST</t>
  </si>
  <si>
    <t>ESPN_ESPN2_MIRROR_RED</t>
  </si>
  <si>
    <t>SANTA_CLARA</t>
  </si>
  <si>
    <t>ESPN_ESPN2_MIRROR_WHITE</t>
  </si>
  <si>
    <t>SAN_DIEGO</t>
  </si>
  <si>
    <t>ESPN_ESPN2_WHITE</t>
  </si>
  <si>
    <t>SAN_DIEGO_ST</t>
  </si>
  <si>
    <t>ESPN_ESPNAPP_MIRROR</t>
  </si>
  <si>
    <t>SAN_FRANCISCO</t>
  </si>
  <si>
    <t>ESPN_ESPNAPP_MIRRORWHITE</t>
  </si>
  <si>
    <t>SAN_JOSE_ST</t>
  </si>
  <si>
    <t>ESPN_ESPNEWS_WHITE</t>
  </si>
  <si>
    <t>SAVANNAH_ST</t>
  </si>
  <si>
    <t>ESPN_ESPNU_WHITE</t>
  </si>
  <si>
    <t>SEATTLE</t>
  </si>
  <si>
    <t>ESPN_GRAY</t>
  </si>
  <si>
    <t>SIENA</t>
  </si>
  <si>
    <t>SIU_EDWARDSVILLE</t>
  </si>
  <si>
    <t>SMU</t>
  </si>
  <si>
    <t>ESPN_LIGHTGRAY</t>
  </si>
  <si>
    <t>SOUTHEASTERN_LOUISIANA</t>
  </si>
  <si>
    <t>SOUTHEAST_MISSOURI_ST</t>
  </si>
  <si>
    <t>SOUTHERN</t>
  </si>
  <si>
    <t>SOUTHERN_ILLINOIS</t>
  </si>
  <si>
    <t>SOUTHERN_MISS</t>
  </si>
  <si>
    <t>SOUTHERN_UTAH</t>
  </si>
  <si>
    <t>SOUTH_ALABAMA</t>
  </si>
  <si>
    <t>SOUTH_CAROLINA</t>
  </si>
  <si>
    <t>SOUTH_CAROLINA_ST</t>
  </si>
  <si>
    <t>SOUTH_DAKOTA</t>
  </si>
  <si>
    <t>ESPN_Plus_Bug</t>
  </si>
  <si>
    <t>SOUTH_DAKOTA_ST</t>
  </si>
  <si>
    <t>SOUTH_FLORIDA</t>
  </si>
  <si>
    <t>STANFORD</t>
  </si>
  <si>
    <t>STEPHEN_F_AUSTIN</t>
  </si>
  <si>
    <t>STETSON</t>
  </si>
  <si>
    <t>ST_BONAVENTURE</t>
  </si>
  <si>
    <t>ESPN_RADIODOTCOM</t>
  </si>
  <si>
    <t>ESPN_RADIODOTCOMWHITE</t>
  </si>
  <si>
    <t>ST_FRANCIS_PA</t>
  </si>
  <si>
    <t>ESPN_SECNETWORK_MIRROR</t>
  </si>
  <si>
    <t>ST_PETERS</t>
  </si>
  <si>
    <t>ESPN_WATCHESPN_MIRROR</t>
  </si>
  <si>
    <t>SYRACUSE</t>
  </si>
  <si>
    <t>ESPN_WATCHESPN_MIRROR_WHITE</t>
  </si>
  <si>
    <t>TCU</t>
  </si>
  <si>
    <t>ESPN_WATCH_PLAY</t>
  </si>
  <si>
    <t>TEMPLE</t>
  </si>
  <si>
    <t>ESPN_WHITE</t>
  </si>
  <si>
    <t>TENNESSEE</t>
  </si>
  <si>
    <t>FOX_DEPORTES</t>
  </si>
  <si>
    <t>TENNESSEE_MARTIN</t>
  </si>
  <si>
    <t>FOX_NETWORK_BLACK</t>
  </si>
  <si>
    <t>TENNESSEE_ST</t>
  </si>
  <si>
    <t>TENNESSEE_TECH</t>
  </si>
  <si>
    <t>TEXAS</t>
  </si>
  <si>
    <t>TEXAS_AM</t>
  </si>
  <si>
    <t>TEXAS_AM_CORPUS_CHRISTI</t>
  </si>
  <si>
    <t>TEXAS_SOUTHERN</t>
  </si>
  <si>
    <t>TEXAS_ST</t>
  </si>
  <si>
    <t>TEXAS_TECH</t>
  </si>
  <si>
    <t>THE_CITADEL</t>
  </si>
  <si>
    <t>FOX_SPORTS</t>
  </si>
  <si>
    <t>TOLEDO</t>
  </si>
  <si>
    <t>FOX_SPORTS1</t>
  </si>
  <si>
    <t>TOWSON</t>
  </si>
  <si>
    <t>FOX_SPORTS1_LIGHTGRAY</t>
  </si>
  <si>
    <t>TROY</t>
  </si>
  <si>
    <t>FOX_SPORTS1_WHITE</t>
  </si>
  <si>
    <t>TULANE</t>
  </si>
  <si>
    <t>FOX_SPORTS_GRAY</t>
  </si>
  <si>
    <t>TULSA</t>
  </si>
  <si>
    <t>FOX_SPORTS_LIGHTGRAY</t>
  </si>
  <si>
    <t>UAB</t>
  </si>
  <si>
    <t>FOX_SPORTS_WHITE</t>
  </si>
  <si>
    <t>UCF</t>
  </si>
  <si>
    <t>FREEFORM</t>
  </si>
  <si>
    <t>UCLA</t>
  </si>
  <si>
    <t>FREEFORM_GRAY</t>
  </si>
  <si>
    <t>UC_DAVIS</t>
  </si>
  <si>
    <t>FREEFORM_LIGHTGRAY</t>
  </si>
  <si>
    <t>UC_IRVINE</t>
  </si>
  <si>
    <t>FREEFORM_WHITE</t>
  </si>
  <si>
    <t>UC_RIVERSIDE</t>
  </si>
  <si>
    <t>FULLCOURT</t>
  </si>
  <si>
    <t>UC_SANTA_BARBARA</t>
  </si>
  <si>
    <t>FULLCOURT_GRAY</t>
  </si>
  <si>
    <t>UL_MONROE</t>
  </si>
  <si>
    <t>FULLCOURT_LIGHTGRAY</t>
  </si>
  <si>
    <t>UMKC</t>
  </si>
  <si>
    <t>FULLCOURT_WHITE</t>
  </si>
  <si>
    <t>UNC_ASHEVILLE</t>
  </si>
  <si>
    <t>UNC_WILMINGTON</t>
  </si>
  <si>
    <t>UNLV</t>
  </si>
  <si>
    <t>USC</t>
  </si>
  <si>
    <t>USC_UPSTATE</t>
  </si>
  <si>
    <t>UTAH</t>
  </si>
  <si>
    <t>UTAH_ST</t>
  </si>
  <si>
    <t>UTAH_VALLEY</t>
  </si>
  <si>
    <t>UTEP</t>
  </si>
  <si>
    <t>UT_ARLINGTON</t>
  </si>
  <si>
    <t>UT_RIO_GRANDE_VALLEY</t>
  </si>
  <si>
    <t>VALPARAISO</t>
  </si>
  <si>
    <t>VANDERBILT</t>
  </si>
  <si>
    <t>VCU</t>
  </si>
  <si>
    <t>MISSOURIVALLEY_ESPN3_HORIZONTAL</t>
  </si>
  <si>
    <t>VIRGINIA</t>
  </si>
  <si>
    <t>MISSOURIVALLEY_ESPN3_VERTICAL</t>
  </si>
  <si>
    <t>VIRGINIA_TECH</t>
  </si>
  <si>
    <t>MLB_NETWORK_GRAY</t>
  </si>
  <si>
    <t>VMI</t>
  </si>
  <si>
    <t>MLB_NETWORK_HORIZONTAL</t>
  </si>
  <si>
    <t>WAGNER</t>
  </si>
  <si>
    <t>MLB_NETWORK_LIGHTGRAY</t>
  </si>
  <si>
    <t>WAKE_FOREST</t>
  </si>
  <si>
    <t>MLB_NETWORK_VERTICAL</t>
  </si>
  <si>
    <t>WASHINGTON</t>
  </si>
  <si>
    <t>MLB_NETWORK_WHITE</t>
  </si>
  <si>
    <t>WASHINGTON_ST</t>
  </si>
  <si>
    <t>WEBER_ST</t>
  </si>
  <si>
    <t>WESTERN_CAROLINA</t>
  </si>
  <si>
    <t>WESTERN_ILLINOIS</t>
  </si>
  <si>
    <t>WESTERN_KENTUCKY</t>
  </si>
  <si>
    <t>NBC</t>
  </si>
  <si>
    <t>WESTERN_MICHIGAN</t>
  </si>
  <si>
    <t>NBC_SPORTS</t>
  </si>
  <si>
    <t>WEST_VIRGINIA</t>
  </si>
  <si>
    <t>NBC_SPORTSNETWORK</t>
  </si>
  <si>
    <t>WICHITA_ST</t>
  </si>
  <si>
    <t>NBC_SPORTSNETWORK_GRAY</t>
  </si>
  <si>
    <t>WILLIAM_AND_MARY</t>
  </si>
  <si>
    <t>NBC_SPORTSNETWORK_WHITE</t>
  </si>
  <si>
    <t>WINTHROP</t>
  </si>
  <si>
    <t>NBC_SPORTS_GRAY</t>
  </si>
  <si>
    <t>WISCONSIN</t>
  </si>
  <si>
    <t>NBC_SPORTS_WHITE</t>
  </si>
  <si>
    <t>WOFFORD</t>
  </si>
  <si>
    <t>WRIGHT_ST</t>
  </si>
  <si>
    <t>WYOMING</t>
  </si>
  <si>
    <t>YALE</t>
  </si>
  <si>
    <t>SECNETWORK+</t>
  </si>
  <si>
    <t>YOUNGSTOWN_ST</t>
  </si>
  <si>
    <t>SECNETWORK+_GRAY</t>
  </si>
  <si>
    <t>SECNETWORK+_LIGHTGRAY</t>
  </si>
  <si>
    <t>SECNETWORK+_WHITE</t>
  </si>
  <si>
    <t>SEC_NETWORK+</t>
  </si>
  <si>
    <t>SEC_NETWORK+_GRAY</t>
  </si>
  <si>
    <t>SEC_NETWORK+_LIGHTGRAY</t>
  </si>
  <si>
    <t>SEC_NETWORK+_WHITE</t>
  </si>
  <si>
    <t>SEC_NETWORK</t>
  </si>
  <si>
    <t>SEC_NETWORK_GRAY</t>
  </si>
  <si>
    <t>SEC_NETWORK_HORIZONTAL</t>
  </si>
  <si>
    <t>SEC_NETWORK_HORIZONTAL_GRAY</t>
  </si>
  <si>
    <t>SEC_NETWORK_HORIZONTAL_WHITE</t>
  </si>
  <si>
    <t>SEC_NETWORK_LIGHTGRAY</t>
  </si>
  <si>
    <t>SEC_NETWORK_WHITE</t>
  </si>
  <si>
    <t>SEC_ON_ESPN</t>
  </si>
  <si>
    <t>STREAMINGLIVE_WATCHESPNAPPCOMBO_BLACK</t>
  </si>
  <si>
    <t>STREAMINGLIVE_WATCHESPNAPPCOMBO_BLACKANDWHITE1</t>
  </si>
  <si>
    <t>STREAMINGLIVE_WATCHESPNAPPCOMBO_BLACKANDWHITE2</t>
  </si>
  <si>
    <t>STREAMINGLIVE_WATCHESPNAPPCOMBO_FULLCOLORBLACKTEXT</t>
  </si>
  <si>
    <t>STREAMINGLIVE_WATCHESPNAPPCOMBO_FULLCOLORWHITETEXT</t>
  </si>
  <si>
    <t>STREAMINGLIVE_WATCHESPNAPPCOMBO_WHITE</t>
  </si>
  <si>
    <t>SUNBELT_BLACK</t>
  </si>
  <si>
    <t>SUNBELT_GRAY</t>
  </si>
  <si>
    <t>SUNBELT_WHITE</t>
  </si>
  <si>
    <t>TBS</t>
  </si>
  <si>
    <t>TBS_BASEBALL</t>
  </si>
  <si>
    <t>TBS_BASEBALL_GRAY</t>
  </si>
  <si>
    <t>TBS_BASEBALL_LIGHTGRAY</t>
  </si>
  <si>
    <t>TBS_BASEBALL_WHITE</t>
  </si>
  <si>
    <t>TBS_BLACK</t>
  </si>
  <si>
    <t>TBS_BOXTRANSPARENT</t>
  </si>
  <si>
    <t>TBS_BOXWHITE</t>
  </si>
  <si>
    <t>TBS_GRAY</t>
  </si>
  <si>
    <t>TBS_LIGHTGRAY</t>
  </si>
  <si>
    <t>TBS_WHITE</t>
  </si>
  <si>
    <t>TNT</t>
  </si>
  <si>
    <t>TNT_GRAY</t>
  </si>
  <si>
    <t>TNT_LIGHTGRAY</t>
  </si>
  <si>
    <t>TNT_WHITE</t>
  </si>
  <si>
    <t>WATCHESPN</t>
  </si>
  <si>
    <t>WATCHESPN_GRAY</t>
  </si>
  <si>
    <t>WATCHESPN_LIGHTGRAY</t>
  </si>
  <si>
    <t>WATCHESPN_WHITE</t>
  </si>
  <si>
    <t>WATCH_ESPN_HORIZONTAL</t>
  </si>
  <si>
    <t>Display Jersey</t>
  </si>
  <si>
    <t>Save #</t>
  </si>
  <si>
    <t>First Name CAPS</t>
  </si>
  <si>
    <t>Last Name CAPS</t>
  </si>
  <si>
    <t>Line 1 Text (Upper/Lower)</t>
  </si>
  <si>
    <t>Sticker only - no dropline</t>
  </si>
  <si>
    <t xml:space="preserve">Stickers only </t>
  </si>
  <si>
    <t>MIKE</t>
  </si>
  <si>
    <t>STOOPS</t>
  </si>
  <si>
    <t>RUFFIN</t>
  </si>
  <si>
    <t>McNEIL</t>
  </si>
  <si>
    <t>Assistant Head Coach/Defensive Tackles Coach</t>
  </si>
  <si>
    <t>Defensive Coordinator</t>
  </si>
  <si>
    <t>DEF. COACH</t>
  </si>
  <si>
    <t>at</t>
  </si>
  <si>
    <t>ESPN 100 Rank</t>
  </si>
  <si>
    <t>Player Name</t>
  </si>
  <si>
    <t>CAT1</t>
  </si>
  <si>
    <t>CAT1 HILITE</t>
  </si>
  <si>
    <t>CAT2</t>
  </si>
  <si>
    <t>CAT2 HILITE</t>
  </si>
  <si>
    <t>CAT3</t>
  </si>
  <si>
    <t>CAT3 HILITE</t>
  </si>
  <si>
    <t>STAT HILITE NOTE</t>
  </si>
  <si>
    <t>Stat Note Here</t>
  </si>
  <si>
    <t>AMERICA_EAST</t>
  </si>
  <si>
    <t>ATLANTIC_10</t>
  </si>
  <si>
    <t>ATLANTIC_SUN</t>
  </si>
  <si>
    <t>BIG_EAST</t>
  </si>
  <si>
    <t>BIG_WEST</t>
  </si>
  <si>
    <t>CIAA</t>
  </si>
  <si>
    <t>COLONIAL</t>
  </si>
  <si>
    <t>HORIZON_LEAGUE</t>
  </si>
  <si>
    <t>MAC</t>
  </si>
  <si>
    <t>MAAC</t>
  </si>
  <si>
    <t>NAIA</t>
  </si>
  <si>
    <t>SEC</t>
  </si>
  <si>
    <t>ACC</t>
  </si>
  <si>
    <t>SOCON</t>
  </si>
  <si>
    <t>SUMMIT_LEAGUE</t>
  </si>
  <si>
    <t>SUN_BELT</t>
  </si>
  <si>
    <t>WEST_COAST</t>
  </si>
  <si>
    <t>WESTERN_ATHLETIC</t>
  </si>
  <si>
    <t>AWAY/HOME SEL</t>
  </si>
  <si>
    <t>Away</t>
  </si>
  <si>
    <t>Home</t>
  </si>
  <si>
    <t>** MAKE SURE YOU SELECT AWAY OR HOME ON THE TEAM INFO TAB (CELL B2) **</t>
  </si>
  <si>
    <t>Team Rank</t>
  </si>
  <si>
    <t>Team Nickname</t>
  </si>
  <si>
    <t>Team Tricode</t>
  </si>
  <si>
    <t>COACHING RÉSUMÉ</t>
  </si>
  <si>
    <t>ALL CAPS</t>
  </si>
  <si>
    <t>Optional</t>
  </si>
  <si>
    <t>Team Dashboard Name (CAPS)</t>
  </si>
  <si>
    <t>Dashboard Swatch Selector</t>
  </si>
  <si>
    <t>DASH_SWATCH_SELECT</t>
  </si>
  <si>
    <t>HEADSHOT_ONOFF</t>
  </si>
  <si>
    <t>On/Off</t>
  </si>
  <si>
    <t>Headshots On/Off (0=Off, 1=On)</t>
  </si>
  <si>
    <t>Header</t>
  </si>
  <si>
    <t>CAPS</t>
  </si>
  <si>
    <t>Coach Resume:</t>
  </si>
  <si>
    <t>Note: press ALT-ENTER to break into multiple lines</t>
  </si>
  <si>
    <t>Line4</t>
  </si>
  <si>
    <t>Drop</t>
  </si>
  <si>
    <t>Num Rows (1-4)</t>
  </si>
  <si>
    <t>Bio Dropline</t>
  </si>
  <si>
    <t>Full Name CAPS</t>
  </si>
  <si>
    <t>Year CAPS</t>
  </si>
  <si>
    <t>Actionshot</t>
  </si>
  <si>
    <t>G</t>
  </si>
  <si>
    <t>00</t>
  </si>
  <si>
    <t xml:space="preserve"> Team Record (CAPS)</t>
  </si>
  <si>
    <t>Team College</t>
  </si>
  <si>
    <t>LOGO / SWATCH / HEADSHOT / ACTION</t>
  </si>
  <si>
    <t>First Name (CAPS)</t>
  </si>
  <si>
    <t>Last Name (CAPS)</t>
  </si>
  <si>
    <t/>
  </si>
  <si>
    <t>TEAM USER MESSAGES</t>
  </si>
  <si>
    <t>Dropline goes here</t>
  </si>
  <si>
    <t>Save Ranges</t>
  </si>
  <si>
    <t>*For 1-Line player L3rds w/dropline, enter the data into column I and J.</t>
  </si>
  <si>
    <t>*For 1-Line player L3rds, enter the data into column I.</t>
  </si>
  <si>
    <t>*For Header, enter the data into column G.</t>
  </si>
  <si>
    <t>1-Line &amp; 1-Line w/Drop Instructions (7300s - Away &amp; 8300s - Home)</t>
  </si>
  <si>
    <t>1 LINE DROP</t>
  </si>
  <si>
    <t>1 LINE HERO</t>
  </si>
  <si>
    <t>HEADER</t>
  </si>
  <si>
    <t>Subtitle</t>
  </si>
  <si>
    <t>Upcoming Schedule</t>
  </si>
  <si>
    <t>Dropline Text</t>
  </si>
  <si>
    <t>Line 1 Text</t>
  </si>
  <si>
    <t>Stat Note Here zz</t>
  </si>
  <si>
    <t>TEAM_SPLIT</t>
  </si>
  <si>
    <t>TENNESSEE_W</t>
  </si>
  <si>
    <t>BINGHAMTON</t>
  </si>
  <si>
    <t>BUTLER</t>
  </si>
  <si>
    <t>CREIGHTON</t>
  </si>
  <si>
    <t>DEPAUL</t>
  </si>
  <si>
    <t>LONG_ISLAND</t>
  </si>
  <si>
    <t>HIGH_POINT</t>
  </si>
  <si>
    <t>MARQUETTE</t>
  </si>
  <si>
    <t>PROVIDENCE</t>
  </si>
  <si>
    <t>ST_JOHNS</t>
  </si>
  <si>
    <t>STONY_BROOK</t>
  </si>
  <si>
    <t>UNCG</t>
  </si>
  <si>
    <t>ALBANY</t>
  </si>
  <si>
    <t>HARTFORD</t>
  </si>
  <si>
    <t>MAINE</t>
  </si>
  <si>
    <t>UMASS_LOWELL</t>
  </si>
  <si>
    <t>UMASS</t>
  </si>
  <si>
    <t>UCONN</t>
  </si>
  <si>
    <t>NEW_HAMPSHIRE</t>
  </si>
  <si>
    <t>VERMONT</t>
  </si>
  <si>
    <t>VILLANOVA</t>
  </si>
  <si>
    <t>XAVIER</t>
  </si>
  <si>
    <t>UMBC</t>
  </si>
  <si>
    <t>NETWORK_LOGOS_WHITE</t>
  </si>
  <si>
    <t>Enter Player 0/00 info below.  It will autofill rows 90 &amp; 99.</t>
  </si>
  <si>
    <t>Major</t>
  </si>
  <si>
    <t>HDR_SEL</t>
  </si>
  <si>
    <t>ACCN &amp; SECN Teams = Major</t>
  </si>
  <si>
    <t>MERRIMACK</t>
  </si>
  <si>
    <t>BLANK_DUMMY</t>
  </si>
  <si>
    <t>CHAMINADE</t>
  </si>
  <si>
    <t>WYOMING_W</t>
  </si>
  <si>
    <t>SETON_HALL</t>
  </si>
  <si>
    <t>ST_FRANCIS_BKN</t>
  </si>
  <si>
    <t>UT_SAN_ANTONIO</t>
  </si>
  <si>
    <t>BIG_TEN_COLORNEGATIVE</t>
  </si>
  <si>
    <t>CUNY_ATHLETIC</t>
  </si>
  <si>
    <t>HEART_OF_AMERICA_ATHLETIC</t>
  </si>
  <si>
    <t>LONE_STAR</t>
  </si>
  <si>
    <t>MISSOURI_VALLEY_FOOTBALL</t>
  </si>
  <si>
    <t>NORTHERN_SUN</t>
  </si>
  <si>
    <t>PAC_12</t>
  </si>
  <si>
    <t>PIONEER_FOOTBALL_LEAGUE</t>
  </si>
  <si>
    <t>SOUTHWEST</t>
  </si>
  <si>
    <t>UL_LAFAYETTE</t>
  </si>
  <si>
    <t>BattingSeason</t>
  </si>
  <si>
    <t>AB</t>
  </si>
  <si>
    <t>R</t>
  </si>
  <si>
    <t>H</t>
  </si>
  <si>
    <t>2B</t>
  </si>
  <si>
    <t>3B</t>
  </si>
  <si>
    <t>HR</t>
  </si>
  <si>
    <t>RBI</t>
  </si>
  <si>
    <t>HBP</t>
  </si>
  <si>
    <t>BB</t>
  </si>
  <si>
    <t>SO</t>
  </si>
  <si>
    <t>SH</t>
  </si>
  <si>
    <t>SF</t>
  </si>
  <si>
    <t>SB</t>
  </si>
  <si>
    <t>CS</t>
  </si>
  <si>
    <t>GDP</t>
  </si>
  <si>
    <t>RISPAB</t>
  </si>
  <si>
    <t>RISPH</t>
  </si>
  <si>
    <t>RISPHR</t>
  </si>
  <si>
    <t>RISPRBI</t>
  </si>
  <si>
    <t>BasesLoadedAB</t>
  </si>
  <si>
    <t>BasesLoadedH</t>
  </si>
  <si>
    <t>BasesLoadedHR</t>
  </si>
  <si>
    <t>BasesLoadedRBI</t>
  </si>
  <si>
    <t>GS</t>
  </si>
  <si>
    <t>CG</t>
  </si>
  <si>
    <t>SHO</t>
  </si>
  <si>
    <t>Win</t>
  </si>
  <si>
    <t>Loss</t>
  </si>
  <si>
    <t>SV</t>
  </si>
  <si>
    <t>IP</t>
  </si>
  <si>
    <t>ER</t>
  </si>
  <si>
    <t>1</t>
  </si>
  <si>
    <t>7</t>
  </si>
  <si>
    <t>Pitching Season</t>
  </si>
  <si>
    <t>Age Text</t>
  </si>
  <si>
    <t>Bats</t>
  </si>
  <si>
    <t>Throws</t>
  </si>
  <si>
    <t>LastName</t>
  </si>
  <si>
    <t>Firstname</t>
  </si>
  <si>
    <t>Number</t>
  </si>
  <si>
    <t>State</t>
  </si>
  <si>
    <t>Fact</t>
  </si>
  <si>
    <t>Etc</t>
  </si>
  <si>
    <t>BA</t>
  </si>
  <si>
    <t>1B</t>
  </si>
  <si>
    <t>P</t>
  </si>
  <si>
    <t>L</t>
  </si>
  <si>
    <t>Num Name</t>
  </si>
  <si>
    <t>CAT4</t>
  </si>
  <si>
    <t>CAT4 HILITE</t>
  </si>
  <si>
    <t>WALKS</t>
  </si>
  <si>
    <t>RUNS</t>
  </si>
  <si>
    <t>OBP</t>
  </si>
  <si>
    <t>W</t>
  </si>
  <si>
    <t>W/L</t>
  </si>
  <si>
    <t>SAVE</t>
  </si>
  <si>
    <t>HR ALLOWED</t>
  </si>
  <si>
    <t>K</t>
  </si>
  <si>
    <t>ERA</t>
  </si>
  <si>
    <t>WHIP</t>
  </si>
  <si>
    <t>IP by 3rds</t>
  </si>
  <si>
    <t>3rd of IP</t>
  </si>
  <si>
    <t>IP Math</t>
  </si>
  <si>
    <t>WHIP MATH</t>
  </si>
  <si>
    <t>ERA MATH</t>
  </si>
  <si>
    <t>BA MATH</t>
  </si>
  <si>
    <t>OBP MATH</t>
  </si>
  <si>
    <t>Year (1-FR, 2-SO, 3-JR, 4-SR/GR)</t>
  </si>
  <si>
    <t>Enter as MM/DD/YY</t>
  </si>
  <si>
    <t>Position</t>
  </si>
  <si>
    <t>BattingSeries</t>
  </si>
  <si>
    <t>PitchingSeries</t>
  </si>
  <si>
    <t>SPORT SELECTION</t>
  </si>
  <si>
    <t>SPORT_SELECT</t>
  </si>
  <si>
    <t>SPORT_SEL</t>
  </si>
  <si>
    <t>Baseball</t>
  </si>
  <si>
    <t>Little League</t>
  </si>
  <si>
    <t>Softball</t>
  </si>
  <si>
    <t>Baseball / Softball / LLWS Selection</t>
  </si>
  <si>
    <t>AWAY: 4102 FS</t>
  </si>
  <si>
    <t xml:space="preserve">                4101 SLAB</t>
  </si>
  <si>
    <t>HOME: 4202 FS</t>
  </si>
  <si>
    <t xml:space="preserve">                4201 SLAB</t>
  </si>
  <si>
    <t>Player Heroes - Away: 81xx /Home: 82xx</t>
  </si>
  <si>
    <t>Weight LBS</t>
  </si>
  <si>
    <t>SLG %</t>
  </si>
  <si>
    <t>OPS</t>
  </si>
  <si>
    <t>OPS MATH</t>
  </si>
  <si>
    <t>COACH_HEAD_FULL</t>
  </si>
  <si>
    <t>COACH_OFF_FULL</t>
  </si>
  <si>
    <t>Season</t>
  </si>
  <si>
    <t>Major Full</t>
  </si>
  <si>
    <t>Head Coach: Fill in first/last name in cells B3/C3.  This will copy to the row 4 coach shells.</t>
  </si>
  <si>
    <t>Remaining rows are for coaches 2-8</t>
  </si>
  <si>
    <t>COACH_RESUME_LINE1</t>
  </si>
  <si>
    <t>COACH_RESUME_LINE2</t>
  </si>
  <si>
    <t>COACH_RESUME_LINE4</t>
  </si>
  <si>
    <t>COACH_RESUME_ROWS</t>
  </si>
  <si>
    <t>THIS IS THE HEADER</t>
  </si>
  <si>
    <t>HERE IS TEST INFORMATION</t>
  </si>
  <si>
    <t>DROPLINE TEXT GOES HERE</t>
  </si>
  <si>
    <t>SLUG MATH</t>
  </si>
  <si>
    <t>Next HR</t>
  </si>
  <si>
    <t>Major/Header</t>
  </si>
  <si>
    <t>PITCH GS</t>
  </si>
  <si>
    <t>PITCH APP</t>
  </si>
  <si>
    <t>PITCH W-L</t>
  </si>
  <si>
    <t>PITCH ERA</t>
  </si>
  <si>
    <t>PITCH IP</t>
  </si>
  <si>
    <t>PITCH BB</t>
  </si>
  <si>
    <t>PITCH K</t>
  </si>
  <si>
    <t>PITCH SAVES</t>
  </si>
  <si>
    <t>PITCH HITS</t>
  </si>
  <si>
    <t>PITCH K/BB</t>
  </si>
  <si>
    <t>PITCH WHIP</t>
  </si>
  <si>
    <t>RHP</t>
  </si>
  <si>
    <t>IP DEC</t>
  </si>
  <si>
    <t>IP TXT</t>
  </si>
  <si>
    <t>ASST4</t>
  </si>
  <si>
    <t>ASST5</t>
  </si>
  <si>
    <t>ASST6</t>
  </si>
  <si>
    <t>ASST7</t>
  </si>
  <si>
    <t>ASST8</t>
  </si>
  <si>
    <t>LAST4</t>
  </si>
  <si>
    <t>LAST5</t>
  </si>
  <si>
    <t>LAST6</t>
  </si>
  <si>
    <t>LAST7</t>
  </si>
  <si>
    <t>LAST8</t>
  </si>
  <si>
    <t>Callahan</t>
  </si>
  <si>
    <t>FL</t>
  </si>
  <si>
    <t>6'2"</t>
  </si>
  <si>
    <t>HEAD COACH</t>
  </si>
  <si>
    <t>0</t>
  </si>
  <si>
    <t>3</t>
  </si>
  <si>
    <t>17</t>
  </si>
  <si>
    <t>NETWORK_LOGOS_BLACK</t>
  </si>
  <si>
    <t>ESPN3_BLACK</t>
  </si>
  <si>
    <t>ESPNEWS_BLACK</t>
  </si>
  <si>
    <t>ESPNPLUS_BLACK</t>
  </si>
  <si>
    <t>SEC_NETWORK+_BLACK</t>
  </si>
  <si>
    <t>ABC_BLACK</t>
  </si>
  <si>
    <t>BIG12NOW-ESPN+_VERT_BLACK</t>
  </si>
  <si>
    <t>SEC_NETWORK_BLACK</t>
  </si>
  <si>
    <t>LOGO SWATCH</t>
  </si>
  <si>
    <t>TITLE</t>
  </si>
  <si>
    <t>Lastname</t>
  </si>
  <si>
    <t>SS</t>
  </si>
  <si>
    <t>Charlotte</t>
  </si>
  <si>
    <t>NC</t>
  </si>
  <si>
    <t>6'1"</t>
  </si>
  <si>
    <t>COACH</t>
  </si>
  <si>
    <t>ASST</t>
  </si>
  <si>
    <t>ASST3</t>
  </si>
  <si>
    <t>ASST2</t>
  </si>
  <si>
    <t>LAST3</t>
  </si>
  <si>
    <t>LAST2</t>
  </si>
  <si>
    <t xml:space="preserve">For Pitchers: Enter LHP or RHP into Position </t>
  </si>
  <si>
    <t>CAPS (IF NEEDED)</t>
  </si>
  <si>
    <t>LINE 1 TEXT HERE
LINE 2 TEXT HERE</t>
  </si>
  <si>
    <t>LINE2 TEST
LINE 2A</t>
  </si>
  <si>
    <t>LINE 3 TEST
LINE 3A</t>
  </si>
  <si>
    <t>LINE 4 TEST
LINE 4A</t>
  </si>
  <si>
    <t>DROPLINE HERE</t>
  </si>
  <si>
    <t>*FOR XPN GAMES FILL IN THE "AT" OR "VS" INFO INSIDE OF THE "OPPONENT" COLUMN</t>
  </si>
  <si>
    <t>**THESE SHOULD ALL BE FILLED IN WITH CAPS**</t>
  </si>
  <si>
    <t>STEPHEN F. AUSTIN</t>
  </si>
  <si>
    <t>MAY 13-15</t>
  </si>
  <si>
    <t>MAY 20</t>
  </si>
  <si>
    <t>MAY 22-26</t>
  </si>
  <si>
    <t>MAY 27-28</t>
  </si>
  <si>
    <t>Test Line 1 text</t>
  </si>
  <si>
    <t>AwayTeam Line 2 Text</t>
  </si>
  <si>
    <t>4161 top line text here</t>
  </si>
  <si>
    <t>Away 4161 bottom line text here</t>
  </si>
  <si>
    <t>4162 top line text here</t>
  </si>
  <si>
    <t>Away 4162 bottom line text here</t>
  </si>
  <si>
    <t># of lines
(1 or 2)</t>
  </si>
  <si>
    <t>2 LINE USERS (5160-69 AWAY / 5260-69 HOME)</t>
  </si>
  <si>
    <t>LINE 1</t>
  </si>
  <si>
    <t>LINE 2</t>
  </si>
  <si>
    <t>4169 top line text here</t>
  </si>
  <si>
    <t>Away 4169 bottom line text here</t>
  </si>
  <si>
    <t>Test 4163 1 line only</t>
  </si>
  <si>
    <t>USER TEXT (UpperLower)</t>
  </si>
  <si>
    <t>User Text Line 1 (Upper Lower)</t>
  </si>
  <si>
    <t>User Text Line 2 (Upper Lower)</t>
  </si>
  <si>
    <t>Player 1 Line 2 text</t>
  </si>
  <si>
    <t>Player 1 Line 1 text</t>
  </si>
  <si>
    <t>Away: 85xx / Home: 86xx</t>
  </si>
  <si>
    <t>Only 1 line of text on Player 2</t>
  </si>
  <si>
    <t>dddd</t>
  </si>
  <si>
    <t>ssss</t>
  </si>
  <si>
    <t>Player Users</t>
  </si>
  <si>
    <t>3RD SEASON</t>
  </si>
  <si>
    <t>ccc</t>
  </si>
  <si>
    <t>eee</t>
  </si>
  <si>
    <t>fff</t>
  </si>
  <si>
    <t>INSTRUCTIONS</t>
  </si>
  <si>
    <t>Fill out information in BLUE cells only. 
Select Away/Home in cell B2 and make your Sport Selection in B21</t>
  </si>
  <si>
    <t>Fill out player information on the MAIN tab.  
This will populate the information into the Roster tab.</t>
  </si>
  <si>
    <t>Stats have been predetermined by production.  
Enter optional hilite note in Stats tab</t>
  </si>
  <si>
    <t>AAC_ESPN+_HORIZONTAL</t>
  </si>
  <si>
    <t>AAC_ESPN+_HORIZONTALBLACK</t>
  </si>
  <si>
    <t>AAC_ESPN+_HORIZONTALDARKGRAY</t>
  </si>
  <si>
    <t>AAC_ESPN+_HORIZONTALLIGHTGRAY</t>
  </si>
  <si>
    <t>AAC_ESPN+_HORIZONTALWHITE</t>
  </si>
  <si>
    <t>AAC_ESPN+_VERTICAL</t>
  </si>
  <si>
    <t>AAC_ESPN+_VERTICALBLACK</t>
  </si>
  <si>
    <t>AAC_ESPN+_VERTICALDARKGRAY</t>
  </si>
  <si>
    <t>AAC_ESPN+_VERTICALLIGHTGRAY</t>
  </si>
  <si>
    <t>AAC_ESPN+_VERTICALWHITE</t>
  </si>
  <si>
    <t>AAC_ESPN+_WATERMARK</t>
  </si>
  <si>
    <t>AAC_ESPN_COBRAND</t>
  </si>
  <si>
    <t>ACC_NETWORK_ESPN_2019</t>
  </si>
  <si>
    <t>ACC_NETWORK_ESPN_AUGUST2019</t>
  </si>
  <si>
    <t>AMERICAEAST</t>
  </si>
  <si>
    <t>AMERICAEAST_ESPN_BLACK</t>
  </si>
  <si>
    <t>AMERICAEAST_ESPN_DARKGRAY</t>
  </si>
  <si>
    <t>AMERICAEAST_ESPN_LIGHTGRAY</t>
  </si>
  <si>
    <t>AMERICAEAST_ESPN_PRIMARY</t>
  </si>
  <si>
    <t>AMERICAEAST_ESPN_WHITE</t>
  </si>
  <si>
    <t>AMERICAEAST_SECONDARY</t>
  </si>
  <si>
    <t>AMERICAEAST_SECONDARYKNOCKOUT</t>
  </si>
  <si>
    <t>ASUN_ESPN_BLACK</t>
  </si>
  <si>
    <t>ASUN_ESPN_DARKGRAY</t>
  </si>
  <si>
    <t>ASUN_ESPN_LIGHTGRAY</t>
  </si>
  <si>
    <t>ASUN_ESPN_PRIMARY</t>
  </si>
  <si>
    <t>ASUN_ESPN_WHITE</t>
  </si>
  <si>
    <t>BIGSOUTH_ESPN_BLACK</t>
  </si>
  <si>
    <t>BIGSOUTH_ESPN_DARKGRAY</t>
  </si>
  <si>
    <t>BIGSOUTH_ESPN_LIGHTGRAY</t>
  </si>
  <si>
    <t>BIGSOUTH_ESPN_PRIMARY</t>
  </si>
  <si>
    <t>BIGSOUTH_ESPN_WHITE</t>
  </si>
  <si>
    <t>ESPNW_NO_KEY</t>
  </si>
  <si>
    <t>FOX_GREY_BOX</t>
  </si>
  <si>
    <t>FOX_NAVY</t>
  </si>
  <si>
    <t>FOX_NETWORK_WHITE</t>
  </si>
  <si>
    <t>HORIZONLEAGUE_ESPN_BLACK</t>
  </si>
  <si>
    <t>HORIZONLEAGUE_ESPN_DARKGRAY</t>
  </si>
  <si>
    <t>HORIZONLEAGUE_ESPN_LIGHTGRAY</t>
  </si>
  <si>
    <t>HORIZONLEAGUE_ESPN_PRIMARY</t>
  </si>
  <si>
    <t>HORIZONLEAGUE_ESPN_WHITE</t>
  </si>
  <si>
    <t>MAAC_ESPN_BLACK</t>
  </si>
  <si>
    <t>MAAC_ESPN_DARKGRAY</t>
  </si>
  <si>
    <t>MAAC_ESPN_LIGHTGRAY</t>
  </si>
  <si>
    <t>MAAC_ESPN_PRIMARY</t>
  </si>
  <si>
    <t>MAAC_ESPN_WHITE</t>
  </si>
  <si>
    <t>MISSOURIVALLEY_ESPN_COBRAND</t>
  </si>
  <si>
    <t>PATRIOTLEAGUE_ESPN_BLACK</t>
  </si>
  <si>
    <t>PATRIOTLEAGUE_ESPN_DARKGRAY</t>
  </si>
  <si>
    <t>PATRIOTLEAGUE_ESPN_LIGHTGRAY</t>
  </si>
  <si>
    <t>PATRIOTLEAGUE_ESPN_PRIMARY</t>
  </si>
  <si>
    <t>PATRIOTLEAGUE_ESPN_WHITE</t>
  </si>
  <si>
    <t>SEC_NETWORK_HORIZONTAL_BLACK</t>
  </si>
  <si>
    <t>SOCON_ESPN_BLACK</t>
  </si>
  <si>
    <t>SOCON_ESPN_DARKGRAY</t>
  </si>
  <si>
    <t>SOCON_ESPN_LIGHTGRAY</t>
  </si>
  <si>
    <t>SOCON_ESPN_PRIMARY</t>
  </si>
  <si>
    <t>SOCON_ESPN_WHITE</t>
  </si>
  <si>
    <t>SOUTHLAND_ESPN_BLACK</t>
  </si>
  <si>
    <t>SOUTHLAND_ESPN_DARKGRAY</t>
  </si>
  <si>
    <t>SOUTHLAND_ESPN_LIGHTGRAY</t>
  </si>
  <si>
    <t>SOUTHLAND_ESPN_PRIMARY</t>
  </si>
  <si>
    <t>SOUTHLAND_ESPN_WHITE</t>
  </si>
  <si>
    <t>SUNBELT_ESPN_BLACK</t>
  </si>
  <si>
    <t>SUNBELT_ESPN_DARKGRAY</t>
  </si>
  <si>
    <t>SUNBELT_ESPN_PRIMARY</t>
  </si>
  <si>
    <t>SUNBELT_ESPN_WHITE</t>
  </si>
  <si>
    <t>All information on this tab fills in from the "MAIN" tab so you should not need to fill anything out here.  Use this tab to check to make sure things are coming over correctly</t>
  </si>
  <si>
    <t>5</t>
  </si>
  <si>
    <t>0/1</t>
  </si>
  <si>
    <t>11.2</t>
  </si>
  <si>
    <t>2</t>
  </si>
  <si>
    <t>9</t>
  </si>
  <si>
    <t>0/0</t>
  </si>
  <si>
    <t>12.0</t>
  </si>
  <si>
    <t>6</t>
  </si>
  <si>
    <t>4</t>
  </si>
  <si>
    <t>18</t>
  </si>
  <si>
    <t>15.0</t>
  </si>
  <si>
    <t>11</t>
  </si>
  <si>
    <t>16</t>
  </si>
  <si>
    <t>UCLA_W</t>
  </si>
  <si>
    <t>GENERIC_BASEBALL</t>
  </si>
  <si>
    <t>GENERIC_SOFTBALL</t>
  </si>
  <si>
    <t>For "2-way" players enter position as Pitching/Hitting:  LHP/SS  or LHP/SS/C</t>
  </si>
  <si>
    <t>** For Xpression **</t>
  </si>
  <si>
    <r>
      <t xml:space="preserve">If you select the </t>
    </r>
    <r>
      <rPr>
        <b/>
        <sz val="11"/>
        <color theme="1"/>
        <rFont val="Calibri"/>
        <family val="2"/>
        <scheme val="minor"/>
      </rPr>
      <t xml:space="preserve">GENERIC_BASEBALL </t>
    </r>
    <r>
      <rPr>
        <sz val="11"/>
        <color theme="1"/>
        <rFont val="Calibri"/>
        <family val="2"/>
        <scheme val="minor"/>
      </rPr>
      <t>or</t>
    </r>
    <r>
      <rPr>
        <b/>
        <sz val="11"/>
        <color theme="1"/>
        <rFont val="Calibri"/>
        <family val="2"/>
        <scheme val="minor"/>
      </rPr>
      <t xml:space="preserve"> GENERIC_SOFTBALL</t>
    </r>
    <r>
      <rPr>
        <sz val="11"/>
        <color theme="1"/>
        <rFont val="Calibri"/>
        <family val="2"/>
        <scheme val="minor"/>
      </rPr>
      <t xml:space="preserve"> option:</t>
    </r>
  </si>
  <si>
    <t>Find a swatch with the colors of the team you need, make a copy of that swatch,</t>
  </si>
  <si>
    <t>and rename it to GENERIC_BASEBALL or GENERIC_SOFTBALL</t>
  </si>
  <si>
    <t>UC_SAN_DIEGO</t>
  </si>
  <si>
    <t>BIG12_ESPN</t>
  </si>
  <si>
    <t>BIG12_ESPN_WHITE</t>
  </si>
  <si>
    <t>North Carolina</t>
  </si>
  <si>
    <t>Tar Heels</t>
  </si>
  <si>
    <t>UNC</t>
  </si>
  <si>
    <t>NORTH CAROLINA</t>
  </si>
  <si>
    <t>0-0</t>
  </si>
  <si>
    <t>EAST_TEXAS_AM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</si>
</sst>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
    <numFmt numFmtId="165" formatCode=".000"/>
    <numFmt numFmtId="166" formatCode="0.00000000000000"/>
  </numFmts>
  <fonts count="33" x14ac:knownFonts="1">
    <font>
      <sz val="11"/>
      <color theme="1"/>
      <name val="Calibri"/>
      <family val="2"/>
      <scheme val="minor"/>
    </font>
    <font>
      <b/>
      <sz val="11"/>
      <color theme="1"/>
      <name val="Calibri"/>
      <family val="2"/>
      <scheme val="minor"/>
    </font>
    <font>
      <b/>
      <sz val="10"/>
      <name val="Arial"/>
      <family val="2"/>
    </font>
    <font>
      <b/>
      <sz val="8"/>
      <name val="Arial"/>
      <family val="2"/>
    </font>
    <font>
      <b/>
      <sz val="11"/>
      <color indexed="9"/>
      <name val="Arial"/>
      <family val="2"/>
    </font>
    <font>
      <b/>
      <sz val="8"/>
      <color indexed="9"/>
      <name val="Arial"/>
      <family val="2"/>
    </font>
    <font>
      <sz val="10"/>
      <name val="Arial"/>
      <family val="2"/>
    </font>
    <font>
      <b/>
      <sz val="12"/>
      <name val="Arial"/>
      <family val="2"/>
    </font>
    <font>
      <b/>
      <sz val="10"/>
      <color indexed="10"/>
      <name val="Arial"/>
      <family val="2"/>
    </font>
    <font>
      <b/>
      <sz val="10"/>
      <color theme="0"/>
      <name val="Arial"/>
      <family val="2"/>
    </font>
    <font>
      <sz val="10"/>
      <color theme="1"/>
      <name val="Arial"/>
      <family val="2"/>
    </font>
    <font>
      <sz val="10"/>
      <color theme="0"/>
      <name val="Arial"/>
      <family val="2"/>
    </font>
    <font>
      <b/>
      <sz val="11"/>
      <color theme="0"/>
      <name val="Calibri"/>
      <family val="2"/>
      <scheme val="minor"/>
    </font>
    <font>
      <b/>
      <sz val="11"/>
      <name val="Calibri"/>
      <family val="2"/>
      <scheme val="minor"/>
    </font>
    <font>
      <b/>
      <sz val="10"/>
      <color theme="1"/>
      <name val="Arial"/>
      <family val="2"/>
    </font>
    <font>
      <sz val="11"/>
      <color theme="0"/>
      <name val="Calibri"/>
      <family val="2"/>
      <scheme val="minor"/>
    </font>
    <font>
      <b/>
      <sz val="8"/>
      <color theme="0"/>
      <name val="Arial"/>
      <family val="2"/>
    </font>
    <font>
      <b/>
      <sz val="11"/>
      <name val="Arial"/>
      <family val="2"/>
    </font>
    <font>
      <sz val="11"/>
      <color theme="1"/>
      <name val="Arial"/>
      <family val="2"/>
    </font>
    <font>
      <b/>
      <sz val="11"/>
      <color theme="1"/>
      <name val="Arial"/>
      <family val="2"/>
    </font>
    <font>
      <b/>
      <sz val="8"/>
      <color theme="0"/>
      <name val="Calibri"/>
      <family val="2"/>
      <scheme val="minor"/>
    </font>
    <font>
      <b/>
      <sz val="10"/>
      <color theme="1"/>
      <name val="Calibri"/>
      <family val="2"/>
      <scheme val="minor"/>
    </font>
    <font>
      <b/>
      <sz val="12"/>
      <color theme="0"/>
      <name val="Calibri"/>
      <family val="2"/>
      <scheme val="minor"/>
    </font>
    <font>
      <sz val="12"/>
      <color theme="0"/>
      <name val="Calibri"/>
      <family val="2"/>
      <scheme val="minor"/>
    </font>
    <font>
      <b/>
      <u/>
      <sz val="10"/>
      <name val="Arial"/>
      <family val="2"/>
    </font>
    <font>
      <sz val="11"/>
      <name val="Calibri"/>
      <family val="2"/>
      <scheme val="minor"/>
    </font>
    <font>
      <b/>
      <sz val="10"/>
      <color indexed="12"/>
      <name val="Arial"/>
      <family val="2"/>
    </font>
    <font>
      <sz val="10"/>
      <color indexed="12"/>
      <name val="Arial"/>
      <family val="2"/>
    </font>
    <font>
      <b/>
      <sz val="14"/>
      <name val="Arial"/>
      <family val="2"/>
    </font>
    <font>
      <sz val="10"/>
      <color theme="1"/>
      <name val="Calibri"/>
      <family val="2"/>
      <scheme val="minor"/>
    </font>
    <font>
      <b/>
      <sz val="14"/>
      <color indexed="13"/>
      <name val="Arial"/>
      <family val="2"/>
    </font>
    <font>
      <b/>
      <sz val="14"/>
      <color indexed="52"/>
      <name val="Arial"/>
      <family val="2"/>
    </font>
    <font>
      <sz val="8"/>
      <name val="Calibri"/>
      <family val="2"/>
      <scheme val="minor"/>
    </font>
  </fonts>
  <fills count="25">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48"/>
        <bgColor indexed="64"/>
      </patternFill>
    </fill>
    <fill>
      <patternFill patternType="solid">
        <fgColor indexed="23"/>
        <bgColor indexed="64"/>
      </patternFill>
    </fill>
    <fill>
      <patternFill patternType="solid">
        <fgColor rgb="FFFFFF00"/>
        <bgColor indexed="64"/>
      </patternFill>
    </fill>
    <fill>
      <patternFill patternType="solid">
        <fgColor indexed="13"/>
        <bgColor indexed="64"/>
      </patternFill>
    </fill>
    <fill>
      <patternFill patternType="solid">
        <fgColor theme="4"/>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rgb="FF7030A0"/>
        <bgColor indexed="64"/>
      </patternFill>
    </fill>
    <fill>
      <patternFill patternType="solid">
        <fgColor theme="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0070C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indexed="42"/>
        <bgColor indexed="64"/>
      </patternFill>
    </fill>
    <fill>
      <patternFill patternType="solid">
        <fgColor indexed="47"/>
        <bgColor indexed="64"/>
      </patternFill>
    </fill>
    <fill>
      <patternFill patternType="solid">
        <fgColor indexed="52"/>
        <bgColor indexed="64"/>
      </patternFill>
    </fill>
  </fills>
  <borders count="59">
    <border>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diagonal/>
    </border>
    <border>
      <left/>
      <right/>
      <top style="thin">
        <color indexed="64"/>
      </top>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thin">
        <color indexed="64"/>
      </left>
      <right style="thick">
        <color indexed="64"/>
      </right>
      <top style="thin">
        <color indexed="64"/>
      </top>
      <bottom style="thin">
        <color indexed="64"/>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right style="thin">
        <color indexed="64"/>
      </right>
      <top/>
      <bottom style="thick">
        <color indexed="64"/>
      </bottom>
      <diagonal/>
    </border>
    <border>
      <left style="thin">
        <color indexed="64"/>
      </left>
      <right/>
      <top/>
      <bottom/>
      <diagonal/>
    </border>
    <border>
      <left/>
      <right style="thin">
        <color indexed="64"/>
      </right>
      <top style="medium">
        <color indexed="64"/>
      </top>
      <bottom/>
      <diagonal/>
    </border>
  </borders>
  <cellStyleXfs count="2">
    <xf numFmtId="0" fontId="0" fillId="0" borderId="0"/>
    <xf numFmtId="0" fontId="6" fillId="0" borderId="0"/>
  </cellStyleXfs>
  <cellXfs count="324">
    <xf numFmtId="0" fontId="0" fillId="0" borderId="0" xfId="0"/>
    <xf numFmtId="0" fontId="1" fillId="0" borderId="0" xfId="0" applyFont="1"/>
    <xf numFmtId="0" fontId="2" fillId="0" borderId="0" xfId="0" applyFont="1"/>
    <xf numFmtId="0" fontId="5" fillId="5" borderId="7" xfId="0" applyFont="1" applyFill="1" applyBorder="1" applyAlignment="1">
      <alignment horizontal="left"/>
    </xf>
    <xf numFmtId="0" fontId="5" fillId="4" borderId="0" xfId="0" applyFont="1" applyFill="1" applyAlignment="1">
      <alignment horizontal="center"/>
    </xf>
    <xf numFmtId="0" fontId="4" fillId="4" borderId="7" xfId="0" applyFont="1" applyFill="1" applyBorder="1" applyAlignment="1">
      <alignment horizontal="center"/>
    </xf>
    <xf numFmtId="0" fontId="2" fillId="3" borderId="7" xfId="0" applyFont="1" applyFill="1" applyBorder="1"/>
    <xf numFmtId="0" fontId="2" fillId="3" borderId="7" xfId="0" applyFont="1" applyFill="1" applyBorder="1" applyAlignment="1">
      <alignment horizontal="center"/>
    </xf>
    <xf numFmtId="0" fontId="0" fillId="0" borderId="0" xfId="0" applyAlignment="1">
      <alignment horizontal="center"/>
    </xf>
    <xf numFmtId="0" fontId="8" fillId="7" borderId="7" xfId="0" applyFont="1" applyFill="1" applyBorder="1"/>
    <xf numFmtId="0" fontId="10" fillId="0" borderId="0" xfId="0" applyFont="1"/>
    <xf numFmtId="0" fontId="9" fillId="8" borderId="7" xfId="0" applyFont="1" applyFill="1" applyBorder="1"/>
    <xf numFmtId="0" fontId="9" fillId="0" borderId="0" xfId="0" applyFont="1"/>
    <xf numFmtId="0" fontId="2" fillId="9" borderId="7" xfId="0" applyFont="1" applyFill="1" applyBorder="1"/>
    <xf numFmtId="0" fontId="9" fillId="10" borderId="0" xfId="0" applyFont="1" applyFill="1"/>
    <xf numFmtId="0" fontId="11" fillId="0" borderId="0" xfId="0" applyFont="1"/>
    <xf numFmtId="49" fontId="9" fillId="8" borderId="7" xfId="0" quotePrefix="1" applyNumberFormat="1" applyFont="1" applyFill="1" applyBorder="1"/>
    <xf numFmtId="0" fontId="12" fillId="10" borderId="0" xfId="0" applyFont="1" applyFill="1"/>
    <xf numFmtId="0" fontId="1" fillId="9" borderId="7" xfId="0" applyFont="1" applyFill="1" applyBorder="1"/>
    <xf numFmtId="0" fontId="5" fillId="11" borderId="7" xfId="0" applyFont="1" applyFill="1" applyBorder="1" applyAlignment="1">
      <alignment horizontal="center"/>
    </xf>
    <xf numFmtId="0" fontId="5" fillId="11" borderId="7" xfId="0" applyFont="1" applyFill="1" applyBorder="1" applyAlignment="1">
      <alignment horizontal="left"/>
    </xf>
    <xf numFmtId="0" fontId="9" fillId="13" borderId="0" xfId="0" applyFont="1" applyFill="1"/>
    <xf numFmtId="0" fontId="12" fillId="10" borderId="0" xfId="0" applyFont="1" applyFill="1" applyAlignment="1">
      <alignment horizontal="center"/>
    </xf>
    <xf numFmtId="0" fontId="14" fillId="9" borderId="7" xfId="0" applyFont="1" applyFill="1" applyBorder="1"/>
    <xf numFmtId="0" fontId="3" fillId="2" borderId="0" xfId="0" applyFont="1" applyFill="1" applyAlignment="1">
      <alignment horizontal="center"/>
    </xf>
    <xf numFmtId="0" fontId="0" fillId="2" borderId="0" xfId="0" applyFill="1" applyAlignment="1">
      <alignment horizontal="center"/>
    </xf>
    <xf numFmtId="0" fontId="13" fillId="12" borderId="7" xfId="0" applyFont="1" applyFill="1" applyBorder="1"/>
    <xf numFmtId="0" fontId="15" fillId="10" borderId="0" xfId="0" applyFont="1" applyFill="1"/>
    <xf numFmtId="49" fontId="0" fillId="0" borderId="0" xfId="0" applyNumberFormat="1"/>
    <xf numFmtId="0" fontId="0" fillId="0" borderId="0" xfId="0" applyAlignment="1">
      <alignment horizontal="left"/>
    </xf>
    <xf numFmtId="0" fontId="2" fillId="9" borderId="7" xfId="0" applyFont="1" applyFill="1" applyBorder="1" applyAlignment="1">
      <alignment horizontal="center"/>
    </xf>
    <xf numFmtId="0" fontId="0" fillId="9" borderId="7" xfId="0" applyFill="1" applyBorder="1" applyAlignment="1">
      <alignment horizontal="center"/>
    </xf>
    <xf numFmtId="0" fontId="9" fillId="10" borderId="7" xfId="0" applyFont="1" applyFill="1" applyBorder="1" applyAlignment="1">
      <alignment horizontal="center"/>
    </xf>
    <xf numFmtId="0" fontId="2" fillId="12" borderId="7" xfId="0" applyFont="1" applyFill="1" applyBorder="1" applyAlignment="1">
      <alignment horizontal="center"/>
    </xf>
    <xf numFmtId="0" fontId="2" fillId="12" borderId="7" xfId="0" applyFont="1" applyFill="1" applyBorder="1" applyAlignment="1" applyProtection="1">
      <alignment horizontal="center"/>
      <protection locked="0"/>
    </xf>
    <xf numFmtId="14" fontId="2" fillId="3" borderId="7" xfId="0" applyNumberFormat="1" applyFont="1" applyFill="1" applyBorder="1" applyAlignment="1">
      <alignment horizontal="center"/>
    </xf>
    <xf numFmtId="0" fontId="9" fillId="0" borderId="7" xfId="0" applyFont="1" applyBorder="1" applyAlignment="1">
      <alignment horizontal="center"/>
    </xf>
    <xf numFmtId="0" fontId="2" fillId="0" borderId="7" xfId="0" applyFont="1" applyBorder="1" applyAlignment="1">
      <alignment horizontal="center"/>
    </xf>
    <xf numFmtId="0" fontId="2" fillId="9" borderId="11" xfId="0" applyFont="1" applyFill="1" applyBorder="1" applyAlignment="1">
      <alignment horizontal="center"/>
    </xf>
    <xf numFmtId="0" fontId="2" fillId="12" borderId="11" xfId="0" applyFont="1" applyFill="1" applyBorder="1" applyAlignment="1">
      <alignment horizontal="center"/>
    </xf>
    <xf numFmtId="0" fontId="2" fillId="0" borderId="4" xfId="0" applyFont="1" applyBorder="1" applyAlignment="1">
      <alignment horizontal="center"/>
    </xf>
    <xf numFmtId="0" fontId="6" fillId="0" borderId="4" xfId="0" applyFont="1" applyBorder="1" applyAlignment="1">
      <alignment horizontal="center"/>
    </xf>
    <xf numFmtId="0" fontId="11" fillId="14" borderId="3" xfId="0" applyFont="1" applyFill="1" applyBorder="1" applyAlignment="1">
      <alignment horizontal="center"/>
    </xf>
    <xf numFmtId="0" fontId="6" fillId="0" borderId="7" xfId="0" applyFont="1" applyBorder="1" applyAlignment="1">
      <alignment horizontal="center"/>
    </xf>
    <xf numFmtId="0" fontId="6" fillId="14" borderId="7" xfId="0" applyFont="1" applyFill="1" applyBorder="1" applyAlignment="1">
      <alignment horizontal="center"/>
    </xf>
    <xf numFmtId="0" fontId="0" fillId="0" borderId="7" xfId="0" applyBorder="1" applyAlignment="1">
      <alignment horizontal="center"/>
    </xf>
    <xf numFmtId="0" fontId="2" fillId="2" borderId="2" xfId="0" applyFont="1" applyFill="1" applyBorder="1" applyAlignment="1">
      <alignment horizontal="center"/>
    </xf>
    <xf numFmtId="0" fontId="0" fillId="14" borderId="7" xfId="0" applyFill="1" applyBorder="1" applyAlignment="1">
      <alignment horizontal="center"/>
    </xf>
    <xf numFmtId="0" fontId="2" fillId="0" borderId="12" xfId="0" applyFont="1" applyBorder="1" applyAlignment="1">
      <alignment horizontal="center"/>
    </xf>
    <xf numFmtId="0" fontId="2" fillId="10" borderId="0" xfId="0" applyFont="1" applyFill="1" applyAlignment="1">
      <alignment horizontal="center"/>
    </xf>
    <xf numFmtId="0" fontId="2" fillId="0" borderId="13" xfId="0" applyFont="1" applyBorder="1" applyAlignment="1">
      <alignment horizontal="center"/>
    </xf>
    <xf numFmtId="0" fontId="6" fillId="0" borderId="13" xfId="0" applyFont="1" applyBorder="1" applyAlignment="1">
      <alignment horizontal="center"/>
    </xf>
    <xf numFmtId="0" fontId="6" fillId="14" borderId="13" xfId="0" applyFont="1" applyFill="1" applyBorder="1" applyAlignment="1">
      <alignment horizontal="center"/>
    </xf>
    <xf numFmtId="0" fontId="5" fillId="11" borderId="14" xfId="0" applyFont="1" applyFill="1" applyBorder="1" applyAlignment="1">
      <alignment horizontal="center"/>
    </xf>
    <xf numFmtId="0" fontId="13" fillId="6" borderId="0" xfId="0" applyFont="1" applyFill="1"/>
    <xf numFmtId="0" fontId="1" fillId="6" borderId="0" xfId="0" applyFont="1" applyFill="1"/>
    <xf numFmtId="0" fontId="0" fillId="6" borderId="0" xfId="0" applyFill="1"/>
    <xf numFmtId="0" fontId="9" fillId="8" borderId="7" xfId="0" applyFont="1" applyFill="1" applyBorder="1" applyAlignment="1">
      <alignment horizontal="left"/>
    </xf>
    <xf numFmtId="0" fontId="2" fillId="9" borderId="7" xfId="0" applyFont="1" applyFill="1" applyBorder="1" applyAlignment="1">
      <alignment horizontal="left"/>
    </xf>
    <xf numFmtId="0" fontId="2" fillId="2" borderId="15" xfId="0" applyFont="1" applyFill="1" applyBorder="1" applyAlignment="1">
      <alignment horizontal="center"/>
    </xf>
    <xf numFmtId="0" fontId="2" fillId="2" borderId="11" xfId="0" applyFont="1" applyFill="1" applyBorder="1" applyAlignment="1">
      <alignment horizontal="center"/>
    </xf>
    <xf numFmtId="0" fontId="0" fillId="15" borderId="7" xfId="0" applyFill="1" applyBorder="1"/>
    <xf numFmtId="49" fontId="2" fillId="6" borderId="7" xfId="0" applyNumberFormat="1" applyFont="1" applyFill="1" applyBorder="1" applyAlignment="1">
      <alignment horizontal="center" vertical="center"/>
    </xf>
    <xf numFmtId="49" fontId="2" fillId="3" borderId="7" xfId="0" applyNumberFormat="1" applyFont="1" applyFill="1" applyBorder="1" applyAlignment="1">
      <alignment horizontal="left" vertical="center"/>
    </xf>
    <xf numFmtId="0" fontId="2" fillId="9" borderId="13" xfId="0" applyFont="1" applyFill="1" applyBorder="1" applyAlignment="1">
      <alignment horizontal="center"/>
    </xf>
    <xf numFmtId="0" fontId="2" fillId="9" borderId="13" xfId="0" applyFont="1" applyFill="1" applyBorder="1" applyAlignment="1">
      <alignment horizontal="left"/>
    </xf>
    <xf numFmtId="49" fontId="2" fillId="6" borderId="13" xfId="0" applyNumberFormat="1" applyFont="1" applyFill="1" applyBorder="1" applyAlignment="1">
      <alignment horizontal="center" vertical="center"/>
    </xf>
    <xf numFmtId="49" fontId="2" fillId="3" borderId="13" xfId="0" applyNumberFormat="1" applyFont="1" applyFill="1" applyBorder="1" applyAlignment="1">
      <alignment horizontal="left" vertical="center"/>
    </xf>
    <xf numFmtId="0" fontId="7" fillId="2" borderId="1" xfId="0" applyFont="1" applyFill="1" applyBorder="1" applyAlignment="1">
      <alignment horizontal="center"/>
    </xf>
    <xf numFmtId="0" fontId="7" fillId="2" borderId="16" xfId="0" applyFont="1" applyFill="1" applyBorder="1" applyAlignment="1">
      <alignment horizontal="center"/>
    </xf>
    <xf numFmtId="0" fontId="2" fillId="2" borderId="16" xfId="0" applyFont="1" applyFill="1" applyBorder="1" applyAlignment="1">
      <alignment horizontal="center"/>
    </xf>
    <xf numFmtId="0" fontId="0" fillId="9" borderId="13" xfId="0" applyFill="1" applyBorder="1" applyAlignment="1">
      <alignment horizontal="center"/>
    </xf>
    <xf numFmtId="0" fontId="12" fillId="10" borderId="2" xfId="0" applyFont="1" applyFill="1" applyBorder="1" applyAlignment="1">
      <alignment horizontal="center"/>
    </xf>
    <xf numFmtId="0" fontId="9" fillId="10" borderId="1" xfId="0" applyFont="1" applyFill="1" applyBorder="1" applyAlignment="1">
      <alignment horizontal="center"/>
    </xf>
    <xf numFmtId="0" fontId="15" fillId="10" borderId="16" xfId="0" applyFont="1" applyFill="1" applyBorder="1"/>
    <xf numFmtId="0" fontId="0" fillId="12" borderId="23" xfId="0" applyFill="1" applyBorder="1"/>
    <xf numFmtId="0" fontId="0" fillId="12" borderId="24" xfId="0" applyFill="1" applyBorder="1"/>
    <xf numFmtId="0" fontId="1" fillId="9" borderId="20" xfId="0" applyFont="1" applyFill="1" applyBorder="1"/>
    <xf numFmtId="0" fontId="0" fillId="9" borderId="21" xfId="0" applyFill="1" applyBorder="1"/>
    <xf numFmtId="0" fontId="9" fillId="0" borderId="0" xfId="0" applyFont="1" applyAlignment="1">
      <alignment horizontal="center"/>
    </xf>
    <xf numFmtId="0" fontId="17" fillId="6" borderId="1" xfId="0" applyFont="1" applyFill="1" applyBorder="1" applyAlignment="1">
      <alignment horizontal="left"/>
    </xf>
    <xf numFmtId="0" fontId="18" fillId="6" borderId="18" xfId="0" applyFont="1" applyFill="1" applyBorder="1"/>
    <xf numFmtId="0" fontId="18" fillId="6" borderId="19" xfId="0" applyFont="1" applyFill="1" applyBorder="1"/>
    <xf numFmtId="49" fontId="9" fillId="8" borderId="13" xfId="0" quotePrefix="1" applyNumberFormat="1" applyFont="1" applyFill="1" applyBorder="1" applyAlignment="1">
      <alignment shrinkToFit="1"/>
    </xf>
    <xf numFmtId="0" fontId="14" fillId="6" borderId="25" xfId="0" applyFont="1" applyFill="1" applyBorder="1" applyAlignment="1">
      <alignment horizontal="center"/>
    </xf>
    <xf numFmtId="49" fontId="4" fillId="4" borderId="13" xfId="0" applyNumberFormat="1" applyFont="1" applyFill="1" applyBorder="1" applyAlignment="1">
      <alignment horizontal="center" wrapText="1"/>
    </xf>
    <xf numFmtId="0" fontId="5" fillId="4" borderId="13" xfId="0" applyFont="1" applyFill="1" applyBorder="1"/>
    <xf numFmtId="0" fontId="5" fillId="4" borderId="13" xfId="0" applyFont="1" applyFill="1" applyBorder="1" applyAlignment="1">
      <alignment horizontal="center"/>
    </xf>
    <xf numFmtId="0" fontId="5" fillId="4" borderId="13" xfId="0" applyFont="1" applyFill="1" applyBorder="1" applyAlignment="1">
      <alignment horizontal="left"/>
    </xf>
    <xf numFmtId="0" fontId="0" fillId="6" borderId="8" xfId="0" applyFill="1" applyBorder="1"/>
    <xf numFmtId="0" fontId="0" fillId="6" borderId="26" xfId="0" applyFill="1" applyBorder="1"/>
    <xf numFmtId="0" fontId="1" fillId="6" borderId="26" xfId="0" applyFont="1" applyFill="1" applyBorder="1" applyAlignment="1">
      <alignment horizontal="center"/>
    </xf>
    <xf numFmtId="0" fontId="1" fillId="6" borderId="26" xfId="0" applyFont="1" applyFill="1" applyBorder="1" applyAlignment="1">
      <alignment shrinkToFit="1"/>
    </xf>
    <xf numFmtId="0" fontId="12" fillId="10" borderId="14" xfId="0" applyFont="1" applyFill="1" applyBorder="1"/>
    <xf numFmtId="0" fontId="0" fillId="10" borderId="27" xfId="0" applyFill="1" applyBorder="1"/>
    <xf numFmtId="0" fontId="0" fillId="10" borderId="5" xfId="0" applyFill="1" applyBorder="1"/>
    <xf numFmtId="0" fontId="1" fillId="6" borderId="9" xfId="0" applyFont="1" applyFill="1" applyBorder="1" applyAlignment="1">
      <alignment horizontal="center"/>
    </xf>
    <xf numFmtId="0" fontId="0" fillId="6" borderId="7" xfId="0" applyFill="1" applyBorder="1" applyAlignment="1">
      <alignment horizontal="center"/>
    </xf>
    <xf numFmtId="0" fontId="1" fillId="9" borderId="7" xfId="0" applyFont="1" applyFill="1" applyBorder="1" applyAlignment="1">
      <alignment horizontal="center"/>
    </xf>
    <xf numFmtId="0" fontId="13" fillId="12" borderId="7" xfId="0" applyFont="1" applyFill="1" applyBorder="1" applyAlignment="1">
      <alignment horizontal="center"/>
    </xf>
    <xf numFmtId="0" fontId="6" fillId="0" borderId="5" xfId="0" applyFont="1" applyBorder="1" applyAlignment="1">
      <alignment horizontal="center"/>
    </xf>
    <xf numFmtId="0" fontId="6" fillId="0" borderId="28" xfId="0" applyFont="1" applyBorder="1" applyAlignment="1">
      <alignment horizontal="center"/>
    </xf>
    <xf numFmtId="0" fontId="6" fillId="0" borderId="30" xfId="0" applyFont="1" applyBorder="1" applyAlignment="1">
      <alignment horizontal="center"/>
    </xf>
    <xf numFmtId="0" fontId="2" fillId="6" borderId="1" xfId="0" applyFont="1" applyFill="1" applyBorder="1" applyAlignment="1">
      <alignment horizontal="center"/>
    </xf>
    <xf numFmtId="0" fontId="2" fillId="6" borderId="17" xfId="0" applyFont="1" applyFill="1" applyBorder="1" applyAlignment="1">
      <alignment horizontal="center"/>
    </xf>
    <xf numFmtId="0" fontId="2" fillId="0" borderId="11" xfId="0" applyFont="1" applyBorder="1" applyAlignment="1">
      <alignment horizontal="center"/>
    </xf>
    <xf numFmtId="0" fontId="0" fillId="0" borderId="11" xfId="0" applyBorder="1" applyAlignment="1">
      <alignment horizontal="center"/>
    </xf>
    <xf numFmtId="0" fontId="0" fillId="14" borderId="11" xfId="0" applyFill="1" applyBorder="1" applyAlignment="1">
      <alignment horizontal="center"/>
    </xf>
    <xf numFmtId="0" fontId="19" fillId="6" borderId="18" xfId="0" applyFont="1" applyFill="1" applyBorder="1"/>
    <xf numFmtId="0" fontId="0" fillId="6" borderId="19" xfId="0" applyFill="1" applyBorder="1"/>
    <xf numFmtId="0" fontId="2" fillId="9" borderId="22" xfId="0" applyFont="1" applyFill="1" applyBorder="1" applyAlignment="1">
      <alignment horizontal="center"/>
    </xf>
    <xf numFmtId="0" fontId="2" fillId="6" borderId="32" xfId="0" applyFont="1" applyFill="1" applyBorder="1" applyAlignment="1">
      <alignment horizontal="center"/>
    </xf>
    <xf numFmtId="0" fontId="2" fillId="6" borderId="25" xfId="0" applyFont="1" applyFill="1" applyBorder="1" applyAlignment="1">
      <alignment horizontal="center"/>
    </xf>
    <xf numFmtId="0" fontId="2" fillId="0" borderId="33" xfId="0" applyFont="1" applyBorder="1" applyAlignment="1">
      <alignment horizontal="center"/>
    </xf>
    <xf numFmtId="0" fontId="2" fillId="0" borderId="34" xfId="0" applyFont="1" applyBorder="1" applyAlignment="1">
      <alignment horizontal="center"/>
    </xf>
    <xf numFmtId="0" fontId="2" fillId="0" borderId="35" xfId="0" applyFont="1" applyBorder="1" applyAlignment="1">
      <alignment horizontal="center"/>
    </xf>
    <xf numFmtId="0" fontId="6" fillId="0" borderId="29" xfId="0" applyFont="1" applyBorder="1" applyAlignment="1">
      <alignment horizontal="center"/>
    </xf>
    <xf numFmtId="0" fontId="6" fillId="0" borderId="33" xfId="0" applyFont="1" applyBorder="1" applyAlignment="1">
      <alignment horizontal="center"/>
    </xf>
    <xf numFmtId="0" fontId="6" fillId="0" borderId="34" xfId="0" applyFont="1" applyBorder="1" applyAlignment="1">
      <alignment horizontal="center"/>
    </xf>
    <xf numFmtId="0" fontId="6" fillId="0" borderId="35" xfId="0" applyFont="1" applyBorder="1" applyAlignment="1">
      <alignment horizontal="center"/>
    </xf>
    <xf numFmtId="0" fontId="2" fillId="0" borderId="23" xfId="0" applyFont="1" applyBorder="1" applyAlignment="1">
      <alignment horizontal="center"/>
    </xf>
    <xf numFmtId="0" fontId="20" fillId="21" borderId="7" xfId="0" applyFont="1" applyFill="1" applyBorder="1"/>
    <xf numFmtId="0" fontId="0" fillId="20" borderId="7" xfId="0" applyFill="1" applyBorder="1"/>
    <xf numFmtId="0" fontId="2" fillId="20" borderId="7" xfId="0" applyFont="1" applyFill="1" applyBorder="1" applyAlignment="1">
      <alignment horizontal="left"/>
    </xf>
    <xf numFmtId="0" fontId="2" fillId="20" borderId="7" xfId="0" applyFont="1" applyFill="1" applyBorder="1" applyAlignment="1">
      <alignment horizontal="center"/>
    </xf>
    <xf numFmtId="0" fontId="2" fillId="20" borderId="14" xfId="0" applyFont="1" applyFill="1" applyBorder="1" applyAlignment="1">
      <alignment horizontal="center"/>
    </xf>
    <xf numFmtId="0" fontId="2" fillId="9" borderId="7" xfId="0" quotePrefix="1" applyFont="1" applyFill="1" applyBorder="1" applyAlignment="1">
      <alignment horizontal="center"/>
    </xf>
    <xf numFmtId="0" fontId="9" fillId="8" borderId="14" xfId="0" applyFont="1" applyFill="1" applyBorder="1"/>
    <xf numFmtId="0" fontId="6" fillId="0" borderId="31" xfId="0" applyFont="1" applyBorder="1" applyAlignment="1">
      <alignment horizontal="center"/>
    </xf>
    <xf numFmtId="0" fontId="1" fillId="9" borderId="11" xfId="0" applyFont="1" applyFill="1" applyBorder="1"/>
    <xf numFmtId="0" fontId="13" fillId="9" borderId="11" xfId="0" applyFont="1" applyFill="1" applyBorder="1" applyAlignment="1">
      <alignment horizontal="center"/>
    </xf>
    <xf numFmtId="0" fontId="0" fillId="12" borderId="7" xfId="0" quotePrefix="1" applyFill="1" applyBorder="1"/>
    <xf numFmtId="0" fontId="21" fillId="6" borderId="26" xfId="0" applyFont="1" applyFill="1" applyBorder="1" applyAlignment="1">
      <alignment horizontal="center"/>
    </xf>
    <xf numFmtId="0" fontId="22" fillId="17" borderId="0" xfId="0" applyFont="1" applyFill="1"/>
    <xf numFmtId="0" fontId="23" fillId="17" borderId="0" xfId="0" applyFont="1" applyFill="1"/>
    <xf numFmtId="0" fontId="2" fillId="9" borderId="37" xfId="0" applyFont="1" applyFill="1" applyBorder="1" applyAlignment="1">
      <alignment horizontal="center" vertical="center"/>
    </xf>
    <xf numFmtId="0" fontId="2" fillId="0" borderId="0" xfId="0" applyFont="1" applyAlignment="1">
      <alignment horizontal="center"/>
    </xf>
    <xf numFmtId="0" fontId="2" fillId="12" borderId="5" xfId="0" applyFont="1" applyFill="1" applyBorder="1" applyAlignment="1">
      <alignment horizontal="center"/>
    </xf>
    <xf numFmtId="0" fontId="2" fillId="9" borderId="7" xfId="0" applyFont="1" applyFill="1" applyBorder="1" applyAlignment="1">
      <alignment horizontal="center" vertical="center"/>
    </xf>
    <xf numFmtId="0" fontId="2" fillId="0" borderId="0" xfId="1" applyFont="1" applyAlignment="1">
      <alignment horizontal="center"/>
    </xf>
    <xf numFmtId="0" fontId="2" fillId="6" borderId="41" xfId="1" applyFont="1" applyFill="1" applyBorder="1" applyAlignment="1">
      <alignment horizontal="center"/>
    </xf>
    <xf numFmtId="0" fontId="2" fillId="6" borderId="40" xfId="1" applyFont="1" applyFill="1" applyBorder="1" applyAlignment="1">
      <alignment horizontal="center"/>
    </xf>
    <xf numFmtId="0" fontId="2" fillId="6" borderId="40" xfId="1" applyFont="1" applyFill="1" applyBorder="1"/>
    <xf numFmtId="0" fontId="2" fillId="6" borderId="39" xfId="1" applyFont="1" applyFill="1" applyBorder="1" applyAlignment="1">
      <alignment horizontal="left"/>
    </xf>
    <xf numFmtId="0" fontId="2" fillId="6" borderId="36" xfId="1" applyFont="1" applyFill="1" applyBorder="1" applyAlignment="1">
      <alignment horizontal="center"/>
    </xf>
    <xf numFmtId="0" fontId="2" fillId="6" borderId="0" xfId="1" applyFont="1" applyFill="1" applyAlignment="1">
      <alignment horizontal="center"/>
    </xf>
    <xf numFmtId="0" fontId="2" fillId="6" borderId="0" xfId="1" applyFont="1" applyFill="1"/>
    <xf numFmtId="0" fontId="2" fillId="6" borderId="42" xfId="1" applyFont="1" applyFill="1" applyBorder="1" applyAlignment="1">
      <alignment horizontal="left"/>
    </xf>
    <xf numFmtId="0" fontId="24" fillId="6" borderId="43" xfId="1" applyFont="1" applyFill="1" applyBorder="1"/>
    <xf numFmtId="0" fontId="24" fillId="6" borderId="44" xfId="1" applyFont="1" applyFill="1" applyBorder="1"/>
    <xf numFmtId="0" fontId="24" fillId="6" borderId="45" xfId="1" applyFont="1" applyFill="1" applyBorder="1" applyAlignment="1">
      <alignment horizontal="left"/>
    </xf>
    <xf numFmtId="0" fontId="0" fillId="18" borderId="7" xfId="0" applyFill="1" applyBorder="1"/>
    <xf numFmtId="0" fontId="0" fillId="9" borderId="7" xfId="0" applyFill="1" applyBorder="1"/>
    <xf numFmtId="0" fontId="15" fillId="17" borderId="7" xfId="0" applyFont="1" applyFill="1" applyBorder="1" applyAlignment="1">
      <alignment horizontal="center"/>
    </xf>
    <xf numFmtId="0" fontId="5" fillId="10" borderId="13" xfId="0" applyFont="1" applyFill="1" applyBorder="1" applyAlignment="1">
      <alignment horizontal="center"/>
    </xf>
    <xf numFmtId="0" fontId="5" fillId="10" borderId="13" xfId="0" applyFont="1" applyFill="1" applyBorder="1"/>
    <xf numFmtId="49" fontId="4" fillId="10" borderId="13" xfId="0" applyNumberFormat="1" applyFont="1" applyFill="1" applyBorder="1" applyAlignment="1">
      <alignment horizontal="center" wrapText="1"/>
    </xf>
    <xf numFmtId="0" fontId="1" fillId="6" borderId="0" xfId="0" applyFont="1" applyFill="1" applyAlignment="1">
      <alignment horizontal="center"/>
    </xf>
    <xf numFmtId="0" fontId="1" fillId="6" borderId="0" xfId="0" applyFont="1" applyFill="1" applyAlignment="1">
      <alignment horizontal="left"/>
    </xf>
    <xf numFmtId="0" fontId="1" fillId="6" borderId="0" xfId="0" applyFont="1" applyFill="1" applyAlignment="1">
      <alignment horizontal="center" vertical="center"/>
    </xf>
    <xf numFmtId="0" fontId="13" fillId="6" borderId="45" xfId="0" applyFont="1" applyFill="1" applyBorder="1"/>
    <xf numFmtId="0" fontId="13" fillId="6" borderId="43" xfId="0" applyFont="1" applyFill="1" applyBorder="1"/>
    <xf numFmtId="0" fontId="13" fillId="9" borderId="7" xfId="0" applyFont="1" applyFill="1" applyBorder="1"/>
    <xf numFmtId="0" fontId="2" fillId="9" borderId="25" xfId="0" applyFont="1" applyFill="1" applyBorder="1" applyAlignment="1">
      <alignment horizontal="center" vertical="center"/>
    </xf>
    <xf numFmtId="0" fontId="0" fillId="14" borderId="0" xfId="0" applyFill="1"/>
    <xf numFmtId="0" fontId="25" fillId="0" borderId="0" xfId="0" applyFont="1"/>
    <xf numFmtId="0" fontId="4" fillId="4" borderId="11" xfId="0" quotePrefix="1" applyFont="1" applyFill="1" applyBorder="1" applyAlignment="1">
      <alignment horizontal="center"/>
    </xf>
    <xf numFmtId="0" fontId="4" fillId="4" borderId="13" xfId="0" quotePrefix="1" applyFont="1" applyFill="1" applyBorder="1" applyAlignment="1">
      <alignment horizontal="center"/>
    </xf>
    <xf numFmtId="0" fontId="13" fillId="6" borderId="17" xfId="0" applyFont="1" applyFill="1" applyBorder="1"/>
    <xf numFmtId="0" fontId="13" fillId="6" borderId="18" xfId="0" applyFont="1" applyFill="1" applyBorder="1"/>
    <xf numFmtId="0" fontId="13" fillId="6" borderId="19" xfId="0" applyFont="1" applyFill="1" applyBorder="1"/>
    <xf numFmtId="0" fontId="2" fillId="19" borderId="7" xfId="0" applyFont="1" applyFill="1" applyBorder="1"/>
    <xf numFmtId="0" fontId="20" fillId="10" borderId="0" xfId="0" applyFont="1" applyFill="1"/>
    <xf numFmtId="0" fontId="12" fillId="10" borderId="27" xfId="0" applyFont="1" applyFill="1" applyBorder="1"/>
    <xf numFmtId="49" fontId="2" fillId="9" borderId="7" xfId="0" applyNumberFormat="1" applyFont="1" applyFill="1" applyBorder="1" applyAlignment="1">
      <alignment horizontal="center" vertical="center"/>
    </xf>
    <xf numFmtId="49" fontId="2" fillId="9" borderId="7" xfId="0" applyNumberFormat="1" applyFont="1" applyFill="1" applyBorder="1" applyAlignment="1">
      <alignment horizontal="left" vertical="center"/>
    </xf>
    <xf numFmtId="0" fontId="2" fillId="9" borderId="13" xfId="0" quotePrefix="1" applyFont="1" applyFill="1" applyBorder="1" applyAlignment="1">
      <alignment horizontal="center"/>
    </xf>
    <xf numFmtId="0" fontId="13" fillId="0" borderId="0" xfId="0" applyFont="1"/>
    <xf numFmtId="0" fontId="0" fillId="0" borderId="13" xfId="0" applyBorder="1" applyAlignment="1">
      <alignment horizontal="center"/>
    </xf>
    <xf numFmtId="0" fontId="15" fillId="17" borderId="13" xfId="0" applyFont="1" applyFill="1" applyBorder="1" applyAlignment="1">
      <alignment horizontal="center"/>
    </xf>
    <xf numFmtId="0" fontId="0" fillId="9" borderId="13" xfId="0" applyFill="1" applyBorder="1"/>
    <xf numFmtId="0" fontId="0" fillId="18" borderId="13" xfId="0" applyFill="1" applyBorder="1"/>
    <xf numFmtId="49" fontId="26" fillId="22" borderId="46" xfId="0" applyNumberFormat="1" applyFont="1" applyFill="1" applyBorder="1" applyAlignment="1" applyProtection="1">
      <alignment horizontal="left"/>
      <protection hidden="1"/>
    </xf>
    <xf numFmtId="49" fontId="26" fillId="22" borderId="47" xfId="0" applyNumberFormat="1" applyFont="1" applyFill="1" applyBorder="1" applyAlignment="1" applyProtection="1">
      <alignment horizontal="left"/>
      <protection hidden="1"/>
    </xf>
    <xf numFmtId="49" fontId="26" fillId="22" borderId="48" xfId="0" applyNumberFormat="1" applyFont="1" applyFill="1" applyBorder="1" applyAlignment="1" applyProtection="1">
      <alignment horizontal="left"/>
      <protection hidden="1"/>
    </xf>
    <xf numFmtId="49" fontId="26" fillId="23" borderId="46" xfId="0" applyNumberFormat="1" applyFont="1" applyFill="1" applyBorder="1" applyAlignment="1" applyProtection="1">
      <alignment horizontal="left"/>
      <protection hidden="1"/>
    </xf>
    <xf numFmtId="49" fontId="26" fillId="23" borderId="47" xfId="0" applyNumberFormat="1" applyFont="1" applyFill="1" applyBorder="1" applyAlignment="1" applyProtection="1">
      <alignment horizontal="left"/>
      <protection hidden="1"/>
    </xf>
    <xf numFmtId="49" fontId="27" fillId="22" borderId="9" xfId="0" applyNumberFormat="1" applyFont="1" applyFill="1" applyBorder="1" applyAlignment="1" applyProtection="1">
      <alignment horizontal="left"/>
      <protection hidden="1"/>
    </xf>
    <xf numFmtId="49" fontId="27" fillId="23" borderId="9" xfId="0" applyNumberFormat="1" applyFont="1" applyFill="1" applyBorder="1" applyAlignment="1" applyProtection="1">
      <alignment horizontal="left"/>
      <protection hidden="1"/>
    </xf>
    <xf numFmtId="49" fontId="4" fillId="4" borderId="7" xfId="0" applyNumberFormat="1" applyFont="1" applyFill="1" applyBorder="1" applyAlignment="1">
      <alignment horizontal="center"/>
    </xf>
    <xf numFmtId="0" fontId="16" fillId="11" borderId="7" xfId="0" applyFont="1" applyFill="1" applyBorder="1" applyAlignment="1">
      <alignment horizontal="center"/>
    </xf>
    <xf numFmtId="0" fontId="0" fillId="20" borderId="7" xfId="0" applyFill="1" applyBorder="1" applyAlignment="1">
      <alignment horizontal="center"/>
    </xf>
    <xf numFmtId="0" fontId="6" fillId="20" borderId="7" xfId="0" applyFont="1" applyFill="1" applyBorder="1" applyAlignment="1">
      <alignment horizontal="left"/>
    </xf>
    <xf numFmtId="0" fontId="2" fillId="2" borderId="0" xfId="0" applyFont="1" applyFill="1" applyAlignment="1">
      <alignment horizontal="center"/>
    </xf>
    <xf numFmtId="164" fontId="0" fillId="15" borderId="7" xfId="0" applyNumberFormat="1" applyFill="1" applyBorder="1"/>
    <xf numFmtId="0" fontId="2" fillId="2" borderId="6" xfId="0" applyFont="1" applyFill="1" applyBorder="1" applyAlignment="1">
      <alignment horizontal="center"/>
    </xf>
    <xf numFmtId="2" fontId="0" fillId="15" borderId="7" xfId="0" applyNumberFormat="1" applyFill="1" applyBorder="1" applyAlignment="1">
      <alignment horizontal="center"/>
    </xf>
    <xf numFmtId="165" fontId="0" fillId="15" borderId="7" xfId="0" applyNumberFormat="1" applyFill="1" applyBorder="1" applyAlignment="1">
      <alignment horizontal="center"/>
    </xf>
    <xf numFmtId="0" fontId="12" fillId="10" borderId="49" xfId="0" applyFont="1" applyFill="1" applyBorder="1"/>
    <xf numFmtId="0" fontId="0" fillId="10" borderId="50" xfId="0" applyFill="1" applyBorder="1" applyAlignment="1">
      <alignment horizontal="center"/>
    </xf>
    <xf numFmtId="0" fontId="0" fillId="10" borderId="50" xfId="0" applyFill="1" applyBorder="1" applyAlignment="1">
      <alignment horizontal="left"/>
    </xf>
    <xf numFmtId="0" fontId="0" fillId="10" borderId="50" xfId="0" applyFill="1" applyBorder="1"/>
    <xf numFmtId="0" fontId="12" fillId="10" borderId="50" xfId="0" applyFont="1" applyFill="1" applyBorder="1" applyAlignment="1">
      <alignment horizontal="center"/>
    </xf>
    <xf numFmtId="0" fontId="12" fillId="10" borderId="50" xfId="0" applyFont="1" applyFill="1" applyBorder="1"/>
    <xf numFmtId="0" fontId="0" fillId="10" borderId="6" xfId="0" applyFill="1" applyBorder="1"/>
    <xf numFmtId="0" fontId="0" fillId="6" borderId="45" xfId="0" applyFill="1" applyBorder="1"/>
    <xf numFmtId="0" fontId="0" fillId="6" borderId="51" xfId="0" applyFill="1" applyBorder="1"/>
    <xf numFmtId="0" fontId="21" fillId="6" borderId="44" xfId="0" applyFont="1" applyFill="1" applyBorder="1" applyAlignment="1">
      <alignment horizontal="center"/>
    </xf>
    <xf numFmtId="0" fontId="0" fillId="6" borderId="44" xfId="0" applyFill="1" applyBorder="1" applyAlignment="1">
      <alignment horizontal="left"/>
    </xf>
    <xf numFmtId="0" fontId="1" fillId="6" borderId="44" xfId="0" applyFont="1" applyFill="1" applyBorder="1" applyAlignment="1">
      <alignment horizontal="center"/>
    </xf>
    <xf numFmtId="0" fontId="1" fillId="6" borderId="43" xfId="0" applyFont="1" applyFill="1" applyBorder="1" applyAlignment="1">
      <alignment horizontal="center"/>
    </xf>
    <xf numFmtId="0" fontId="29" fillId="6" borderId="7" xfId="0" applyFont="1" applyFill="1" applyBorder="1" applyAlignment="1">
      <alignment horizontal="center" vertical="center" shrinkToFit="1"/>
    </xf>
    <xf numFmtId="0" fontId="0" fillId="6" borderId="14" xfId="0" applyFill="1" applyBorder="1" applyAlignment="1">
      <alignment horizontal="center"/>
    </xf>
    <xf numFmtId="0" fontId="0" fillId="6" borderId="27" xfId="0" applyFill="1" applyBorder="1" applyAlignment="1">
      <alignment horizontal="center"/>
    </xf>
    <xf numFmtId="0" fontId="29" fillId="6" borderId="5" xfId="0" applyFont="1" applyFill="1" applyBorder="1" applyAlignment="1">
      <alignment horizontal="right" vertical="center"/>
    </xf>
    <xf numFmtId="0" fontId="12" fillId="8" borderId="1" xfId="0" applyFont="1" applyFill="1" applyBorder="1"/>
    <xf numFmtId="0" fontId="12" fillId="8" borderId="16" xfId="0" applyFont="1" applyFill="1" applyBorder="1"/>
    <xf numFmtId="0" fontId="12" fillId="8" borderId="16" xfId="0" applyFont="1" applyFill="1" applyBorder="1" applyAlignment="1">
      <alignment horizontal="center"/>
    </xf>
    <xf numFmtId="0" fontId="12" fillId="8" borderId="52" xfId="0" applyFont="1" applyFill="1" applyBorder="1" applyAlignment="1">
      <alignment horizontal="center"/>
    </xf>
    <xf numFmtId="0" fontId="12" fillId="8" borderId="2" xfId="0" applyFont="1" applyFill="1" applyBorder="1" applyAlignment="1">
      <alignment horizontal="center"/>
    </xf>
    <xf numFmtId="0" fontId="1" fillId="18" borderId="13" xfId="0" applyFont="1" applyFill="1" applyBorder="1"/>
    <xf numFmtId="0" fontId="1" fillId="18" borderId="13" xfId="0" applyFont="1" applyFill="1" applyBorder="1" applyAlignment="1">
      <alignment horizontal="center"/>
    </xf>
    <xf numFmtId="0" fontId="1" fillId="18" borderId="13" xfId="0" applyFont="1" applyFill="1" applyBorder="1" applyAlignment="1">
      <alignment horizontal="left"/>
    </xf>
    <xf numFmtId="0" fontId="1" fillId="18" borderId="7" xfId="0" applyFont="1" applyFill="1" applyBorder="1"/>
    <xf numFmtId="0" fontId="1" fillId="18" borderId="7" xfId="0" applyFont="1" applyFill="1" applyBorder="1" applyAlignment="1">
      <alignment horizontal="center"/>
    </xf>
    <xf numFmtId="0" fontId="1" fillId="18" borderId="7" xfId="0" applyFont="1" applyFill="1" applyBorder="1" applyAlignment="1">
      <alignment horizontal="left"/>
    </xf>
    <xf numFmtId="49" fontId="27" fillId="24" borderId="9" xfId="0" applyNumberFormat="1" applyFont="1" applyFill="1" applyBorder="1" applyAlignment="1" applyProtection="1">
      <alignment horizontal="left"/>
      <protection hidden="1"/>
    </xf>
    <xf numFmtId="49" fontId="0" fillId="0" borderId="5" xfId="0" applyNumberFormat="1" applyBorder="1" applyAlignment="1" applyProtection="1">
      <alignment horizontal="left"/>
      <protection hidden="1"/>
    </xf>
    <xf numFmtId="49" fontId="0" fillId="0" borderId="7" xfId="0" applyNumberFormat="1" applyBorder="1" applyAlignment="1" applyProtection="1">
      <alignment horizontal="left"/>
      <protection hidden="1"/>
    </xf>
    <xf numFmtId="49" fontId="0" fillId="0" borderId="53" xfId="0" applyNumberFormat="1" applyBorder="1" applyAlignment="1" applyProtection="1">
      <alignment horizontal="left"/>
      <protection hidden="1"/>
    </xf>
    <xf numFmtId="49" fontId="27" fillId="22" borderId="7" xfId="0" applyNumberFormat="1" applyFont="1" applyFill="1" applyBorder="1" applyAlignment="1" applyProtection="1">
      <alignment horizontal="left"/>
      <protection hidden="1"/>
    </xf>
    <xf numFmtId="49" fontId="26" fillId="22" borderId="52" xfId="0" applyNumberFormat="1" applyFont="1" applyFill="1" applyBorder="1" applyAlignment="1" applyProtection="1">
      <alignment horizontal="left"/>
      <protection hidden="1"/>
    </xf>
    <xf numFmtId="49" fontId="26" fillId="22" borderId="54" xfId="0" applyNumberFormat="1" applyFont="1" applyFill="1" applyBorder="1" applyAlignment="1" applyProtection="1">
      <alignment horizontal="left"/>
      <protection hidden="1"/>
    </xf>
    <xf numFmtId="49" fontId="26" fillId="22" borderId="55" xfId="0" applyNumberFormat="1" applyFont="1" applyFill="1" applyBorder="1" applyAlignment="1" applyProtection="1">
      <alignment horizontal="left"/>
      <protection hidden="1"/>
    </xf>
    <xf numFmtId="49" fontId="28" fillId="6" borderId="17" xfId="0" applyNumberFormat="1" applyFont="1" applyFill="1" applyBorder="1" applyAlignment="1" applyProtection="1">
      <alignment horizontal="left"/>
      <protection hidden="1"/>
    </xf>
    <xf numFmtId="0" fontId="25" fillId="6" borderId="18" xfId="0" applyFont="1" applyFill="1" applyBorder="1"/>
    <xf numFmtId="0" fontId="25" fillId="6" borderId="19" xfId="0" applyFont="1" applyFill="1" applyBorder="1"/>
    <xf numFmtId="49" fontId="26" fillId="23" borderId="54" xfId="0" applyNumberFormat="1" applyFont="1" applyFill="1" applyBorder="1" applyAlignment="1" applyProtection="1">
      <alignment horizontal="left"/>
      <protection hidden="1"/>
    </xf>
    <xf numFmtId="49" fontId="26" fillId="23" borderId="56" xfId="0" applyNumberFormat="1" applyFont="1" applyFill="1" applyBorder="1" applyAlignment="1" applyProtection="1">
      <alignment horizontal="left"/>
      <protection hidden="1"/>
    </xf>
    <xf numFmtId="49" fontId="28" fillId="6" borderId="18" xfId="0" applyNumberFormat="1" applyFont="1" applyFill="1" applyBorder="1" applyAlignment="1" applyProtection="1">
      <alignment horizontal="left"/>
      <protection hidden="1"/>
    </xf>
    <xf numFmtId="0" fontId="0" fillId="21" borderId="0" xfId="0" applyFill="1" applyAlignment="1">
      <alignment horizontal="center"/>
    </xf>
    <xf numFmtId="0" fontId="0" fillId="21" borderId="0" xfId="0" applyFill="1"/>
    <xf numFmtId="0" fontId="0" fillId="10" borderId="0" xfId="0" applyFill="1"/>
    <xf numFmtId="49" fontId="30" fillId="10" borderId="14" xfId="0" applyNumberFormat="1" applyFont="1" applyFill="1" applyBorder="1" applyAlignment="1" applyProtection="1">
      <alignment horizontal="center"/>
      <protection hidden="1"/>
    </xf>
    <xf numFmtId="49" fontId="31" fillId="10" borderId="27" xfId="0" applyNumberFormat="1" applyFont="1" applyFill="1" applyBorder="1" applyAlignment="1" applyProtection="1">
      <alignment horizontal="center"/>
      <protection hidden="1"/>
    </xf>
    <xf numFmtId="0" fontId="2" fillId="6" borderId="13" xfId="0" applyFont="1" applyFill="1" applyBorder="1" applyAlignment="1">
      <alignment horizontal="center" vertical="center"/>
    </xf>
    <xf numFmtId="49" fontId="6" fillId="9" borderId="7" xfId="0" applyNumberFormat="1" applyFont="1" applyFill="1" applyBorder="1" applyAlignment="1">
      <alignment horizontal="center" vertical="center"/>
    </xf>
    <xf numFmtId="0" fontId="0" fillId="15" borderId="7" xfId="0" applyFill="1" applyBorder="1" applyAlignment="1">
      <alignment horizontal="center"/>
    </xf>
    <xf numFmtId="2" fontId="0" fillId="0" borderId="0" xfId="0" applyNumberFormat="1"/>
    <xf numFmtId="0" fontId="27" fillId="22" borderId="13" xfId="0" applyFont="1" applyFill="1" applyBorder="1" applyAlignment="1" applyProtection="1">
      <alignment horizontal="left"/>
      <protection hidden="1"/>
    </xf>
    <xf numFmtId="0" fontId="27" fillId="22" borderId="9" xfId="0" applyFont="1" applyFill="1" applyBorder="1" applyAlignment="1" applyProtection="1">
      <alignment horizontal="left"/>
      <protection hidden="1"/>
    </xf>
    <xf numFmtId="0" fontId="27" fillId="22" borderId="7" xfId="0" applyFont="1" applyFill="1" applyBorder="1" applyAlignment="1" applyProtection="1">
      <alignment horizontal="left"/>
      <protection hidden="1"/>
    </xf>
    <xf numFmtId="0" fontId="9" fillId="10" borderId="57" xfId="0" applyFont="1" applyFill="1" applyBorder="1" applyAlignment="1">
      <alignment horizontal="center"/>
    </xf>
    <xf numFmtId="0" fontId="2" fillId="6" borderId="0" xfId="0" applyFont="1" applyFill="1" applyAlignment="1">
      <alignment horizontal="center"/>
    </xf>
    <xf numFmtId="0" fontId="2" fillId="12" borderId="20" xfId="0" applyFont="1" applyFill="1" applyBorder="1" applyAlignment="1">
      <alignment horizontal="center"/>
    </xf>
    <xf numFmtId="0" fontId="2" fillId="12" borderId="28" xfId="0" applyFont="1" applyFill="1" applyBorder="1" applyAlignment="1">
      <alignment horizontal="center"/>
    </xf>
    <xf numFmtId="0" fontId="2" fillId="9" borderId="28" xfId="0" applyFont="1" applyFill="1" applyBorder="1" applyAlignment="1">
      <alignment horizontal="center"/>
    </xf>
    <xf numFmtId="166" fontId="0" fillId="0" borderId="0" xfId="0" applyNumberFormat="1"/>
    <xf numFmtId="0" fontId="9" fillId="10" borderId="15" xfId="0" applyFont="1" applyFill="1" applyBorder="1" applyAlignment="1">
      <alignment horizontal="center"/>
    </xf>
    <xf numFmtId="0" fontId="2" fillId="19" borderId="7" xfId="0" applyFont="1" applyFill="1" applyBorder="1" applyAlignment="1">
      <alignment horizontal="center"/>
    </xf>
    <xf numFmtId="2" fontId="0" fillId="0" borderId="0" xfId="0" applyNumberFormat="1" applyAlignment="1">
      <alignment horizontal="center" vertical="center"/>
    </xf>
    <xf numFmtId="0" fontId="0" fillId="0" borderId="0" xfId="0" applyAlignment="1">
      <alignment horizontal="center" vertical="center"/>
    </xf>
    <xf numFmtId="0" fontId="20" fillId="21" borderId="15" xfId="0" applyFont="1" applyFill="1" applyBorder="1" applyAlignment="1">
      <alignment horizontal="center" vertical="center"/>
    </xf>
    <xf numFmtId="0" fontId="1" fillId="18" borderId="7" xfId="0" quotePrefix="1" applyFont="1" applyFill="1" applyBorder="1"/>
    <xf numFmtId="0" fontId="12" fillId="10" borderId="27" xfId="0" applyFont="1" applyFill="1" applyBorder="1" applyAlignment="1">
      <alignment horizontal="center"/>
    </xf>
    <xf numFmtId="0" fontId="29" fillId="6" borderId="44" xfId="0" applyFont="1" applyFill="1" applyBorder="1" applyAlignment="1">
      <alignment horizontal="left" vertical="center"/>
    </xf>
    <xf numFmtId="0" fontId="0" fillId="20" borderId="7" xfId="0" applyFill="1" applyBorder="1" applyAlignment="1">
      <alignment horizontal="center" vertical="center"/>
    </xf>
    <xf numFmtId="0" fontId="29" fillId="6" borderId="26" xfId="0" applyFont="1" applyFill="1" applyBorder="1" applyAlignment="1">
      <alignment horizontal="left" vertical="center"/>
    </xf>
    <xf numFmtId="0" fontId="2" fillId="2" borderId="7" xfId="0" applyFont="1" applyFill="1" applyBorder="1" applyAlignment="1">
      <alignment horizontal="center"/>
    </xf>
    <xf numFmtId="14" fontId="1" fillId="18" borderId="13" xfId="0" applyNumberFormat="1" applyFont="1" applyFill="1" applyBorder="1" applyAlignment="1">
      <alignment horizontal="center"/>
    </xf>
    <xf numFmtId="0" fontId="0" fillId="6" borderId="7" xfId="0" applyFill="1" applyBorder="1" applyAlignment="1">
      <alignment horizontal="center" vertical="center"/>
    </xf>
    <xf numFmtId="164" fontId="2" fillId="19" borderId="13" xfId="0" applyNumberFormat="1" applyFont="1" applyFill="1" applyBorder="1" applyAlignment="1">
      <alignment horizontal="center" vertical="center"/>
    </xf>
    <xf numFmtId="165" fontId="2" fillId="19" borderId="7" xfId="0" applyNumberFormat="1" applyFont="1" applyFill="1" applyBorder="1" applyAlignment="1">
      <alignment horizontal="center" vertical="center"/>
    </xf>
    <xf numFmtId="49" fontId="2" fillId="19" borderId="7" xfId="0" applyNumberFormat="1" applyFont="1" applyFill="1" applyBorder="1" applyAlignment="1">
      <alignment horizontal="center" vertical="center"/>
    </xf>
    <xf numFmtId="0" fontId="2" fillId="19" borderId="13" xfId="0" applyFont="1" applyFill="1" applyBorder="1" applyAlignment="1">
      <alignment horizontal="center" vertical="center"/>
    </xf>
    <xf numFmtId="0" fontId="2" fillId="0" borderId="15" xfId="0" applyFont="1" applyBorder="1" applyAlignment="1">
      <alignment horizontal="left"/>
    </xf>
    <xf numFmtId="16" fontId="2" fillId="12" borderId="7" xfId="0" applyNumberFormat="1" applyFont="1" applyFill="1" applyBorder="1" applyAlignment="1">
      <alignment horizontal="center"/>
    </xf>
    <xf numFmtId="49" fontId="2" fillId="12" borderId="7" xfId="0" applyNumberFormat="1" applyFont="1" applyFill="1" applyBorder="1" applyAlignment="1">
      <alignment horizontal="center"/>
    </xf>
    <xf numFmtId="0" fontId="9" fillId="10" borderId="58" xfId="0" applyFont="1" applyFill="1" applyBorder="1" applyAlignment="1">
      <alignment horizontal="center" vertical="center" wrapText="1"/>
    </xf>
    <xf numFmtId="0" fontId="13" fillId="6" borderId="44" xfId="0" applyFont="1" applyFill="1" applyBorder="1" applyAlignment="1">
      <alignment horizontal="center"/>
    </xf>
    <xf numFmtId="0" fontId="1" fillId="6" borderId="0" xfId="0" applyFont="1" applyFill="1" applyAlignment="1">
      <alignment horizontal="left" vertical="center"/>
    </xf>
    <xf numFmtId="0" fontId="5" fillId="10" borderId="13" xfId="0" applyFont="1" applyFill="1" applyBorder="1" applyAlignment="1">
      <alignment horizontal="left"/>
    </xf>
    <xf numFmtId="0" fontId="0" fillId="18" borderId="7" xfId="0" applyFill="1" applyBorder="1" applyAlignment="1">
      <alignment horizontal="left"/>
    </xf>
    <xf numFmtId="0" fontId="0" fillId="9" borderId="7" xfId="0" applyFill="1" applyBorder="1" applyAlignment="1">
      <alignment horizontal="left"/>
    </xf>
    <xf numFmtId="0" fontId="13" fillId="6" borderId="19" xfId="0" applyFont="1" applyFill="1" applyBorder="1" applyAlignment="1">
      <alignment horizontal="left"/>
    </xf>
    <xf numFmtId="0" fontId="0" fillId="18" borderId="13" xfId="0" applyFill="1" applyBorder="1" applyAlignment="1">
      <alignment horizontal="left"/>
    </xf>
    <xf numFmtId="0" fontId="2" fillId="0" borderId="17" xfId="0" applyFont="1" applyBorder="1" applyAlignment="1">
      <alignment horizontal="left" vertical="center" wrapText="1" shrinkToFit="1"/>
    </xf>
    <xf numFmtId="0" fontId="2" fillId="0" borderId="19" xfId="0" applyFont="1" applyBorder="1" applyAlignment="1">
      <alignment horizontal="left" vertical="center" wrapText="1" shrinkToFit="1"/>
    </xf>
    <xf numFmtId="0" fontId="0" fillId="18" borderId="7" xfId="0" applyFill="1" applyBorder="1" applyAlignment="1">
      <alignment horizontal="center"/>
    </xf>
    <xf numFmtId="0" fontId="9" fillId="10" borderId="25" xfId="0" applyFont="1" applyFill="1" applyBorder="1" applyAlignment="1">
      <alignment horizontal="center" vertical="center" wrapText="1"/>
    </xf>
    <xf numFmtId="0" fontId="17" fillId="6" borderId="25" xfId="0" applyFont="1" applyFill="1" applyBorder="1" applyAlignment="1">
      <alignment horizontal="left"/>
    </xf>
    <xf numFmtId="0" fontId="1" fillId="18" borderId="13" xfId="0" quotePrefix="1" applyFont="1" applyFill="1" applyBorder="1"/>
    <xf numFmtId="14" fontId="1" fillId="18" borderId="13" xfId="0" quotePrefix="1" applyNumberFormat="1" applyFont="1" applyFill="1" applyBorder="1" applyAlignment="1">
      <alignment horizontal="center"/>
    </xf>
    <xf numFmtId="14" fontId="9" fillId="13" borderId="0" xfId="0" applyNumberFormat="1" applyFont="1" applyFill="1" applyAlignment="1">
      <alignment horizontal="center"/>
    </xf>
    <xf numFmtId="14" fontId="2" fillId="19" borderId="7" xfId="0" quotePrefix="1" applyNumberFormat="1" applyFont="1" applyFill="1" applyBorder="1" applyAlignment="1">
      <alignment horizontal="center"/>
    </xf>
    <xf numFmtId="0" fontId="0" fillId="6" borderId="44" xfId="0" applyFill="1" applyBorder="1" applyAlignment="1">
      <alignment horizontal="center"/>
    </xf>
    <xf numFmtId="49" fontId="9" fillId="10" borderId="0" xfId="0" applyNumberFormat="1" applyFont="1" applyFill="1"/>
    <xf numFmtId="49" fontId="0" fillId="16" borderId="7" xfId="0" applyNumberFormat="1" applyFill="1" applyBorder="1" applyAlignment="1">
      <alignment horizontal="center"/>
    </xf>
    <xf numFmtId="49" fontId="2" fillId="16" borderId="7" xfId="0" applyNumberFormat="1" applyFont="1" applyFill="1" applyBorder="1" applyAlignment="1">
      <alignment horizontal="center" vertical="center"/>
    </xf>
    <xf numFmtId="49" fontId="9" fillId="10" borderId="17" xfId="0" applyNumberFormat="1" applyFont="1" applyFill="1" applyBorder="1" applyAlignment="1">
      <alignment horizontal="center"/>
    </xf>
    <xf numFmtId="49" fontId="9" fillId="10" borderId="2" xfId="0" applyNumberFormat="1" applyFont="1" applyFill="1" applyBorder="1" applyAlignment="1">
      <alignment horizontal="center"/>
    </xf>
    <xf numFmtId="49" fontId="9" fillId="10" borderId="0" xfId="0" applyNumberFormat="1" applyFont="1" applyFill="1" applyAlignment="1">
      <alignment horizontal="center"/>
    </xf>
    <xf numFmtId="0" fontId="0" fillId="6" borderId="43" xfId="0" applyFill="1" applyBorder="1"/>
    <xf numFmtId="0" fontId="0" fillId="6" borderId="42" xfId="0" applyFill="1" applyBorder="1"/>
    <xf numFmtId="0" fontId="0" fillId="6" borderId="36" xfId="0" applyFill="1" applyBorder="1"/>
    <xf numFmtId="0" fontId="0" fillId="6" borderId="39" xfId="0" applyFill="1" applyBorder="1"/>
    <xf numFmtId="0" fontId="0" fillId="6" borderId="41" xfId="0" applyFill="1" applyBorder="1"/>
    <xf numFmtId="2" fontId="9" fillId="10" borderId="0" xfId="0" applyNumberFormat="1" applyFont="1" applyFill="1" applyAlignment="1">
      <alignment horizontal="center"/>
    </xf>
    <xf numFmtId="2" fontId="2" fillId="16" borderId="7" xfId="0" applyNumberFormat="1" applyFont="1" applyFill="1" applyBorder="1" applyAlignment="1">
      <alignment horizontal="center" vertical="center"/>
    </xf>
    <xf numFmtId="0" fontId="1" fillId="6" borderId="13" xfId="0" applyFont="1" applyFill="1" applyBorder="1" applyAlignment="1">
      <alignment vertical="center" wrapText="1"/>
    </xf>
    <xf numFmtId="0" fontId="1" fillId="6" borderId="7" xfId="0" applyFont="1" applyFill="1" applyBorder="1" applyAlignment="1">
      <alignment vertical="center" wrapText="1"/>
    </xf>
    <xf numFmtId="0" fontId="2" fillId="6" borderId="17" xfId="0" applyFont="1" applyFill="1" applyBorder="1" applyAlignment="1">
      <alignment horizontal="left" vertical="center" wrapText="1" shrinkToFit="1"/>
    </xf>
    <xf numFmtId="0" fontId="2" fillId="6" borderId="19" xfId="0" applyFont="1" applyFill="1" applyBorder="1" applyAlignment="1">
      <alignment horizontal="left" vertical="center" wrapText="1" shrinkToFit="1"/>
    </xf>
    <xf numFmtId="0" fontId="1" fillId="9" borderId="11" xfId="0" applyFont="1" applyFill="1" applyBorder="1" applyAlignment="1">
      <alignment horizontal="center" vertical="center"/>
    </xf>
    <xf numFmtId="0" fontId="1" fillId="9" borderId="13" xfId="0" applyFont="1" applyFill="1" applyBorder="1" applyAlignment="1">
      <alignment horizontal="center" vertical="center"/>
    </xf>
    <xf numFmtId="0" fontId="13" fillId="12" borderId="11" xfId="0" applyFont="1" applyFill="1" applyBorder="1" applyAlignment="1">
      <alignment horizontal="left" vertical="center" wrapText="1"/>
    </xf>
    <xf numFmtId="0" fontId="13" fillId="12" borderId="13" xfId="0" applyFont="1" applyFill="1" applyBorder="1" applyAlignment="1">
      <alignment horizontal="left" vertical="center" wrapText="1"/>
    </xf>
    <xf numFmtId="0" fontId="13" fillId="18" borderId="7" xfId="0" applyFont="1" applyFill="1" applyBorder="1" applyAlignment="1">
      <alignment horizontal="center"/>
    </xf>
    <xf numFmtId="0" fontId="13" fillId="18" borderId="14" xfId="0" applyFont="1" applyFill="1" applyBorder="1" applyAlignment="1">
      <alignment horizontal="center"/>
    </xf>
    <xf numFmtId="0" fontId="13" fillId="18" borderId="5" xfId="0" applyFont="1" applyFill="1" applyBorder="1" applyAlignment="1">
      <alignment horizontal="center"/>
    </xf>
    <xf numFmtId="0" fontId="2" fillId="9" borderId="37" xfId="0" applyFont="1" applyFill="1" applyBorder="1" applyAlignment="1">
      <alignment horizontal="center" vertical="center"/>
    </xf>
    <xf numFmtId="0" fontId="2" fillId="9" borderId="38" xfId="0" applyFont="1" applyFill="1" applyBorder="1" applyAlignment="1">
      <alignment horizontal="center" vertical="center"/>
    </xf>
    <xf numFmtId="0" fontId="2" fillId="9" borderId="22" xfId="0" applyFont="1" applyFill="1" applyBorder="1" applyAlignment="1">
      <alignment horizontal="center" vertical="center"/>
    </xf>
    <xf numFmtId="0" fontId="2" fillId="9" borderId="10" xfId="0" applyFont="1" applyFill="1" applyBorder="1" applyAlignment="1">
      <alignment horizontal="center" vertical="center"/>
    </xf>
  </cellXfs>
  <cellStyles count="2">
    <cellStyle name="Normal" xfId="0" builtinId="0"/>
    <cellStyle name="Normal 2" xfId="1" xr:uid="{00000000-0005-0000-0000-000001000000}"/>
  </cellStyles>
  <dxfs count="0"/>
  <tableStyles count="1" defaultTableStyle="TableStyleMedium2" defaultPivotStyle="PivotStyleLight16">
    <tableStyle name="MySqlDefault"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revisionHeaders" Target="revisions/revisionHeader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usernames" Target="revisions/userNam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XPression%20Data\Data\Baseball\ESPN_BASEBALL_AWA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wdc.sharepoint.com/Data/Basketball/ESPN_CBB_AWAY_ZZ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AIN"/>
      <sheetName val="Roster"/>
      <sheetName val="Stats"/>
      <sheetName val="Lineup"/>
      <sheetName val="Remaining Schedule"/>
      <sheetName val="Player Heroes"/>
      <sheetName val="Team Hero"/>
    </sheetNames>
    <sheetDataSet>
      <sheetData sheetId="0" refreshError="1"/>
      <sheetData sheetId="1" refreshError="1"/>
      <sheetData sheetId="2" refreshError="1">
        <row r="2">
          <cell r="E2" t="str">
            <v>Baseball</v>
          </cell>
        </row>
        <row r="17">
          <cell r="W17" t="str">
            <v>Baseball</v>
          </cell>
          <cell r="X17">
            <v>9</v>
          </cell>
        </row>
        <row r="18">
          <cell r="W18" t="str">
            <v>Softball</v>
          </cell>
          <cell r="X18">
            <v>7</v>
          </cell>
        </row>
      </sheetData>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am Info"/>
      <sheetName val="Team Personnel"/>
      <sheetName val="Roster"/>
      <sheetName val="Player Stats"/>
      <sheetName val="Season Stats"/>
      <sheetName val="Team Stats"/>
      <sheetName val="Team Users"/>
      <sheetName val="Team Heroes"/>
      <sheetName val="Upcoming Schedule"/>
      <sheetName val="LOGOS"/>
    </sheetNames>
    <sheetDataSet>
      <sheetData sheetId="0" refreshError="1"/>
      <sheetData sheetId="1" refreshError="1"/>
      <sheetData sheetId="2">
        <row r="3">
          <cell r="A3" t="str">
            <v>Jersey</v>
          </cell>
        </row>
      </sheetData>
      <sheetData sheetId="3" refreshError="1"/>
      <sheetData sheetId="4">
        <row r="2">
          <cell r="AB2" t="str">
            <v>4.2 PPG</v>
          </cell>
        </row>
      </sheetData>
      <sheetData sheetId="5" refreshError="1"/>
      <sheetData sheetId="6" refreshError="1"/>
      <sheetData sheetId="7" refreshError="1"/>
      <sheetData sheetId="8" refreshError="1"/>
      <sheetData sheetId="9">
        <row r="1">
          <cell r="E1" t="str">
            <v>NETWORK_LOGOS</v>
          </cell>
        </row>
        <row r="2">
          <cell r="E2" t="str">
            <v>ABC</v>
          </cell>
        </row>
        <row r="3">
          <cell r="E3" t="str">
            <v>ABCAPPMIRROR</v>
          </cell>
        </row>
        <row r="4">
          <cell r="E4" t="str">
            <v>ABCAPPMIRROR_WHITE</v>
          </cell>
        </row>
        <row r="5">
          <cell r="E5" t="str">
            <v>ABC_ESPN2_MIRROR</v>
          </cell>
        </row>
        <row r="6">
          <cell r="E6" t="str">
            <v>ABC_ESPN2_MIRROR_BLACK</v>
          </cell>
        </row>
        <row r="7">
          <cell r="E7" t="str">
            <v>ABC_ESPN2_MIRROR_WHITE</v>
          </cell>
        </row>
        <row r="8">
          <cell r="E8" t="str">
            <v>ABC_ESPN3_MIRROR</v>
          </cell>
        </row>
        <row r="9">
          <cell r="E9" t="str">
            <v>ABC_ESPN3_MIRROR_WHITE</v>
          </cell>
        </row>
        <row r="10">
          <cell r="E10" t="str">
            <v>ABC_ESPN_MIRROR</v>
          </cell>
        </row>
        <row r="11">
          <cell r="E11" t="str">
            <v>ABC_ESPN_MIRROR_BLACK</v>
          </cell>
        </row>
        <row r="12">
          <cell r="E12" t="str">
            <v>ABC_ESPN_MIRROR_WHITE</v>
          </cell>
        </row>
        <row r="13">
          <cell r="E13" t="str">
            <v>ABC_GRAY</v>
          </cell>
        </row>
        <row r="14">
          <cell r="E14" t="str">
            <v>ABC_LIGHTGRAY</v>
          </cell>
        </row>
        <row r="15">
          <cell r="E15" t="str">
            <v>ABC_WHITE</v>
          </cell>
        </row>
        <row r="16">
          <cell r="E16" t="str">
            <v>ACCNETWORKEXTRA_COLLEGE_SOCCER</v>
          </cell>
        </row>
        <row r="17">
          <cell r="E17" t="str">
            <v>ACCNETWORK_EXTRA</v>
          </cell>
        </row>
        <row r="18">
          <cell r="E18" t="str">
            <v>ACCNETWORK_EXTRA_ALTERNATE</v>
          </cell>
        </row>
        <row r="19">
          <cell r="E19" t="str">
            <v>ACCNETWORK_EXTRA_BLACK</v>
          </cell>
        </row>
        <row r="20">
          <cell r="E20" t="str">
            <v>ACCNETWORK_EXTRA_GRAY</v>
          </cell>
        </row>
        <row r="21">
          <cell r="E21" t="str">
            <v>ACCNETWORK_EXTRA_LIGHTGRAY</v>
          </cell>
        </row>
        <row r="22">
          <cell r="E22" t="str">
            <v>ACCNETWORK_EXTRA_WHITE</v>
          </cell>
        </row>
        <row r="23">
          <cell r="E23" t="str">
            <v>ACC_DIGITALNETWORK</v>
          </cell>
        </row>
        <row r="24">
          <cell r="E24" t="str">
            <v>ACC_DIGITAL_NETWORK</v>
          </cell>
        </row>
        <row r="25">
          <cell r="E25" t="str">
            <v>ACC_ESPN</v>
          </cell>
        </row>
        <row r="26">
          <cell r="E26" t="str">
            <v>ACC_ESPN_NETWORK</v>
          </cell>
        </row>
        <row r="27">
          <cell r="E27" t="str">
            <v>ACC_ESPN_NETWORK_BLACK</v>
          </cell>
        </row>
        <row r="28">
          <cell r="E28" t="str">
            <v>ACC_ESPN_NETWORK_GRAY</v>
          </cell>
        </row>
        <row r="29">
          <cell r="E29" t="str">
            <v>ACC_ESPN_NETWORK_LIGHTGRAY</v>
          </cell>
        </row>
        <row r="30">
          <cell r="E30" t="str">
            <v>ACC_ESPN_NETWORK_WHITE</v>
          </cell>
        </row>
        <row r="31">
          <cell r="E31" t="str">
            <v>ACC_NETWORK</v>
          </cell>
        </row>
        <row r="32">
          <cell r="E32" t="str">
            <v>ACC_NETWORK_BLACK</v>
          </cell>
        </row>
        <row r="33">
          <cell r="E33" t="str">
            <v>ACC_NETWORK_ESPN_2019</v>
          </cell>
        </row>
        <row r="34">
          <cell r="E34" t="str">
            <v>ACC_NETWORK_ESPN_2019_SWATCH</v>
          </cell>
        </row>
        <row r="35">
          <cell r="E35" t="str">
            <v>ACC_NETWORK_ESPN_AUGUST2019</v>
          </cell>
        </row>
        <row r="36">
          <cell r="E36" t="str">
            <v>ACC_NETWORK_EXTRA</v>
          </cell>
        </row>
        <row r="37">
          <cell r="E37" t="str">
            <v>ACC_NETWORK_EXTRA_ALTERNATE</v>
          </cell>
        </row>
        <row r="38">
          <cell r="E38" t="str">
            <v>ACC_NETWORK_EXTRA_BLACK</v>
          </cell>
        </row>
        <row r="39">
          <cell r="E39" t="str">
            <v>ACC_NETWORK_EXTRA_GRAY</v>
          </cell>
        </row>
        <row r="40">
          <cell r="E40" t="str">
            <v>ACC_NETWORK_EXTRA_LIGHTGRAY</v>
          </cell>
        </row>
        <row r="41">
          <cell r="E41" t="str">
            <v>ACC_NETWORK_EXTRA_WHITE</v>
          </cell>
        </row>
        <row r="42">
          <cell r="E42" t="str">
            <v>ACC_NETWORK_GRAY</v>
          </cell>
        </row>
        <row r="43">
          <cell r="E43" t="str">
            <v>ACC_NETWORK_LIGHTGRAY</v>
          </cell>
        </row>
        <row r="44">
          <cell r="E44" t="str">
            <v>ACC_NETWORK_swatch</v>
          </cell>
        </row>
        <row r="45">
          <cell r="E45" t="str">
            <v>ACC_NETWORK_WHITE</v>
          </cell>
        </row>
        <row r="46">
          <cell r="E46" t="str">
            <v>ACC_ON_ESPN</v>
          </cell>
        </row>
        <row r="47">
          <cell r="E47" t="str">
            <v>ACC_WHITE</v>
          </cell>
        </row>
        <row r="48">
          <cell r="E48" t="str">
            <v>AMERICAN_BLACK</v>
          </cell>
        </row>
        <row r="49">
          <cell r="E49" t="str">
            <v>AMERICAN_GRAY</v>
          </cell>
        </row>
        <row r="50">
          <cell r="E50" t="str">
            <v>AMERICAN_WHITE</v>
          </cell>
        </row>
        <row r="51">
          <cell r="E51" t="str">
            <v>AMERICA_EAST_ESPN3</v>
          </cell>
        </row>
        <row r="52">
          <cell r="E52" t="str">
            <v>BIG12_NETWORK</v>
          </cell>
        </row>
        <row r="53">
          <cell r="E53" t="str">
            <v>BIG12_NETWORK_GRAY</v>
          </cell>
        </row>
        <row r="54">
          <cell r="E54" t="str">
            <v>BIG12_NETWORK_WHITE</v>
          </cell>
        </row>
        <row r="55">
          <cell r="E55" t="str">
            <v>BIGEAST_NETWORK</v>
          </cell>
        </row>
        <row r="56">
          <cell r="E56" t="str">
            <v>BIGEAST_NETWORK_GRAY</v>
          </cell>
        </row>
        <row r="57">
          <cell r="E57" t="str">
            <v>BIGEAST_NETWORK_LIGHTGRAY</v>
          </cell>
        </row>
        <row r="58">
          <cell r="E58" t="str">
            <v>BIGEAST_NETWORK_WHITE</v>
          </cell>
        </row>
        <row r="59">
          <cell r="E59" t="str">
            <v>BIGTENABC_BLACK</v>
          </cell>
        </row>
        <row r="60">
          <cell r="E60" t="str">
            <v>BIGTENABC_COLORPOSITIVE</v>
          </cell>
        </row>
        <row r="61">
          <cell r="E61" t="str">
            <v>BIGTENABC_GRAY</v>
          </cell>
        </row>
        <row r="62">
          <cell r="E62" t="str">
            <v>BIGTENABC_LIGHTGRAY</v>
          </cell>
        </row>
        <row r="63">
          <cell r="E63" t="str">
            <v>BIGTENABC_WHITE</v>
          </cell>
        </row>
        <row r="64">
          <cell r="E64" t="str">
            <v>BIGTENESPN_BLACK</v>
          </cell>
        </row>
        <row r="65">
          <cell r="E65" t="str">
            <v>BIGTENESPN_COLORPOSITIVE</v>
          </cell>
        </row>
        <row r="66">
          <cell r="E66" t="str">
            <v>BIGTENESPN_GRAY</v>
          </cell>
        </row>
        <row r="67">
          <cell r="E67" t="str">
            <v>BIGTENESPN_LIGHTGRAY</v>
          </cell>
        </row>
        <row r="68">
          <cell r="E68" t="str">
            <v>BIGTENESPN_WHITE</v>
          </cell>
        </row>
        <row r="69">
          <cell r="E69" t="str">
            <v>BIGTEN_ABC</v>
          </cell>
        </row>
        <row r="70">
          <cell r="E70" t="str">
            <v>BIGTEN_ABC_BLACK</v>
          </cell>
        </row>
        <row r="71">
          <cell r="E71" t="str">
            <v>BIGTEN_ABC_GRAY</v>
          </cell>
        </row>
        <row r="72">
          <cell r="E72" t="str">
            <v>BIGTEN_ABC_LIGHTGRAY</v>
          </cell>
        </row>
        <row r="73">
          <cell r="E73" t="str">
            <v>BIGTEN_ABC_WHITE</v>
          </cell>
        </row>
        <row r="74">
          <cell r="E74" t="str">
            <v>BIGTEN_ESPN</v>
          </cell>
        </row>
        <row r="75">
          <cell r="E75" t="str">
            <v>BIGTEN_ESPN_BLACK</v>
          </cell>
        </row>
        <row r="76">
          <cell r="E76" t="str">
            <v>BIGTEN_ESPN_GRAY</v>
          </cell>
        </row>
        <row r="77">
          <cell r="E77" t="str">
            <v>BIGTEN_ESPN_LIGHTGRAY</v>
          </cell>
        </row>
        <row r="78">
          <cell r="E78" t="str">
            <v>BIGTEN_ESPN_WHITE</v>
          </cell>
        </row>
        <row r="79">
          <cell r="E79" t="str">
            <v>CBSNETWORK</v>
          </cell>
        </row>
        <row r="80">
          <cell r="E80" t="str">
            <v>CBSNETWORK_GRAY</v>
          </cell>
        </row>
        <row r="81">
          <cell r="E81" t="str">
            <v>CBSNETWORK_LIGHTGRAY</v>
          </cell>
        </row>
        <row r="82">
          <cell r="E82" t="str">
            <v>CBSNETWORK_WHITE</v>
          </cell>
        </row>
        <row r="83">
          <cell r="E83" t="str">
            <v>CBS_SPORTS</v>
          </cell>
        </row>
        <row r="84">
          <cell r="E84" t="str">
            <v>CBS_SPORTS_GRAY</v>
          </cell>
        </row>
        <row r="85">
          <cell r="E85" t="str">
            <v>CBS_SPORTS_NK</v>
          </cell>
        </row>
        <row r="86">
          <cell r="E86" t="str">
            <v>CBS_SPORTS_WHITE</v>
          </cell>
        </row>
        <row r="87">
          <cell r="E87" t="str">
            <v>dirlist.txt</v>
          </cell>
        </row>
        <row r="88">
          <cell r="E88" t="str">
            <v>ESPN+</v>
          </cell>
        </row>
        <row r="89">
          <cell r="E89" t="str">
            <v>ESPN+_BLACK</v>
          </cell>
        </row>
        <row r="90">
          <cell r="E90" t="str">
            <v>ESPN+_COLORNEGATIVE</v>
          </cell>
        </row>
        <row r="91">
          <cell r="E91" t="str">
            <v>ESPN+_GRAY</v>
          </cell>
        </row>
        <row r="92">
          <cell r="E92" t="str">
            <v>ESPN+_ICON</v>
          </cell>
        </row>
        <row r="93">
          <cell r="E93" t="str">
            <v>ESPN+_ICON_BLACK</v>
          </cell>
        </row>
        <row r="94">
          <cell r="E94" t="str">
            <v>ESPN+_ICON_COLORNEGATIVE</v>
          </cell>
        </row>
        <row r="95">
          <cell r="E95" t="str">
            <v>ESPN+_ICON_GRAY</v>
          </cell>
        </row>
        <row r="96">
          <cell r="E96" t="str">
            <v>ESPN+_ICON_LIGHTGRAY</v>
          </cell>
        </row>
        <row r="97">
          <cell r="E97" t="str">
            <v>ESPN+_ICON_WHITE</v>
          </cell>
        </row>
        <row r="98">
          <cell r="E98" t="str">
            <v>ESPN+_LIGHTGRAY</v>
          </cell>
        </row>
        <row r="99">
          <cell r="E99" t="str">
            <v>ESPN+_WHITE</v>
          </cell>
        </row>
        <row r="100">
          <cell r="E100" t="str">
            <v>ESPN</v>
          </cell>
        </row>
        <row r="101">
          <cell r="E101" t="str">
            <v>ESPN2</v>
          </cell>
        </row>
        <row r="102">
          <cell r="E102" t="str">
            <v>ESPN2_BLACK</v>
          </cell>
        </row>
        <row r="103">
          <cell r="E103" t="str">
            <v>ESPN2_ESPNAPP_MIRROR</v>
          </cell>
        </row>
        <row r="104">
          <cell r="E104" t="str">
            <v>ESPN2_ESPNAPP_MIRRORWHITE</v>
          </cell>
        </row>
        <row r="105">
          <cell r="E105" t="str">
            <v>ESPN2_ESPNEWS_WHITE</v>
          </cell>
        </row>
        <row r="106">
          <cell r="E106" t="str">
            <v>ESPN2_ESPNU_WHITE</v>
          </cell>
        </row>
        <row r="107">
          <cell r="E107" t="str">
            <v>ESPN2_GRAY</v>
          </cell>
        </row>
        <row r="108">
          <cell r="E108" t="str">
            <v>ESPN2_GREY</v>
          </cell>
        </row>
        <row r="109">
          <cell r="E109" t="str">
            <v>ESPN2_LIGHTGRAY</v>
          </cell>
        </row>
        <row r="110">
          <cell r="E110" t="str">
            <v>ESPN2_RED</v>
          </cell>
        </row>
        <row r="111">
          <cell r="E111" t="str">
            <v>ESPN2_WATCHESPN_MIRROR</v>
          </cell>
        </row>
        <row r="112">
          <cell r="E112" t="str">
            <v>ESPN2_WATCHESPN_MIRROR_WHITE</v>
          </cell>
        </row>
        <row r="113">
          <cell r="E113" t="str">
            <v>ESPN2_WHITE</v>
          </cell>
        </row>
        <row r="114">
          <cell r="E114" t="str">
            <v>ESPN3</v>
          </cell>
        </row>
        <row r="115">
          <cell r="E115" t="str">
            <v>ESPN3_ESPNAPP_MIRROR</v>
          </cell>
        </row>
        <row r="116">
          <cell r="E116" t="str">
            <v>ESPN3_ESPNAPP_MIRRORWHITE</v>
          </cell>
        </row>
        <row r="117">
          <cell r="E117" t="str">
            <v>ESPN3_GRAY</v>
          </cell>
        </row>
        <row r="118">
          <cell r="E118" t="str">
            <v>ESPN3_LIGHTGRAY</v>
          </cell>
        </row>
        <row r="119">
          <cell r="E119" t="str">
            <v>ESPN3_WATCHESPN_MIRROR</v>
          </cell>
        </row>
        <row r="120">
          <cell r="E120" t="str">
            <v>ESPN3_WATCHESPN_MIRROR_WHITE</v>
          </cell>
        </row>
        <row r="121">
          <cell r="E121" t="str">
            <v>ESPN3_WHITE</v>
          </cell>
        </row>
        <row r="122">
          <cell r="E122" t="str">
            <v>ESPNAMERICA</v>
          </cell>
        </row>
        <row r="123">
          <cell r="E123" t="str">
            <v>ESPNAMERICA_GRAY</v>
          </cell>
        </row>
        <row r="124">
          <cell r="E124" t="str">
            <v>ESPNAMERICA_LIGHTGRAY</v>
          </cell>
        </row>
        <row r="125">
          <cell r="E125" t="str">
            <v>ESPNAMERICA_WHITE</v>
          </cell>
        </row>
        <row r="126">
          <cell r="E126" t="str">
            <v>ESPNAPP</v>
          </cell>
        </row>
        <row r="127">
          <cell r="E127" t="str">
            <v>ESPNAPP_1LINE</v>
          </cell>
        </row>
        <row r="128">
          <cell r="E128" t="str">
            <v>ESPNAPP_1LINE_BLACK</v>
          </cell>
        </row>
        <row r="129">
          <cell r="E129" t="str">
            <v>ESPNAPP_1LINE_BWNEGATIVE</v>
          </cell>
        </row>
        <row r="130">
          <cell r="E130" t="str">
            <v>ESPNAPP_1LINE_BWPOSITIVE</v>
          </cell>
        </row>
        <row r="131">
          <cell r="E131" t="str">
            <v>ESPNAPP_1LINE_COLORNEGATIVE</v>
          </cell>
        </row>
        <row r="132">
          <cell r="E132" t="str">
            <v>ESPNAPP_1LINE_GRAY</v>
          </cell>
        </row>
        <row r="133">
          <cell r="E133" t="str">
            <v>ESPNAPP_1LINE_LIGHTGRAY</v>
          </cell>
        </row>
        <row r="134">
          <cell r="E134" t="str">
            <v>ESPNAPP_1LINE_WHITE</v>
          </cell>
        </row>
        <row r="135">
          <cell r="E135" t="str">
            <v>ESPNAPP_BLACK</v>
          </cell>
        </row>
        <row r="136">
          <cell r="E136" t="str">
            <v>ESPNAPP_BLACK_512</v>
          </cell>
        </row>
        <row r="137">
          <cell r="E137" t="str">
            <v>ESPNAPP_BWNEGATIVE</v>
          </cell>
        </row>
        <row r="138">
          <cell r="E138" t="str">
            <v>ESPNAPP_BWPOSITIVE</v>
          </cell>
        </row>
        <row r="139">
          <cell r="E139" t="str">
            <v>ESPNAPP_COLORNEGATIVE</v>
          </cell>
        </row>
        <row r="140">
          <cell r="E140" t="str">
            <v>ESPNAPP_ENVIVO</v>
          </cell>
        </row>
        <row r="141">
          <cell r="E141" t="str">
            <v>ESPNAPP_ENVIVO_BLACK</v>
          </cell>
        </row>
        <row r="142">
          <cell r="E142" t="str">
            <v>ESPNAPP_ENVIVO_BWNEGATIVE</v>
          </cell>
        </row>
        <row r="143">
          <cell r="E143" t="str">
            <v>ESPNAPP_ENVIVO_BWPOSITIVE</v>
          </cell>
        </row>
        <row r="144">
          <cell r="E144" t="str">
            <v>ESPNAPP_ENVIVO_COLORNEGATIVE</v>
          </cell>
        </row>
        <row r="145">
          <cell r="E145" t="str">
            <v>ESPNAPP_ENVIVO_GRAY</v>
          </cell>
        </row>
        <row r="146">
          <cell r="E146" t="str">
            <v>ESPNAPP_ENVIVO_LIGHTGRAY</v>
          </cell>
        </row>
        <row r="147">
          <cell r="E147" t="str">
            <v>ESPNAPP_ENVIVO_WHITE</v>
          </cell>
        </row>
        <row r="148">
          <cell r="E148" t="str">
            <v>ESPNAPP_GRAY</v>
          </cell>
        </row>
        <row r="149">
          <cell r="E149" t="str">
            <v>ESPNAPP_ICON_OVERDARK</v>
          </cell>
        </row>
        <row r="150">
          <cell r="E150" t="str">
            <v>ESPNAPP_ICON_OVERLIGHT</v>
          </cell>
        </row>
        <row r="151">
          <cell r="E151" t="str">
            <v>ESPNAPP_KNOCKOUT</v>
          </cell>
        </row>
        <row r="152">
          <cell r="E152" t="str">
            <v>ESPNAPP_LIGHTGRAY</v>
          </cell>
        </row>
        <row r="153">
          <cell r="E153" t="str">
            <v>ESPNAPP_SPANISH</v>
          </cell>
        </row>
        <row r="154">
          <cell r="E154" t="str">
            <v>ESPNAPP_WATCHESPN_NOTEXTCOMBO1</v>
          </cell>
        </row>
        <row r="155">
          <cell r="E155" t="str">
            <v>ESPNAPP_WATCHESPN_NOTEXTCOMBO2</v>
          </cell>
        </row>
        <row r="156">
          <cell r="E156" t="str">
            <v>ESPNAPP_WHITE</v>
          </cell>
        </row>
        <row r="157">
          <cell r="E157" t="str">
            <v>ESPNBRASIL</v>
          </cell>
        </row>
        <row r="158">
          <cell r="E158" t="str">
            <v>ESPNBRASIL_GRAY</v>
          </cell>
        </row>
        <row r="159">
          <cell r="E159" t="str">
            <v>ESPNBRASIL_LIGHTGRAY</v>
          </cell>
        </row>
        <row r="160">
          <cell r="E160" t="str">
            <v>ESPNBRASIL_WHITE</v>
          </cell>
        </row>
        <row r="161">
          <cell r="E161" t="str">
            <v>ESPNCLASSIC</v>
          </cell>
        </row>
        <row r="162">
          <cell r="E162" t="str">
            <v>ESPNCLASSIC_GRAY</v>
          </cell>
        </row>
        <row r="163">
          <cell r="E163" t="str">
            <v>ESPNCLASSIC_LIGHTGRAY</v>
          </cell>
        </row>
        <row r="164">
          <cell r="E164" t="str">
            <v>ESPNCLASSIC_WHITE</v>
          </cell>
        </row>
        <row r="165">
          <cell r="E165" t="str">
            <v>ESPNDEPORTESRADIO_1050NUEVAYORK</v>
          </cell>
        </row>
        <row r="166">
          <cell r="E166" t="str">
            <v>ESPNDEPORTESRADIO_1050NUEVAYORK_GRAY</v>
          </cell>
        </row>
        <row r="167">
          <cell r="E167" t="str">
            <v>ESPNDEPORTESRADIO_1050NUEVAYORK_LIGHTGRAY</v>
          </cell>
        </row>
        <row r="168">
          <cell r="E168" t="str">
            <v>ESPNDEPORTESRADIO_1050NUEVAYORK_WHITE</v>
          </cell>
        </row>
        <row r="169">
          <cell r="E169" t="str">
            <v>ESPNDEPORTES_DARKBG</v>
          </cell>
        </row>
        <row r="170">
          <cell r="E170" t="str">
            <v>ESPNDEPORTES_HORIZONTAL</v>
          </cell>
        </row>
        <row r="171">
          <cell r="E171" t="str">
            <v>ESPNDEPORTES_HORIZONTAL_GRAY</v>
          </cell>
        </row>
        <row r="172">
          <cell r="E172" t="str">
            <v>ESPNDEPORTES_HORIZONTAL_LIGHTGRAY</v>
          </cell>
        </row>
        <row r="173">
          <cell r="E173" t="str">
            <v>ESPNDEPORTES_HORIZONTAL_WHITE</v>
          </cell>
        </row>
        <row r="174">
          <cell r="E174" t="str">
            <v>ESPNDEPORTES_LIGHTGRAY</v>
          </cell>
        </row>
        <row r="175">
          <cell r="E175" t="str">
            <v>ESPNDEPORTES_RADIO</v>
          </cell>
        </row>
        <row r="176">
          <cell r="E176" t="str">
            <v>ESPNDEPORTES_RADIO_GRAY</v>
          </cell>
        </row>
        <row r="177">
          <cell r="E177" t="str">
            <v>ESPNDEPORTES_RADIO_LIGHTGRAY</v>
          </cell>
        </row>
        <row r="178">
          <cell r="E178" t="str">
            <v>ESPNDEPORTES_RADIO_WHITE</v>
          </cell>
        </row>
        <row r="179">
          <cell r="E179" t="str">
            <v>ESPNDOTCOM</v>
          </cell>
        </row>
        <row r="180">
          <cell r="E180" t="str">
            <v>ESPNDOTCOM_GRAY</v>
          </cell>
        </row>
        <row r="181">
          <cell r="E181" t="str">
            <v>ESPNDOTCOM_LIGHTGRAY</v>
          </cell>
        </row>
        <row r="182">
          <cell r="E182" t="str">
            <v>ESPNDOTCOM_WHITE</v>
          </cell>
        </row>
        <row r="183">
          <cell r="E183" t="str">
            <v>ESPND_DEPORTESRADIO105_LIGHTGRAY</v>
          </cell>
        </row>
        <row r="184">
          <cell r="E184" t="str">
            <v>ESPNEWS</v>
          </cell>
        </row>
        <row r="185">
          <cell r="E185" t="str">
            <v>ESPNEWS_GRAY</v>
          </cell>
        </row>
        <row r="186">
          <cell r="E186" t="str">
            <v>ESPNEWS_LIGHTGRAY</v>
          </cell>
        </row>
        <row r="187">
          <cell r="E187" t="str">
            <v>ESPNEWS_RED</v>
          </cell>
        </row>
        <row r="188">
          <cell r="E188" t="str">
            <v>ESPNEWS_WHITE</v>
          </cell>
        </row>
        <row r="189">
          <cell r="E189" t="str">
            <v>ESPNFULLCOURT_LIGHTGRAY</v>
          </cell>
        </row>
        <row r="190">
          <cell r="E190" t="str">
            <v>ESPNGAMEPLAN_LIGHTGRAY</v>
          </cell>
        </row>
        <row r="191">
          <cell r="E191" t="str">
            <v>ESPNMOBILETV_LIGHTGRAY</v>
          </cell>
        </row>
        <row r="192">
          <cell r="E192" t="str">
            <v>ESPNMOBILE_LIGHTGRAY</v>
          </cell>
        </row>
        <row r="193">
          <cell r="E193" t="str">
            <v>ESPNPLUS</v>
          </cell>
        </row>
        <row r="194">
          <cell r="E194" t="str">
            <v>ESPNPLUS_GRAY</v>
          </cell>
        </row>
        <row r="195">
          <cell r="E195" t="str">
            <v>ESPNPLUS_LIGHTGRAY</v>
          </cell>
        </row>
        <row r="196">
          <cell r="E196" t="str">
            <v>ESPNPLUS_WHITE</v>
          </cell>
        </row>
        <row r="197">
          <cell r="E197" t="str">
            <v>ESPNRADIO</v>
          </cell>
        </row>
        <row r="198">
          <cell r="E198" t="str">
            <v>ESPNRADIO_1000_CHICAGO</v>
          </cell>
        </row>
        <row r="199">
          <cell r="E199" t="str">
            <v>ESPNRADIO_1033_DALLAS</v>
          </cell>
        </row>
        <row r="200">
          <cell r="E200" t="str">
            <v>ESPNRADIO_710_LOSANGELES</v>
          </cell>
        </row>
        <row r="201">
          <cell r="E201" t="str">
            <v>ESPNRADIO_850_BOSTON</v>
          </cell>
        </row>
        <row r="202">
          <cell r="E202" t="str">
            <v>ESPNRADIO_987_NEWYORK</v>
          </cell>
        </row>
        <row r="203">
          <cell r="E203" t="str">
            <v>ESPNRADIO_BLACK</v>
          </cell>
        </row>
        <row r="204">
          <cell r="E204" t="str">
            <v>ESPNRADIO_ESPNAPP_MIRROR</v>
          </cell>
        </row>
        <row r="205">
          <cell r="E205" t="str">
            <v>ESPNRADIO_GRAY</v>
          </cell>
        </row>
        <row r="206">
          <cell r="E206" t="str">
            <v>ESPNRADIO_LIGHTGRAY</v>
          </cell>
        </row>
        <row r="207">
          <cell r="E207" t="str">
            <v>ESPNRADIO_WATCHESPNAPP_MIRROR</v>
          </cell>
        </row>
        <row r="208">
          <cell r="E208" t="str">
            <v>ESPNRADIO_WHITE</v>
          </cell>
        </row>
        <row r="209">
          <cell r="E209" t="str">
            <v>ESPNREGIONALTV</v>
          </cell>
        </row>
        <row r="210">
          <cell r="E210" t="str">
            <v>ESPNREGIONALTV_GRAY</v>
          </cell>
        </row>
        <row r="211">
          <cell r="E211" t="str">
            <v>ESPNREGIONALTV_LIGHTGRAY</v>
          </cell>
        </row>
        <row r="212">
          <cell r="E212" t="str">
            <v>ESPNREGIONALTV_WHITE</v>
          </cell>
        </row>
        <row r="213">
          <cell r="E213" t="str">
            <v>ESPNU</v>
          </cell>
        </row>
        <row r="214">
          <cell r="E214" t="str">
            <v>ESPNU_BLACK</v>
          </cell>
        </row>
        <row r="215">
          <cell r="E215" t="str">
            <v>ESPNU_ESPNAPP_MIRROR</v>
          </cell>
        </row>
        <row r="216">
          <cell r="E216" t="str">
            <v>ESPNU_ESPNAPP_MIRRORWHITE</v>
          </cell>
        </row>
        <row r="217">
          <cell r="E217" t="str">
            <v>ESPNU_ESPNEWS_WHITE</v>
          </cell>
        </row>
        <row r="218">
          <cell r="E218" t="str">
            <v>ESPNU_GRAY</v>
          </cell>
        </row>
        <row r="219">
          <cell r="E219" t="str">
            <v>ESPNU_LIGHTGRAY</v>
          </cell>
        </row>
        <row r="220">
          <cell r="E220" t="str">
            <v>ESPNU_VERTICAL</v>
          </cell>
        </row>
        <row r="221">
          <cell r="E221" t="str">
            <v>ESPNU_WATCHESPN_MIRROR</v>
          </cell>
        </row>
        <row r="222">
          <cell r="E222" t="str">
            <v>ESPNU_WATCHESPN_MIRROR_WHITE</v>
          </cell>
        </row>
        <row r="223">
          <cell r="E223" t="str">
            <v>ESPNU_WHITE</v>
          </cell>
        </row>
        <row r="224">
          <cell r="E224" t="str">
            <v>ESPNW</v>
          </cell>
        </row>
        <row r="225">
          <cell r="E225" t="str">
            <v>ESPNWCOM_RED_HORIZONTAL</v>
          </cell>
        </row>
        <row r="226">
          <cell r="E226" t="str">
            <v>ESPNWCOM_RED_STACKED</v>
          </cell>
        </row>
        <row r="227">
          <cell r="E227" t="str">
            <v>ESPNW_GRAY</v>
          </cell>
        </row>
        <row r="228">
          <cell r="E228" t="str">
            <v>ESPNW_LIGHTGRAY</v>
          </cell>
        </row>
        <row r="229">
          <cell r="E229" t="str">
            <v>ESPNW_RED_HORIZONTAL</v>
          </cell>
        </row>
        <row r="230">
          <cell r="E230" t="str">
            <v>ESPNW_RED_STACKED</v>
          </cell>
        </row>
        <row r="231">
          <cell r="E231" t="str">
            <v>ESPNW_WHITE</v>
          </cell>
        </row>
        <row r="232">
          <cell r="E232" t="str">
            <v>ESPN_300</v>
          </cell>
        </row>
        <row r="233">
          <cell r="E233" t="str">
            <v>ESPN_300_HORIZONTAL_FLAT</v>
          </cell>
        </row>
        <row r="234">
          <cell r="E234" t="str">
            <v>ESPN_300_HORIZONTAL_TEXTURED</v>
          </cell>
        </row>
        <row r="235">
          <cell r="E235" t="str">
            <v>ESPN_300_VERTICAL_FLAT</v>
          </cell>
        </row>
        <row r="236">
          <cell r="E236" t="str">
            <v>ESPN_300_VERTICAL_TEXTURED</v>
          </cell>
        </row>
        <row r="237">
          <cell r="E237" t="str">
            <v>ESPN_APP</v>
          </cell>
        </row>
        <row r="238">
          <cell r="E238" t="str">
            <v>ESPN_APP_ICON</v>
          </cell>
        </row>
        <row r="239">
          <cell r="E239" t="str">
            <v>ESPN_BLACK</v>
          </cell>
        </row>
        <row r="240">
          <cell r="E240" t="str">
            <v>ESPN_COLLEGE_BPI</v>
          </cell>
        </row>
        <row r="241">
          <cell r="E241" t="str">
            <v>ESPN_COLLEGE_SOCCER</v>
          </cell>
        </row>
        <row r="242">
          <cell r="E242" t="str">
            <v>ESPN_DEPORTESRADIO_LIGHTGRAY</v>
          </cell>
        </row>
        <row r="243">
          <cell r="E243" t="str">
            <v>ESPN_ESPN2_MIRROR_RED</v>
          </cell>
        </row>
        <row r="244">
          <cell r="E244" t="str">
            <v>ESPN_ESPN2_MIRROR_WHITE</v>
          </cell>
        </row>
        <row r="245">
          <cell r="E245" t="str">
            <v>ESPN_ESPN2_WHITE</v>
          </cell>
        </row>
        <row r="246">
          <cell r="E246" t="str">
            <v>ESPN_ESPNAPP_MIRROR</v>
          </cell>
        </row>
        <row r="247">
          <cell r="E247" t="str">
            <v>ESPN_ESPNAPP_MIRRORWHITE</v>
          </cell>
        </row>
        <row r="248">
          <cell r="E248" t="str">
            <v>ESPN_ESPNEWS_WHITE</v>
          </cell>
        </row>
        <row r="249">
          <cell r="E249" t="str">
            <v>ESPN_ESPNU_WHITE</v>
          </cell>
        </row>
        <row r="250">
          <cell r="E250" t="str">
            <v>ESPN_GRAY</v>
          </cell>
        </row>
        <row r="251">
          <cell r="E251" t="str">
            <v>ESPN_LHN_COLOR</v>
          </cell>
        </row>
        <row r="252">
          <cell r="E252" t="str">
            <v>ESPN_LHN_WHITE</v>
          </cell>
        </row>
        <row r="253">
          <cell r="E253" t="str">
            <v>ESPN_LIGHTGRAY</v>
          </cell>
        </row>
        <row r="254">
          <cell r="E254" t="str">
            <v>ESPN_MOBILETV</v>
          </cell>
        </row>
        <row r="255">
          <cell r="E255" t="str">
            <v>ESPN_MOBILETV_GRAY</v>
          </cell>
        </row>
        <row r="256">
          <cell r="E256" t="str">
            <v>ESPN_MOBILETV_LIGHTGRAY</v>
          </cell>
        </row>
        <row r="257">
          <cell r="E257" t="str">
            <v>ESPN_MOBILETV_WHITE</v>
          </cell>
        </row>
        <row r="258">
          <cell r="E258" t="str">
            <v>ESPN_MOBILE_GRAY</v>
          </cell>
        </row>
        <row r="259">
          <cell r="E259" t="str">
            <v>ESPN_MOBILE_LIGHTGRAY</v>
          </cell>
        </row>
        <row r="260">
          <cell r="E260" t="str">
            <v>ESPN_MOBILE_WHITE</v>
          </cell>
        </row>
        <row r="261">
          <cell r="E261" t="str">
            <v>ESPN_PLAY</v>
          </cell>
        </row>
        <row r="262">
          <cell r="E262" t="str">
            <v>ESPN_PLAY_WHITE</v>
          </cell>
        </row>
        <row r="263">
          <cell r="E263" t="str">
            <v>ESPN_Plus_Bug</v>
          </cell>
        </row>
        <row r="264">
          <cell r="E264" t="str">
            <v>ESPN_RADIO1000CHI_LIGHTGRAY</v>
          </cell>
        </row>
        <row r="265">
          <cell r="E265" t="str">
            <v>ESPN_RADIO1033DAL_LIGHTGRAY</v>
          </cell>
        </row>
        <row r="266">
          <cell r="E266" t="str">
            <v>ESPN_RADIO710LA_LIGHTGRAY</v>
          </cell>
        </row>
        <row r="267">
          <cell r="E267" t="str">
            <v>ESPN_RADIO850BOSTONWE_LIGHTGRAY</v>
          </cell>
        </row>
        <row r="268">
          <cell r="E268" t="str">
            <v>ESPN_RADIO987NY_LIGHTGRAY</v>
          </cell>
        </row>
        <row r="269">
          <cell r="E269" t="str">
            <v>ESPN_RADIODOTCOM</v>
          </cell>
        </row>
        <row r="270">
          <cell r="E270" t="str">
            <v>ESPN_RADIODOTCOMWHITE</v>
          </cell>
        </row>
        <row r="271">
          <cell r="E271" t="str">
            <v>ESPN_SECNETWORK_MIRROR</v>
          </cell>
        </row>
        <row r="272">
          <cell r="E272" t="str">
            <v>ESPN_WATCHESPN_MIRROR</v>
          </cell>
        </row>
        <row r="273">
          <cell r="E273" t="str">
            <v>ESPN_WATCHESPN_MIRROR_WHITE</v>
          </cell>
        </row>
        <row r="274">
          <cell r="E274" t="str">
            <v>ESPN_WATCH_PLAY</v>
          </cell>
        </row>
        <row r="275">
          <cell r="E275" t="str">
            <v>ESPN_WHITE</v>
          </cell>
        </row>
        <row r="276">
          <cell r="E276" t="str">
            <v>FOX_DEPORTES</v>
          </cell>
        </row>
        <row r="277">
          <cell r="E277" t="str">
            <v>FOX_NETWORK_BLACK</v>
          </cell>
        </row>
        <row r="278">
          <cell r="E278" t="str">
            <v>FOX_SOCCERCHANNEL</v>
          </cell>
        </row>
        <row r="279">
          <cell r="E279" t="str">
            <v>FOX_SOCCERCHANNEL_GRAY</v>
          </cell>
        </row>
        <row r="280">
          <cell r="E280" t="str">
            <v>FOX_SOCCERCHANNEL_WHITE</v>
          </cell>
        </row>
        <row r="281">
          <cell r="E281" t="str">
            <v>FOX_SOCCERPLUS</v>
          </cell>
        </row>
        <row r="282">
          <cell r="E282" t="str">
            <v>FOX_SOCCERPLUS_GRAY</v>
          </cell>
        </row>
        <row r="283">
          <cell r="E283" t="str">
            <v>FOX_SOCCERPLUS_WHITE</v>
          </cell>
        </row>
        <row r="284">
          <cell r="E284" t="str">
            <v>FOX_SOCCER_CHANNEL</v>
          </cell>
        </row>
        <row r="285">
          <cell r="E285" t="str">
            <v>FOX_SOCCER_PLUS</v>
          </cell>
        </row>
        <row r="286">
          <cell r="E286" t="str">
            <v>FOX_SPORTS</v>
          </cell>
        </row>
        <row r="287">
          <cell r="E287" t="str">
            <v>FOX_SPORTS1</v>
          </cell>
        </row>
        <row r="288">
          <cell r="E288" t="str">
            <v>FOX_SPORTS1_LIGHTGRAY</v>
          </cell>
        </row>
        <row r="289">
          <cell r="E289" t="str">
            <v>FOX_SPORTS1_WHITE</v>
          </cell>
        </row>
        <row r="290">
          <cell r="E290" t="str">
            <v>FOX_SPORTS_GRAY</v>
          </cell>
        </row>
        <row r="291">
          <cell r="E291" t="str">
            <v>FOX_SPORTS_LIGHTGRAY</v>
          </cell>
        </row>
        <row r="292">
          <cell r="E292" t="str">
            <v>FOX_SPORTS_WHITE</v>
          </cell>
        </row>
        <row r="293">
          <cell r="E293" t="str">
            <v>FREEFORM</v>
          </cell>
        </row>
        <row r="294">
          <cell r="E294" t="str">
            <v>FREEFORM_GRAY</v>
          </cell>
        </row>
        <row r="295">
          <cell r="E295" t="str">
            <v>FREEFORM_LIGHTGRAY</v>
          </cell>
        </row>
        <row r="296">
          <cell r="E296" t="str">
            <v>FREEFORM_WHITE</v>
          </cell>
        </row>
        <row r="297">
          <cell r="E297" t="str">
            <v>FULLCOURT</v>
          </cell>
        </row>
        <row r="298">
          <cell r="E298" t="str">
            <v>FULLCOURT_GRAY</v>
          </cell>
        </row>
        <row r="299">
          <cell r="E299" t="str">
            <v>FULLCOURT_LIGHTGRAY</v>
          </cell>
        </row>
        <row r="300">
          <cell r="E300" t="str">
            <v>FULLCOURT_WHITE</v>
          </cell>
        </row>
        <row r="301">
          <cell r="E301" t="str">
            <v>GAMEPLAN</v>
          </cell>
        </row>
        <row r="302">
          <cell r="E302" t="str">
            <v>GAMEPLAN_GRAY</v>
          </cell>
        </row>
        <row r="303">
          <cell r="E303" t="str">
            <v>GAMEPLAN_LIGHTGRAY</v>
          </cell>
        </row>
        <row r="304">
          <cell r="E304" t="str">
            <v>GAMEPLAN_WHITE</v>
          </cell>
        </row>
        <row r="305">
          <cell r="E305" t="str">
            <v>LOGOHORIZONTAL_ESPNPLUS_UFC</v>
          </cell>
        </row>
        <row r="306">
          <cell r="E306" t="str">
            <v>LOGOHORIZONTAL_ESPNPLUS_UFCLIGHT</v>
          </cell>
        </row>
        <row r="307">
          <cell r="E307" t="str">
            <v>LOGOHORIZONTAL_ESPN_UFC</v>
          </cell>
        </row>
        <row r="308">
          <cell r="E308" t="str">
            <v>LOGO_ESPNPLUS_UFC</v>
          </cell>
        </row>
        <row r="309">
          <cell r="E309" t="str">
            <v>LOGO_ESPNPLUS_UFCLIGHT</v>
          </cell>
        </row>
        <row r="310">
          <cell r="E310" t="str">
            <v>LOGO_ESPN_UFC</v>
          </cell>
        </row>
        <row r="311">
          <cell r="E311" t="str">
            <v>LONGHORNNETWORK_LIGHTGRAY</v>
          </cell>
        </row>
        <row r="312">
          <cell r="E312" t="str">
            <v>LONGHORN_NETWORK</v>
          </cell>
        </row>
        <row r="313">
          <cell r="E313" t="str">
            <v>LONGHORN_NETWORK_GRAY</v>
          </cell>
        </row>
        <row r="314">
          <cell r="E314" t="str">
            <v>LONGHORN_NETWORK_LIGHTGRAY</v>
          </cell>
        </row>
        <row r="315">
          <cell r="E315" t="str">
            <v>LONGHORN_NETWORK_WHITE</v>
          </cell>
        </row>
        <row r="316">
          <cell r="E316" t="str">
            <v>MISSOURIVALLEY_ESPN3_HORIZONTAL</v>
          </cell>
        </row>
        <row r="317">
          <cell r="E317" t="str">
            <v>MISSOURIVALLEY_ESPN3_VERTICAL</v>
          </cell>
        </row>
        <row r="318">
          <cell r="E318" t="str">
            <v>MLB_NETWORK_GRAY</v>
          </cell>
        </row>
        <row r="319">
          <cell r="E319" t="str">
            <v>MLB_NETWORK_HORIZONTAL</v>
          </cell>
        </row>
        <row r="320">
          <cell r="E320" t="str">
            <v>MLB_NETWORK_LIGHTGRAY</v>
          </cell>
        </row>
        <row r="321">
          <cell r="E321" t="str">
            <v>MLB_NETWORK_VERTICAL</v>
          </cell>
        </row>
        <row r="322">
          <cell r="E322" t="str">
            <v>MLB_NETWORK_WHITE</v>
          </cell>
        </row>
        <row r="323">
          <cell r="E323" t="str">
            <v>NBA_TV</v>
          </cell>
        </row>
        <row r="324">
          <cell r="E324" t="str">
            <v>NBA_TV_GRAY</v>
          </cell>
        </row>
        <row r="325">
          <cell r="E325" t="str">
            <v>NBA_TV_LIGHTGRAY</v>
          </cell>
        </row>
        <row r="326">
          <cell r="E326" t="str">
            <v>NBA_TV_WHITE</v>
          </cell>
        </row>
        <row r="327">
          <cell r="E327" t="str">
            <v>NBC</v>
          </cell>
        </row>
        <row r="328">
          <cell r="E328" t="str">
            <v>NBC_SPORTS</v>
          </cell>
        </row>
        <row r="329">
          <cell r="E329" t="str">
            <v>NBC_SPORTSNETWORK</v>
          </cell>
        </row>
        <row r="330">
          <cell r="E330" t="str">
            <v>NBC_SPORTSNETWORK_GRAY</v>
          </cell>
        </row>
        <row r="331">
          <cell r="E331" t="str">
            <v>NBC_SPORTSNETWORK_WHITE</v>
          </cell>
        </row>
        <row r="332">
          <cell r="E332" t="str">
            <v>NBC_SPORTS_GRAY</v>
          </cell>
        </row>
        <row r="333">
          <cell r="E333" t="str">
            <v>NBC_SPORTS_WHITE</v>
          </cell>
        </row>
        <row r="334">
          <cell r="E334" t="str">
            <v>NFL_NETWORK</v>
          </cell>
        </row>
        <row r="335">
          <cell r="E335" t="str">
            <v>NFL_NETWORK_GRAY</v>
          </cell>
        </row>
        <row r="336">
          <cell r="E336" t="str">
            <v>NFL_NETWORK_WHITE</v>
          </cell>
        </row>
        <row r="337">
          <cell r="E337" t="str">
            <v>SECNETWORK+</v>
          </cell>
        </row>
        <row r="338">
          <cell r="E338" t="str">
            <v>SECNETWORK+_GRAY</v>
          </cell>
        </row>
        <row r="339">
          <cell r="E339" t="str">
            <v>SECNETWORK+_LIGHTGRAY</v>
          </cell>
        </row>
        <row r="340">
          <cell r="E340" t="str">
            <v>SECNETWORK+_WHITE</v>
          </cell>
        </row>
        <row r="341">
          <cell r="E341" t="str">
            <v>SECNETWORK_COLLEGE_SOCCER</v>
          </cell>
        </row>
        <row r="342">
          <cell r="E342" t="str">
            <v>SECTV</v>
          </cell>
        </row>
        <row r="343">
          <cell r="E343" t="str">
            <v>SECTV_GRAY</v>
          </cell>
        </row>
        <row r="344">
          <cell r="E344" t="str">
            <v>SECTV_LIGHTGRAY</v>
          </cell>
        </row>
        <row r="345">
          <cell r="E345" t="str">
            <v>SECTV_WHITE</v>
          </cell>
        </row>
        <row r="346">
          <cell r="E346" t="str">
            <v>SEC_NETWORK+</v>
          </cell>
        </row>
        <row r="347">
          <cell r="E347" t="str">
            <v>SEC_NETWORK+_GRAY</v>
          </cell>
        </row>
        <row r="348">
          <cell r="E348" t="str">
            <v>SEC_NETWORK+_LIGHTGRAY</v>
          </cell>
        </row>
        <row r="349">
          <cell r="E349" t="str">
            <v>SEC_NETWORK+_WHITE</v>
          </cell>
        </row>
        <row r="350">
          <cell r="E350" t="str">
            <v>SEC_NETWORK</v>
          </cell>
        </row>
        <row r="351">
          <cell r="E351" t="str">
            <v>SEC_NETWORK_GRAY</v>
          </cell>
        </row>
        <row r="352">
          <cell r="E352" t="str">
            <v>SEC_NETWORK_HORIZONTAL</v>
          </cell>
        </row>
        <row r="353">
          <cell r="E353" t="str">
            <v>SEC_NETWORK_HORIZONTAL_GRAY</v>
          </cell>
        </row>
        <row r="354">
          <cell r="E354" t="str">
            <v>SEC_NETWORK_HORIZONTAL_WHITE</v>
          </cell>
        </row>
        <row r="355">
          <cell r="E355" t="str">
            <v>SEC_NETWORK_LIGHTGRAY</v>
          </cell>
        </row>
        <row r="356">
          <cell r="E356" t="str">
            <v>SEC_NETWORK_VERTICAL</v>
          </cell>
        </row>
        <row r="357">
          <cell r="E357" t="str">
            <v>SEC_NETWORK_VERTICAL_GRAY</v>
          </cell>
        </row>
        <row r="358">
          <cell r="E358" t="str">
            <v>SEC_NETWORK_VERTICAL_WHITE</v>
          </cell>
        </row>
        <row r="359">
          <cell r="E359" t="str">
            <v>SEC_NETWORK_WHITE</v>
          </cell>
        </row>
        <row r="360">
          <cell r="E360" t="str">
            <v>SEC_ON_ESPN</v>
          </cell>
        </row>
        <row r="361">
          <cell r="E361" t="str">
            <v>STREAMINGLIVE_WATCHESPNAPPCOMBO_BLACK</v>
          </cell>
        </row>
        <row r="362">
          <cell r="E362" t="str">
            <v>STREAMINGLIVE_WATCHESPNAPPCOMBO_BLACKANDWHITE1</v>
          </cell>
        </row>
        <row r="363">
          <cell r="E363" t="str">
            <v>STREAMINGLIVE_WATCHESPNAPPCOMBO_BLACKANDWHITE2</v>
          </cell>
        </row>
        <row r="364">
          <cell r="E364" t="str">
            <v>STREAMINGLIVE_WATCHESPNAPPCOMBO_FULLCOLORBLACKTEXT</v>
          </cell>
        </row>
        <row r="365">
          <cell r="E365" t="str">
            <v>STREAMINGLIVE_WATCHESPNAPPCOMBO_FULLCOLORWHITETEXT</v>
          </cell>
        </row>
        <row r="366">
          <cell r="E366" t="str">
            <v>STREAMINGLIVE_WATCHESPNAPPCOMBO_WHITE</v>
          </cell>
        </row>
        <row r="367">
          <cell r="E367" t="str">
            <v>SUNBELT_BLACK</v>
          </cell>
        </row>
        <row r="368">
          <cell r="E368" t="str">
            <v>SUNBELT_GRAY</v>
          </cell>
        </row>
        <row r="369">
          <cell r="E369" t="str">
            <v>SUNBELT_WHITE</v>
          </cell>
        </row>
        <row r="370">
          <cell r="E370" t="str">
            <v>TBS</v>
          </cell>
        </row>
        <row r="371">
          <cell r="E371" t="str">
            <v>TBS_BASEBALL</v>
          </cell>
        </row>
        <row r="372">
          <cell r="E372" t="str">
            <v>TBS_BASEBALL_GRAY</v>
          </cell>
        </row>
        <row r="373">
          <cell r="E373" t="str">
            <v>TBS_BASEBALL_LIGHTGRAY</v>
          </cell>
        </row>
        <row r="374">
          <cell r="E374" t="str">
            <v>TBS_BASEBALL_WHITE</v>
          </cell>
        </row>
        <row r="375">
          <cell r="E375" t="str">
            <v>TBS_BLACK</v>
          </cell>
        </row>
        <row r="376">
          <cell r="E376" t="str">
            <v>TBS_BOXTRANSPARENT</v>
          </cell>
        </row>
        <row r="377">
          <cell r="E377" t="str">
            <v>TBS_BOXWHITE</v>
          </cell>
        </row>
        <row r="378">
          <cell r="E378" t="str">
            <v>TBS_GRAY</v>
          </cell>
        </row>
        <row r="379">
          <cell r="E379" t="str">
            <v>TBS_LIGHTGRAY</v>
          </cell>
        </row>
        <row r="380">
          <cell r="E380" t="str">
            <v>TBS_WHITE</v>
          </cell>
        </row>
        <row r="381">
          <cell r="E381" t="str">
            <v>TELEFUTURA</v>
          </cell>
        </row>
        <row r="382">
          <cell r="E382" t="str">
            <v>TENNIS_CHANNEL</v>
          </cell>
        </row>
        <row r="383">
          <cell r="E383" t="str">
            <v>TENNIS_CHANNEL_GRAY</v>
          </cell>
        </row>
        <row r="384">
          <cell r="E384" t="str">
            <v>TENNIS_CHANNEL_WHITE</v>
          </cell>
        </row>
        <row r="385">
          <cell r="E385" t="str">
            <v>THEMAGAZINE</v>
          </cell>
        </row>
        <row r="386">
          <cell r="E386" t="str">
            <v>THEMAGAZINE_GRAY</v>
          </cell>
        </row>
        <row r="387">
          <cell r="E387" t="str">
            <v>THEMAGAZINE_LIGHTGRAY</v>
          </cell>
        </row>
        <row r="388">
          <cell r="E388" t="str">
            <v>THEMAGAZINE_WHITE</v>
          </cell>
        </row>
        <row r="389">
          <cell r="E389" t="str">
            <v>TNT</v>
          </cell>
        </row>
        <row r="390">
          <cell r="E390" t="str">
            <v>TNT_GRAY</v>
          </cell>
        </row>
        <row r="391">
          <cell r="E391" t="str">
            <v>TNT_LIGHTGRAY</v>
          </cell>
        </row>
        <row r="392">
          <cell r="E392" t="str">
            <v>TNT_WHITE</v>
          </cell>
        </row>
        <row r="393">
          <cell r="E393" t="str">
            <v>UFC_RED</v>
          </cell>
        </row>
        <row r="394">
          <cell r="E394" t="str">
            <v>UFC_WHITE</v>
          </cell>
        </row>
        <row r="395">
          <cell r="E395" t="str">
            <v>WATCHESPN</v>
          </cell>
        </row>
        <row r="396">
          <cell r="E396" t="str">
            <v>WATCHESPN_GRAY</v>
          </cell>
        </row>
        <row r="397">
          <cell r="E397" t="str">
            <v>WATCHESPN_LIGHTGRAY</v>
          </cell>
        </row>
        <row r="398">
          <cell r="E398" t="str">
            <v>WATCHESPN_WHITE</v>
          </cell>
        </row>
        <row r="399">
          <cell r="E399" t="str">
            <v>WATCH_ESPN_HORIZONTAL</v>
          </cell>
        </row>
      </sheetData>
    </sheetDataSet>
  </externalBook>
</externalLink>
</file>

<file path=xl/revisions/_rels/revisionHeaders.xml.rels><?xml version="1.0" encoding="UTF-8" standalone="yes"?>
<Relationships xmlns="http://schemas.openxmlformats.org/package/2006/relationships"><Relationship Id="rId3" Type="http://schemas.openxmlformats.org/officeDocument/2006/relationships/revisionLog" Target="revisionLog1.xml"/><Relationship Id="rId2" Type="http://schemas.openxmlformats.org/officeDocument/2006/relationships/revisionLog" Target="revisionLog2.xml"/><Relationship Id="rId5" Type="http://schemas.openxmlformats.org/officeDocument/2006/relationships/revisionLog" Target="revisionLog4.xml"/><Relationship Id="rId4" Type="http://schemas.openxmlformats.org/officeDocument/2006/relationships/revisionLog" Target="revisionLog3.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AE8E07AE-9F78-45C7-84AF-9A64FFD6CFE6}" diskRevisions="1" revisionId="5247" version="5">
  <header guid="{9F2271AA-0B4E-468D-834E-73EC161FBAEA}" dateTime="2026-01-29T13:38:02" maxSheetId="12" userName="Chavez, Cris" r:id="rId2" minRId="1" maxRId="5100">
    <sheetIdMap count="11">
      <sheetId val="1"/>
      <sheetId val="2"/>
      <sheetId val="3"/>
      <sheetId val="4"/>
      <sheetId val="5"/>
      <sheetId val="6"/>
      <sheetId val="7"/>
      <sheetId val="8"/>
      <sheetId val="9"/>
      <sheetId val="10"/>
      <sheetId val="11"/>
    </sheetIdMap>
  </header>
  <header guid="{3E6C26FF-5D1E-4246-A414-D13BA99C869D}" dateTime="2026-01-29T13:40:13" maxSheetId="12" userName="Chavez, Cris" r:id="rId3">
    <sheetIdMap count="11">
      <sheetId val="1"/>
      <sheetId val="2"/>
      <sheetId val="3"/>
      <sheetId val="4"/>
      <sheetId val="5"/>
      <sheetId val="6"/>
      <sheetId val="7"/>
      <sheetId val="8"/>
      <sheetId val="9"/>
      <sheetId val="10"/>
      <sheetId val="11"/>
    </sheetIdMap>
  </header>
  <header guid="{1593193A-B5C2-48AA-B213-893F4A5CE50E}" dateTime="2026-01-29T14:31:55" maxSheetId="12" userName="Chavez, Cris" r:id="rId4" minRId="5122">
    <sheetIdMap count="11">
      <sheetId val="1"/>
      <sheetId val="2"/>
      <sheetId val="3"/>
      <sheetId val="4"/>
      <sheetId val="5"/>
      <sheetId val="6"/>
      <sheetId val="7"/>
      <sheetId val="8"/>
      <sheetId val="9"/>
      <sheetId val="10"/>
      <sheetId val="11"/>
    </sheetIdMap>
  </header>
  <header guid="{AE8E07AE-9F78-45C7-84AF-9A64FFD6CFE6}" dateTime="2026-02-05T17:48:08" maxSheetId="12" userName="Chavez, Cris" r:id="rId5" minRId="5134" maxRId="5236">
    <sheetIdMap count="11">
      <sheetId val="1"/>
      <sheetId val="2"/>
      <sheetId val="3"/>
      <sheetId val="4"/>
      <sheetId val="5"/>
      <sheetId val="6"/>
      <sheetId val="7"/>
      <sheetId val="8"/>
      <sheetId val="9"/>
      <sheetId val="10"/>
      <sheetId val="11"/>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35139CDC-7B22-4BB4-A27E-0C639571C225}" action="delete"/>
  <rdn rId="0" localSheetId="1" customView="1" name="Z_35139CDC_7B22_4BB4_A27E_0C639571C225_.wvu.Cols" hidden="1" oldHidden="1">
    <formula>'Team Info'!$D:$I</formula>
    <oldFormula>'Team Info'!$D:$I</oldFormula>
  </rdn>
  <rdn rId="0" localSheetId="2" customView="1" name="Z_35139CDC_7B22_4BB4_A27E_0C639571C225_.wvu.Cols" hidden="1" oldHidden="1">
    <formula>MAIN!$Q:$BA</formula>
    <oldFormula>MAIN!$Q:$BA</oldFormula>
  </rdn>
  <rdn rId="0" localSheetId="3" customView="1" name="Z_35139CDC_7B22_4BB4_A27E_0C639571C225_.wvu.Rows" hidden="1" oldHidden="1">
    <formula>'Team Personnel'!$13:$23</formula>
    <oldFormula>'Team Personnel'!$13:$23</oldFormula>
  </rdn>
  <rdn rId="0" localSheetId="3" customView="1" name="Z_35139CDC_7B22_4BB4_A27E_0C639571C225_.wvu.Cols" hidden="1" oldHidden="1">
    <formula>'Team Personnel'!$G:$K</formula>
    <oldFormula>'Team Personnel'!$G:$K</oldFormula>
  </rdn>
  <rdn rId="0" localSheetId="4" customView="1" name="Z_35139CDC_7B22_4BB4_A27E_0C639571C225_.wvu.Cols" hidden="1" oldHidden="1">
    <formula>Roster!$P:$AI</formula>
    <oldFormula>Roster!$P:$AI</oldFormula>
  </rdn>
  <rdn rId="0" localSheetId="5" customView="1" name="Z_35139CDC_7B22_4BB4_A27E_0C639571C225_.wvu.Cols" hidden="1" oldHidden="1">
    <formula>Stats!$M:$BM</formula>
  </rdn>
  <rdn rId="0" localSheetId="6" customView="1" name="Z_35139CDC_7B22_4BB4_A27E_0C639571C225_.wvu.Cols" hidden="1" oldHidden="1">
    <formula>'Upcoming Schedule'!$E:$E,'Upcoming Schedule'!$I:$K</formula>
    <oldFormula>'Upcoming Schedule'!$E:$E,'Upcoming Schedule'!$I:$K</oldFormula>
  </rdn>
  <rdn rId="0" localSheetId="7" customView="1" name="Z_35139CDC_7B22_4BB4_A27E_0C639571C225_.wvu.Rows" hidden="1" oldHidden="1">
    <formula>'Team Heroes'!$12:$52</formula>
    <oldFormula>'Team Heroes'!$12:$52</oldFormula>
  </rdn>
  <rdn rId="0" localSheetId="7" customView="1" name="Z_35139CDC_7B22_4BB4_A27E_0C639571C225_.wvu.Cols" hidden="1" oldHidden="1">
    <formula>'Team Heroes'!$F:$I</formula>
    <oldFormula>'Team Heroes'!$F:$I</oldFormula>
  </rdn>
  <rdn rId="0" localSheetId="8" customView="1" name="Z_35139CDC_7B22_4BB4_A27E_0C639571C225_.wvu.Cols" hidden="1" oldHidden="1">
    <formula>'Team Users'!$E:$E</formula>
    <oldFormula>'Team Users'!$E:$E</oldFormula>
  </rdn>
  <rdn rId="0" localSheetId="10" customView="1" name="Z_35139CDC_7B22_4BB4_A27E_0C639571C225_.wvu.Cols" hidden="1" oldHidden="1">
    <formula>'Player Users'!$J:$J</formula>
    <oldFormula>'Player Users'!$J:$J</oldFormula>
  </rdn>
  <rcv guid="{35139CDC-7B22-4BB4-A27E-0C639571C225}"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5">
    <oc r="M2">
      <f xml:space="preserve"> TEXT(AW2,".000") &amp; " ba"</f>
    </oc>
    <nc r="M2">
      <f xml:space="preserve"> TEXT(AW2,".000") &amp; " BA"</f>
    </nc>
  </rcc>
  <rcc rId="2" sId="5">
    <oc r="N2">
      <f>VLOOKUP(A2,INPUT_RANGE,58,FALSE) &amp; " rbi"</f>
    </oc>
    <nc r="N2">
      <f>VLOOKUP(A2,INPUT_RANGE,58,FALSE) &amp; " RBI"</f>
    </nc>
  </rcc>
  <rcc rId="3" sId="5">
    <oc r="O2">
      <f>VLOOKUP(A2,INPUT_RANGE,60,FALSE) &amp; " bb"</f>
    </oc>
    <nc r="O2">
      <f>VLOOKUP(A2,INPUT_RANGE,60,FALSE) &amp; " BB"</f>
    </nc>
  </rcc>
  <rcc rId="4" sId="5">
    <oc r="P2">
      <f>VLOOKUP(A2,INPUT_RANGE,61,FALSE) &amp; " k"</f>
    </oc>
    <nc r="P2">
      <f>VLOOKUP(A2,INPUT_RANGE,61,FALSE) &amp; " K"</f>
    </nc>
  </rcc>
  <rcc rId="5" sId="5">
    <oc r="Q2">
      <f>VLOOKUP(A2,INPUT_RANGE,64,FALSE) &amp; " sb"</f>
    </oc>
    <nc r="Q2">
      <f>VLOOKUP(A2,INPUT_RANGE,64,FALSE) &amp; " SB"</f>
    </nc>
  </rcc>
  <rcc rId="6" sId="5">
    <oc r="R2">
      <f>VLOOKUP(A2,INPUT_RANGE,55,FALSE) &amp; " 2b"</f>
    </oc>
    <nc r="R2">
      <f>VLOOKUP(A2,INPUT_RANGE,55,FALSE) &amp; " 2B"</f>
    </nc>
  </rcc>
  <rcc rId="7" sId="5">
    <oc r="S2">
      <f>VLOOKUP(A2,INPUT_RANGE,56,FALSE) &amp; " 3b"</f>
    </oc>
    <nc r="S2">
      <f>VLOOKUP(A2,INPUT_RANGE,56,FALSE) &amp; " 3B"</f>
    </nc>
  </rcc>
  <rcc rId="8" sId="5">
    <oc r="T2">
      <f>VLOOKUP(A2,INPUT_RANGE,57,FALSE) &amp; " hr"</f>
    </oc>
    <nc r="T2">
      <f>VLOOKUP(A2,INPUT_RANGE,57,FALSE) &amp; " HR"</f>
    </nc>
  </rcc>
  <rcc rId="9" sId="5">
    <oc r="U2">
      <f>VLOOKUP(A2,INPUT_RANGE,53,FALSE) &amp; " r"</f>
    </oc>
    <nc r="U2">
      <f>VLOOKUP(A2,INPUT_RANGE,53,FALSE) &amp; " R"</f>
    </nc>
  </rcc>
  <rcc rId="10" sId="5">
    <oc r="V2">
      <f>TEXT(AX2, ".000") &amp; " obp"</f>
    </oc>
    <nc r="V2">
      <f>TEXT(AX2, ".000") &amp; " OBP"</f>
    </nc>
  </rcc>
  <rcc rId="11" sId="5">
    <oc r="X2">
      <f>VLOOKUP(A2,INPUT_RANGE,77,FALSE)&amp;" games"</f>
    </oc>
    <nc r="X2">
      <f>VLOOKUP(A2,INPUT_RANGE,77,FALSE)&amp;" games"</f>
    </nc>
  </rcc>
  <rcc rId="12" sId="5">
    <oc r="Y2">
      <f>VLOOKUP(A2,INPUT_RANGE,78,FALSE) &amp; " starts"</f>
    </oc>
    <nc r="Y2">
      <f>VLOOKUP(A2,INPUT_RANGE,78,FALSE) &amp; " starts"</f>
    </nc>
  </rcc>
  <rcc rId="13" sId="5">
    <oc r="Z2">
      <f>VLOOKUP(A2,INPUT_RANGE,82,FALSE) &amp; " ip"</f>
    </oc>
    <nc r="Z2">
      <f>VLOOKUP(A2,INPUT_RANGE,82,FALSE) &amp; " IP"</f>
    </nc>
  </rcc>
  <rcc rId="14" sId="5">
    <oc r="AA2">
      <f>TRUNC(VLOOKUP(A2,INPUT_RANGE,82,FALSE)) &amp;  IF(AR2=0.333,"º",IF(AR2=0.666,"»",""))</f>
    </oc>
    <nc r="AA2">
      <f>TRUNC(VLOOKUP(A2,INPUT_RANGE,82,FALSE)) &amp;  IF(AR2=0.333,"º",IF(AR2=0.666,"»",""))</f>
    </nc>
  </rcc>
  <rcc rId="15" sId="5">
    <oc r="AB2">
      <f>AA2&amp; " ip"</f>
    </oc>
    <nc r="AB2">
      <f>AA2&amp; " IP"</f>
    </nc>
  </rcc>
  <rcc rId="16" sId="5">
    <oc r="AC2">
      <f>VLOOKUP(A2,INPUT_RANGE,79,FALSE) &amp; " cg"</f>
    </oc>
    <nc r="AC2">
      <f>VLOOKUP(A2,INPUT_RANGE,79,FALSE) &amp; " CG"</f>
    </nc>
  </rcc>
  <rcc rId="17" sId="5">
    <oc r="AD2">
      <f>VLOOKUP(A2,INPUT_RANGE,80,FALSE) &amp; " sho"</f>
    </oc>
    <nc r="AD2">
      <f>VLOOKUP(A2,INPUT_RANGE,80,FALSE) &amp; " SHO"</f>
    </nc>
  </rcc>
  <rcc rId="18" sId="5">
    <oc r="AE2">
      <f>VLOOKUP(A2,INPUT_RANGE,75,FALSE) &amp; " win"</f>
    </oc>
    <nc r="AE2">
      <f>VLOOKUP(A2,INPUT_RANGE,75,FALSE) &amp; " Win"</f>
    </nc>
  </rcc>
  <rcc rId="19" sId="5">
    <oc r="AF2">
      <f>VLOOKUP(A2,INPUT_RANGE,76,FALSE) &amp; " loss"</f>
    </oc>
    <nc r="AF2">
      <f>VLOOKUP(A2,INPUT_RANGE,76,FALSE) &amp; " Loss"</f>
    </nc>
  </rcc>
  <rcc rId="20" sId="5">
    <oc r="AG2">
      <f>VLOOKUP(A2,INPUT_RANGE,75,FALSE) &amp; "-" &amp; VLOOKUP(A2,INPUT_RANGE,76,FALSE) &amp; " w-l"</f>
    </oc>
    <nc r="AG2">
      <f>VLOOKUP(A2,INPUT_RANGE,75,FALSE) &amp; "-" &amp; VLOOKUP(A2,INPUT_RANGE,76,FALSE) &amp; " W-L"</f>
    </nc>
  </rcc>
  <rcc rId="21" sId="5">
    <oc r="AH2">
      <f>VLOOKUP(A2,INPUT_RANGE,81,FALSE)&amp; " saves"</f>
    </oc>
    <nc r="AH2">
      <f>VLOOKUP(A2,INPUT_RANGE,81,FALSE)&amp; " Saves"</f>
    </nc>
  </rcc>
  <rcc rId="22" sId="5">
    <oc r="AI2">
      <f>VLOOKUP(A2,INPUT_RANGE,83,FALSE) &amp; " h"</f>
    </oc>
    <nc r="AI2">
      <f>VLOOKUP(A2,INPUT_RANGE,83,FALSE) &amp; " H"</f>
    </nc>
  </rcc>
  <rcc rId="23" sId="5">
    <oc r="AJ2">
      <f>VLOOKUP(A2,INPUT_RANGE,84,FALSE) &amp; " r"</f>
    </oc>
    <nc r="AJ2">
      <f>VLOOKUP(A2,INPUT_RANGE,84,FALSE) &amp; " R"</f>
    </nc>
  </rcc>
  <rcc rId="24" sId="5">
    <oc r="AK2">
      <f>VLOOKUP(A2,INPUT_RANGE,85,FALSE) &amp;" er"</f>
    </oc>
    <nc r="AK2">
      <f>VLOOKUP(A2,INPUT_RANGE,85,FALSE) &amp;" ER"</f>
    </nc>
  </rcc>
  <rcc rId="25" sId="5">
    <oc r="AL2">
      <f>VLOOKUP(A2,INPUT_RANGE,88,FALSE) &amp;" hr"</f>
    </oc>
    <nc r="AL2">
      <f>VLOOKUP(A2,INPUT_RANGE,88,FALSE) &amp;" HR"</f>
    </nc>
  </rcc>
  <rcc rId="26" sId="5">
    <oc r="AM2">
      <f>VLOOKUP(A2,INPUT_RANGE,87,FALSE) &amp; " k"</f>
    </oc>
    <nc r="AM2">
      <f>VLOOKUP(A2,INPUT_RANGE,87,FALSE) &amp; " K"</f>
    </nc>
  </rcc>
  <rcc rId="27" sId="5">
    <oc r="AN2">
      <f>VLOOKUP(A2,INPUT_RANGE,86,FALSE) &amp; " bb"</f>
    </oc>
    <nc r="AN2">
      <f>VLOOKUP(A2,INPUT_RANGE,86,FALSE) &amp; " BB"</f>
    </nc>
  </rcc>
  <rcc rId="28" sId="5">
    <oc r="AO2">
      <f>TEXT(AU2,"0.00") &amp; " era"</f>
    </oc>
    <nc r="AO2">
      <f>TEXT(AU2,"0.00") &amp; " ERA"</f>
    </nc>
  </rcc>
  <rcc rId="29" sId="5">
    <oc r="AP2">
      <f>TEXT(AT2,"0.00") &amp; " whip"</f>
    </oc>
    <nc r="AP2">
      <f>TEXT(AT2,"0.00") &amp; " WHIP"</f>
    </nc>
  </rcc>
  <rcc rId="30" sId="5">
    <oc r="AQ2">
      <f xml:space="preserve"> IF(LEFT(RIGHT((VLOOKUP(A2,INPUT_RANGE,82,FALSE)),2),1)=".",RIGHT(VLOOKUP(A2,INPUT_RANGE,82,FALSE),1), "X")</f>
    </oc>
    <nc r="AQ2">
      <f xml:space="preserve"> IF(LEFT(RIGHT((VLOOKUP(A2,INPUT_RANGE,82,FALSE)),2),1)=".",RIGHT(VLOOKUP(A2,INPUT_RANGE,82,FALSE),1), "X")</f>
    </nc>
  </rcc>
  <rcc rId="31" sId="5">
    <oc r="AR2">
      <f>IF(AQ2 ="1",0.333,IF(AQ2="2",0.666,0))</f>
    </oc>
    <nc r="AR2">
      <f>IF(AQ2 ="1",0.333,IF(AQ2="2",0.666,0))</f>
    </nc>
  </rcc>
  <rcc rId="32" sId="5">
    <oc r="AS2">
      <f>VLOOKUP(A2,INPUT_RANGE,82,FALSE)-(AQ2*0.1)+AR2</f>
    </oc>
    <nc r="AS2">
      <f>VLOOKUP(A2,INPUT_RANGE,82,FALSE)-(AQ2*0.1)+AR2</f>
    </nc>
  </rcc>
  <rcc rId="33" sId="5">
    <oc r="AT2">
      <f>ROUND((VLOOKUP(A2,INPUT_RANGE,86,FALSE)+VLOOKUP(A2,INPUT_RANGE,83,FALSE))/AS2,2)</f>
    </oc>
    <nc r="AT2">
      <f>ROUND((VLOOKUP(A2,INPUT_RANGE,86,FALSE)+VLOOKUP(A2,INPUT_RANGE,83,FALSE))/AS2,2)</f>
    </nc>
  </rcc>
  <rcc rId="34" sId="5">
    <oc r="AU2">
      <f>ROUND((VLOOKUP(A2,INPUT_RANGE,85,FALSE)/AS2)*('Team Info'!$H$25),2)</f>
    </oc>
    <nc r="AU2">
      <f>ROUND((VLOOKUP(A2,INPUT_RANGE,85,FALSE)/AS2)*('D:\Data\Softball\[ESPN_BASEBALL_AWAY_OLD.xlsx]Team Info'!$H$25),2)</f>
    </nc>
  </rcc>
  <rcc rId="35" sId="5">
    <oc r="AW2">
      <f>(VLOOKUP(A2,INPUT_RANGE,54,FALSE)/VLOOKUP(A2,INPUT_RANGE,52,FALSE))</f>
    </oc>
    <nc r="AW2">
      <f>(VLOOKUP(A2,INPUT_RANGE,54,FALSE)/VLOOKUP(A2,INPUT_RANGE,52,FALSE))</f>
    </nc>
  </rcc>
  <rcc rId="36" sId="5">
    <oc r="AX2">
      <f>((VLOOKUP(A2,INPUT_RANGE,54,FALSE)+VLOOKUP(A2,INPUT_RANGE,60,FALSE)+VLOOKUP(A2,INPUT_RANGE,59,FALSE))/(VLOOKUP(A2,INPUT_RANGE,52,FALSE)+VLOOKUP(A2,INPUT_RANGE,60,FALSE)+VLOOKUP(A2,INPUT_RANGE,59,FALSE)+VLOOKUP(A2,INPUT_RANGE,63,FALSE)))</f>
    </oc>
    <nc r="AX2">
      <f>((VLOOKUP(A2,INPUT_RANGE,54,FALSE)+VLOOKUP(A2,INPUT_RANGE,60,FALSE)+VLOOKUP(A2,INPUT_RANGE,59,FALSE))/(VLOOKUP(A2,INPUT_RANGE,52,FALSE)+VLOOKUP(A2,INPUT_RANGE,60,FALSE)+VLOOKUP(A2,INPUT_RANGE,59,FALSE)+VLOOKUP(A2,INPUT_RANGE,63,FALSE)))</f>
    </nc>
  </rcc>
  <rcc rId="37" sId="5">
    <oc r="AY2">
      <f>(VLOOKUP(A2,INPUT_RANGE,54)+VLOOKUP(A2,INPUT_RANGE,55)+(VLOOKUP(A2,INPUT_RANGE,56)*2)+(VLOOKUP(A2,INPUT_RANGE,57)*3))/(VLOOKUP(A2,INPUT_RANGE,52))</f>
    </oc>
    <nc r="AY2">
      <f>(VLOOKUP(A2,INPUT_RANGE,54)+VLOOKUP(A2,INPUT_RANGE,55)+(VLOOKUP(A2,INPUT_RANGE,56)*2)+(VLOOKUP(A2,INPUT_RANGE,57)*3))/(VLOOKUP(A2,INPUT_RANGE,52))</f>
    </nc>
  </rcc>
  <rcc rId="38" sId="5">
    <oc r="AZ2">
      <f>AX2+AY2</f>
    </oc>
    <nc r="AZ2">
      <f>AX2+AY2</f>
    </nc>
  </rcc>
  <rcc rId="39" sId="5">
    <oc r="BA2">
      <f xml:space="preserve"> TEXT(AZ2,".000") &amp; " ops"</f>
    </oc>
    <nc r="BA2">
      <f xml:space="preserve"> TEXT(AZ2,".000") &amp; " OPS"</f>
    </nc>
  </rcc>
  <rcc rId="40" sId="5">
    <oc r="BB2">
      <f>VLOOKUP(A2,INPUT_RANGE,78,FALSE)</f>
    </oc>
    <nc r="BB2">
      <f>VLOOKUP(A2,INPUT_RANGE,78,FALSE)</f>
    </nc>
  </rcc>
  <rcc rId="41" sId="5">
    <oc r="BC2">
      <f>VLOOKUP(A2,INPUT_RANGE,77,FALSE)</f>
    </oc>
    <nc r="BC2">
      <f>VLOOKUP(A2,INPUT_RANGE,77,FALSE)</f>
    </nc>
  </rcc>
  <rcc rId="42" sId="5">
    <oc r="BD2">
      <f>VLOOKUP(A2,INPUT_RANGE,75,FALSE) &amp; "-" &amp; VLOOKUP(A2,INPUT_RANGE,76,FALSE)</f>
    </oc>
    <nc r="BD2">
      <f>VLOOKUP(A2,INPUT_RANGE,75,FALSE) &amp; "-" &amp; VLOOKUP(A2,INPUT_RANGE,76,FALSE)</f>
    </nc>
  </rcc>
  <rcc rId="43" sId="5">
    <oc r="BE2">
      <f>AU2</f>
    </oc>
    <nc r="BE2">
      <f>AU2</f>
    </nc>
  </rcc>
  <rcc rId="44" sId="5">
    <oc r="BF2">
      <f>AA2</f>
    </oc>
    <nc r="BF2">
      <f>AA2</f>
    </nc>
  </rcc>
  <rcc rId="45" sId="5">
    <oc r="BG2">
      <f>VLOOKUP(A2,INPUT_RANGE,86,FALSE)</f>
    </oc>
    <nc r="BG2">
      <f>VLOOKUP(A2,INPUT_RANGE,86,FALSE)</f>
    </nc>
  </rcc>
  <rcc rId="46" sId="5">
    <oc r="BH2">
      <f>VLOOKUP(A2,INPUT_RANGE,87,FALSE)</f>
    </oc>
    <nc r="BH2">
      <f>VLOOKUP(A2,INPUT_RANGE,87,FALSE)</f>
    </nc>
  </rcc>
  <rcc rId="47" sId="5">
    <oc r="BI2">
      <f>VLOOKUP(A2,INPUT_RANGE,81,FALSE) &amp; " SAVES"</f>
    </oc>
    <nc r="BI2">
      <f>VLOOKUP(A2,INPUT_RANGE,81,FALSE) &amp; " SAVES"</f>
    </nc>
  </rcc>
  <rcc rId="48" sId="5">
    <oc r="BJ2">
      <f>VLOOKUP(A2,INPUT_RANGE,81,FALSE)</f>
    </oc>
    <nc r="BJ2">
      <f>VLOOKUP(A2,INPUT_RANGE,81,FALSE)</f>
    </nc>
  </rcc>
  <rcc rId="49" sId="5">
    <oc r="BK2">
      <f>VLOOKUP(A2,INPUT_RANGE,83,FALSE)</f>
    </oc>
    <nc r="BK2">
      <f>VLOOKUP(A2,INPUT_RANGE,83,FALSE)</f>
    </nc>
  </rcc>
  <rcc rId="50" sId="5">
    <oc r="BL2">
      <f>VLOOKUP(A2,INPUT_RANGE,87,FALSE) &amp; "/" &amp; VLOOKUP(A2,INPUT_RANGE,86,FALSE)</f>
    </oc>
    <nc r="BL2">
      <f>VLOOKUP(A2,INPUT_RANGE,87,FALSE) &amp; "/" &amp; VLOOKUP(A2,INPUT_RANGE,86,FALSE)</f>
    </nc>
  </rcc>
  <rcc rId="51" sId="5">
    <oc r="BM2">
      <f>ROUND((VLOOKUP(A2,INPUT_RANGE,86,FALSE)+VLOOKUP(A2,INPUT_RANGE,83,FALSE))/AS2,2)</f>
    </oc>
    <nc r="BM2">
      <f>ROUND((VLOOKUP(A2,INPUT_RANGE,86,FALSE)+VLOOKUP(A2,INPUT_RANGE,83,FALSE))/AS2,2)</f>
    </nc>
  </rcc>
  <rcc rId="52" sId="5">
    <oc r="M3">
      <f xml:space="preserve"> TEXT(AW3,".000") &amp; " ba"</f>
    </oc>
    <nc r="M3">
      <f xml:space="preserve"> TEXT(AW3,".000") &amp; " BA"</f>
    </nc>
  </rcc>
  <rcc rId="53" sId="5">
    <oc r="N3">
      <f>VLOOKUP(A3,INPUT_RANGE,58,FALSE) &amp; " rbi"</f>
    </oc>
    <nc r="N3">
      <f>VLOOKUP(A3,INPUT_RANGE,58,FALSE) &amp; " RBI"</f>
    </nc>
  </rcc>
  <rcc rId="54" sId="5">
    <oc r="O3">
      <f>VLOOKUP(A3,INPUT_RANGE,60,FALSE) &amp; " bb"</f>
    </oc>
    <nc r="O3">
      <f>VLOOKUP(A3,INPUT_RANGE,60,FALSE) &amp; " BB"</f>
    </nc>
  </rcc>
  <rcc rId="55" sId="5">
    <oc r="P3">
      <f>VLOOKUP(A3,INPUT_RANGE,61,FALSE) &amp; " k"</f>
    </oc>
    <nc r="P3">
      <f>VLOOKUP(A3,INPUT_RANGE,61,FALSE) &amp; " K"</f>
    </nc>
  </rcc>
  <rcc rId="56" sId="5">
    <oc r="Q3">
      <f>VLOOKUP(A3,INPUT_RANGE,64,FALSE) &amp; " sb"</f>
    </oc>
    <nc r="Q3">
      <f>VLOOKUP(A3,INPUT_RANGE,64,FALSE) &amp; " SB"</f>
    </nc>
  </rcc>
  <rcc rId="57" sId="5">
    <oc r="R3">
      <f>VLOOKUP(A3,INPUT_RANGE,55,FALSE) &amp; " 2b"</f>
    </oc>
    <nc r="R3">
      <f>VLOOKUP(A3,INPUT_RANGE,55,FALSE) &amp; " 2B"</f>
    </nc>
  </rcc>
  <rcc rId="58" sId="5">
    <oc r="S3">
      <f>VLOOKUP(A3,INPUT_RANGE,56,FALSE) &amp; " 3b"</f>
    </oc>
    <nc r="S3">
      <f>VLOOKUP(A3,INPUT_RANGE,56,FALSE) &amp; " 3B"</f>
    </nc>
  </rcc>
  <rcc rId="59" sId="5">
    <oc r="T3">
      <f>VLOOKUP(A3,INPUT_RANGE,57,FALSE) &amp; " hr"</f>
    </oc>
    <nc r="T3">
      <f>VLOOKUP(A3,INPUT_RANGE,57,FALSE) &amp; " HR"</f>
    </nc>
  </rcc>
  <rcc rId="60" sId="5">
    <oc r="U3">
      <f>VLOOKUP(A3,INPUT_RANGE,53,FALSE) &amp; " r"</f>
    </oc>
    <nc r="U3">
      <f>VLOOKUP(A3,INPUT_RANGE,53,FALSE) &amp; " R"</f>
    </nc>
  </rcc>
  <rcc rId="61" sId="5">
    <oc r="V3">
      <f>TEXT(AX3, ".000") &amp; " obp"</f>
    </oc>
    <nc r="V3">
      <f>TEXT(AX3, ".000") &amp; " OBP"</f>
    </nc>
  </rcc>
  <rcc rId="62" sId="5">
    <oc r="X3">
      <f>VLOOKUP(A3,INPUT_RANGE,77,FALSE)&amp;" games"</f>
    </oc>
    <nc r="X3">
      <f>VLOOKUP(A3,INPUT_RANGE,77,FALSE)&amp;" games"</f>
    </nc>
  </rcc>
  <rcc rId="63" sId="5">
    <oc r="Y3">
      <f>VLOOKUP(A3,INPUT_RANGE,78,FALSE) &amp; " starts"</f>
    </oc>
    <nc r="Y3">
      <f>VLOOKUP(A3,INPUT_RANGE,78,FALSE) &amp; " starts"</f>
    </nc>
  </rcc>
  <rcc rId="64" sId="5">
    <oc r="Z3">
      <f>VLOOKUP(A3,INPUT_RANGE,82,FALSE) &amp; " ip"</f>
    </oc>
    <nc r="Z3">
      <f>VLOOKUP(A3,INPUT_RANGE,82,FALSE) &amp; " IP"</f>
    </nc>
  </rcc>
  <rcc rId="65" sId="5">
    <oc r="AA3">
      <f>TRUNC(VLOOKUP(A3,INPUT_RANGE,82,FALSE)) &amp;  IF(AR3=0.333,"º",IF(AR3=0.666,"»",""))</f>
    </oc>
    <nc r="AA3">
      <f>TRUNC(VLOOKUP(A3,INPUT_RANGE,82,FALSE)) &amp;  IF(AR3=0.333,"º",IF(AR3=0.666,"»",""))</f>
    </nc>
  </rcc>
  <rcc rId="66" sId="5">
    <oc r="AB3">
      <f>AA3&amp; " ip"</f>
    </oc>
    <nc r="AB3">
      <f>AA3&amp; " IP"</f>
    </nc>
  </rcc>
  <rcc rId="67" sId="5">
    <oc r="AC3">
      <f>VLOOKUP(A3,INPUT_RANGE,79,FALSE) &amp; " cg"</f>
    </oc>
    <nc r="AC3">
      <f>VLOOKUP(A3,INPUT_RANGE,79,FALSE) &amp; " CG"</f>
    </nc>
  </rcc>
  <rcc rId="68" sId="5">
    <oc r="AD3">
      <f>VLOOKUP(A3,INPUT_RANGE,80,FALSE) &amp; " sho"</f>
    </oc>
    <nc r="AD3">
      <f>VLOOKUP(A3,INPUT_RANGE,80,FALSE) &amp; " SHO"</f>
    </nc>
  </rcc>
  <rcc rId="69" sId="5">
    <oc r="AE3">
      <f>VLOOKUP(A3,INPUT_RANGE,75,FALSE) &amp; " win"</f>
    </oc>
    <nc r="AE3">
      <f>VLOOKUP(A3,INPUT_RANGE,75,FALSE) &amp; " Win"</f>
    </nc>
  </rcc>
  <rcc rId="70" sId="5">
    <oc r="AF3">
      <f>VLOOKUP(A3,INPUT_RANGE,76,FALSE) &amp; " loss"</f>
    </oc>
    <nc r="AF3">
      <f>VLOOKUP(A3,INPUT_RANGE,76,FALSE) &amp; " Loss"</f>
    </nc>
  </rcc>
  <rcc rId="71" sId="5">
    <oc r="AG3">
      <f>VLOOKUP(A3,INPUT_RANGE,75,FALSE) &amp; "-" &amp; VLOOKUP(A3,INPUT_RANGE,76,FALSE) &amp; " w-l"</f>
    </oc>
    <nc r="AG3">
      <f>VLOOKUP(A3,INPUT_RANGE,75,FALSE) &amp; "-" &amp; VLOOKUP(A3,INPUT_RANGE,76,FALSE) &amp; " W-L"</f>
    </nc>
  </rcc>
  <rcc rId="72" sId="5">
    <oc r="AH3">
      <f>VLOOKUP(A3,INPUT_RANGE,81,FALSE)&amp; " saves"</f>
    </oc>
    <nc r="AH3">
      <f>VLOOKUP(A3,INPUT_RANGE,81,FALSE)&amp; " Saves"</f>
    </nc>
  </rcc>
  <rcc rId="73" sId="5">
    <oc r="AI3">
      <f>VLOOKUP(A3,INPUT_RANGE,83,FALSE) &amp; " h"</f>
    </oc>
    <nc r="AI3">
      <f>VLOOKUP(A3,INPUT_RANGE,83,FALSE) &amp; " H"</f>
    </nc>
  </rcc>
  <rcc rId="74" sId="5">
    <oc r="AJ3">
      <f>VLOOKUP(A3,INPUT_RANGE,84,FALSE) &amp; " r"</f>
    </oc>
    <nc r="AJ3">
      <f>VLOOKUP(A3,INPUT_RANGE,84,FALSE) &amp; " R"</f>
    </nc>
  </rcc>
  <rcc rId="75" sId="5">
    <oc r="AK3">
      <f>VLOOKUP(A3,INPUT_RANGE,85,FALSE) &amp;" er"</f>
    </oc>
    <nc r="AK3">
      <f>VLOOKUP(A3,INPUT_RANGE,85,FALSE) &amp;" ER"</f>
    </nc>
  </rcc>
  <rcc rId="76" sId="5">
    <oc r="AL3">
      <f>VLOOKUP(A3,INPUT_RANGE,88,FALSE) &amp;" hr"</f>
    </oc>
    <nc r="AL3">
      <f>VLOOKUP(A3,INPUT_RANGE,88,FALSE) &amp;" HR"</f>
    </nc>
  </rcc>
  <rcc rId="77" sId="5">
    <oc r="AM3">
      <f>VLOOKUP(A3,INPUT_RANGE,87,FALSE) &amp; " k"</f>
    </oc>
    <nc r="AM3">
      <f>VLOOKUP(A3,INPUT_RANGE,87,FALSE) &amp; " K"</f>
    </nc>
  </rcc>
  <rcc rId="78" sId="5">
    <oc r="AN3">
      <f>VLOOKUP(A3,INPUT_RANGE,86,FALSE) &amp; " bb"</f>
    </oc>
    <nc r="AN3">
      <f>VLOOKUP(A3,INPUT_RANGE,86,FALSE) &amp; " BB"</f>
    </nc>
  </rcc>
  <rcc rId="79" sId="5">
    <oc r="AO3">
      <f>TEXT(AU3,"0.00") &amp; " era"</f>
    </oc>
    <nc r="AO3">
      <f>TEXT(AU3,"0.00") &amp; " ERA"</f>
    </nc>
  </rcc>
  <rcc rId="80" sId="5">
    <oc r="AP3">
      <f>TEXT(AT3,"0.00") &amp; " whip"</f>
    </oc>
    <nc r="AP3">
      <f>TEXT(AT3,"0.00") &amp; " WHIP"</f>
    </nc>
  </rcc>
  <rcc rId="81" sId="5">
    <oc r="AQ3">
      <f xml:space="preserve"> IF(LEFT(RIGHT((VLOOKUP(A3,INPUT_RANGE,82,FALSE)),2),1)=".",RIGHT(VLOOKUP(A3,INPUT_RANGE,82,FALSE),1), "X")</f>
    </oc>
    <nc r="AQ3">
      <f xml:space="preserve"> IF(LEFT(RIGHT((VLOOKUP(A3,INPUT_RANGE,82,FALSE)),2),1)=".",RIGHT(VLOOKUP(A3,INPUT_RANGE,82,FALSE),1), "X")</f>
    </nc>
  </rcc>
  <rcc rId="82" sId="5">
    <oc r="AR3">
      <f>IF(AQ3 ="1",0.333,IF(AQ3="2",0.666,0))</f>
    </oc>
    <nc r="AR3">
      <f>IF(AQ3 ="1",0.333,IF(AQ3="2",0.666,0))</f>
    </nc>
  </rcc>
  <rcc rId="83" sId="5">
    <oc r="AS3">
      <f>VLOOKUP(A3,INPUT_RANGE,82,FALSE)-(AQ3*0.1)+AR3</f>
    </oc>
    <nc r="AS3">
      <f>VLOOKUP(A3,INPUT_RANGE,82,FALSE)-(AQ3*0.1)+AR3</f>
    </nc>
  </rcc>
  <rcc rId="84" sId="5">
    <oc r="AT3">
      <f>ROUND((VLOOKUP(A3,INPUT_RANGE,86,FALSE)+VLOOKUP(A3,INPUT_RANGE,83,FALSE))/AS3,2)</f>
    </oc>
    <nc r="AT3">
      <f>ROUND((VLOOKUP(A3,INPUT_RANGE,86,FALSE)+VLOOKUP(A3,INPUT_RANGE,83,FALSE))/AS3,2)</f>
    </nc>
  </rcc>
  <rcc rId="85" sId="5">
    <oc r="AU3">
      <f>ROUND((VLOOKUP(A3,INPUT_RANGE,85,FALSE)/AS3)*('Team Info'!$H$25),2)</f>
    </oc>
    <nc r="AU3">
      <f>ROUND((VLOOKUP(A3,INPUT_RANGE,85,FALSE)/AS3)*('D:\Data\Softball\[ESPN_BASEBALL_AWAY_OLD.xlsx]Team Info'!$H$25),2)</f>
    </nc>
  </rcc>
  <rcc rId="86" sId="5">
    <oc r="AW3">
      <f>(VLOOKUP(A3,INPUT_RANGE,54,FALSE)/VLOOKUP(A3,INPUT_RANGE,52,FALSE))</f>
    </oc>
    <nc r="AW3">
      <f>(VLOOKUP(A3,INPUT_RANGE,54,FALSE)/VLOOKUP(A3,INPUT_RANGE,52,FALSE))</f>
    </nc>
  </rcc>
  <rcc rId="87" sId="5">
    <oc r="AX3">
      <f>((VLOOKUP(A3,INPUT_RANGE,54,FALSE)+VLOOKUP(A3,INPUT_RANGE,60,FALSE)+VLOOKUP(A3,INPUT_RANGE,59,FALSE))/(VLOOKUP(A3,INPUT_RANGE,52,FALSE)+VLOOKUP(A3,INPUT_RANGE,60,FALSE)+VLOOKUP(A3,INPUT_RANGE,59,FALSE)+VLOOKUP(A3,INPUT_RANGE,63,FALSE)))</f>
    </oc>
    <nc r="AX3">
      <f>((VLOOKUP(A3,INPUT_RANGE,54,FALSE)+VLOOKUP(A3,INPUT_RANGE,60,FALSE)+VLOOKUP(A3,INPUT_RANGE,59,FALSE))/(VLOOKUP(A3,INPUT_RANGE,52,FALSE)+VLOOKUP(A3,INPUT_RANGE,60,FALSE)+VLOOKUP(A3,INPUT_RANGE,59,FALSE)+VLOOKUP(A3,INPUT_RANGE,63,FALSE)))</f>
    </nc>
  </rcc>
  <rcc rId="88" sId="5">
    <oc r="AY3">
      <f>(VLOOKUP(A3,INPUT_RANGE,54)+VLOOKUP(A3,INPUT_RANGE,55)+(VLOOKUP(A3,INPUT_RANGE,56)*2)+(VLOOKUP(A3,INPUT_RANGE,57)*3))/(VLOOKUP(A3,INPUT_RANGE,52))</f>
    </oc>
    <nc r="AY3">
      <f>(VLOOKUP(A3,INPUT_RANGE,54)+VLOOKUP(A3,INPUT_RANGE,55)+(VLOOKUP(A3,INPUT_RANGE,56)*2)+(VLOOKUP(A3,INPUT_RANGE,57)*3))/(VLOOKUP(A3,INPUT_RANGE,52))</f>
    </nc>
  </rcc>
  <rcc rId="89" sId="5">
    <oc r="AZ3">
      <f>AX3+AY3</f>
    </oc>
    <nc r="AZ3">
      <f>AX3+AY3</f>
    </nc>
  </rcc>
  <rcc rId="90" sId="5">
    <oc r="BA3">
      <f xml:space="preserve"> TEXT(AZ3,".000") &amp; " ops"</f>
    </oc>
    <nc r="BA3">
      <f xml:space="preserve"> TEXT(AZ3,".000") &amp; " OPS"</f>
    </nc>
  </rcc>
  <rcc rId="91" sId="5">
    <oc r="BB3">
      <f>VLOOKUP(A3,INPUT_RANGE,78,FALSE)</f>
    </oc>
    <nc r="BB3">
      <f>VLOOKUP(A3,INPUT_RANGE,78,FALSE)</f>
    </nc>
  </rcc>
  <rcc rId="92" sId="5">
    <oc r="BC3">
      <f>VLOOKUP(A3,INPUT_RANGE,77,FALSE)</f>
    </oc>
    <nc r="BC3">
      <f>VLOOKUP(A3,INPUT_RANGE,77,FALSE)</f>
    </nc>
  </rcc>
  <rcc rId="93" sId="5">
    <oc r="BD3">
      <f>VLOOKUP(A3,INPUT_RANGE,75,FALSE) &amp; "-" &amp; VLOOKUP(A3,INPUT_RANGE,76,FALSE)</f>
    </oc>
    <nc r="BD3">
      <f>VLOOKUP(A3,INPUT_RANGE,75,FALSE) &amp; "-" &amp; VLOOKUP(A3,INPUT_RANGE,76,FALSE)</f>
    </nc>
  </rcc>
  <rcc rId="94" sId="5">
    <oc r="BE3">
      <f>AU3</f>
    </oc>
    <nc r="BE3">
      <f>AU3</f>
    </nc>
  </rcc>
  <rcc rId="95" sId="5">
    <oc r="BF3">
      <f>AA3</f>
    </oc>
    <nc r="BF3">
      <f>AA3</f>
    </nc>
  </rcc>
  <rcc rId="96" sId="5">
    <oc r="BG3">
      <f>VLOOKUP(A3,INPUT_RANGE,86,FALSE)</f>
    </oc>
    <nc r="BG3">
      <f>VLOOKUP(A3,INPUT_RANGE,86,FALSE)</f>
    </nc>
  </rcc>
  <rcc rId="97" sId="5">
    <oc r="BH3">
      <f>VLOOKUP(A3,INPUT_RANGE,87,FALSE)</f>
    </oc>
    <nc r="BH3">
      <f>VLOOKUP(A3,INPUT_RANGE,87,FALSE)</f>
    </nc>
  </rcc>
  <rcc rId="98" sId="5">
    <oc r="BI3">
      <f>VLOOKUP(A3,INPUT_RANGE,81,FALSE) &amp; " SAVES"</f>
    </oc>
    <nc r="BI3">
      <f>VLOOKUP(A3,INPUT_RANGE,81,FALSE) &amp; " SAVES"</f>
    </nc>
  </rcc>
  <rcc rId="99" sId="5">
    <oc r="BJ3">
      <f>VLOOKUP(A3,INPUT_RANGE,81,FALSE)</f>
    </oc>
    <nc r="BJ3">
      <f>VLOOKUP(A3,INPUT_RANGE,81,FALSE)</f>
    </nc>
  </rcc>
  <rcc rId="100" sId="5">
    <oc r="BK3">
      <f>VLOOKUP(A3,INPUT_RANGE,83,FALSE)</f>
    </oc>
    <nc r="BK3">
      <f>VLOOKUP(A3,INPUT_RANGE,83,FALSE)</f>
    </nc>
  </rcc>
  <rcc rId="101" sId="5">
    <oc r="BL3">
      <f>VLOOKUP(A3,INPUT_RANGE,87,FALSE) &amp; "/" &amp; VLOOKUP(A3,INPUT_RANGE,86,FALSE)</f>
    </oc>
    <nc r="BL3">
      <f>VLOOKUP(A3,INPUT_RANGE,87,FALSE) &amp; "/" &amp; VLOOKUP(A3,INPUT_RANGE,86,FALSE)</f>
    </nc>
  </rcc>
  <rcc rId="102" sId="5">
    <oc r="BM3">
      <f>ROUND((VLOOKUP(A3,INPUT_RANGE,86,FALSE)+VLOOKUP(A3,INPUT_RANGE,83,FALSE))/AS3,2)</f>
    </oc>
    <nc r="BM3">
      <f>ROUND((VLOOKUP(A3,INPUT_RANGE,86,FALSE)+VLOOKUP(A3,INPUT_RANGE,83,FALSE))/AS3,2)</f>
    </nc>
  </rcc>
  <rcc rId="103" sId="5">
    <oc r="M4">
      <f xml:space="preserve"> TEXT(AW4,".000") &amp; " ba"</f>
    </oc>
    <nc r="M4">
      <f xml:space="preserve"> TEXT(AW4,".000") &amp; " BA"</f>
    </nc>
  </rcc>
  <rcc rId="104" sId="5">
    <oc r="N4">
      <f>VLOOKUP(A4,INPUT_RANGE,58,FALSE) &amp; " rbi"</f>
    </oc>
    <nc r="N4">
      <f>VLOOKUP(A4,INPUT_RANGE,58,FALSE) &amp; " RBI"</f>
    </nc>
  </rcc>
  <rcc rId="105" sId="5">
    <oc r="O4">
      <f>VLOOKUP(A4,INPUT_RANGE,60,FALSE) &amp; " bb"</f>
    </oc>
    <nc r="O4">
      <f>VLOOKUP(A4,INPUT_RANGE,60,FALSE) &amp; " BB"</f>
    </nc>
  </rcc>
  <rcc rId="106" sId="5">
    <oc r="P4">
      <f>VLOOKUP(A4,INPUT_RANGE,61,FALSE) &amp; " k"</f>
    </oc>
    <nc r="P4">
      <f>VLOOKUP(A4,INPUT_RANGE,61,FALSE) &amp; " K"</f>
    </nc>
  </rcc>
  <rcc rId="107" sId="5">
    <oc r="Q4">
      <f>VLOOKUP(A4,INPUT_RANGE,64,FALSE) &amp; " sb"</f>
    </oc>
    <nc r="Q4">
      <f>VLOOKUP(A4,INPUT_RANGE,64,FALSE) &amp; " SB"</f>
    </nc>
  </rcc>
  <rcc rId="108" sId="5">
    <oc r="R4">
      <f>VLOOKUP(A4,INPUT_RANGE,55,FALSE) &amp; " 2b"</f>
    </oc>
    <nc r="R4">
      <f>VLOOKUP(A4,INPUT_RANGE,55,FALSE) &amp; " 2B"</f>
    </nc>
  </rcc>
  <rcc rId="109" sId="5">
    <oc r="S4">
      <f>VLOOKUP(A4,INPUT_RANGE,56,FALSE) &amp; " 3b"</f>
    </oc>
    <nc r="S4">
      <f>VLOOKUP(A4,INPUT_RANGE,56,FALSE) &amp; " 3B"</f>
    </nc>
  </rcc>
  <rcc rId="110" sId="5">
    <oc r="T4">
      <f>VLOOKUP(A4,INPUT_RANGE,57,FALSE) &amp; " hr"</f>
    </oc>
    <nc r="T4">
      <f>VLOOKUP(A4,INPUT_RANGE,57,FALSE) &amp; " HR"</f>
    </nc>
  </rcc>
  <rcc rId="111" sId="5">
    <oc r="U4">
      <f>VLOOKUP(A4,INPUT_RANGE,53,FALSE) &amp; " r"</f>
    </oc>
    <nc r="U4">
      <f>VLOOKUP(A4,INPUT_RANGE,53,FALSE) &amp; " R"</f>
    </nc>
  </rcc>
  <rcc rId="112" sId="5">
    <oc r="V4">
      <f>TEXT(AX4, ".000") &amp; " obp"</f>
    </oc>
    <nc r="V4">
      <f>TEXT(AX4, ".000") &amp; " OBP"</f>
    </nc>
  </rcc>
  <rcc rId="113" sId="5">
    <oc r="X4">
      <f>VLOOKUP(A4,INPUT_RANGE,77,FALSE)&amp;" games"</f>
    </oc>
    <nc r="X4">
      <f>VLOOKUP(A4,INPUT_RANGE,77,FALSE)&amp;" games"</f>
    </nc>
  </rcc>
  <rcc rId="114" sId="5">
    <oc r="Y4">
      <f>VLOOKUP(A4,INPUT_RANGE,78,FALSE) &amp; " starts"</f>
    </oc>
    <nc r="Y4">
      <f>VLOOKUP(A4,INPUT_RANGE,78,FALSE) &amp; " starts"</f>
    </nc>
  </rcc>
  <rcc rId="115" sId="5">
    <oc r="Z4">
      <f>VLOOKUP(A4,INPUT_RANGE,82,FALSE) &amp; " ip"</f>
    </oc>
    <nc r="Z4">
      <f>VLOOKUP(A4,INPUT_RANGE,82,FALSE) &amp; " IP"</f>
    </nc>
  </rcc>
  <rcc rId="116" sId="5">
    <oc r="AA4">
      <f>TRUNC(VLOOKUP(A4,INPUT_RANGE,82,FALSE)) &amp;  IF(AR4=0.333,"º",IF(AR4=0.666,"»",""))</f>
    </oc>
    <nc r="AA4">
      <f>TRUNC(VLOOKUP(A4,INPUT_RANGE,82,FALSE)) &amp;  IF(AR4=0.333,"º",IF(AR4=0.666,"»",""))</f>
    </nc>
  </rcc>
  <rcc rId="117" sId="5">
    <oc r="AB4">
      <f>AA4&amp; " ip"</f>
    </oc>
    <nc r="AB4">
      <f>AA4&amp; " IP"</f>
    </nc>
  </rcc>
  <rcc rId="118" sId="5">
    <oc r="AC4">
      <f>VLOOKUP(A4,INPUT_RANGE,79,FALSE) &amp; " cg"</f>
    </oc>
    <nc r="AC4">
      <f>VLOOKUP(A4,INPUT_RANGE,79,FALSE) &amp; " CG"</f>
    </nc>
  </rcc>
  <rcc rId="119" sId="5">
    <oc r="AD4">
      <f>VLOOKUP(A4,INPUT_RANGE,80,FALSE) &amp; " sho"</f>
    </oc>
    <nc r="AD4">
      <f>VLOOKUP(A4,INPUT_RANGE,80,FALSE) &amp; " SHO"</f>
    </nc>
  </rcc>
  <rcc rId="120" sId="5">
    <oc r="AE4">
      <f>VLOOKUP(A4,INPUT_RANGE,75,FALSE) &amp; " win"</f>
    </oc>
    <nc r="AE4">
      <f>VLOOKUP(A4,INPUT_RANGE,75,FALSE) &amp; " Win"</f>
    </nc>
  </rcc>
  <rcc rId="121" sId="5">
    <oc r="AF4">
      <f>VLOOKUP(A4,INPUT_RANGE,76,FALSE) &amp; " loss"</f>
    </oc>
    <nc r="AF4">
      <f>VLOOKUP(A4,INPUT_RANGE,76,FALSE) &amp; " Loss"</f>
    </nc>
  </rcc>
  <rcc rId="122" sId="5">
    <oc r="AG4">
      <f>VLOOKUP(A4,INPUT_RANGE,75,FALSE) &amp; "-" &amp; VLOOKUP(A4,INPUT_RANGE,76,FALSE) &amp; " w-l"</f>
    </oc>
    <nc r="AG4">
      <f>VLOOKUP(A4,INPUT_RANGE,75,FALSE) &amp; "-" &amp; VLOOKUP(A4,INPUT_RANGE,76,FALSE) &amp; " W-L"</f>
    </nc>
  </rcc>
  <rcc rId="123" sId="5">
    <oc r="AH4">
      <f>VLOOKUP(A4,INPUT_RANGE,81,FALSE)&amp; " saves"</f>
    </oc>
    <nc r="AH4">
      <f>VLOOKUP(A4,INPUT_RANGE,81,FALSE)&amp; " Saves"</f>
    </nc>
  </rcc>
  <rcc rId="124" sId="5">
    <oc r="AI4">
      <f>VLOOKUP(A4,INPUT_RANGE,83,FALSE) &amp; " h"</f>
    </oc>
    <nc r="AI4">
      <f>VLOOKUP(A4,INPUT_RANGE,83,FALSE) &amp; " H"</f>
    </nc>
  </rcc>
  <rcc rId="125" sId="5">
    <oc r="AJ4">
      <f>VLOOKUP(A4,INPUT_RANGE,84,FALSE) &amp; " r"</f>
    </oc>
    <nc r="AJ4">
      <f>VLOOKUP(A4,INPUT_RANGE,84,FALSE) &amp; " R"</f>
    </nc>
  </rcc>
  <rcc rId="126" sId="5">
    <oc r="AK4">
      <f>VLOOKUP(A4,INPUT_RANGE,85,FALSE) &amp;" er"</f>
    </oc>
    <nc r="AK4">
      <f>VLOOKUP(A4,INPUT_RANGE,85,FALSE) &amp;" ER"</f>
    </nc>
  </rcc>
  <rcc rId="127" sId="5">
    <oc r="AL4">
      <f>VLOOKUP(A4,INPUT_RANGE,88,FALSE) &amp;" hr"</f>
    </oc>
    <nc r="AL4">
      <f>VLOOKUP(A4,INPUT_RANGE,88,FALSE) &amp;" HR"</f>
    </nc>
  </rcc>
  <rcc rId="128" sId="5">
    <oc r="AM4">
      <f>VLOOKUP(A4,INPUT_RANGE,87,FALSE) &amp; " k"</f>
    </oc>
    <nc r="AM4">
      <f>VLOOKUP(A4,INPUT_RANGE,87,FALSE) &amp; " K"</f>
    </nc>
  </rcc>
  <rcc rId="129" sId="5">
    <oc r="AN4">
      <f>VLOOKUP(A4,INPUT_RANGE,86,FALSE) &amp; " bb"</f>
    </oc>
    <nc r="AN4">
      <f>VLOOKUP(A4,INPUT_RANGE,86,FALSE) &amp; " BB"</f>
    </nc>
  </rcc>
  <rcc rId="130" sId="5">
    <oc r="AO4">
      <f>TEXT(AU4,"0.00") &amp; " era"</f>
    </oc>
    <nc r="AO4">
      <f>TEXT(AU4,"0.00") &amp; " ERA"</f>
    </nc>
  </rcc>
  <rcc rId="131" sId="5">
    <oc r="AP4">
      <f>TEXT(AT4,"0.00") &amp; " whip"</f>
    </oc>
    <nc r="AP4">
      <f>TEXT(AT4,"0.00") &amp; " WHIP"</f>
    </nc>
  </rcc>
  <rcc rId="132" sId="5">
    <oc r="AQ4">
      <f xml:space="preserve"> IF(LEFT(RIGHT((VLOOKUP(A4,INPUT_RANGE,82,FALSE)),2),1)=".",RIGHT(VLOOKUP(A4,INPUT_RANGE,82,FALSE),1), "X")</f>
    </oc>
    <nc r="AQ4">
      <f xml:space="preserve"> IF(LEFT(RIGHT((VLOOKUP(A4,INPUT_RANGE,82,FALSE)),2),1)=".",RIGHT(VLOOKUP(A4,INPUT_RANGE,82,FALSE),1), "X")</f>
    </nc>
  </rcc>
  <rcc rId="133" sId="5">
    <oc r="AR4">
      <f>IF(AQ4 ="1",0.333,IF(AQ4="2",0.666,0))</f>
    </oc>
    <nc r="AR4">
      <f>IF(AQ4 ="1",0.333,IF(AQ4="2",0.666,0))</f>
    </nc>
  </rcc>
  <rcc rId="134" sId="5">
    <oc r="AS4">
      <f>VLOOKUP(A4,INPUT_RANGE,82,FALSE)-(AQ4*0.1)+AR4</f>
    </oc>
    <nc r="AS4">
      <f>VLOOKUP(A4,INPUT_RANGE,82,FALSE)-(AQ4*0.1)+AR4</f>
    </nc>
  </rcc>
  <rcc rId="135" sId="5">
    <oc r="AT4">
      <f>ROUND((VLOOKUP(A4,INPUT_RANGE,86,FALSE)+VLOOKUP(A4,INPUT_RANGE,83,FALSE))/AS4,2)</f>
    </oc>
    <nc r="AT4">
      <f>ROUND((VLOOKUP(A4,INPUT_RANGE,86,FALSE)+VLOOKUP(A4,INPUT_RANGE,83,FALSE))/AS4,2)</f>
    </nc>
  </rcc>
  <rcc rId="136" sId="5">
    <oc r="AU4">
      <f>ROUND((VLOOKUP(A4,INPUT_RANGE,85,FALSE)/AS4)*('Team Info'!$H$25),2)</f>
    </oc>
    <nc r="AU4">
      <f>ROUND((VLOOKUP(A4,INPUT_RANGE,85,FALSE)/AS4)*('D:\Data\Softball\[ESPN_BASEBALL_AWAY_OLD.xlsx]Team Info'!$H$25),2)</f>
    </nc>
  </rcc>
  <rcc rId="137" sId="5">
    <oc r="AW4">
      <f>(VLOOKUP(A4,INPUT_RANGE,54,FALSE)/VLOOKUP(A4,INPUT_RANGE,52,FALSE))</f>
    </oc>
    <nc r="AW4">
      <f>(VLOOKUP(A4,INPUT_RANGE,54,FALSE)/VLOOKUP(A4,INPUT_RANGE,52,FALSE))</f>
    </nc>
  </rcc>
  <rcc rId="138" sId="5">
    <oc r="AX4">
      <f>((VLOOKUP(A4,INPUT_RANGE,54,FALSE)+VLOOKUP(A4,INPUT_RANGE,60,FALSE)+VLOOKUP(A4,INPUT_RANGE,59,FALSE))/(VLOOKUP(A4,INPUT_RANGE,52,FALSE)+VLOOKUP(A4,INPUT_RANGE,60,FALSE)+VLOOKUP(A4,INPUT_RANGE,59,FALSE)+VLOOKUP(A4,INPUT_RANGE,63,FALSE)))</f>
    </oc>
    <nc r="AX4">
      <f>((VLOOKUP(A4,INPUT_RANGE,54,FALSE)+VLOOKUP(A4,INPUT_RANGE,60,FALSE)+VLOOKUP(A4,INPUT_RANGE,59,FALSE))/(VLOOKUP(A4,INPUT_RANGE,52,FALSE)+VLOOKUP(A4,INPUT_RANGE,60,FALSE)+VLOOKUP(A4,INPUT_RANGE,59,FALSE)+VLOOKUP(A4,INPUT_RANGE,63,FALSE)))</f>
    </nc>
  </rcc>
  <rcc rId="139" sId="5">
    <oc r="AY4">
      <f>(VLOOKUP(A4,INPUT_RANGE,54)+VLOOKUP(A4,INPUT_RANGE,55)+(VLOOKUP(A4,INPUT_RANGE,56)*2)+(VLOOKUP(A4,INPUT_RANGE,57)*3))/(VLOOKUP(A4,INPUT_RANGE,52))</f>
    </oc>
    <nc r="AY4">
      <f>(VLOOKUP(A4,INPUT_RANGE,54)+VLOOKUP(A4,INPUT_RANGE,55)+(VLOOKUP(A4,INPUT_RANGE,56)*2)+(VLOOKUP(A4,INPUT_RANGE,57)*3))/(VLOOKUP(A4,INPUT_RANGE,52))</f>
    </nc>
  </rcc>
  <rcc rId="140" sId="5">
    <oc r="AZ4">
      <f>AX4+AY4</f>
    </oc>
    <nc r="AZ4">
      <f>AX4+AY4</f>
    </nc>
  </rcc>
  <rcc rId="141" sId="5">
    <oc r="BA4">
      <f xml:space="preserve"> TEXT(AZ4,".000") &amp; " ops"</f>
    </oc>
    <nc r="BA4">
      <f xml:space="preserve"> TEXT(AZ4,".000") &amp; " OPS"</f>
    </nc>
  </rcc>
  <rcc rId="142" sId="5">
    <oc r="BB4">
      <f>VLOOKUP(A4,INPUT_RANGE,78,FALSE)</f>
    </oc>
    <nc r="BB4">
      <f>VLOOKUP(A4,INPUT_RANGE,78,FALSE)</f>
    </nc>
  </rcc>
  <rcc rId="143" sId="5">
    <oc r="BC4">
      <f>VLOOKUP(A4,INPUT_RANGE,77,FALSE)</f>
    </oc>
    <nc r="BC4">
      <f>VLOOKUP(A4,INPUT_RANGE,77,FALSE)</f>
    </nc>
  </rcc>
  <rcc rId="144" sId="5">
    <oc r="BD4">
      <f>VLOOKUP(A4,INPUT_RANGE,75,FALSE) &amp; "-" &amp; VLOOKUP(A4,INPUT_RANGE,76,FALSE)</f>
    </oc>
    <nc r="BD4">
      <f>VLOOKUP(A4,INPUT_RANGE,75,FALSE) &amp; "-" &amp; VLOOKUP(A4,INPUT_RANGE,76,FALSE)</f>
    </nc>
  </rcc>
  <rcc rId="145" sId="5">
    <oc r="BE4">
      <f>AU4</f>
    </oc>
    <nc r="BE4">
      <f>AU4</f>
    </nc>
  </rcc>
  <rcc rId="146" sId="5">
    <oc r="BF4">
      <f>AA4</f>
    </oc>
    <nc r="BF4">
      <f>AA4</f>
    </nc>
  </rcc>
  <rcc rId="147" sId="5">
    <oc r="BG4">
      <f>VLOOKUP(A4,INPUT_RANGE,86,FALSE)</f>
    </oc>
    <nc r="BG4">
      <f>VLOOKUP(A4,INPUT_RANGE,86,FALSE)</f>
    </nc>
  </rcc>
  <rcc rId="148" sId="5">
    <oc r="BH4">
      <f>VLOOKUP(A4,INPUT_RANGE,87,FALSE)</f>
    </oc>
    <nc r="BH4">
      <f>VLOOKUP(A4,INPUT_RANGE,87,FALSE)</f>
    </nc>
  </rcc>
  <rcc rId="149" sId="5">
    <oc r="BI4">
      <f>VLOOKUP(A4,INPUT_RANGE,81,FALSE) &amp; " SAVES"</f>
    </oc>
    <nc r="BI4">
      <f>VLOOKUP(A4,INPUT_RANGE,81,FALSE) &amp; " SAVES"</f>
    </nc>
  </rcc>
  <rcc rId="150" sId="5">
    <oc r="BJ4">
      <f>VLOOKUP(A4,INPUT_RANGE,81,FALSE)</f>
    </oc>
    <nc r="BJ4">
      <f>VLOOKUP(A4,INPUT_RANGE,81,FALSE)</f>
    </nc>
  </rcc>
  <rcc rId="151" sId="5">
    <oc r="BK4">
      <f>VLOOKUP(A4,INPUT_RANGE,83,FALSE)</f>
    </oc>
    <nc r="BK4">
      <f>VLOOKUP(A4,INPUT_RANGE,83,FALSE)</f>
    </nc>
  </rcc>
  <rcc rId="152" sId="5">
    <oc r="BL4">
      <f>VLOOKUP(A4,INPUT_RANGE,87,FALSE) &amp; "/" &amp; VLOOKUP(A4,INPUT_RANGE,86,FALSE)</f>
    </oc>
    <nc r="BL4">
      <f>VLOOKUP(A4,INPUT_RANGE,87,FALSE) &amp; "/" &amp; VLOOKUP(A4,INPUT_RANGE,86,FALSE)</f>
    </nc>
  </rcc>
  <rcc rId="153" sId="5">
    <oc r="BM4">
      <f>ROUND((VLOOKUP(A4,INPUT_RANGE,86,FALSE)+VLOOKUP(A4,INPUT_RANGE,83,FALSE))/AS4,2)</f>
    </oc>
    <nc r="BM4">
      <f>ROUND((VLOOKUP(A4,INPUT_RANGE,86,FALSE)+VLOOKUP(A4,INPUT_RANGE,83,FALSE))/AS4,2)</f>
    </nc>
  </rcc>
  <rcc rId="154" sId="5">
    <oc r="M5">
      <f xml:space="preserve"> TEXT(AW5,".000") &amp; " ba"</f>
    </oc>
    <nc r="M5">
      <f xml:space="preserve"> TEXT(AW5,".000") &amp; " BA"</f>
    </nc>
  </rcc>
  <rcc rId="155" sId="5">
    <oc r="N5">
      <f>VLOOKUP(A5,INPUT_RANGE,58,FALSE) &amp; " rbi"</f>
    </oc>
    <nc r="N5">
      <f>VLOOKUP(A5,INPUT_RANGE,58,FALSE) &amp; " RBI"</f>
    </nc>
  </rcc>
  <rcc rId="156" sId="5">
    <oc r="O5">
      <f>VLOOKUP(A5,INPUT_RANGE,60,FALSE) &amp; " bb"</f>
    </oc>
    <nc r="O5">
      <f>VLOOKUP(A5,INPUT_RANGE,60,FALSE) &amp; " BB"</f>
    </nc>
  </rcc>
  <rcc rId="157" sId="5">
    <oc r="P5">
      <f>VLOOKUP(A5,INPUT_RANGE,61,FALSE) &amp; " k"</f>
    </oc>
    <nc r="P5">
      <f>VLOOKUP(A5,INPUT_RANGE,61,FALSE) &amp; " K"</f>
    </nc>
  </rcc>
  <rcc rId="158" sId="5">
    <oc r="Q5">
      <f>VLOOKUP(A5,INPUT_RANGE,64,FALSE) &amp; " sb"</f>
    </oc>
    <nc r="Q5">
      <f>VLOOKUP(A5,INPUT_RANGE,64,FALSE) &amp; " SB"</f>
    </nc>
  </rcc>
  <rcc rId="159" sId="5">
    <oc r="R5">
      <f>VLOOKUP(A5,INPUT_RANGE,55,FALSE) &amp; " 2b"</f>
    </oc>
    <nc r="R5">
      <f>VLOOKUP(A5,INPUT_RANGE,55,FALSE) &amp; " 2B"</f>
    </nc>
  </rcc>
  <rcc rId="160" sId="5">
    <oc r="S5">
      <f>VLOOKUP(A5,INPUT_RANGE,56,FALSE) &amp; " 3b"</f>
    </oc>
    <nc r="S5">
      <f>VLOOKUP(A5,INPUT_RANGE,56,FALSE) &amp; " 3B"</f>
    </nc>
  </rcc>
  <rcc rId="161" sId="5">
    <oc r="T5">
      <f>VLOOKUP(A5,INPUT_RANGE,57,FALSE) &amp; " hr"</f>
    </oc>
    <nc r="T5">
      <f>VLOOKUP(A5,INPUT_RANGE,57,FALSE) &amp; " HR"</f>
    </nc>
  </rcc>
  <rcc rId="162" sId="5">
    <oc r="U5">
      <f>VLOOKUP(A5,INPUT_RANGE,53,FALSE) &amp; " r"</f>
    </oc>
    <nc r="U5">
      <f>VLOOKUP(A5,INPUT_RANGE,53,FALSE) &amp; " R"</f>
    </nc>
  </rcc>
  <rcc rId="163" sId="5">
    <oc r="V5">
      <f>TEXT(AX5, ".000") &amp; " obp"</f>
    </oc>
    <nc r="V5">
      <f>TEXT(AX5, ".000") &amp; " OBP"</f>
    </nc>
  </rcc>
  <rcc rId="164" sId="5">
    <oc r="X5">
      <f>VLOOKUP(A5,INPUT_RANGE,77,FALSE)&amp;" games"</f>
    </oc>
    <nc r="X5">
      <f>VLOOKUP(A5,INPUT_RANGE,77,FALSE)&amp;" games"</f>
    </nc>
  </rcc>
  <rcc rId="165" sId="5">
    <oc r="Y5">
      <f>VLOOKUP(A5,INPUT_RANGE,78,FALSE) &amp; " starts"</f>
    </oc>
    <nc r="Y5">
      <f>VLOOKUP(A5,INPUT_RANGE,78,FALSE) &amp; " starts"</f>
    </nc>
  </rcc>
  <rcc rId="166" sId="5">
    <oc r="Z5">
      <f>VLOOKUP(A5,INPUT_RANGE,82,FALSE) &amp; " ip"</f>
    </oc>
    <nc r="Z5">
      <f>VLOOKUP(A5,INPUT_RANGE,82,FALSE) &amp; " IP"</f>
    </nc>
  </rcc>
  <rcc rId="167" sId="5">
    <oc r="AA5">
      <f>TRUNC(VLOOKUP(A5,INPUT_RANGE,82,FALSE)) &amp;  IF(AR5=0.333,"º",IF(AR5=0.666,"»",""))</f>
    </oc>
    <nc r="AA5">
      <f>TRUNC(VLOOKUP(A5,INPUT_RANGE,82,FALSE)) &amp;  IF(AR5=0.333,"º",IF(AR5=0.666,"»",""))</f>
    </nc>
  </rcc>
  <rcc rId="168" sId="5">
    <oc r="AB5">
      <f>AA5&amp; " ip"</f>
    </oc>
    <nc r="AB5">
      <f>AA5&amp; " IP"</f>
    </nc>
  </rcc>
  <rcc rId="169" sId="5">
    <oc r="AC5">
      <f>VLOOKUP(A5,INPUT_RANGE,79,FALSE) &amp; " cg"</f>
    </oc>
    <nc r="AC5">
      <f>VLOOKUP(A5,INPUT_RANGE,79,FALSE) &amp; " CG"</f>
    </nc>
  </rcc>
  <rcc rId="170" sId="5">
    <oc r="AD5">
      <f>VLOOKUP(A5,INPUT_RANGE,80,FALSE) &amp; " sho"</f>
    </oc>
    <nc r="AD5">
      <f>VLOOKUP(A5,INPUT_RANGE,80,FALSE) &amp; " SHO"</f>
    </nc>
  </rcc>
  <rcc rId="171" sId="5">
    <oc r="AE5">
      <f>VLOOKUP(A5,INPUT_RANGE,75,FALSE) &amp; " win"</f>
    </oc>
    <nc r="AE5">
      <f>VLOOKUP(A5,INPUT_RANGE,75,FALSE) &amp; " Win"</f>
    </nc>
  </rcc>
  <rcc rId="172" sId="5">
    <oc r="AF5">
      <f>VLOOKUP(A5,INPUT_RANGE,76,FALSE) &amp; " loss"</f>
    </oc>
    <nc r="AF5">
      <f>VLOOKUP(A5,INPUT_RANGE,76,FALSE) &amp; " Loss"</f>
    </nc>
  </rcc>
  <rcc rId="173" sId="5">
    <oc r="AG5">
      <f>VLOOKUP(A5,INPUT_RANGE,75,FALSE) &amp; "-" &amp; VLOOKUP(A5,INPUT_RANGE,76,FALSE) &amp; " w-l"</f>
    </oc>
    <nc r="AG5">
      <f>VLOOKUP(A5,INPUT_RANGE,75,FALSE) &amp; "-" &amp; VLOOKUP(A5,INPUT_RANGE,76,FALSE) &amp; " W-L"</f>
    </nc>
  </rcc>
  <rcc rId="174" sId="5">
    <oc r="AH5">
      <f>VLOOKUP(A5,INPUT_RANGE,81,FALSE)&amp; " saves"</f>
    </oc>
    <nc r="AH5">
      <f>VLOOKUP(A5,INPUT_RANGE,81,FALSE)&amp; " Saves"</f>
    </nc>
  </rcc>
  <rcc rId="175" sId="5">
    <oc r="AI5">
      <f>VLOOKUP(A5,INPUT_RANGE,83,FALSE) &amp; " h"</f>
    </oc>
    <nc r="AI5">
      <f>VLOOKUP(A5,INPUT_RANGE,83,FALSE) &amp; " H"</f>
    </nc>
  </rcc>
  <rcc rId="176" sId="5">
    <oc r="AJ5">
      <f>VLOOKUP(A5,INPUT_RANGE,84,FALSE) &amp; " r"</f>
    </oc>
    <nc r="AJ5">
      <f>VLOOKUP(A5,INPUT_RANGE,84,FALSE) &amp; " R"</f>
    </nc>
  </rcc>
  <rcc rId="177" sId="5">
    <oc r="AK5">
      <f>VLOOKUP(A5,INPUT_RANGE,85,FALSE) &amp;" er"</f>
    </oc>
    <nc r="AK5">
      <f>VLOOKUP(A5,INPUT_RANGE,85,FALSE) &amp;" ER"</f>
    </nc>
  </rcc>
  <rcc rId="178" sId="5">
    <oc r="AL5">
      <f>VLOOKUP(A5,INPUT_RANGE,88,FALSE) &amp;" hr"</f>
    </oc>
    <nc r="AL5">
      <f>VLOOKUP(A5,INPUT_RANGE,88,FALSE) &amp;" HR"</f>
    </nc>
  </rcc>
  <rcc rId="179" sId="5">
    <oc r="AM5">
      <f>VLOOKUP(A5,INPUT_RANGE,87,FALSE) &amp; " k"</f>
    </oc>
    <nc r="AM5">
      <f>VLOOKUP(A5,INPUT_RANGE,87,FALSE) &amp; " K"</f>
    </nc>
  </rcc>
  <rcc rId="180" sId="5">
    <oc r="AN5">
      <f>VLOOKUP(A5,INPUT_RANGE,86,FALSE) &amp; " bb"</f>
    </oc>
    <nc r="AN5">
      <f>VLOOKUP(A5,INPUT_RANGE,86,FALSE) &amp; " BB"</f>
    </nc>
  </rcc>
  <rcc rId="181" sId="5">
    <oc r="AO5">
      <f>TEXT(AU5,"0.00") &amp; " era"</f>
    </oc>
    <nc r="AO5">
      <f>TEXT(AU5,"0.00") &amp; " ERA"</f>
    </nc>
  </rcc>
  <rcc rId="182" sId="5">
    <oc r="AP5">
      <f>TEXT(AT5,"0.00") &amp; " whip"</f>
    </oc>
    <nc r="AP5">
      <f>TEXT(AT5,"0.00") &amp; " WHIP"</f>
    </nc>
  </rcc>
  <rcc rId="183" sId="5">
    <oc r="AQ5">
      <f xml:space="preserve"> IF(LEFT(RIGHT((VLOOKUP(A5,INPUT_RANGE,82,FALSE)),2),1)=".",RIGHT(VLOOKUP(A5,INPUT_RANGE,82,FALSE),1), "X")</f>
    </oc>
    <nc r="AQ5">
      <f xml:space="preserve"> IF(LEFT(RIGHT((VLOOKUP(A5,INPUT_RANGE,82,FALSE)),2),1)=".",RIGHT(VLOOKUP(A5,INPUT_RANGE,82,FALSE),1), "X")</f>
    </nc>
  </rcc>
  <rcc rId="184" sId="5">
    <oc r="AR5">
      <f>IF(AQ5 ="1",0.333,IF(AQ5="2",0.666,0))</f>
    </oc>
    <nc r="AR5">
      <f>IF(AQ5 ="1",0.333,IF(AQ5="2",0.666,0))</f>
    </nc>
  </rcc>
  <rcc rId="185" sId="5">
    <oc r="AS5">
      <f>VLOOKUP(A5,INPUT_RANGE,82,FALSE)-(AQ5*0.1)+AR5</f>
    </oc>
    <nc r="AS5">
      <f>VLOOKUP(A5,INPUT_RANGE,82,FALSE)-(AQ5*0.1)+AR5</f>
    </nc>
  </rcc>
  <rcc rId="186" sId="5">
    <oc r="AT5">
      <f>ROUND((VLOOKUP(A5,INPUT_RANGE,86,FALSE)+VLOOKUP(A5,INPUT_RANGE,83,FALSE))/AS5,2)</f>
    </oc>
    <nc r="AT5">
      <f>ROUND((VLOOKUP(A5,INPUT_RANGE,86,FALSE)+VLOOKUP(A5,INPUT_RANGE,83,FALSE))/AS5,2)</f>
    </nc>
  </rcc>
  <rcc rId="187" sId="5">
    <oc r="AU5">
      <f>ROUND((VLOOKUP(A5,INPUT_RANGE,85,FALSE)/AS5)*('Team Info'!$H$25),2)</f>
    </oc>
    <nc r="AU5">
      <f>ROUND((VLOOKUP(A5,INPUT_RANGE,85,FALSE)/AS5)*('D:\Data\Softball\[ESPN_BASEBALL_AWAY_OLD.xlsx]Team Info'!$H$25),2)</f>
    </nc>
  </rcc>
  <rcc rId="188" sId="5">
    <oc r="AW5">
      <f>(VLOOKUP(A5,INPUT_RANGE,54,FALSE)/VLOOKUP(A5,INPUT_RANGE,52,FALSE))</f>
    </oc>
    <nc r="AW5">
      <f>(VLOOKUP(A5,INPUT_RANGE,54,FALSE)/VLOOKUP(A5,INPUT_RANGE,52,FALSE))</f>
    </nc>
  </rcc>
  <rcc rId="189" sId="5">
    <oc r="AX5">
      <f>((VLOOKUP(A5,INPUT_RANGE,54,FALSE)+VLOOKUP(A5,INPUT_RANGE,60,FALSE)+VLOOKUP(A5,INPUT_RANGE,59,FALSE))/(VLOOKUP(A5,INPUT_RANGE,52,FALSE)+VLOOKUP(A5,INPUT_RANGE,60,FALSE)+VLOOKUP(A5,INPUT_RANGE,59,FALSE)+VLOOKUP(A5,INPUT_RANGE,63,FALSE)))</f>
    </oc>
    <nc r="AX5">
      <f>((VLOOKUP(A5,INPUT_RANGE,54,FALSE)+VLOOKUP(A5,INPUT_RANGE,60,FALSE)+VLOOKUP(A5,INPUT_RANGE,59,FALSE))/(VLOOKUP(A5,INPUT_RANGE,52,FALSE)+VLOOKUP(A5,INPUT_RANGE,60,FALSE)+VLOOKUP(A5,INPUT_RANGE,59,FALSE)+VLOOKUP(A5,INPUT_RANGE,63,FALSE)))</f>
    </nc>
  </rcc>
  <rcc rId="190" sId="5">
    <oc r="AY5">
      <f>(VLOOKUP(A5,INPUT_RANGE,54)+VLOOKUP(A5,INPUT_RANGE,55)+(VLOOKUP(A5,INPUT_RANGE,56)*2)+(VLOOKUP(A5,INPUT_RANGE,57)*3))/(VLOOKUP(A5,INPUT_RANGE,52))</f>
    </oc>
    <nc r="AY5">
      <f>(VLOOKUP(A5,INPUT_RANGE,54)+VLOOKUP(A5,INPUT_RANGE,55)+(VLOOKUP(A5,INPUT_RANGE,56)*2)+(VLOOKUP(A5,INPUT_RANGE,57)*3))/(VLOOKUP(A5,INPUT_RANGE,52))</f>
    </nc>
  </rcc>
  <rcc rId="191" sId="5">
    <oc r="AZ5">
      <f>AX5+AY5</f>
    </oc>
    <nc r="AZ5">
      <f>AX5+AY5</f>
    </nc>
  </rcc>
  <rcc rId="192" sId="5">
    <oc r="BA5">
      <f xml:space="preserve"> TEXT(AZ5,".000") &amp; " ops"</f>
    </oc>
    <nc r="BA5">
      <f xml:space="preserve"> TEXT(AZ5,".000") &amp; " OPS"</f>
    </nc>
  </rcc>
  <rcc rId="193" sId="5">
    <oc r="BB5">
      <f>VLOOKUP(A5,INPUT_RANGE,78,FALSE)</f>
    </oc>
    <nc r="BB5">
      <f>VLOOKUP(A5,INPUT_RANGE,78,FALSE)</f>
    </nc>
  </rcc>
  <rcc rId="194" sId="5">
    <oc r="BC5">
      <f>VLOOKUP(A5,INPUT_RANGE,77,FALSE)</f>
    </oc>
    <nc r="BC5">
      <f>VLOOKUP(A5,INPUT_RANGE,77,FALSE)</f>
    </nc>
  </rcc>
  <rcc rId="195" sId="5">
    <oc r="BD5">
      <f>VLOOKUP(A5,INPUT_RANGE,75,FALSE) &amp; "-" &amp; VLOOKUP(A5,INPUT_RANGE,76,FALSE)</f>
    </oc>
    <nc r="BD5">
      <f>VLOOKUP(A5,INPUT_RANGE,75,FALSE) &amp; "-" &amp; VLOOKUP(A5,INPUT_RANGE,76,FALSE)</f>
    </nc>
  </rcc>
  <rcc rId="196" sId="5">
    <oc r="BE5">
      <f>AU5</f>
    </oc>
    <nc r="BE5">
      <f>AU5</f>
    </nc>
  </rcc>
  <rcc rId="197" sId="5">
    <oc r="BF5">
      <f>AA5</f>
    </oc>
    <nc r="BF5">
      <f>AA5</f>
    </nc>
  </rcc>
  <rcc rId="198" sId="5">
    <oc r="BG5">
      <f>VLOOKUP(A5,INPUT_RANGE,86,FALSE)</f>
    </oc>
    <nc r="BG5">
      <f>VLOOKUP(A5,INPUT_RANGE,86,FALSE)</f>
    </nc>
  </rcc>
  <rcc rId="199" sId="5">
    <oc r="BH5">
      <f>VLOOKUP(A5,INPUT_RANGE,87,FALSE)</f>
    </oc>
    <nc r="BH5">
      <f>VLOOKUP(A5,INPUT_RANGE,87,FALSE)</f>
    </nc>
  </rcc>
  <rcc rId="200" sId="5">
    <oc r="BI5">
      <f>VLOOKUP(A5,INPUT_RANGE,81,FALSE) &amp; " SAVES"</f>
    </oc>
    <nc r="BI5">
      <f>VLOOKUP(A5,INPUT_RANGE,81,FALSE) &amp; " SAVES"</f>
    </nc>
  </rcc>
  <rcc rId="201" sId="5">
    <oc r="BJ5">
      <f>VLOOKUP(A5,INPUT_RANGE,81,FALSE)</f>
    </oc>
    <nc r="BJ5">
      <f>VLOOKUP(A5,INPUT_RANGE,81,FALSE)</f>
    </nc>
  </rcc>
  <rcc rId="202" sId="5">
    <oc r="BK5">
      <f>VLOOKUP(A5,INPUT_RANGE,83,FALSE)</f>
    </oc>
    <nc r="BK5">
      <f>VLOOKUP(A5,INPUT_RANGE,83,FALSE)</f>
    </nc>
  </rcc>
  <rcc rId="203" sId="5">
    <oc r="BL5">
      <f>VLOOKUP(A5,INPUT_RANGE,87,FALSE) &amp; "/" &amp; VLOOKUP(A5,INPUT_RANGE,86,FALSE)</f>
    </oc>
    <nc r="BL5">
      <f>VLOOKUP(A5,INPUT_RANGE,87,FALSE) &amp; "/" &amp; VLOOKUP(A5,INPUT_RANGE,86,FALSE)</f>
    </nc>
  </rcc>
  <rcc rId="204" sId="5">
    <oc r="BM5">
      <f>ROUND((VLOOKUP(A5,INPUT_RANGE,86,FALSE)+VLOOKUP(A5,INPUT_RANGE,83,FALSE))/AS5,2)</f>
    </oc>
    <nc r="BM5">
      <f>ROUND((VLOOKUP(A5,INPUT_RANGE,86,FALSE)+VLOOKUP(A5,INPUT_RANGE,83,FALSE))/AS5,2)</f>
    </nc>
  </rcc>
  <rcc rId="205" sId="5">
    <oc r="M6">
      <f xml:space="preserve"> TEXT(AW6,".000") &amp; " ba"</f>
    </oc>
    <nc r="M6">
      <f xml:space="preserve"> TEXT(AW6,".000") &amp; " BA"</f>
    </nc>
  </rcc>
  <rcc rId="206" sId="5">
    <oc r="N6">
      <f>VLOOKUP(A6,INPUT_RANGE,58,FALSE) &amp; " rbi"</f>
    </oc>
    <nc r="N6">
      <f>VLOOKUP(A6,INPUT_RANGE,58,FALSE) &amp; " RBI"</f>
    </nc>
  </rcc>
  <rcc rId="207" sId="5">
    <oc r="O6">
      <f>VLOOKUP(A6,INPUT_RANGE,60,FALSE) &amp; " bb"</f>
    </oc>
    <nc r="O6">
      <f>VLOOKUP(A6,INPUT_RANGE,60,FALSE) &amp; " BB"</f>
    </nc>
  </rcc>
  <rcc rId="208" sId="5">
    <oc r="P6">
      <f>VLOOKUP(A6,INPUT_RANGE,61,FALSE) &amp; " k"</f>
    </oc>
    <nc r="P6">
      <f>VLOOKUP(A6,INPUT_RANGE,61,FALSE) &amp; " K"</f>
    </nc>
  </rcc>
  <rcc rId="209" sId="5">
    <oc r="Q6">
      <f>VLOOKUP(A6,INPUT_RANGE,64,FALSE) &amp; " sb"</f>
    </oc>
    <nc r="Q6">
      <f>VLOOKUP(A6,INPUT_RANGE,64,FALSE) &amp; " SB"</f>
    </nc>
  </rcc>
  <rcc rId="210" sId="5">
    <oc r="R6">
      <f>VLOOKUP(A6,INPUT_RANGE,55,FALSE) &amp; " 2b"</f>
    </oc>
    <nc r="R6">
      <f>VLOOKUP(A6,INPUT_RANGE,55,FALSE) &amp; " 2B"</f>
    </nc>
  </rcc>
  <rcc rId="211" sId="5">
    <oc r="S6">
      <f>VLOOKUP(A6,INPUT_RANGE,56,FALSE) &amp; " 3b"</f>
    </oc>
    <nc r="S6">
      <f>VLOOKUP(A6,INPUT_RANGE,56,FALSE) &amp; " 3B"</f>
    </nc>
  </rcc>
  <rcc rId="212" sId="5">
    <oc r="T6">
      <f>VLOOKUP(A6,INPUT_RANGE,57,FALSE) &amp; " hr"</f>
    </oc>
    <nc r="T6">
      <f>VLOOKUP(A6,INPUT_RANGE,57,FALSE) &amp; " HR"</f>
    </nc>
  </rcc>
  <rcc rId="213" sId="5">
    <oc r="U6">
      <f>VLOOKUP(A6,INPUT_RANGE,53,FALSE) &amp; " r"</f>
    </oc>
    <nc r="U6">
      <f>VLOOKUP(A6,INPUT_RANGE,53,FALSE) &amp; " R"</f>
    </nc>
  </rcc>
  <rcc rId="214" sId="5">
    <oc r="V6">
      <f>TEXT(AX6, ".000") &amp; " obp"</f>
    </oc>
    <nc r="V6">
      <f>TEXT(AX6, ".000") &amp; " OBP"</f>
    </nc>
  </rcc>
  <rcc rId="215" sId="5">
    <oc r="X6">
      <f>VLOOKUP(A6,INPUT_RANGE,77,FALSE)&amp;" games"</f>
    </oc>
    <nc r="X6">
      <f>VLOOKUP(A6,INPUT_RANGE,77,FALSE)&amp;" games"</f>
    </nc>
  </rcc>
  <rcc rId="216" sId="5">
    <oc r="Y6">
      <f>VLOOKUP(A6,INPUT_RANGE,78,FALSE) &amp; " starts"</f>
    </oc>
    <nc r="Y6">
      <f>VLOOKUP(A6,INPUT_RANGE,78,FALSE) &amp; " starts"</f>
    </nc>
  </rcc>
  <rcc rId="217" sId="5">
    <oc r="Z6">
      <f>VLOOKUP(A6,INPUT_RANGE,82,FALSE) &amp; " ip"</f>
    </oc>
    <nc r="Z6">
      <f>VLOOKUP(A6,INPUT_RANGE,82,FALSE) &amp; " IP"</f>
    </nc>
  </rcc>
  <rcc rId="218" sId="5">
    <oc r="AA6">
      <f>TRUNC(VLOOKUP(A6,INPUT_RANGE,82,FALSE)) &amp;  IF(AR6=0.333,"º",IF(AR6=0.666,"»",""))</f>
    </oc>
    <nc r="AA6">
      <f>TRUNC(VLOOKUP(A6,INPUT_RANGE,82,FALSE)) &amp;  IF(AR6=0.333,"º",IF(AR6=0.666,"»",""))</f>
    </nc>
  </rcc>
  <rcc rId="219" sId="5">
    <oc r="AB6">
      <f>AA6&amp; " ip"</f>
    </oc>
    <nc r="AB6">
      <f>AA6&amp; " IP"</f>
    </nc>
  </rcc>
  <rcc rId="220" sId="5">
    <oc r="AC6">
      <f>VLOOKUP(A6,INPUT_RANGE,79,FALSE) &amp; " cg"</f>
    </oc>
    <nc r="AC6">
      <f>VLOOKUP(A6,INPUT_RANGE,79,FALSE) &amp; " CG"</f>
    </nc>
  </rcc>
  <rcc rId="221" sId="5">
    <oc r="AD6">
      <f>VLOOKUP(A6,INPUT_RANGE,80,FALSE) &amp; " sho"</f>
    </oc>
    <nc r="AD6">
      <f>VLOOKUP(A6,INPUT_RANGE,80,FALSE) &amp; " SHO"</f>
    </nc>
  </rcc>
  <rcc rId="222" sId="5">
    <oc r="AE6">
      <f>VLOOKUP(A6,INPUT_RANGE,75,FALSE) &amp; " win"</f>
    </oc>
    <nc r="AE6">
      <f>VLOOKUP(A6,INPUT_RANGE,75,FALSE) &amp; " Win"</f>
    </nc>
  </rcc>
  <rcc rId="223" sId="5">
    <oc r="AF6">
      <f>VLOOKUP(A6,INPUT_RANGE,76,FALSE) &amp; " loss"</f>
    </oc>
    <nc r="AF6">
      <f>VLOOKUP(A6,INPUT_RANGE,76,FALSE) &amp; " Loss"</f>
    </nc>
  </rcc>
  <rcc rId="224" sId="5">
    <oc r="AG6">
      <f>VLOOKUP(A6,INPUT_RANGE,75,FALSE) &amp; "-" &amp; VLOOKUP(A6,INPUT_RANGE,76,FALSE) &amp; " w-l"</f>
    </oc>
    <nc r="AG6">
      <f>VLOOKUP(A6,INPUT_RANGE,75,FALSE) &amp; "-" &amp; VLOOKUP(A6,INPUT_RANGE,76,FALSE) &amp; " W-L"</f>
    </nc>
  </rcc>
  <rcc rId="225" sId="5">
    <oc r="AH6">
      <f>VLOOKUP(A6,INPUT_RANGE,81,FALSE)&amp; " saves"</f>
    </oc>
    <nc r="AH6">
      <f>VLOOKUP(A6,INPUT_RANGE,81,FALSE)&amp; " Saves"</f>
    </nc>
  </rcc>
  <rcc rId="226" sId="5">
    <oc r="AI6">
      <f>VLOOKUP(A6,INPUT_RANGE,83,FALSE) &amp; " h"</f>
    </oc>
    <nc r="AI6">
      <f>VLOOKUP(A6,INPUT_RANGE,83,FALSE) &amp; " H"</f>
    </nc>
  </rcc>
  <rcc rId="227" sId="5">
    <oc r="AJ6">
      <f>VLOOKUP(A6,INPUT_RANGE,84,FALSE) &amp; " r"</f>
    </oc>
    <nc r="AJ6">
      <f>VLOOKUP(A6,INPUT_RANGE,84,FALSE) &amp; " R"</f>
    </nc>
  </rcc>
  <rcc rId="228" sId="5">
    <oc r="AK6">
      <f>VLOOKUP(A6,INPUT_RANGE,85,FALSE) &amp;" er"</f>
    </oc>
    <nc r="AK6">
      <f>VLOOKUP(A6,INPUT_RANGE,85,FALSE) &amp;" ER"</f>
    </nc>
  </rcc>
  <rcc rId="229" sId="5">
    <oc r="AL6">
      <f>VLOOKUP(A6,INPUT_RANGE,88,FALSE) &amp;" hr"</f>
    </oc>
    <nc r="AL6">
      <f>VLOOKUP(A6,INPUT_RANGE,88,FALSE) &amp;" HR"</f>
    </nc>
  </rcc>
  <rcc rId="230" sId="5">
    <oc r="AM6">
      <f>VLOOKUP(A6,INPUT_RANGE,87,FALSE) &amp; " k"</f>
    </oc>
    <nc r="AM6">
      <f>VLOOKUP(A6,INPUT_RANGE,87,FALSE) &amp; " K"</f>
    </nc>
  </rcc>
  <rcc rId="231" sId="5">
    <oc r="AN6">
      <f>VLOOKUP(A6,INPUT_RANGE,86,FALSE) &amp; " bb"</f>
    </oc>
    <nc r="AN6">
      <f>VLOOKUP(A6,INPUT_RANGE,86,FALSE) &amp; " BB"</f>
    </nc>
  </rcc>
  <rcc rId="232" sId="5">
    <oc r="AO6">
      <f>TEXT(AU6,"0.00") &amp; " era"</f>
    </oc>
    <nc r="AO6">
      <f>TEXT(AU6,"0.00") &amp; " ERA"</f>
    </nc>
  </rcc>
  <rcc rId="233" sId="5">
    <oc r="AP6">
      <f>TEXT(AT6,"0.00") &amp; " whip"</f>
    </oc>
    <nc r="AP6">
      <f>TEXT(AT6,"0.00") &amp; " WHIP"</f>
    </nc>
  </rcc>
  <rcc rId="234" sId="5">
    <oc r="AQ6">
      <f xml:space="preserve"> IF(LEFT(RIGHT((VLOOKUP(A6,INPUT_RANGE,82,FALSE)),2),1)=".",RIGHT(VLOOKUP(A6,INPUT_RANGE,82,FALSE),1), "X")</f>
    </oc>
    <nc r="AQ6">
      <f xml:space="preserve"> IF(LEFT(RIGHT((VLOOKUP(A6,INPUT_RANGE,82,FALSE)),2),1)=".",RIGHT(VLOOKUP(A6,INPUT_RANGE,82,FALSE),1), "X")</f>
    </nc>
  </rcc>
  <rcc rId="235" sId="5">
    <oc r="AR6">
      <f>IF(AQ6 ="1",0.333,IF(AQ6="2",0.666,0))</f>
    </oc>
    <nc r="AR6">
      <f>IF(AQ6 ="1",0.333,IF(AQ6="2",0.666,0))</f>
    </nc>
  </rcc>
  <rcc rId="236" sId="5">
    <oc r="AS6">
      <f>VLOOKUP(A6,INPUT_RANGE,82,FALSE)-(AQ6*0.1)+AR6</f>
    </oc>
    <nc r="AS6">
      <f>VLOOKUP(A6,INPUT_RANGE,82,FALSE)-(AQ6*0.1)+AR6</f>
    </nc>
  </rcc>
  <rcc rId="237" sId="5">
    <oc r="AT6">
      <f>ROUND((VLOOKUP(A6,INPUT_RANGE,86,FALSE)+VLOOKUP(A6,INPUT_RANGE,83,FALSE))/AS6,2)</f>
    </oc>
    <nc r="AT6">
      <f>ROUND((VLOOKUP(A6,INPUT_RANGE,86,FALSE)+VLOOKUP(A6,INPUT_RANGE,83,FALSE))/AS6,2)</f>
    </nc>
  </rcc>
  <rcc rId="238" sId="5">
    <oc r="AU6">
      <f>ROUND((VLOOKUP(A6,INPUT_RANGE,85,FALSE)/AS6)*('Team Info'!$H$25),2)</f>
    </oc>
    <nc r="AU6">
      <f>ROUND((VLOOKUP(A6,INPUT_RANGE,85,FALSE)/AS6)*('D:\Data\Softball\[ESPN_BASEBALL_AWAY_OLD.xlsx]Team Info'!$H$25),2)</f>
    </nc>
  </rcc>
  <rcc rId="239" sId="5">
    <oc r="AW6">
      <f>(VLOOKUP(A6,INPUT_RANGE,54,FALSE)/VLOOKUP(A6,INPUT_RANGE,52,FALSE))</f>
    </oc>
    <nc r="AW6">
      <f>(VLOOKUP(A6,INPUT_RANGE,54,FALSE)/VLOOKUP(A6,INPUT_RANGE,52,FALSE))</f>
    </nc>
  </rcc>
  <rcc rId="240" sId="5">
    <oc r="AX6">
      <f>((VLOOKUP(A6,INPUT_RANGE,54,FALSE)+VLOOKUP(A6,INPUT_RANGE,60,FALSE)+VLOOKUP(A6,INPUT_RANGE,59,FALSE))/(VLOOKUP(A6,INPUT_RANGE,52,FALSE)+VLOOKUP(A6,INPUT_RANGE,60,FALSE)+VLOOKUP(A6,INPUT_RANGE,59,FALSE)+VLOOKUP(A6,INPUT_RANGE,63,FALSE)))</f>
    </oc>
    <nc r="AX6">
      <f>((VLOOKUP(A6,INPUT_RANGE,54,FALSE)+VLOOKUP(A6,INPUT_RANGE,60,FALSE)+VLOOKUP(A6,INPUT_RANGE,59,FALSE))/(VLOOKUP(A6,INPUT_RANGE,52,FALSE)+VLOOKUP(A6,INPUT_RANGE,60,FALSE)+VLOOKUP(A6,INPUT_RANGE,59,FALSE)+VLOOKUP(A6,INPUT_RANGE,63,FALSE)))</f>
    </nc>
  </rcc>
  <rcc rId="241" sId="5">
    <oc r="AY6">
      <f>(VLOOKUP(A6,INPUT_RANGE,54)+VLOOKUP(A6,INPUT_RANGE,55)+(VLOOKUP(A6,INPUT_RANGE,56)*2)+(VLOOKUP(A6,INPUT_RANGE,57)*3))/(VLOOKUP(A6,INPUT_RANGE,52))</f>
    </oc>
    <nc r="AY6">
      <f>(VLOOKUP(A6,INPUT_RANGE,54)+VLOOKUP(A6,INPUT_RANGE,55)+(VLOOKUP(A6,INPUT_RANGE,56)*2)+(VLOOKUP(A6,INPUT_RANGE,57)*3))/(VLOOKUP(A6,INPUT_RANGE,52))</f>
    </nc>
  </rcc>
  <rcc rId="242" sId="5">
    <oc r="AZ6">
      <f>AX6+AY6</f>
    </oc>
    <nc r="AZ6">
      <f>AX6+AY6</f>
    </nc>
  </rcc>
  <rcc rId="243" sId="5">
    <oc r="BA6">
      <f xml:space="preserve"> TEXT(AZ6,".000") &amp; " ops"</f>
    </oc>
    <nc r="BA6">
      <f xml:space="preserve"> TEXT(AZ6,".000") &amp; " OPS"</f>
    </nc>
  </rcc>
  <rcc rId="244" sId="5">
    <oc r="BB6">
      <f>VLOOKUP(A6,INPUT_RANGE,78,FALSE)</f>
    </oc>
    <nc r="BB6">
      <f>VLOOKUP(A6,INPUT_RANGE,78,FALSE)</f>
    </nc>
  </rcc>
  <rcc rId="245" sId="5">
    <oc r="BC6">
      <f>VLOOKUP(A6,INPUT_RANGE,77,FALSE)</f>
    </oc>
    <nc r="BC6">
      <f>VLOOKUP(A6,INPUT_RANGE,77,FALSE)</f>
    </nc>
  </rcc>
  <rcc rId="246" sId="5">
    <oc r="BD6">
      <f>VLOOKUP(A6,INPUT_RANGE,75,FALSE) &amp; "-" &amp; VLOOKUP(A6,INPUT_RANGE,76,FALSE)</f>
    </oc>
    <nc r="BD6">
      <f>VLOOKUP(A6,INPUT_RANGE,75,FALSE) &amp; "-" &amp; VLOOKUP(A6,INPUT_RANGE,76,FALSE)</f>
    </nc>
  </rcc>
  <rcc rId="247" sId="5">
    <oc r="BE6">
      <f>AU6</f>
    </oc>
    <nc r="BE6">
      <f>AU6</f>
    </nc>
  </rcc>
  <rcc rId="248" sId="5">
    <oc r="BF6">
      <f>AA6</f>
    </oc>
    <nc r="BF6">
      <f>AA6</f>
    </nc>
  </rcc>
  <rcc rId="249" sId="5">
    <oc r="BG6">
      <f>VLOOKUP(A6,INPUT_RANGE,86,FALSE)</f>
    </oc>
    <nc r="BG6">
      <f>VLOOKUP(A6,INPUT_RANGE,86,FALSE)</f>
    </nc>
  </rcc>
  <rcc rId="250" sId="5">
    <oc r="BH6">
      <f>VLOOKUP(A6,INPUT_RANGE,87,FALSE)</f>
    </oc>
    <nc r="BH6">
      <f>VLOOKUP(A6,INPUT_RANGE,87,FALSE)</f>
    </nc>
  </rcc>
  <rcc rId="251" sId="5">
    <oc r="BI6">
      <f>VLOOKUP(A6,INPUT_RANGE,81,FALSE) &amp; " SAVES"</f>
    </oc>
    <nc r="BI6">
      <f>VLOOKUP(A6,INPUT_RANGE,81,FALSE) &amp; " SAVES"</f>
    </nc>
  </rcc>
  <rcc rId="252" sId="5">
    <oc r="BJ6">
      <f>VLOOKUP(A6,INPUT_RANGE,81,FALSE)</f>
    </oc>
    <nc r="BJ6">
      <f>VLOOKUP(A6,INPUT_RANGE,81,FALSE)</f>
    </nc>
  </rcc>
  <rcc rId="253" sId="5">
    <oc r="BK6">
      <f>VLOOKUP(A6,INPUT_RANGE,83,FALSE)</f>
    </oc>
    <nc r="BK6">
      <f>VLOOKUP(A6,INPUT_RANGE,83,FALSE)</f>
    </nc>
  </rcc>
  <rcc rId="254" sId="5">
    <oc r="BL6">
      <f>VLOOKUP(A6,INPUT_RANGE,87,FALSE) &amp; "/" &amp; VLOOKUP(A6,INPUT_RANGE,86,FALSE)</f>
    </oc>
    <nc r="BL6">
      <f>VLOOKUP(A6,INPUT_RANGE,87,FALSE) &amp; "/" &amp; VLOOKUP(A6,INPUT_RANGE,86,FALSE)</f>
    </nc>
  </rcc>
  <rcc rId="255" sId="5">
    <oc r="BM6">
      <f>ROUND((VLOOKUP(A6,INPUT_RANGE,86,FALSE)+VLOOKUP(A6,INPUT_RANGE,83,FALSE))/AS6,2)</f>
    </oc>
    <nc r="BM6">
      <f>ROUND((VLOOKUP(A6,INPUT_RANGE,86,FALSE)+VLOOKUP(A6,INPUT_RANGE,83,FALSE))/AS6,2)</f>
    </nc>
  </rcc>
  <rcc rId="256" sId="5">
    <oc r="M7">
      <f xml:space="preserve"> TEXT(AW7,".000") &amp; " ba"</f>
    </oc>
    <nc r="M7">
      <f xml:space="preserve"> TEXT(AW7,".000") &amp; " BA"</f>
    </nc>
  </rcc>
  <rcc rId="257" sId="5">
    <oc r="N7">
      <f>VLOOKUP(A7,INPUT_RANGE,58,FALSE) &amp; " rbi"</f>
    </oc>
    <nc r="N7">
      <f>VLOOKUP(A7,INPUT_RANGE,58,FALSE) &amp; " RBI"</f>
    </nc>
  </rcc>
  <rcc rId="258" sId="5">
    <oc r="O7">
      <f>VLOOKUP(A7,INPUT_RANGE,60,FALSE) &amp; " bb"</f>
    </oc>
    <nc r="O7">
      <f>VLOOKUP(A7,INPUT_RANGE,60,FALSE) &amp; " BB"</f>
    </nc>
  </rcc>
  <rcc rId="259" sId="5">
    <oc r="P7">
      <f>VLOOKUP(A7,INPUT_RANGE,61,FALSE) &amp; " k"</f>
    </oc>
    <nc r="P7">
      <f>VLOOKUP(A7,INPUT_RANGE,61,FALSE) &amp; " K"</f>
    </nc>
  </rcc>
  <rcc rId="260" sId="5">
    <oc r="Q7">
      <f>VLOOKUP(A7,INPUT_RANGE,64,FALSE) &amp; " sb"</f>
    </oc>
    <nc r="Q7">
      <f>VLOOKUP(A7,INPUT_RANGE,64,FALSE) &amp; " SB"</f>
    </nc>
  </rcc>
  <rcc rId="261" sId="5">
    <oc r="R7">
      <f>VLOOKUP(A7,INPUT_RANGE,55,FALSE) &amp; " 2b"</f>
    </oc>
    <nc r="R7">
      <f>VLOOKUP(A7,INPUT_RANGE,55,FALSE) &amp; " 2B"</f>
    </nc>
  </rcc>
  <rcc rId="262" sId="5">
    <oc r="S7">
      <f>VLOOKUP(A7,INPUT_RANGE,56,FALSE) &amp; " 3b"</f>
    </oc>
    <nc r="S7">
      <f>VLOOKUP(A7,INPUT_RANGE,56,FALSE) &amp; " 3B"</f>
    </nc>
  </rcc>
  <rcc rId="263" sId="5">
    <oc r="T7">
      <f>VLOOKUP(A7,INPUT_RANGE,57,FALSE) &amp; " hr"</f>
    </oc>
    <nc r="T7">
      <f>VLOOKUP(A7,INPUT_RANGE,57,FALSE) &amp; " HR"</f>
    </nc>
  </rcc>
  <rcc rId="264" sId="5">
    <oc r="U7">
      <f>VLOOKUP(A7,INPUT_RANGE,53,FALSE) &amp; " r"</f>
    </oc>
    <nc r="U7">
      <f>VLOOKUP(A7,INPUT_RANGE,53,FALSE) &amp; " R"</f>
    </nc>
  </rcc>
  <rcc rId="265" sId="5">
    <oc r="V7">
      <f>TEXT(AX7, ".000") &amp; " obp"</f>
    </oc>
    <nc r="V7">
      <f>TEXT(AX7, ".000") &amp; " OBP"</f>
    </nc>
  </rcc>
  <rcc rId="266" sId="5">
    <oc r="X7">
      <f>VLOOKUP(A7,INPUT_RANGE,77,FALSE)&amp;" games"</f>
    </oc>
    <nc r="X7">
      <f>VLOOKUP(A7,INPUT_RANGE,77,FALSE)&amp;" games"</f>
    </nc>
  </rcc>
  <rcc rId="267" sId="5">
    <oc r="Y7">
      <f>VLOOKUP(A7,INPUT_RANGE,78,FALSE) &amp; " starts"</f>
    </oc>
    <nc r="Y7">
      <f>VLOOKUP(A7,INPUT_RANGE,78,FALSE) &amp; " starts"</f>
    </nc>
  </rcc>
  <rcc rId="268" sId="5">
    <oc r="Z7">
      <f>VLOOKUP(A7,INPUT_RANGE,82,FALSE) &amp; " ip"</f>
    </oc>
    <nc r="Z7">
      <f>VLOOKUP(A7,INPUT_RANGE,82,FALSE) &amp; " IP"</f>
    </nc>
  </rcc>
  <rcc rId="269" sId="5">
    <oc r="AA7">
      <f>TRUNC(VLOOKUP(A7,INPUT_RANGE,82,FALSE)) &amp;  IF(AR7=0.333,"º",IF(AR7=0.666,"»",""))</f>
    </oc>
    <nc r="AA7">
      <f>TRUNC(VLOOKUP(A7,INPUT_RANGE,82,FALSE)) &amp;  IF(AR7=0.333,"º",IF(AR7=0.666,"»",""))</f>
    </nc>
  </rcc>
  <rcc rId="270" sId="5">
    <oc r="AB7">
      <f>AA7&amp; " ip"</f>
    </oc>
    <nc r="AB7">
      <f>AA7&amp; " IP"</f>
    </nc>
  </rcc>
  <rcc rId="271" sId="5">
    <oc r="AC7">
      <f>VLOOKUP(A7,INPUT_RANGE,79,FALSE) &amp; " cg"</f>
    </oc>
    <nc r="AC7">
      <f>VLOOKUP(A7,INPUT_RANGE,79,FALSE) &amp; " CG"</f>
    </nc>
  </rcc>
  <rcc rId="272" sId="5">
    <oc r="AD7">
      <f>VLOOKUP(A7,INPUT_RANGE,80,FALSE) &amp; " sho"</f>
    </oc>
    <nc r="AD7">
      <f>VLOOKUP(A7,INPUT_RANGE,80,FALSE) &amp; " SHO"</f>
    </nc>
  </rcc>
  <rcc rId="273" sId="5">
    <oc r="AE7">
      <f>VLOOKUP(A7,INPUT_RANGE,75,FALSE) &amp; " win"</f>
    </oc>
    <nc r="AE7">
      <f>VLOOKUP(A7,INPUT_RANGE,75,FALSE) &amp; " Win"</f>
    </nc>
  </rcc>
  <rcc rId="274" sId="5">
    <oc r="AF7">
      <f>VLOOKUP(A7,INPUT_RANGE,76,FALSE) &amp; " loss"</f>
    </oc>
    <nc r="AF7">
      <f>VLOOKUP(A7,INPUT_RANGE,76,FALSE) &amp; " Loss"</f>
    </nc>
  </rcc>
  <rcc rId="275" sId="5">
    <oc r="AG7">
      <f>VLOOKUP(A7,INPUT_RANGE,75,FALSE) &amp; "-" &amp; VLOOKUP(A7,INPUT_RANGE,76,FALSE) &amp; " w-l"</f>
    </oc>
    <nc r="AG7">
      <f>VLOOKUP(A7,INPUT_RANGE,75,FALSE) &amp; "-" &amp; VLOOKUP(A7,INPUT_RANGE,76,FALSE) &amp; " W-L"</f>
    </nc>
  </rcc>
  <rcc rId="276" sId="5">
    <oc r="AH7">
      <f>VLOOKUP(A7,INPUT_RANGE,81,FALSE)&amp; " saves"</f>
    </oc>
    <nc r="AH7">
      <f>VLOOKUP(A7,INPUT_RANGE,81,FALSE)&amp; " Saves"</f>
    </nc>
  </rcc>
  <rcc rId="277" sId="5">
    <oc r="AI7">
      <f>VLOOKUP(A7,INPUT_RANGE,83,FALSE) &amp; " h"</f>
    </oc>
    <nc r="AI7">
      <f>VLOOKUP(A7,INPUT_RANGE,83,FALSE) &amp; " H"</f>
    </nc>
  </rcc>
  <rcc rId="278" sId="5">
    <oc r="AJ7">
      <f>VLOOKUP(A7,INPUT_RANGE,84,FALSE) &amp; " r"</f>
    </oc>
    <nc r="AJ7">
      <f>VLOOKUP(A7,INPUT_RANGE,84,FALSE) &amp; " R"</f>
    </nc>
  </rcc>
  <rcc rId="279" sId="5">
    <oc r="AK7">
      <f>VLOOKUP(A7,INPUT_RANGE,85,FALSE) &amp;" er"</f>
    </oc>
    <nc r="AK7">
      <f>VLOOKUP(A7,INPUT_RANGE,85,FALSE) &amp;" ER"</f>
    </nc>
  </rcc>
  <rcc rId="280" sId="5">
    <oc r="AL7">
      <f>VLOOKUP(A7,INPUT_RANGE,88,FALSE) &amp;" hr"</f>
    </oc>
    <nc r="AL7">
      <f>VLOOKUP(A7,INPUT_RANGE,88,FALSE) &amp;" HR"</f>
    </nc>
  </rcc>
  <rcc rId="281" sId="5">
    <oc r="AM7">
      <f>VLOOKUP(A7,INPUT_RANGE,87,FALSE) &amp; " k"</f>
    </oc>
    <nc r="AM7">
      <f>VLOOKUP(A7,INPUT_RANGE,87,FALSE) &amp; " K"</f>
    </nc>
  </rcc>
  <rcc rId="282" sId="5">
    <oc r="AN7">
      <f>VLOOKUP(A7,INPUT_RANGE,86,FALSE) &amp; " bb"</f>
    </oc>
    <nc r="AN7">
      <f>VLOOKUP(A7,INPUT_RANGE,86,FALSE) &amp; " BB"</f>
    </nc>
  </rcc>
  <rcc rId="283" sId="5">
    <oc r="AO7">
      <f>TEXT(AU7,"0.00") &amp; " era"</f>
    </oc>
    <nc r="AO7">
      <f>TEXT(AU7,"0.00") &amp; " ERA"</f>
    </nc>
  </rcc>
  <rcc rId="284" sId="5">
    <oc r="AP7">
      <f>TEXT(AT7,"0.00") &amp; " whip"</f>
    </oc>
    <nc r="AP7">
      <f>TEXT(AT7,"0.00") &amp; " WHIP"</f>
    </nc>
  </rcc>
  <rcc rId="285" sId="5">
    <oc r="AQ7">
      <f xml:space="preserve"> IF(LEFT(RIGHT((VLOOKUP(A7,INPUT_RANGE,82,FALSE)),2),1)=".",RIGHT(VLOOKUP(A7,INPUT_RANGE,82,FALSE),1), "X")</f>
    </oc>
    <nc r="AQ7">
      <f xml:space="preserve"> IF(LEFT(RIGHT((VLOOKUP(A7,INPUT_RANGE,82,FALSE)),2),1)=".",RIGHT(VLOOKUP(A7,INPUT_RANGE,82,FALSE),1), "X")</f>
    </nc>
  </rcc>
  <rcc rId="286" sId="5">
    <oc r="AR7">
      <f>IF(AQ7 ="1",0.333,IF(AQ7="2",0.666,0))</f>
    </oc>
    <nc r="AR7">
      <f>IF(AQ7 ="1",0.333,IF(AQ7="2",0.666,0))</f>
    </nc>
  </rcc>
  <rcc rId="287" sId="5">
    <oc r="AS7">
      <f>VLOOKUP(A7,INPUT_RANGE,82,FALSE)-(AQ7*0.1)+AR7</f>
    </oc>
    <nc r="AS7">
      <f>VLOOKUP(A7,INPUT_RANGE,82,FALSE)-(AQ7*0.1)+AR7</f>
    </nc>
  </rcc>
  <rcc rId="288" sId="5">
    <oc r="AT7">
      <f>ROUND((VLOOKUP(A7,INPUT_RANGE,86,FALSE)+VLOOKUP(A7,INPUT_RANGE,83,FALSE))/AS7,2)</f>
    </oc>
    <nc r="AT7">
      <f>ROUND((VLOOKUP(A7,INPUT_RANGE,86,FALSE)+VLOOKUP(A7,INPUT_RANGE,83,FALSE))/AS7,2)</f>
    </nc>
  </rcc>
  <rcc rId="289" sId="5">
    <oc r="AU7">
      <f>ROUND((VLOOKUP(A7,INPUT_RANGE,85,FALSE)/AS7)*('Team Info'!$H$25),2)</f>
    </oc>
    <nc r="AU7">
      <f>ROUND((VLOOKUP(A7,INPUT_RANGE,85,FALSE)/AS7)*('D:\Data\Softball\[ESPN_BASEBALL_AWAY_OLD.xlsx]Team Info'!$H$25),2)</f>
    </nc>
  </rcc>
  <rcc rId="290" sId="5">
    <oc r="AW7">
      <f>(VLOOKUP(A7,INPUT_RANGE,54,FALSE)/VLOOKUP(A7,INPUT_RANGE,52,FALSE))</f>
    </oc>
    <nc r="AW7">
      <f>(VLOOKUP(A7,INPUT_RANGE,54,FALSE)/VLOOKUP(A7,INPUT_RANGE,52,FALSE))</f>
    </nc>
  </rcc>
  <rcc rId="291" sId="5">
    <oc r="AX7">
      <f>((VLOOKUP(A7,INPUT_RANGE,54,FALSE)+VLOOKUP(A7,INPUT_RANGE,60,FALSE)+VLOOKUP(A7,INPUT_RANGE,59,FALSE))/(VLOOKUP(A7,INPUT_RANGE,52,FALSE)+VLOOKUP(A7,INPUT_RANGE,60,FALSE)+VLOOKUP(A7,INPUT_RANGE,59,FALSE)+VLOOKUP(A7,INPUT_RANGE,63,FALSE)))</f>
    </oc>
    <nc r="AX7">
      <f>((VLOOKUP(A7,INPUT_RANGE,54,FALSE)+VLOOKUP(A7,INPUT_RANGE,60,FALSE)+VLOOKUP(A7,INPUT_RANGE,59,FALSE))/(VLOOKUP(A7,INPUT_RANGE,52,FALSE)+VLOOKUP(A7,INPUT_RANGE,60,FALSE)+VLOOKUP(A7,INPUT_RANGE,59,FALSE)+VLOOKUP(A7,INPUT_RANGE,63,FALSE)))</f>
    </nc>
  </rcc>
  <rcc rId="292" sId="5">
    <oc r="AY7">
      <f>(VLOOKUP(A7,INPUT_RANGE,54)+VLOOKUP(A7,INPUT_RANGE,55)+(VLOOKUP(A7,INPUT_RANGE,56)*2)+(VLOOKUP(A7,INPUT_RANGE,57)*3))/(VLOOKUP(A7,INPUT_RANGE,52))</f>
    </oc>
    <nc r="AY7">
      <f>(VLOOKUP(A7,INPUT_RANGE,54)+VLOOKUP(A7,INPUT_RANGE,55)+(VLOOKUP(A7,INPUT_RANGE,56)*2)+(VLOOKUP(A7,INPUT_RANGE,57)*3))/(VLOOKUP(A7,INPUT_RANGE,52))</f>
    </nc>
  </rcc>
  <rcc rId="293" sId="5">
    <oc r="AZ7">
      <f>AX7+AY7</f>
    </oc>
    <nc r="AZ7">
      <f>AX7+AY7</f>
    </nc>
  </rcc>
  <rcc rId="294" sId="5">
    <oc r="BA7">
      <f xml:space="preserve"> TEXT(AZ7,".000") &amp; " ops"</f>
    </oc>
    <nc r="BA7">
      <f xml:space="preserve"> TEXT(AZ7,".000") &amp; " OPS"</f>
    </nc>
  </rcc>
  <rcc rId="295" sId="5">
    <oc r="BB7">
      <f>VLOOKUP(A7,INPUT_RANGE,78,FALSE)</f>
    </oc>
    <nc r="BB7">
      <f>VLOOKUP(A7,INPUT_RANGE,78,FALSE)</f>
    </nc>
  </rcc>
  <rcc rId="296" sId="5">
    <oc r="BC7">
      <f>VLOOKUP(A7,INPUT_RANGE,77,FALSE)</f>
    </oc>
    <nc r="BC7">
      <f>VLOOKUP(A7,INPUT_RANGE,77,FALSE)</f>
    </nc>
  </rcc>
  <rcc rId="297" sId="5">
    <oc r="BD7">
      <f>VLOOKUP(A7,INPUT_RANGE,75,FALSE) &amp; "-" &amp; VLOOKUP(A7,INPUT_RANGE,76,FALSE)</f>
    </oc>
    <nc r="BD7">
      <f>VLOOKUP(A7,INPUT_RANGE,75,FALSE) &amp; "-" &amp; VLOOKUP(A7,INPUT_RANGE,76,FALSE)</f>
    </nc>
  </rcc>
  <rcc rId="298" sId="5">
    <oc r="BE7">
      <f>AU7</f>
    </oc>
    <nc r="BE7">
      <f>AU7</f>
    </nc>
  </rcc>
  <rcc rId="299" sId="5">
    <oc r="BF7">
      <f>AA7</f>
    </oc>
    <nc r="BF7">
      <f>AA7</f>
    </nc>
  </rcc>
  <rcc rId="300" sId="5">
    <oc r="BG7">
      <f>VLOOKUP(A7,INPUT_RANGE,86,FALSE)</f>
    </oc>
    <nc r="BG7">
      <f>VLOOKUP(A7,INPUT_RANGE,86,FALSE)</f>
    </nc>
  </rcc>
  <rcc rId="301" sId="5">
    <oc r="BH7">
      <f>VLOOKUP(A7,INPUT_RANGE,87,FALSE)</f>
    </oc>
    <nc r="BH7">
      <f>VLOOKUP(A7,INPUT_RANGE,87,FALSE)</f>
    </nc>
  </rcc>
  <rcc rId="302" sId="5">
    <oc r="BI7">
      <f>VLOOKUP(A7,INPUT_RANGE,81,FALSE) &amp; " SAVES"</f>
    </oc>
    <nc r="BI7">
      <f>VLOOKUP(A7,INPUT_RANGE,81,FALSE) &amp; " SAVES"</f>
    </nc>
  </rcc>
  <rcc rId="303" sId="5">
    <oc r="BJ7">
      <f>VLOOKUP(A7,INPUT_RANGE,81,FALSE)</f>
    </oc>
    <nc r="BJ7">
      <f>VLOOKUP(A7,INPUT_RANGE,81,FALSE)</f>
    </nc>
  </rcc>
  <rcc rId="304" sId="5">
    <oc r="BK7">
      <f>VLOOKUP(A7,INPUT_RANGE,83,FALSE)</f>
    </oc>
    <nc r="BK7">
      <f>VLOOKUP(A7,INPUT_RANGE,83,FALSE)</f>
    </nc>
  </rcc>
  <rcc rId="305" sId="5">
    <oc r="BL7">
      <f>VLOOKUP(A7,INPUT_RANGE,87,FALSE) &amp; "/" &amp; VLOOKUP(A7,INPUT_RANGE,86,FALSE)</f>
    </oc>
    <nc r="BL7">
      <f>VLOOKUP(A7,INPUT_RANGE,87,FALSE) &amp; "/" &amp; VLOOKUP(A7,INPUT_RANGE,86,FALSE)</f>
    </nc>
  </rcc>
  <rcc rId="306" sId="5">
    <oc r="BM7">
      <f>ROUND((VLOOKUP(A7,INPUT_RANGE,86,FALSE)+VLOOKUP(A7,INPUT_RANGE,83,FALSE))/AS7,2)</f>
    </oc>
    <nc r="BM7">
      <f>ROUND((VLOOKUP(A7,INPUT_RANGE,86,FALSE)+VLOOKUP(A7,INPUT_RANGE,83,FALSE))/AS7,2)</f>
    </nc>
  </rcc>
  <rcc rId="307" sId="5">
    <oc r="M8">
      <f xml:space="preserve"> TEXT(AW8,".000") &amp; " ba"</f>
    </oc>
    <nc r="M8">
      <f xml:space="preserve"> TEXT(AW8,".000") &amp; " BA"</f>
    </nc>
  </rcc>
  <rcc rId="308" sId="5">
    <oc r="N8">
      <f>VLOOKUP(A8,INPUT_RANGE,58,FALSE) &amp; " rbi"</f>
    </oc>
    <nc r="N8">
      <f>VLOOKUP(A8,INPUT_RANGE,58,FALSE) &amp; " RBI"</f>
    </nc>
  </rcc>
  <rcc rId="309" sId="5">
    <oc r="O8">
      <f>VLOOKUP(A8,INPUT_RANGE,60,FALSE) &amp; " bb"</f>
    </oc>
    <nc r="O8">
      <f>VLOOKUP(A8,INPUT_RANGE,60,FALSE) &amp; " BB"</f>
    </nc>
  </rcc>
  <rcc rId="310" sId="5">
    <oc r="P8">
      <f>VLOOKUP(A8,INPUT_RANGE,61,FALSE) &amp; " k"</f>
    </oc>
    <nc r="P8">
      <f>VLOOKUP(A8,INPUT_RANGE,61,FALSE) &amp; " K"</f>
    </nc>
  </rcc>
  <rcc rId="311" sId="5">
    <oc r="Q8">
      <f>VLOOKUP(A8,INPUT_RANGE,64,FALSE) &amp; " sb"</f>
    </oc>
    <nc r="Q8">
      <f>VLOOKUP(A8,INPUT_RANGE,64,FALSE) &amp; " SB"</f>
    </nc>
  </rcc>
  <rcc rId="312" sId="5">
    <oc r="R8">
      <f>VLOOKUP(A8,INPUT_RANGE,55,FALSE) &amp; " 2b"</f>
    </oc>
    <nc r="R8">
      <f>VLOOKUP(A8,INPUT_RANGE,55,FALSE) &amp; " 2B"</f>
    </nc>
  </rcc>
  <rcc rId="313" sId="5">
    <oc r="S8">
      <f>VLOOKUP(A8,INPUT_RANGE,56,FALSE) &amp; " 3b"</f>
    </oc>
    <nc r="S8">
      <f>VLOOKUP(A8,INPUT_RANGE,56,FALSE) &amp; " 3B"</f>
    </nc>
  </rcc>
  <rcc rId="314" sId="5">
    <oc r="T8">
      <f>VLOOKUP(A8,INPUT_RANGE,57,FALSE) &amp; " hr"</f>
    </oc>
    <nc r="T8">
      <f>VLOOKUP(A8,INPUT_RANGE,57,FALSE) &amp; " HR"</f>
    </nc>
  </rcc>
  <rcc rId="315" sId="5">
    <oc r="U8">
      <f>VLOOKUP(A8,INPUT_RANGE,53,FALSE) &amp; " r"</f>
    </oc>
    <nc r="U8">
      <f>VLOOKUP(A8,INPUT_RANGE,53,FALSE) &amp; " R"</f>
    </nc>
  </rcc>
  <rcc rId="316" sId="5">
    <oc r="V8">
      <f>TEXT(AX8, ".000") &amp; " obp"</f>
    </oc>
    <nc r="V8">
      <f>TEXT(AX8, ".000") &amp; " OBP"</f>
    </nc>
  </rcc>
  <rcc rId="317" sId="5">
    <oc r="X8">
      <f>VLOOKUP(A8,INPUT_RANGE,77,FALSE)&amp;" games"</f>
    </oc>
    <nc r="X8">
      <f>VLOOKUP(A8,INPUT_RANGE,77,FALSE)&amp;" games"</f>
    </nc>
  </rcc>
  <rcc rId="318" sId="5">
    <oc r="Y8">
      <f>VLOOKUP(A8,INPUT_RANGE,78,FALSE) &amp; " starts"</f>
    </oc>
    <nc r="Y8">
      <f>VLOOKUP(A8,INPUT_RANGE,78,FALSE) &amp; " starts"</f>
    </nc>
  </rcc>
  <rcc rId="319" sId="5">
    <oc r="Z8">
      <f>VLOOKUP(A8,INPUT_RANGE,82,FALSE) &amp; " ip"</f>
    </oc>
    <nc r="Z8">
      <f>VLOOKUP(A8,INPUT_RANGE,82,FALSE) &amp; " IP"</f>
    </nc>
  </rcc>
  <rcc rId="320" sId="5">
    <oc r="AA8">
      <f>TRUNC(VLOOKUP(A8,INPUT_RANGE,82,FALSE)) &amp;  IF(AR8=0.333,"º",IF(AR8=0.666,"»",""))</f>
    </oc>
    <nc r="AA8">
      <f>TRUNC(VLOOKUP(A8,INPUT_RANGE,82,FALSE)) &amp;  IF(AR8=0.333,"º",IF(AR8=0.666,"»",""))</f>
    </nc>
  </rcc>
  <rcc rId="321" sId="5">
    <oc r="AB8">
      <f>AA8&amp; " ip"</f>
    </oc>
    <nc r="AB8">
      <f>AA8&amp; " IP"</f>
    </nc>
  </rcc>
  <rcc rId="322" sId="5">
    <oc r="AC8">
      <f>VLOOKUP(A8,INPUT_RANGE,79,FALSE) &amp; " cg"</f>
    </oc>
    <nc r="AC8">
      <f>VLOOKUP(A8,INPUT_RANGE,79,FALSE) &amp; " CG"</f>
    </nc>
  </rcc>
  <rcc rId="323" sId="5">
    <oc r="AD8">
      <f>VLOOKUP(A8,INPUT_RANGE,80,FALSE) &amp; " sho"</f>
    </oc>
    <nc r="AD8">
      <f>VLOOKUP(A8,INPUT_RANGE,80,FALSE) &amp; " SHO"</f>
    </nc>
  </rcc>
  <rcc rId="324" sId="5">
    <oc r="AE8">
      <f>VLOOKUP(A8,INPUT_RANGE,75,FALSE) &amp; " win"</f>
    </oc>
    <nc r="AE8">
      <f>VLOOKUP(A8,INPUT_RANGE,75,FALSE) &amp; " Win"</f>
    </nc>
  </rcc>
  <rcc rId="325" sId="5">
    <oc r="AF8">
      <f>VLOOKUP(A8,INPUT_RANGE,76,FALSE) &amp; " loss"</f>
    </oc>
    <nc r="AF8">
      <f>VLOOKUP(A8,INPUT_RANGE,76,FALSE) &amp; " Loss"</f>
    </nc>
  </rcc>
  <rcc rId="326" sId="5">
    <oc r="AG8">
      <f>VLOOKUP(A8,INPUT_RANGE,75,FALSE) &amp; "-" &amp; VLOOKUP(A8,INPUT_RANGE,76,FALSE) &amp; " w-l"</f>
    </oc>
    <nc r="AG8">
      <f>VLOOKUP(A8,INPUT_RANGE,75,FALSE) &amp; "-" &amp; VLOOKUP(A8,INPUT_RANGE,76,FALSE) &amp; " W-L"</f>
    </nc>
  </rcc>
  <rcc rId="327" sId="5">
    <oc r="AH8">
      <f>VLOOKUP(A8,INPUT_RANGE,81,FALSE)&amp; " saves"</f>
    </oc>
    <nc r="AH8">
      <f>VLOOKUP(A8,INPUT_RANGE,81,FALSE)&amp; " Saves"</f>
    </nc>
  </rcc>
  <rcc rId="328" sId="5">
    <oc r="AI8">
      <f>VLOOKUP(A8,INPUT_RANGE,83,FALSE) &amp; " h"</f>
    </oc>
    <nc r="AI8">
      <f>VLOOKUP(A8,INPUT_RANGE,83,FALSE) &amp; " H"</f>
    </nc>
  </rcc>
  <rcc rId="329" sId="5">
    <oc r="AJ8">
      <f>VLOOKUP(A8,INPUT_RANGE,84,FALSE) &amp; " r"</f>
    </oc>
    <nc r="AJ8">
      <f>VLOOKUP(A8,INPUT_RANGE,84,FALSE) &amp; " R"</f>
    </nc>
  </rcc>
  <rcc rId="330" sId="5">
    <oc r="AK8">
      <f>VLOOKUP(A8,INPUT_RANGE,85,FALSE) &amp;" er"</f>
    </oc>
    <nc r="AK8">
      <f>VLOOKUP(A8,INPUT_RANGE,85,FALSE) &amp;" ER"</f>
    </nc>
  </rcc>
  <rcc rId="331" sId="5">
    <oc r="AL8">
      <f>VLOOKUP(A8,INPUT_RANGE,88,FALSE) &amp;" hr"</f>
    </oc>
    <nc r="AL8">
      <f>VLOOKUP(A8,INPUT_RANGE,88,FALSE) &amp;" HR"</f>
    </nc>
  </rcc>
  <rcc rId="332" sId="5">
    <oc r="AM8">
      <f>VLOOKUP(A8,INPUT_RANGE,87,FALSE) &amp; " k"</f>
    </oc>
    <nc r="AM8">
      <f>VLOOKUP(A8,INPUT_RANGE,87,FALSE) &amp; " K"</f>
    </nc>
  </rcc>
  <rcc rId="333" sId="5">
    <oc r="AN8">
      <f>VLOOKUP(A8,INPUT_RANGE,86,FALSE) &amp; " bb"</f>
    </oc>
    <nc r="AN8">
      <f>VLOOKUP(A8,INPUT_RANGE,86,FALSE) &amp; " BB"</f>
    </nc>
  </rcc>
  <rcc rId="334" sId="5">
    <oc r="AO8">
      <f>TEXT(AU8,"0.00") &amp; " era"</f>
    </oc>
    <nc r="AO8">
      <f>TEXT(AU8,"0.00") &amp; " ERA"</f>
    </nc>
  </rcc>
  <rcc rId="335" sId="5">
    <oc r="AP8">
      <f>TEXT(AT8,"0.00") &amp; " whip"</f>
    </oc>
    <nc r="AP8">
      <f>TEXT(AT8,"0.00") &amp; " WHIP"</f>
    </nc>
  </rcc>
  <rcc rId="336" sId="5">
    <oc r="AQ8">
      <f xml:space="preserve"> IF(LEFT(RIGHT((VLOOKUP(A8,INPUT_RANGE,82,FALSE)),2),1)=".",RIGHT(VLOOKUP(A8,INPUT_RANGE,82,FALSE),1), "X")</f>
    </oc>
    <nc r="AQ8">
      <f xml:space="preserve"> IF(LEFT(RIGHT((VLOOKUP(A8,INPUT_RANGE,82,FALSE)),2),1)=".",RIGHT(VLOOKUP(A8,INPUT_RANGE,82,FALSE),1), "X")</f>
    </nc>
  </rcc>
  <rcc rId="337" sId="5">
    <oc r="AR8">
      <f>IF(AQ8 ="1",0.333,IF(AQ8="2",0.666,0))</f>
    </oc>
    <nc r="AR8">
      <f>IF(AQ8 ="1",0.333,IF(AQ8="2",0.666,0))</f>
    </nc>
  </rcc>
  <rcc rId="338" sId="5">
    <oc r="AS8">
      <f>VLOOKUP(A8,INPUT_RANGE,82,FALSE)-(AQ8*0.1)+AR8</f>
    </oc>
    <nc r="AS8">
      <f>VLOOKUP(A8,INPUT_RANGE,82,FALSE)-(AQ8*0.1)+AR8</f>
    </nc>
  </rcc>
  <rcc rId="339" sId="5">
    <oc r="AT8">
      <f>ROUND((VLOOKUP(A8,INPUT_RANGE,86,FALSE)+VLOOKUP(A8,INPUT_RANGE,83,FALSE))/AS8,2)</f>
    </oc>
    <nc r="AT8">
      <f>ROUND((VLOOKUP(A8,INPUT_RANGE,86,FALSE)+VLOOKUP(A8,INPUT_RANGE,83,FALSE))/AS8,2)</f>
    </nc>
  </rcc>
  <rcc rId="340" sId="5">
    <oc r="AU8">
      <f>ROUND((VLOOKUP(A8,INPUT_RANGE,85,FALSE)/AS8)*('Team Info'!$H$25),2)</f>
    </oc>
    <nc r="AU8">
      <f>ROUND((VLOOKUP(A8,INPUT_RANGE,85,FALSE)/AS8)*('D:\Data\Softball\[ESPN_BASEBALL_AWAY_OLD.xlsx]Team Info'!$H$25),2)</f>
    </nc>
  </rcc>
  <rcc rId="341" sId="5">
    <oc r="AW8">
      <f>(VLOOKUP(A8,INPUT_RANGE,54,FALSE)/VLOOKUP(A8,INPUT_RANGE,52,FALSE))</f>
    </oc>
    <nc r="AW8">
      <f>(VLOOKUP(A8,INPUT_RANGE,54,FALSE)/VLOOKUP(A8,INPUT_RANGE,52,FALSE))</f>
    </nc>
  </rcc>
  <rcc rId="342" sId="5">
    <oc r="AX8">
      <f>((VLOOKUP(A8,INPUT_RANGE,54,FALSE)+VLOOKUP(A8,INPUT_RANGE,60,FALSE)+VLOOKUP(A8,INPUT_RANGE,59,FALSE))/(VLOOKUP(A8,INPUT_RANGE,52,FALSE)+VLOOKUP(A8,INPUT_RANGE,60,FALSE)+VLOOKUP(A8,INPUT_RANGE,59,FALSE)+VLOOKUP(A8,INPUT_RANGE,63,FALSE)))</f>
    </oc>
    <nc r="AX8">
      <f>((VLOOKUP(A8,INPUT_RANGE,54,FALSE)+VLOOKUP(A8,INPUT_RANGE,60,FALSE)+VLOOKUP(A8,INPUT_RANGE,59,FALSE))/(VLOOKUP(A8,INPUT_RANGE,52,FALSE)+VLOOKUP(A8,INPUT_RANGE,60,FALSE)+VLOOKUP(A8,INPUT_RANGE,59,FALSE)+VLOOKUP(A8,INPUT_RANGE,63,FALSE)))</f>
    </nc>
  </rcc>
  <rcc rId="343" sId="5">
    <oc r="AY8">
      <f>(VLOOKUP(A8,INPUT_RANGE,54)+VLOOKUP(A8,INPUT_RANGE,55)+(VLOOKUP(A8,INPUT_RANGE,56)*2)+(VLOOKUP(A8,INPUT_RANGE,57)*3))/(VLOOKUP(A8,INPUT_RANGE,52))</f>
    </oc>
    <nc r="AY8">
      <f>(VLOOKUP(A8,INPUT_RANGE,54)+VLOOKUP(A8,INPUT_RANGE,55)+(VLOOKUP(A8,INPUT_RANGE,56)*2)+(VLOOKUP(A8,INPUT_RANGE,57)*3))/(VLOOKUP(A8,INPUT_RANGE,52))</f>
    </nc>
  </rcc>
  <rcc rId="344" sId="5">
    <oc r="AZ8">
      <f>AX8+AY8</f>
    </oc>
    <nc r="AZ8">
      <f>AX8+AY8</f>
    </nc>
  </rcc>
  <rcc rId="345" sId="5">
    <oc r="BA8">
      <f xml:space="preserve"> TEXT(AZ8,".000") &amp; " ops"</f>
    </oc>
    <nc r="BA8">
      <f xml:space="preserve"> TEXT(AZ8,".000") &amp; " OPS"</f>
    </nc>
  </rcc>
  <rcc rId="346" sId="5">
    <oc r="BB8">
      <f>VLOOKUP(A8,INPUT_RANGE,78,FALSE)</f>
    </oc>
    <nc r="BB8">
      <f>VLOOKUP(A8,INPUT_RANGE,78,FALSE)</f>
    </nc>
  </rcc>
  <rcc rId="347" sId="5">
    <oc r="BC8">
      <f>VLOOKUP(A8,INPUT_RANGE,77,FALSE)</f>
    </oc>
    <nc r="BC8">
      <f>VLOOKUP(A8,INPUT_RANGE,77,FALSE)</f>
    </nc>
  </rcc>
  <rcc rId="348" sId="5">
    <oc r="BD8">
      <f>VLOOKUP(A8,INPUT_RANGE,75,FALSE) &amp; "-" &amp; VLOOKUP(A8,INPUT_RANGE,76,FALSE)</f>
    </oc>
    <nc r="BD8">
      <f>VLOOKUP(A8,INPUT_RANGE,75,FALSE) &amp; "-" &amp; VLOOKUP(A8,INPUT_RANGE,76,FALSE)</f>
    </nc>
  </rcc>
  <rcc rId="349" sId="5">
    <oc r="BE8">
      <f>AU8</f>
    </oc>
    <nc r="BE8">
      <f>AU8</f>
    </nc>
  </rcc>
  <rcc rId="350" sId="5">
    <oc r="BF8">
      <f>AA8</f>
    </oc>
    <nc r="BF8">
      <f>AA8</f>
    </nc>
  </rcc>
  <rcc rId="351" sId="5">
    <oc r="BG8">
      <f>VLOOKUP(A8,INPUT_RANGE,86,FALSE)</f>
    </oc>
    <nc r="BG8">
      <f>VLOOKUP(A8,INPUT_RANGE,86,FALSE)</f>
    </nc>
  </rcc>
  <rcc rId="352" sId="5">
    <oc r="BH8">
      <f>VLOOKUP(A8,INPUT_RANGE,87,FALSE)</f>
    </oc>
    <nc r="BH8">
      <f>VLOOKUP(A8,INPUT_RANGE,87,FALSE)</f>
    </nc>
  </rcc>
  <rcc rId="353" sId="5">
    <oc r="BI8">
      <f>VLOOKUP(A8,INPUT_RANGE,81,FALSE) &amp; " SAVES"</f>
    </oc>
    <nc r="BI8">
      <f>VLOOKUP(A8,INPUT_RANGE,81,FALSE) &amp; " SAVES"</f>
    </nc>
  </rcc>
  <rcc rId="354" sId="5">
    <oc r="BJ8">
      <f>VLOOKUP(A8,INPUT_RANGE,81,FALSE)</f>
    </oc>
    <nc r="BJ8">
      <f>VLOOKUP(A8,INPUT_RANGE,81,FALSE)</f>
    </nc>
  </rcc>
  <rcc rId="355" sId="5">
    <oc r="BK8">
      <f>VLOOKUP(A8,INPUT_RANGE,83,FALSE)</f>
    </oc>
    <nc r="BK8">
      <f>VLOOKUP(A8,INPUT_RANGE,83,FALSE)</f>
    </nc>
  </rcc>
  <rcc rId="356" sId="5">
    <oc r="BL8">
      <f>VLOOKUP(A8,INPUT_RANGE,87,FALSE) &amp; "/" &amp; VLOOKUP(A8,INPUT_RANGE,86,FALSE)</f>
    </oc>
    <nc r="BL8">
      <f>VLOOKUP(A8,INPUT_RANGE,87,FALSE) &amp; "/" &amp; VLOOKUP(A8,INPUT_RANGE,86,FALSE)</f>
    </nc>
  </rcc>
  <rcc rId="357" sId="5">
    <oc r="BM8">
      <f>ROUND((VLOOKUP(A8,INPUT_RANGE,86,FALSE)+VLOOKUP(A8,INPUT_RANGE,83,FALSE))/AS8,2)</f>
    </oc>
    <nc r="BM8">
      <f>ROUND((VLOOKUP(A8,INPUT_RANGE,86,FALSE)+VLOOKUP(A8,INPUT_RANGE,83,FALSE))/AS8,2)</f>
    </nc>
  </rcc>
  <rcc rId="358" sId="5">
    <oc r="M9">
      <f xml:space="preserve"> TEXT(AW9,".000") &amp; " ba"</f>
    </oc>
    <nc r="M9">
      <f xml:space="preserve"> TEXT(AW9,".000") &amp; " BA"</f>
    </nc>
  </rcc>
  <rcc rId="359" sId="5">
    <oc r="N9">
      <f>VLOOKUP(A9,INPUT_RANGE,58,FALSE) &amp; " rbi"</f>
    </oc>
    <nc r="N9">
      <f>VLOOKUP(A9,INPUT_RANGE,58,FALSE) &amp; " RBI"</f>
    </nc>
  </rcc>
  <rcc rId="360" sId="5">
    <oc r="O9">
      <f>VLOOKUP(A9,INPUT_RANGE,60,FALSE) &amp; " bb"</f>
    </oc>
    <nc r="O9">
      <f>VLOOKUP(A9,INPUT_RANGE,60,FALSE) &amp; " BB"</f>
    </nc>
  </rcc>
  <rcc rId="361" sId="5">
    <oc r="P9">
      <f>VLOOKUP(A9,INPUT_RANGE,61,FALSE) &amp; " k"</f>
    </oc>
    <nc r="P9">
      <f>VLOOKUP(A9,INPUT_RANGE,61,FALSE) &amp; " K"</f>
    </nc>
  </rcc>
  <rcc rId="362" sId="5">
    <oc r="Q9">
      <f>VLOOKUP(A9,INPUT_RANGE,64,FALSE) &amp; " sb"</f>
    </oc>
    <nc r="Q9">
      <f>VLOOKUP(A9,INPUT_RANGE,64,FALSE) &amp; " SB"</f>
    </nc>
  </rcc>
  <rcc rId="363" sId="5">
    <oc r="R9">
      <f>VLOOKUP(A9,INPUT_RANGE,55,FALSE) &amp; " 2b"</f>
    </oc>
    <nc r="R9">
      <f>VLOOKUP(A9,INPUT_RANGE,55,FALSE) &amp; " 2B"</f>
    </nc>
  </rcc>
  <rcc rId="364" sId="5">
    <oc r="S9">
      <f>VLOOKUP(A9,INPUT_RANGE,56,FALSE) &amp; " 3b"</f>
    </oc>
    <nc r="S9">
      <f>VLOOKUP(A9,INPUT_RANGE,56,FALSE) &amp; " 3B"</f>
    </nc>
  </rcc>
  <rcc rId="365" sId="5">
    <oc r="T9">
      <f>VLOOKUP(A9,INPUT_RANGE,57,FALSE) &amp; " hr"</f>
    </oc>
    <nc r="T9">
      <f>VLOOKUP(A9,INPUT_RANGE,57,FALSE) &amp; " HR"</f>
    </nc>
  </rcc>
  <rcc rId="366" sId="5">
    <oc r="U9">
      <f>VLOOKUP(A9,INPUT_RANGE,53,FALSE) &amp; " r"</f>
    </oc>
    <nc r="U9">
      <f>VLOOKUP(A9,INPUT_RANGE,53,FALSE) &amp; " R"</f>
    </nc>
  </rcc>
  <rcc rId="367" sId="5">
    <oc r="V9">
      <f>TEXT(AX9, ".000") &amp; " obp"</f>
    </oc>
    <nc r="V9">
      <f>TEXT(AX9, ".000") &amp; " OBP"</f>
    </nc>
  </rcc>
  <rcc rId="368" sId="5">
    <oc r="X9">
      <f>VLOOKUP(A9,INPUT_RANGE,77,FALSE)&amp;" games"</f>
    </oc>
    <nc r="X9">
      <f>VLOOKUP(A9,INPUT_RANGE,77,FALSE)&amp;" games"</f>
    </nc>
  </rcc>
  <rcc rId="369" sId="5">
    <oc r="Y9">
      <f>VLOOKUP(A9,INPUT_RANGE,78,FALSE) &amp; " starts"</f>
    </oc>
    <nc r="Y9">
      <f>VLOOKUP(A9,INPUT_RANGE,78,FALSE) &amp; " starts"</f>
    </nc>
  </rcc>
  <rcc rId="370" sId="5">
    <oc r="Z9">
      <f>VLOOKUP(A9,INPUT_RANGE,82,FALSE) &amp; " ip"</f>
    </oc>
    <nc r="Z9">
      <f>VLOOKUP(A9,INPUT_RANGE,82,FALSE) &amp; " IP"</f>
    </nc>
  </rcc>
  <rcc rId="371" sId="5">
    <oc r="AA9">
      <f>TRUNC(VLOOKUP(A9,INPUT_RANGE,82,FALSE)) &amp;  IF(AR9=0.333,"º",IF(AR9=0.666,"»",""))</f>
    </oc>
    <nc r="AA9">
      <f>TRUNC(VLOOKUP(A9,INPUT_RANGE,82,FALSE)) &amp;  IF(AR9=0.333,"º",IF(AR9=0.666,"»",""))</f>
    </nc>
  </rcc>
  <rcc rId="372" sId="5">
    <oc r="AB9">
      <f>AA9&amp; " ip"</f>
    </oc>
    <nc r="AB9">
      <f>AA9&amp; " IP"</f>
    </nc>
  </rcc>
  <rcc rId="373" sId="5">
    <oc r="AC9">
      <f>VLOOKUP(A9,INPUT_RANGE,79,FALSE) &amp; " cg"</f>
    </oc>
    <nc r="AC9">
      <f>VLOOKUP(A9,INPUT_RANGE,79,FALSE) &amp; " CG"</f>
    </nc>
  </rcc>
  <rcc rId="374" sId="5">
    <oc r="AD9">
      <f>VLOOKUP(A9,INPUT_RANGE,80,FALSE) &amp; " sho"</f>
    </oc>
    <nc r="AD9">
      <f>VLOOKUP(A9,INPUT_RANGE,80,FALSE) &amp; " SHO"</f>
    </nc>
  </rcc>
  <rcc rId="375" sId="5">
    <oc r="AE9">
      <f>VLOOKUP(A9,INPUT_RANGE,75,FALSE) &amp; " win"</f>
    </oc>
    <nc r="AE9">
      <f>VLOOKUP(A9,INPUT_RANGE,75,FALSE) &amp; " Win"</f>
    </nc>
  </rcc>
  <rcc rId="376" sId="5">
    <oc r="AF9">
      <f>VLOOKUP(A9,INPUT_RANGE,76,FALSE) &amp; " loss"</f>
    </oc>
    <nc r="AF9">
      <f>VLOOKUP(A9,INPUT_RANGE,76,FALSE) &amp; " Loss"</f>
    </nc>
  </rcc>
  <rcc rId="377" sId="5">
    <oc r="AG9">
      <f>VLOOKUP(A9,INPUT_RANGE,75,FALSE) &amp; "-" &amp; VLOOKUP(A9,INPUT_RANGE,76,FALSE) &amp; " w-l"</f>
    </oc>
    <nc r="AG9">
      <f>VLOOKUP(A9,INPUT_RANGE,75,FALSE) &amp; "-" &amp; VLOOKUP(A9,INPUT_RANGE,76,FALSE) &amp; " W-L"</f>
    </nc>
  </rcc>
  <rcc rId="378" sId="5">
    <oc r="AH9">
      <f>VLOOKUP(A9,INPUT_RANGE,81,FALSE)&amp; " saves"</f>
    </oc>
    <nc r="AH9">
      <f>VLOOKUP(A9,INPUT_RANGE,81,FALSE)&amp; " Saves"</f>
    </nc>
  </rcc>
  <rcc rId="379" sId="5">
    <oc r="AI9">
      <f>VLOOKUP(A9,INPUT_RANGE,83,FALSE) &amp; " h"</f>
    </oc>
    <nc r="AI9">
      <f>VLOOKUP(A9,INPUT_RANGE,83,FALSE) &amp; " H"</f>
    </nc>
  </rcc>
  <rcc rId="380" sId="5">
    <oc r="AJ9">
      <f>VLOOKUP(A9,INPUT_RANGE,84,FALSE) &amp; " r"</f>
    </oc>
    <nc r="AJ9">
      <f>VLOOKUP(A9,INPUT_RANGE,84,FALSE) &amp; " R"</f>
    </nc>
  </rcc>
  <rcc rId="381" sId="5">
    <oc r="AK9">
      <f>VLOOKUP(A9,INPUT_RANGE,85,FALSE) &amp;" er"</f>
    </oc>
    <nc r="AK9">
      <f>VLOOKUP(A9,INPUT_RANGE,85,FALSE) &amp;" ER"</f>
    </nc>
  </rcc>
  <rcc rId="382" sId="5">
    <oc r="AL9">
      <f>VLOOKUP(A9,INPUT_RANGE,88,FALSE) &amp;" hr"</f>
    </oc>
    <nc r="AL9">
      <f>VLOOKUP(A9,INPUT_RANGE,88,FALSE) &amp;" HR"</f>
    </nc>
  </rcc>
  <rcc rId="383" sId="5">
    <oc r="AM9">
      <f>VLOOKUP(A9,INPUT_RANGE,87,FALSE) &amp; " k"</f>
    </oc>
    <nc r="AM9">
      <f>VLOOKUP(A9,INPUT_RANGE,87,FALSE) &amp; " K"</f>
    </nc>
  </rcc>
  <rcc rId="384" sId="5">
    <oc r="AN9">
      <f>VLOOKUP(A9,INPUT_RANGE,86,FALSE) &amp; " bb"</f>
    </oc>
    <nc r="AN9">
      <f>VLOOKUP(A9,INPUT_RANGE,86,FALSE) &amp; " BB"</f>
    </nc>
  </rcc>
  <rcc rId="385" sId="5">
    <oc r="AO9">
      <f>TEXT(AU9,"0.00") &amp; " era"</f>
    </oc>
    <nc r="AO9">
      <f>TEXT(AU9,"0.00") &amp; " ERA"</f>
    </nc>
  </rcc>
  <rcc rId="386" sId="5">
    <oc r="AP9">
      <f>TEXT(AT9,"0.00") &amp; " whip"</f>
    </oc>
    <nc r="AP9">
      <f>TEXT(AT9,"0.00") &amp; " WHIP"</f>
    </nc>
  </rcc>
  <rcc rId="387" sId="5">
    <oc r="AQ9">
      <f xml:space="preserve"> IF(LEFT(RIGHT((VLOOKUP(A9,INPUT_RANGE,82,FALSE)),2),1)=".",RIGHT(VLOOKUP(A9,INPUT_RANGE,82,FALSE),1), "X")</f>
    </oc>
    <nc r="AQ9">
      <f xml:space="preserve"> IF(LEFT(RIGHT((VLOOKUP(A9,INPUT_RANGE,82,FALSE)),2),1)=".",RIGHT(VLOOKUP(A9,INPUT_RANGE,82,FALSE),1), "X")</f>
    </nc>
  </rcc>
  <rcc rId="388" sId="5">
    <oc r="AR9">
      <f>IF(AQ9 ="1",0.333,IF(AQ9="2",0.666,0))</f>
    </oc>
    <nc r="AR9">
      <f>IF(AQ9 ="1",0.333,IF(AQ9="2",0.666,0))</f>
    </nc>
  </rcc>
  <rcc rId="389" sId="5">
    <oc r="AS9">
      <f>VLOOKUP(A9,INPUT_RANGE,82,FALSE)-(AQ9*0.1)+AR9</f>
    </oc>
    <nc r="AS9">
      <f>VLOOKUP(A9,INPUT_RANGE,82,FALSE)-(AQ9*0.1)+AR9</f>
    </nc>
  </rcc>
  <rcc rId="390" sId="5">
    <oc r="AT9">
      <f>ROUND((VLOOKUP(A9,INPUT_RANGE,86,FALSE)+VLOOKUP(A9,INPUT_RANGE,83,FALSE))/AS9,2)</f>
    </oc>
    <nc r="AT9">
      <f>ROUND((VLOOKUP(A9,INPUT_RANGE,86,FALSE)+VLOOKUP(A9,INPUT_RANGE,83,FALSE))/AS9,2)</f>
    </nc>
  </rcc>
  <rcc rId="391" sId="5">
    <oc r="AU9">
      <f>ROUND((VLOOKUP(A9,INPUT_RANGE,85,FALSE)/AS9)*('Team Info'!$H$25),2)</f>
    </oc>
    <nc r="AU9">
      <f>ROUND((VLOOKUP(A9,INPUT_RANGE,85,FALSE)/AS9)*('D:\Data\Softball\[ESPN_BASEBALL_AWAY_OLD.xlsx]Team Info'!$H$25),2)</f>
    </nc>
  </rcc>
  <rcc rId="392" sId="5">
    <oc r="AW9">
      <f>(VLOOKUP(A9,INPUT_RANGE,54,FALSE)/VLOOKUP(A9,INPUT_RANGE,52,FALSE))</f>
    </oc>
    <nc r="AW9">
      <f>(VLOOKUP(A9,INPUT_RANGE,54,FALSE)/VLOOKUP(A9,INPUT_RANGE,52,FALSE))</f>
    </nc>
  </rcc>
  <rcc rId="393" sId="5">
    <oc r="AX9">
      <f>((VLOOKUP(A9,INPUT_RANGE,54,FALSE)+VLOOKUP(A9,INPUT_RANGE,60,FALSE)+VLOOKUP(A9,INPUT_RANGE,59,FALSE))/(VLOOKUP(A9,INPUT_RANGE,52,FALSE)+VLOOKUP(A9,INPUT_RANGE,60,FALSE)+VLOOKUP(A9,INPUT_RANGE,59,FALSE)+VLOOKUP(A9,INPUT_RANGE,63,FALSE)))</f>
    </oc>
    <nc r="AX9">
      <f>((VLOOKUP(A9,INPUT_RANGE,54,FALSE)+VLOOKUP(A9,INPUT_RANGE,60,FALSE)+VLOOKUP(A9,INPUT_RANGE,59,FALSE))/(VLOOKUP(A9,INPUT_RANGE,52,FALSE)+VLOOKUP(A9,INPUT_RANGE,60,FALSE)+VLOOKUP(A9,INPUT_RANGE,59,FALSE)+VLOOKUP(A9,INPUT_RANGE,63,FALSE)))</f>
    </nc>
  </rcc>
  <rcc rId="394" sId="5">
    <oc r="AY9">
      <f>(VLOOKUP(A9,INPUT_RANGE,54)+VLOOKUP(A9,INPUT_RANGE,55)+(VLOOKUP(A9,INPUT_RANGE,56)*2)+(VLOOKUP(A9,INPUT_RANGE,57)*3))/(VLOOKUP(A9,INPUT_RANGE,52))</f>
    </oc>
    <nc r="AY9">
      <f>(VLOOKUP(A9,INPUT_RANGE,54)+VLOOKUP(A9,INPUT_RANGE,55)+(VLOOKUP(A9,INPUT_RANGE,56)*2)+(VLOOKUP(A9,INPUT_RANGE,57)*3))/(VLOOKUP(A9,INPUT_RANGE,52))</f>
    </nc>
  </rcc>
  <rcc rId="395" sId="5">
    <oc r="AZ9">
      <f>AX9+AY9</f>
    </oc>
    <nc r="AZ9">
      <f>AX9+AY9</f>
    </nc>
  </rcc>
  <rcc rId="396" sId="5">
    <oc r="BA9">
      <f xml:space="preserve"> TEXT(AZ9,".000") &amp; " ops"</f>
    </oc>
    <nc r="BA9">
      <f xml:space="preserve"> TEXT(AZ9,".000") &amp; " OPS"</f>
    </nc>
  </rcc>
  <rcc rId="397" sId="5">
    <oc r="BB9">
      <f>VLOOKUP(A9,INPUT_RANGE,78,FALSE)</f>
    </oc>
    <nc r="BB9">
      <f>VLOOKUP(A9,INPUT_RANGE,78,FALSE)</f>
    </nc>
  </rcc>
  <rcc rId="398" sId="5">
    <oc r="BC9">
      <f>VLOOKUP(A9,INPUT_RANGE,77,FALSE)</f>
    </oc>
    <nc r="BC9">
      <f>VLOOKUP(A9,INPUT_RANGE,77,FALSE)</f>
    </nc>
  </rcc>
  <rcc rId="399" sId="5">
    <oc r="BD9">
      <f>VLOOKUP(A9,INPUT_RANGE,75,FALSE) &amp; "-" &amp; VLOOKUP(A9,INPUT_RANGE,76,FALSE)</f>
    </oc>
    <nc r="BD9">
      <f>VLOOKUP(A9,INPUT_RANGE,75,FALSE) &amp; "-" &amp; VLOOKUP(A9,INPUT_RANGE,76,FALSE)</f>
    </nc>
  </rcc>
  <rcc rId="400" sId="5">
    <oc r="BE9">
      <f>AU9</f>
    </oc>
    <nc r="BE9">
      <f>AU9</f>
    </nc>
  </rcc>
  <rcc rId="401" sId="5">
    <oc r="BF9">
      <f>AA9</f>
    </oc>
    <nc r="BF9">
      <f>AA9</f>
    </nc>
  </rcc>
  <rcc rId="402" sId="5">
    <oc r="BG9">
      <f>VLOOKUP(A9,INPUT_RANGE,86,FALSE)</f>
    </oc>
    <nc r="BG9">
      <f>VLOOKUP(A9,INPUT_RANGE,86,FALSE)</f>
    </nc>
  </rcc>
  <rcc rId="403" sId="5">
    <oc r="BH9">
      <f>VLOOKUP(A9,INPUT_RANGE,87,FALSE)</f>
    </oc>
    <nc r="BH9">
      <f>VLOOKUP(A9,INPUT_RANGE,87,FALSE)</f>
    </nc>
  </rcc>
  <rcc rId="404" sId="5">
    <oc r="BI9">
      <f>VLOOKUP(A9,INPUT_RANGE,81,FALSE) &amp; " SAVES"</f>
    </oc>
    <nc r="BI9">
      <f>VLOOKUP(A9,INPUT_RANGE,81,FALSE) &amp; " SAVES"</f>
    </nc>
  </rcc>
  <rcc rId="405" sId="5">
    <oc r="BJ9">
      <f>VLOOKUP(A9,INPUT_RANGE,81,FALSE)</f>
    </oc>
    <nc r="BJ9">
      <f>VLOOKUP(A9,INPUT_RANGE,81,FALSE)</f>
    </nc>
  </rcc>
  <rcc rId="406" sId="5">
    <oc r="BK9">
      <f>VLOOKUP(A9,INPUT_RANGE,83,FALSE)</f>
    </oc>
    <nc r="BK9">
      <f>VLOOKUP(A9,INPUT_RANGE,83,FALSE)</f>
    </nc>
  </rcc>
  <rcc rId="407" sId="5">
    <oc r="BL9">
      <f>VLOOKUP(A9,INPUT_RANGE,87,FALSE) &amp; "/" &amp; VLOOKUP(A9,INPUT_RANGE,86,FALSE)</f>
    </oc>
    <nc r="BL9">
      <f>VLOOKUP(A9,INPUT_RANGE,87,FALSE) &amp; "/" &amp; VLOOKUP(A9,INPUT_RANGE,86,FALSE)</f>
    </nc>
  </rcc>
  <rcc rId="408" sId="5">
    <oc r="BM9">
      <f>ROUND((VLOOKUP(A9,INPUT_RANGE,86,FALSE)+VLOOKUP(A9,INPUT_RANGE,83,FALSE))/AS9,2)</f>
    </oc>
    <nc r="BM9">
      <f>ROUND((VLOOKUP(A9,INPUT_RANGE,86,FALSE)+VLOOKUP(A9,INPUT_RANGE,83,FALSE))/AS9,2)</f>
    </nc>
  </rcc>
  <rcc rId="409" sId="5">
    <oc r="M10">
      <f xml:space="preserve"> TEXT(AW10,".000") &amp; " ba"</f>
    </oc>
    <nc r="M10">
      <f xml:space="preserve"> TEXT(AW10,".000") &amp; " BA"</f>
    </nc>
  </rcc>
  <rcc rId="410" sId="5">
    <oc r="N10">
      <f>VLOOKUP(A10,INPUT_RANGE,58,FALSE) &amp; " rbi"</f>
    </oc>
    <nc r="N10">
      <f>VLOOKUP(A10,INPUT_RANGE,58,FALSE) &amp; " RBI"</f>
    </nc>
  </rcc>
  <rcc rId="411" sId="5">
    <oc r="O10">
      <f>VLOOKUP(A10,INPUT_RANGE,60,FALSE) &amp; " bb"</f>
    </oc>
    <nc r="O10">
      <f>VLOOKUP(A10,INPUT_RANGE,60,FALSE) &amp; " BB"</f>
    </nc>
  </rcc>
  <rcc rId="412" sId="5">
    <oc r="P10">
      <f>VLOOKUP(A10,INPUT_RANGE,61,FALSE) &amp; " k"</f>
    </oc>
    <nc r="P10">
      <f>VLOOKUP(A10,INPUT_RANGE,61,FALSE) &amp; " K"</f>
    </nc>
  </rcc>
  <rcc rId="413" sId="5">
    <oc r="Q10">
      <f>VLOOKUP(A10,INPUT_RANGE,64,FALSE) &amp; " sb"</f>
    </oc>
    <nc r="Q10">
      <f>VLOOKUP(A10,INPUT_RANGE,64,FALSE) &amp; " SB"</f>
    </nc>
  </rcc>
  <rcc rId="414" sId="5">
    <oc r="R10">
      <f>VLOOKUP(A10,INPUT_RANGE,55,FALSE) &amp; " 2b"</f>
    </oc>
    <nc r="R10">
      <f>VLOOKUP(A10,INPUT_RANGE,55,FALSE) &amp; " 2B"</f>
    </nc>
  </rcc>
  <rcc rId="415" sId="5">
    <oc r="S10">
      <f>VLOOKUP(A10,INPUT_RANGE,56,FALSE) &amp; " 3b"</f>
    </oc>
    <nc r="S10">
      <f>VLOOKUP(A10,INPUT_RANGE,56,FALSE) &amp; " 3B"</f>
    </nc>
  </rcc>
  <rcc rId="416" sId="5">
    <oc r="T10">
      <f>VLOOKUP(A10,INPUT_RANGE,57,FALSE) &amp; " hr"</f>
    </oc>
    <nc r="T10">
      <f>VLOOKUP(A10,INPUT_RANGE,57,FALSE) &amp; " HR"</f>
    </nc>
  </rcc>
  <rcc rId="417" sId="5">
    <oc r="U10">
      <f>VLOOKUP(A10,INPUT_RANGE,53,FALSE) &amp; " r"</f>
    </oc>
    <nc r="U10">
      <f>VLOOKUP(A10,INPUT_RANGE,53,FALSE) &amp; " R"</f>
    </nc>
  </rcc>
  <rcc rId="418" sId="5">
    <oc r="V10">
      <f>TEXT(AX10, ".000") &amp; " obp"</f>
    </oc>
    <nc r="V10">
      <f>TEXT(AX10, ".000") &amp; " OBP"</f>
    </nc>
  </rcc>
  <rcc rId="419" sId="5">
    <oc r="X10">
      <f>VLOOKUP(A10,INPUT_RANGE,77,FALSE)&amp;" games"</f>
    </oc>
    <nc r="X10">
      <f>VLOOKUP(A10,INPUT_RANGE,77,FALSE)&amp;" games"</f>
    </nc>
  </rcc>
  <rcc rId="420" sId="5">
    <oc r="Y10">
      <f>VLOOKUP(A10,INPUT_RANGE,78,FALSE) &amp; " starts"</f>
    </oc>
    <nc r="Y10">
      <f>VLOOKUP(A10,INPUT_RANGE,78,FALSE) &amp; " starts"</f>
    </nc>
  </rcc>
  <rcc rId="421" sId="5">
    <oc r="Z10">
      <f>VLOOKUP(A10,INPUT_RANGE,82,FALSE) &amp; " ip"</f>
    </oc>
    <nc r="Z10">
      <f>VLOOKUP(A10,INPUT_RANGE,82,FALSE) &amp; " IP"</f>
    </nc>
  </rcc>
  <rcc rId="422" sId="5">
    <oc r="AA10">
      <f>TRUNC(VLOOKUP(A10,INPUT_RANGE,82,FALSE)) &amp;  IF(AR10=0.333,"º",IF(AR10=0.666,"»",""))</f>
    </oc>
    <nc r="AA10">
      <f>TRUNC(VLOOKUP(A10,INPUT_RANGE,82,FALSE)) &amp;  IF(AR10=0.333,"º",IF(AR10=0.666,"»",""))</f>
    </nc>
  </rcc>
  <rcc rId="423" sId="5">
    <oc r="AB10">
      <f>AA10&amp; " ip"</f>
    </oc>
    <nc r="AB10">
      <f>AA10&amp; " IP"</f>
    </nc>
  </rcc>
  <rcc rId="424" sId="5">
    <oc r="AC10">
      <f>VLOOKUP(A10,INPUT_RANGE,79,FALSE) &amp; " cg"</f>
    </oc>
    <nc r="AC10">
      <f>VLOOKUP(A10,INPUT_RANGE,79,FALSE) &amp; " CG"</f>
    </nc>
  </rcc>
  <rcc rId="425" sId="5">
    <oc r="AD10">
      <f>VLOOKUP(A10,INPUT_RANGE,80,FALSE) &amp; " sho"</f>
    </oc>
    <nc r="AD10">
      <f>VLOOKUP(A10,INPUT_RANGE,80,FALSE) &amp; " SHO"</f>
    </nc>
  </rcc>
  <rcc rId="426" sId="5">
    <oc r="AE10">
      <f>VLOOKUP(A10,INPUT_RANGE,75,FALSE) &amp; " win"</f>
    </oc>
    <nc r="AE10">
      <f>VLOOKUP(A10,INPUT_RANGE,75,FALSE) &amp; " Win"</f>
    </nc>
  </rcc>
  <rcc rId="427" sId="5">
    <oc r="AF10">
      <f>VLOOKUP(A10,INPUT_RANGE,76,FALSE) &amp; " loss"</f>
    </oc>
    <nc r="AF10">
      <f>VLOOKUP(A10,INPUT_RANGE,76,FALSE) &amp; " Loss"</f>
    </nc>
  </rcc>
  <rcc rId="428" sId="5">
    <oc r="AG10">
      <f>VLOOKUP(A10,INPUT_RANGE,75,FALSE) &amp; "-" &amp; VLOOKUP(A10,INPUT_RANGE,76,FALSE) &amp; " w-l"</f>
    </oc>
    <nc r="AG10">
      <f>VLOOKUP(A10,INPUT_RANGE,75,FALSE) &amp; "-" &amp; VLOOKUP(A10,INPUT_RANGE,76,FALSE) &amp; " W-L"</f>
    </nc>
  </rcc>
  <rcc rId="429" sId="5">
    <oc r="AH10">
      <f>VLOOKUP(A10,INPUT_RANGE,81,FALSE)&amp; " saves"</f>
    </oc>
    <nc r="AH10">
      <f>VLOOKUP(A10,INPUT_RANGE,81,FALSE)&amp; " Saves"</f>
    </nc>
  </rcc>
  <rcc rId="430" sId="5">
    <oc r="AI10">
      <f>VLOOKUP(A10,INPUT_RANGE,83,FALSE) &amp; " h"</f>
    </oc>
    <nc r="AI10">
      <f>VLOOKUP(A10,INPUT_RANGE,83,FALSE) &amp; " H"</f>
    </nc>
  </rcc>
  <rcc rId="431" sId="5">
    <oc r="AJ10">
      <f>VLOOKUP(A10,INPUT_RANGE,84,FALSE) &amp; " r"</f>
    </oc>
    <nc r="AJ10">
      <f>VLOOKUP(A10,INPUT_RANGE,84,FALSE) &amp; " R"</f>
    </nc>
  </rcc>
  <rcc rId="432" sId="5">
    <oc r="AK10">
      <f>VLOOKUP(A10,INPUT_RANGE,85,FALSE) &amp;" er"</f>
    </oc>
    <nc r="AK10">
      <f>VLOOKUP(A10,INPUT_RANGE,85,FALSE) &amp;" ER"</f>
    </nc>
  </rcc>
  <rcc rId="433" sId="5">
    <oc r="AL10">
      <f>VLOOKUP(A10,INPUT_RANGE,88,FALSE) &amp;" hr"</f>
    </oc>
    <nc r="AL10">
      <f>VLOOKUP(A10,INPUT_RANGE,88,FALSE) &amp;" HR"</f>
    </nc>
  </rcc>
  <rcc rId="434" sId="5">
    <oc r="AM10">
      <f>VLOOKUP(A10,INPUT_RANGE,87,FALSE) &amp; " k"</f>
    </oc>
    <nc r="AM10">
      <f>VLOOKUP(A10,INPUT_RANGE,87,FALSE) &amp; " K"</f>
    </nc>
  </rcc>
  <rcc rId="435" sId="5">
    <oc r="AN10">
      <f>VLOOKUP(A10,INPUT_RANGE,86,FALSE) &amp; " bb"</f>
    </oc>
    <nc r="AN10">
      <f>VLOOKUP(A10,INPUT_RANGE,86,FALSE) &amp; " BB"</f>
    </nc>
  </rcc>
  <rcc rId="436" sId="5">
    <oc r="AO10">
      <f>TEXT(AU10,"0.00") &amp; " era"</f>
    </oc>
    <nc r="AO10">
      <f>TEXT(AU10,"0.00") &amp; " ERA"</f>
    </nc>
  </rcc>
  <rcc rId="437" sId="5">
    <oc r="AP10">
      <f>TEXT(AT10,"0.00") &amp; " whip"</f>
    </oc>
    <nc r="AP10">
      <f>TEXT(AT10,"0.00") &amp; " WHIP"</f>
    </nc>
  </rcc>
  <rcc rId="438" sId="5">
    <oc r="AQ10">
      <f xml:space="preserve"> IF(LEFT(RIGHT((VLOOKUP(A10,INPUT_RANGE,82,FALSE)),2),1)=".",RIGHT(VLOOKUP(A10,INPUT_RANGE,82,FALSE),1), "X")</f>
    </oc>
    <nc r="AQ10">
      <f xml:space="preserve"> IF(LEFT(RIGHT((VLOOKUP(A10,INPUT_RANGE,82,FALSE)),2),1)=".",RIGHT(VLOOKUP(A10,INPUT_RANGE,82,FALSE),1), "X")</f>
    </nc>
  </rcc>
  <rcc rId="439" sId="5">
    <oc r="AR10">
      <f>IF(AQ10 ="1",0.333,IF(AQ10="2",0.666,0))</f>
    </oc>
    <nc r="AR10">
      <f>IF(AQ10 ="1",0.333,IF(AQ10="2",0.666,0))</f>
    </nc>
  </rcc>
  <rcc rId="440" sId="5">
    <oc r="AS10">
      <f>VLOOKUP(A10,INPUT_RANGE,82,FALSE)-(AQ10*0.1)+AR10</f>
    </oc>
    <nc r="AS10">
      <f>VLOOKUP(A10,INPUT_RANGE,82,FALSE)-(AQ10*0.1)+AR10</f>
    </nc>
  </rcc>
  <rcc rId="441" sId="5">
    <oc r="AT10">
      <f>ROUND((VLOOKUP(A10,INPUT_RANGE,86,FALSE)+VLOOKUP(A10,INPUT_RANGE,83,FALSE))/AS10,2)</f>
    </oc>
    <nc r="AT10">
      <f>ROUND((VLOOKUP(A10,INPUT_RANGE,86,FALSE)+VLOOKUP(A10,INPUT_RANGE,83,FALSE))/AS10,2)</f>
    </nc>
  </rcc>
  <rcc rId="442" sId="5">
    <oc r="AU10">
      <f>ROUND((VLOOKUP(A10,INPUT_RANGE,85,FALSE)/AS10)*('Team Info'!$H$25),2)</f>
    </oc>
    <nc r="AU10">
      <f>ROUND((VLOOKUP(A10,INPUT_RANGE,85,FALSE)/AS10)*('D:\Data\Softball\[ESPN_BASEBALL_AWAY_OLD.xlsx]Team Info'!$H$25),2)</f>
    </nc>
  </rcc>
  <rcc rId="443" sId="5">
    <oc r="AW10">
      <f>(VLOOKUP(A10,INPUT_RANGE,54,FALSE)/VLOOKUP(A10,INPUT_RANGE,52,FALSE))</f>
    </oc>
    <nc r="AW10">
      <f>(VLOOKUP(A10,INPUT_RANGE,54,FALSE)/VLOOKUP(A10,INPUT_RANGE,52,FALSE))</f>
    </nc>
  </rcc>
  <rcc rId="444" sId="5">
    <oc r="AX10">
      <f>((VLOOKUP(A10,INPUT_RANGE,54,FALSE)+VLOOKUP(A10,INPUT_RANGE,60,FALSE)+VLOOKUP(A10,INPUT_RANGE,59,FALSE))/(VLOOKUP(A10,INPUT_RANGE,52,FALSE)+VLOOKUP(A10,INPUT_RANGE,60,FALSE)+VLOOKUP(A10,INPUT_RANGE,59,FALSE)+VLOOKUP(A10,INPUT_RANGE,63,FALSE)))</f>
    </oc>
    <nc r="AX10">
      <f>((VLOOKUP(A10,INPUT_RANGE,54,FALSE)+VLOOKUP(A10,INPUT_RANGE,60,FALSE)+VLOOKUP(A10,INPUT_RANGE,59,FALSE))/(VLOOKUP(A10,INPUT_RANGE,52,FALSE)+VLOOKUP(A10,INPUT_RANGE,60,FALSE)+VLOOKUP(A10,INPUT_RANGE,59,FALSE)+VLOOKUP(A10,INPUT_RANGE,63,FALSE)))</f>
    </nc>
  </rcc>
  <rcc rId="445" sId="5">
    <oc r="AY10">
      <f>(VLOOKUP(A10,INPUT_RANGE,54)+VLOOKUP(A10,INPUT_RANGE,55)+(VLOOKUP(A10,INPUT_RANGE,56)*2)+(VLOOKUP(A10,INPUT_RANGE,57)*3))/(VLOOKUP(A10,INPUT_RANGE,52))</f>
    </oc>
    <nc r="AY10">
      <f>(VLOOKUP(A10,INPUT_RANGE,54)+VLOOKUP(A10,INPUT_RANGE,55)+(VLOOKUP(A10,INPUT_RANGE,56)*2)+(VLOOKUP(A10,INPUT_RANGE,57)*3))/(VLOOKUP(A10,INPUT_RANGE,52))</f>
    </nc>
  </rcc>
  <rcc rId="446" sId="5">
    <oc r="AZ10">
      <f>AX10+AY10</f>
    </oc>
    <nc r="AZ10">
      <f>AX10+AY10</f>
    </nc>
  </rcc>
  <rcc rId="447" sId="5">
    <oc r="BA10">
      <f xml:space="preserve"> TEXT(AZ10,".000") &amp; " ops"</f>
    </oc>
    <nc r="BA10">
      <f xml:space="preserve"> TEXT(AZ10,".000") &amp; " OPS"</f>
    </nc>
  </rcc>
  <rcc rId="448" sId="5">
    <oc r="BB10">
      <f>VLOOKUP(A10,INPUT_RANGE,78,FALSE)</f>
    </oc>
    <nc r="BB10">
      <f>VLOOKUP(A10,INPUT_RANGE,78,FALSE)</f>
    </nc>
  </rcc>
  <rcc rId="449" sId="5">
    <oc r="BC10">
      <f>VLOOKUP(A10,INPUT_RANGE,77,FALSE)</f>
    </oc>
    <nc r="BC10">
      <f>VLOOKUP(A10,INPUT_RANGE,77,FALSE)</f>
    </nc>
  </rcc>
  <rcc rId="450" sId="5">
    <oc r="BD10">
      <f>VLOOKUP(A10,INPUT_RANGE,75,FALSE) &amp; "-" &amp; VLOOKUP(A10,INPUT_RANGE,76,FALSE)</f>
    </oc>
    <nc r="BD10">
      <f>VLOOKUP(A10,INPUT_RANGE,75,FALSE) &amp; "-" &amp; VLOOKUP(A10,INPUT_RANGE,76,FALSE)</f>
    </nc>
  </rcc>
  <rcc rId="451" sId="5">
    <oc r="BE10">
      <f>AU10</f>
    </oc>
    <nc r="BE10">
      <f>AU10</f>
    </nc>
  </rcc>
  <rcc rId="452" sId="5">
    <oc r="BF10">
      <f>AA10</f>
    </oc>
    <nc r="BF10">
      <f>AA10</f>
    </nc>
  </rcc>
  <rcc rId="453" sId="5">
    <oc r="BG10">
      <f>VLOOKUP(A10,INPUT_RANGE,86,FALSE)</f>
    </oc>
    <nc r="BG10">
      <f>VLOOKUP(A10,INPUT_RANGE,86,FALSE)</f>
    </nc>
  </rcc>
  <rcc rId="454" sId="5">
    <oc r="BH10">
      <f>VLOOKUP(A10,INPUT_RANGE,87,FALSE)</f>
    </oc>
    <nc r="BH10">
      <f>VLOOKUP(A10,INPUT_RANGE,87,FALSE)</f>
    </nc>
  </rcc>
  <rcc rId="455" sId="5">
    <oc r="BI10">
      <f>VLOOKUP(A10,INPUT_RANGE,81,FALSE) &amp; " SAVES"</f>
    </oc>
    <nc r="BI10">
      <f>VLOOKUP(A10,INPUT_RANGE,81,FALSE) &amp; " SAVES"</f>
    </nc>
  </rcc>
  <rcc rId="456" sId="5">
    <oc r="BJ10">
      <f>VLOOKUP(A10,INPUT_RANGE,81,FALSE)</f>
    </oc>
    <nc r="BJ10">
      <f>VLOOKUP(A10,INPUT_RANGE,81,FALSE)</f>
    </nc>
  </rcc>
  <rcc rId="457" sId="5">
    <oc r="BK10">
      <f>VLOOKUP(A10,INPUT_RANGE,83,FALSE)</f>
    </oc>
    <nc r="BK10">
      <f>VLOOKUP(A10,INPUT_RANGE,83,FALSE)</f>
    </nc>
  </rcc>
  <rcc rId="458" sId="5">
    <oc r="BL10">
      <f>VLOOKUP(A10,INPUT_RANGE,87,FALSE) &amp; "/" &amp; VLOOKUP(A10,INPUT_RANGE,86,FALSE)</f>
    </oc>
    <nc r="BL10">
      <f>VLOOKUP(A10,INPUT_RANGE,87,FALSE) &amp; "/" &amp; VLOOKUP(A10,INPUT_RANGE,86,FALSE)</f>
    </nc>
  </rcc>
  <rcc rId="459" sId="5">
    <oc r="BM10">
      <f>ROUND((VLOOKUP(A10,INPUT_RANGE,86,FALSE)+VLOOKUP(A10,INPUT_RANGE,83,FALSE))/AS10,2)</f>
    </oc>
    <nc r="BM10">
      <f>ROUND((VLOOKUP(A10,INPUT_RANGE,86,FALSE)+VLOOKUP(A10,INPUT_RANGE,83,FALSE))/AS10,2)</f>
    </nc>
  </rcc>
  <rcc rId="460" sId="5">
    <oc r="M11">
      <f xml:space="preserve"> TEXT(AW11,".000") &amp; " ba"</f>
    </oc>
    <nc r="M11">
      <f xml:space="preserve"> TEXT(AW11,".000") &amp; " BA"</f>
    </nc>
  </rcc>
  <rcc rId="461" sId="5">
    <oc r="N11">
      <f>VLOOKUP(A11,INPUT_RANGE,58,FALSE) &amp; " rbi"</f>
    </oc>
    <nc r="N11">
      <f>VLOOKUP(A11,INPUT_RANGE,58,FALSE) &amp; " RBI"</f>
    </nc>
  </rcc>
  <rcc rId="462" sId="5">
    <oc r="O11">
      <f>VLOOKUP(A11,INPUT_RANGE,60,FALSE) &amp; " bb"</f>
    </oc>
    <nc r="O11">
      <f>VLOOKUP(A11,INPUT_RANGE,60,FALSE) &amp; " BB"</f>
    </nc>
  </rcc>
  <rcc rId="463" sId="5">
    <oc r="P11">
      <f>VLOOKUP(A11,INPUT_RANGE,61,FALSE) &amp; " k"</f>
    </oc>
    <nc r="P11">
      <f>VLOOKUP(A11,INPUT_RANGE,61,FALSE) &amp; " K"</f>
    </nc>
  </rcc>
  <rcc rId="464" sId="5">
    <oc r="Q11">
      <f>VLOOKUP(A11,INPUT_RANGE,64,FALSE) &amp; " sb"</f>
    </oc>
    <nc r="Q11">
      <f>VLOOKUP(A11,INPUT_RANGE,64,FALSE) &amp; " SB"</f>
    </nc>
  </rcc>
  <rcc rId="465" sId="5">
    <oc r="R11">
      <f>VLOOKUP(A11,INPUT_RANGE,55,FALSE) &amp; " 2b"</f>
    </oc>
    <nc r="R11">
      <f>VLOOKUP(A11,INPUT_RANGE,55,FALSE) &amp; " 2B"</f>
    </nc>
  </rcc>
  <rcc rId="466" sId="5">
    <oc r="S11">
      <f>VLOOKUP(A11,INPUT_RANGE,56,FALSE) &amp; " 3b"</f>
    </oc>
    <nc r="S11">
      <f>VLOOKUP(A11,INPUT_RANGE,56,FALSE) &amp; " 3B"</f>
    </nc>
  </rcc>
  <rcc rId="467" sId="5">
    <oc r="T11">
      <f>VLOOKUP(A11,INPUT_RANGE,57,FALSE) &amp; " hr"</f>
    </oc>
    <nc r="T11">
      <f>VLOOKUP(A11,INPUT_RANGE,57,FALSE) &amp; " HR"</f>
    </nc>
  </rcc>
  <rcc rId="468" sId="5">
    <oc r="U11">
      <f>VLOOKUP(A11,INPUT_RANGE,53,FALSE) &amp; " r"</f>
    </oc>
    <nc r="U11">
      <f>VLOOKUP(A11,INPUT_RANGE,53,FALSE) &amp; " R"</f>
    </nc>
  </rcc>
  <rcc rId="469" sId="5">
    <oc r="V11">
      <f>TEXT(AX11, ".000") &amp; " obp"</f>
    </oc>
    <nc r="V11">
      <f>TEXT(AX11, ".000") &amp; " OBP"</f>
    </nc>
  </rcc>
  <rcc rId="470" sId="5">
    <oc r="X11">
      <f>VLOOKUP(A11,INPUT_RANGE,77,FALSE)&amp;" games"</f>
    </oc>
    <nc r="X11">
      <f>VLOOKUP(A11,INPUT_RANGE,77,FALSE)&amp;" games"</f>
    </nc>
  </rcc>
  <rcc rId="471" sId="5">
    <oc r="Y11">
      <f>VLOOKUP(A11,INPUT_RANGE,78,FALSE) &amp; " starts"</f>
    </oc>
    <nc r="Y11">
      <f>VLOOKUP(A11,INPUT_RANGE,78,FALSE) &amp; " starts"</f>
    </nc>
  </rcc>
  <rcc rId="472" sId="5">
    <oc r="Z11">
      <f>VLOOKUP(A11,INPUT_RANGE,82,FALSE) &amp; " ip"</f>
    </oc>
    <nc r="Z11">
      <f>VLOOKUP(A11,INPUT_RANGE,82,FALSE) &amp; " IP"</f>
    </nc>
  </rcc>
  <rcc rId="473" sId="5">
    <oc r="AA11">
      <f>TRUNC(VLOOKUP(A11,INPUT_RANGE,82,FALSE)) &amp;  IF(AR11=0.333,"º",IF(AR11=0.666,"»",""))</f>
    </oc>
    <nc r="AA11">
      <f>TRUNC(VLOOKUP(A11,INPUT_RANGE,82,FALSE)) &amp;  IF(AR11=0.333,"º",IF(AR11=0.666,"»",""))</f>
    </nc>
  </rcc>
  <rcc rId="474" sId="5">
    <oc r="AB11">
      <f>AA11&amp; " ip"</f>
    </oc>
    <nc r="AB11">
      <f>AA11&amp; " IP"</f>
    </nc>
  </rcc>
  <rcc rId="475" sId="5">
    <oc r="AC11">
      <f>VLOOKUP(A11,INPUT_RANGE,79,FALSE) &amp; " cg"</f>
    </oc>
    <nc r="AC11">
      <f>VLOOKUP(A11,INPUT_RANGE,79,FALSE) &amp; " CG"</f>
    </nc>
  </rcc>
  <rcc rId="476" sId="5">
    <oc r="AD11">
      <f>VLOOKUP(A11,INPUT_RANGE,80,FALSE) &amp; " sho"</f>
    </oc>
    <nc r="AD11">
      <f>VLOOKUP(A11,INPUT_RANGE,80,FALSE) &amp; " SHO"</f>
    </nc>
  </rcc>
  <rcc rId="477" sId="5">
    <oc r="AE11">
      <f>VLOOKUP(A11,INPUT_RANGE,75,FALSE) &amp; " win"</f>
    </oc>
    <nc r="AE11">
      <f>VLOOKUP(A11,INPUT_RANGE,75,FALSE) &amp; " Win"</f>
    </nc>
  </rcc>
  <rcc rId="478" sId="5">
    <oc r="AF11">
      <f>VLOOKUP(A11,INPUT_RANGE,76,FALSE) &amp; " loss"</f>
    </oc>
    <nc r="AF11">
      <f>VLOOKUP(A11,INPUT_RANGE,76,FALSE) &amp; " Loss"</f>
    </nc>
  </rcc>
  <rcc rId="479" sId="5">
    <oc r="AG11">
      <f>VLOOKUP(A11,INPUT_RANGE,75,FALSE) &amp; "-" &amp; VLOOKUP(A11,INPUT_RANGE,76,FALSE) &amp; " w-l"</f>
    </oc>
    <nc r="AG11">
      <f>VLOOKUP(A11,INPUT_RANGE,75,FALSE) &amp; "-" &amp; VLOOKUP(A11,INPUT_RANGE,76,FALSE) &amp; " W-L"</f>
    </nc>
  </rcc>
  <rcc rId="480" sId="5">
    <oc r="AH11">
      <f>VLOOKUP(A11,INPUT_RANGE,81,FALSE)&amp; " saves"</f>
    </oc>
    <nc r="AH11">
      <f>VLOOKUP(A11,INPUT_RANGE,81,FALSE)&amp; " Saves"</f>
    </nc>
  </rcc>
  <rcc rId="481" sId="5">
    <oc r="AI11">
      <f>VLOOKUP(A11,INPUT_RANGE,83,FALSE) &amp; " h"</f>
    </oc>
    <nc r="AI11">
      <f>VLOOKUP(A11,INPUT_RANGE,83,FALSE) &amp; " H"</f>
    </nc>
  </rcc>
  <rcc rId="482" sId="5">
    <oc r="AJ11">
      <f>VLOOKUP(A11,INPUT_RANGE,84,FALSE) &amp; " r"</f>
    </oc>
    <nc r="AJ11">
      <f>VLOOKUP(A11,INPUT_RANGE,84,FALSE) &amp; " R"</f>
    </nc>
  </rcc>
  <rcc rId="483" sId="5">
    <oc r="AK11">
      <f>VLOOKUP(A11,INPUT_RANGE,85,FALSE) &amp;" er"</f>
    </oc>
    <nc r="AK11">
      <f>VLOOKUP(A11,INPUT_RANGE,85,FALSE) &amp;" ER"</f>
    </nc>
  </rcc>
  <rcc rId="484" sId="5">
    <oc r="AL11">
      <f>VLOOKUP(A11,INPUT_RANGE,88,FALSE) &amp;" hr"</f>
    </oc>
    <nc r="AL11">
      <f>VLOOKUP(A11,INPUT_RANGE,88,FALSE) &amp;" HR"</f>
    </nc>
  </rcc>
  <rcc rId="485" sId="5">
    <oc r="AM11">
      <f>VLOOKUP(A11,INPUT_RANGE,87,FALSE) &amp; " k"</f>
    </oc>
    <nc r="AM11">
      <f>VLOOKUP(A11,INPUT_RANGE,87,FALSE) &amp; " K"</f>
    </nc>
  </rcc>
  <rcc rId="486" sId="5">
    <oc r="AN11">
      <f>VLOOKUP(A11,INPUT_RANGE,86,FALSE) &amp; " bb"</f>
    </oc>
    <nc r="AN11">
      <f>VLOOKUP(A11,INPUT_RANGE,86,FALSE) &amp; " BB"</f>
    </nc>
  </rcc>
  <rcc rId="487" sId="5">
    <oc r="AO11">
      <f>TEXT(AU11,"0.00") &amp; " era"</f>
    </oc>
    <nc r="AO11">
      <f>TEXT(AU11,"0.00") &amp; " ERA"</f>
    </nc>
  </rcc>
  <rcc rId="488" sId="5">
    <oc r="AP11">
      <f>TEXT(AT11,"0.00") &amp; " whip"</f>
    </oc>
    <nc r="AP11">
      <f>TEXT(AT11,"0.00") &amp; " WHIP"</f>
    </nc>
  </rcc>
  <rcc rId="489" sId="5">
    <oc r="AQ11">
      <f xml:space="preserve"> IF(LEFT(RIGHT((VLOOKUP(A11,INPUT_RANGE,82,FALSE)),2),1)=".",RIGHT(VLOOKUP(A11,INPUT_RANGE,82,FALSE),1), "X")</f>
    </oc>
    <nc r="AQ11">
      <f xml:space="preserve"> IF(LEFT(RIGHT((VLOOKUP(A11,INPUT_RANGE,82,FALSE)),2),1)=".",RIGHT(VLOOKUP(A11,INPUT_RANGE,82,FALSE),1), "X")</f>
    </nc>
  </rcc>
  <rcc rId="490" sId="5">
    <oc r="AR11">
      <f>IF(AQ11 ="1",0.333,IF(AQ11="2",0.666,0))</f>
    </oc>
    <nc r="AR11">
      <f>IF(AQ11 ="1",0.333,IF(AQ11="2",0.666,0))</f>
    </nc>
  </rcc>
  <rcc rId="491" sId="5">
    <oc r="AS11">
      <f>VLOOKUP(A11,INPUT_RANGE,82,FALSE)-(AQ11*0.1)+AR11</f>
    </oc>
    <nc r="AS11">
      <f>VLOOKUP(A11,INPUT_RANGE,82,FALSE)-(AQ11*0.1)+AR11</f>
    </nc>
  </rcc>
  <rcc rId="492" sId="5">
    <oc r="AT11">
      <f>ROUND((VLOOKUP(A11,INPUT_RANGE,86,FALSE)+VLOOKUP(A11,INPUT_RANGE,83,FALSE))/AS11,2)</f>
    </oc>
    <nc r="AT11">
      <f>ROUND((VLOOKUP(A11,INPUT_RANGE,86,FALSE)+VLOOKUP(A11,INPUT_RANGE,83,FALSE))/AS11,2)</f>
    </nc>
  </rcc>
  <rcc rId="493" sId="5">
    <oc r="AU11">
      <f>ROUND((VLOOKUP(A11,INPUT_RANGE,85,FALSE)/AS11)*('Team Info'!$H$25),2)</f>
    </oc>
    <nc r="AU11">
      <f>ROUND((VLOOKUP(A11,INPUT_RANGE,85,FALSE)/AS11)*('D:\Data\Softball\[ESPN_BASEBALL_AWAY_OLD.xlsx]Team Info'!$H$25),2)</f>
    </nc>
  </rcc>
  <rcc rId="494" sId="5">
    <oc r="AW11">
      <f>(VLOOKUP(A11,INPUT_RANGE,54,FALSE)/VLOOKUP(A11,INPUT_RANGE,52,FALSE))</f>
    </oc>
    <nc r="AW11">
      <f>(VLOOKUP(A11,INPUT_RANGE,54,FALSE)/VLOOKUP(A11,INPUT_RANGE,52,FALSE))</f>
    </nc>
  </rcc>
  <rcc rId="495" sId="5">
    <oc r="AX11">
      <f>((VLOOKUP(A11,INPUT_RANGE,54,FALSE)+VLOOKUP(A11,INPUT_RANGE,60,FALSE)+VLOOKUP(A11,INPUT_RANGE,59,FALSE))/(VLOOKUP(A11,INPUT_RANGE,52,FALSE)+VLOOKUP(A11,INPUT_RANGE,60,FALSE)+VLOOKUP(A11,INPUT_RANGE,59,FALSE)+VLOOKUP(A11,INPUT_RANGE,63,FALSE)))</f>
    </oc>
    <nc r="AX11">
      <f>((VLOOKUP(A11,INPUT_RANGE,54,FALSE)+VLOOKUP(A11,INPUT_RANGE,60,FALSE)+VLOOKUP(A11,INPUT_RANGE,59,FALSE))/(VLOOKUP(A11,INPUT_RANGE,52,FALSE)+VLOOKUP(A11,INPUT_RANGE,60,FALSE)+VLOOKUP(A11,INPUT_RANGE,59,FALSE)+VLOOKUP(A11,INPUT_RANGE,63,FALSE)))</f>
    </nc>
  </rcc>
  <rcc rId="496" sId="5">
    <oc r="AY11">
      <f>(VLOOKUP(A11,INPUT_RANGE,54)+VLOOKUP(A11,INPUT_RANGE,55)+(VLOOKUP(A11,INPUT_RANGE,56)*2)+(VLOOKUP(A11,INPUT_RANGE,57)*3))/(VLOOKUP(A11,INPUT_RANGE,52))</f>
    </oc>
    <nc r="AY11">
      <f>(VLOOKUP(A11,INPUT_RANGE,54)+VLOOKUP(A11,INPUT_RANGE,55)+(VLOOKUP(A11,INPUT_RANGE,56)*2)+(VLOOKUP(A11,INPUT_RANGE,57)*3))/(VLOOKUP(A11,INPUT_RANGE,52))</f>
    </nc>
  </rcc>
  <rcc rId="497" sId="5">
    <oc r="AZ11">
      <f>AX11+AY11</f>
    </oc>
    <nc r="AZ11">
      <f>AX11+AY11</f>
    </nc>
  </rcc>
  <rcc rId="498" sId="5">
    <oc r="BA11">
      <f xml:space="preserve"> TEXT(AZ11,".000") &amp; " ops"</f>
    </oc>
    <nc r="BA11">
      <f xml:space="preserve"> TEXT(AZ11,".000") &amp; " OPS"</f>
    </nc>
  </rcc>
  <rcc rId="499" sId="5">
    <oc r="BB11">
      <f>VLOOKUP(A11,INPUT_RANGE,78,FALSE)</f>
    </oc>
    <nc r="BB11">
      <f>VLOOKUP(A11,INPUT_RANGE,78,FALSE)</f>
    </nc>
  </rcc>
  <rcc rId="500" sId="5">
    <oc r="BC11">
      <f>VLOOKUP(A11,INPUT_RANGE,77,FALSE)</f>
    </oc>
    <nc r="BC11">
      <f>VLOOKUP(A11,INPUT_RANGE,77,FALSE)</f>
    </nc>
  </rcc>
  <rcc rId="501" sId="5">
    <oc r="BD11">
      <f>VLOOKUP(A11,INPUT_RANGE,75,FALSE) &amp; "-" &amp; VLOOKUP(A11,INPUT_RANGE,76,FALSE)</f>
    </oc>
    <nc r="BD11">
      <f>VLOOKUP(A11,INPUT_RANGE,75,FALSE) &amp; "-" &amp; VLOOKUP(A11,INPUT_RANGE,76,FALSE)</f>
    </nc>
  </rcc>
  <rcc rId="502" sId="5">
    <oc r="BE11">
      <f>AU11</f>
    </oc>
    <nc r="BE11">
      <f>AU11</f>
    </nc>
  </rcc>
  <rcc rId="503" sId="5">
    <oc r="BF11">
      <f>AA11</f>
    </oc>
    <nc r="BF11">
      <f>AA11</f>
    </nc>
  </rcc>
  <rcc rId="504" sId="5">
    <oc r="BG11">
      <f>VLOOKUP(A11,INPUT_RANGE,86,FALSE)</f>
    </oc>
    <nc r="BG11">
      <f>VLOOKUP(A11,INPUT_RANGE,86,FALSE)</f>
    </nc>
  </rcc>
  <rcc rId="505" sId="5">
    <oc r="BH11">
      <f>VLOOKUP(A11,INPUT_RANGE,87,FALSE)</f>
    </oc>
    <nc r="BH11">
      <f>VLOOKUP(A11,INPUT_RANGE,87,FALSE)</f>
    </nc>
  </rcc>
  <rcc rId="506" sId="5">
    <oc r="BI11">
      <f>VLOOKUP(A11,INPUT_RANGE,81,FALSE) &amp; " SAVES"</f>
    </oc>
    <nc r="BI11">
      <f>VLOOKUP(A11,INPUT_RANGE,81,FALSE) &amp; " SAVES"</f>
    </nc>
  </rcc>
  <rcc rId="507" sId="5">
    <oc r="BJ11">
      <f>VLOOKUP(A11,INPUT_RANGE,81,FALSE)</f>
    </oc>
    <nc r="BJ11">
      <f>VLOOKUP(A11,INPUT_RANGE,81,FALSE)</f>
    </nc>
  </rcc>
  <rcc rId="508" sId="5">
    <oc r="BK11">
      <f>VLOOKUP(A11,INPUT_RANGE,83,FALSE)</f>
    </oc>
    <nc r="BK11">
      <f>VLOOKUP(A11,INPUT_RANGE,83,FALSE)</f>
    </nc>
  </rcc>
  <rcc rId="509" sId="5">
    <oc r="BL11">
      <f>VLOOKUP(A11,INPUT_RANGE,87,FALSE) &amp; "/" &amp; VLOOKUP(A11,INPUT_RANGE,86,FALSE)</f>
    </oc>
    <nc r="BL11">
      <f>VLOOKUP(A11,INPUT_RANGE,87,FALSE) &amp; "/" &amp; VLOOKUP(A11,INPUT_RANGE,86,FALSE)</f>
    </nc>
  </rcc>
  <rcc rId="510" sId="5">
    <oc r="BM11">
      <f>ROUND((VLOOKUP(A11,INPUT_RANGE,86,FALSE)+VLOOKUP(A11,INPUT_RANGE,83,FALSE))/AS11,2)</f>
    </oc>
    <nc r="BM11">
      <f>ROUND((VLOOKUP(A11,INPUT_RANGE,86,FALSE)+VLOOKUP(A11,INPUT_RANGE,83,FALSE))/AS11,2)</f>
    </nc>
  </rcc>
  <rcc rId="511" sId="5">
    <oc r="M12">
      <f xml:space="preserve"> TEXT(AW12,".000") &amp; " ba"</f>
    </oc>
    <nc r="M12">
      <f xml:space="preserve"> TEXT(AW12,".000") &amp; " BA"</f>
    </nc>
  </rcc>
  <rcc rId="512" sId="5">
    <oc r="N12">
      <f>VLOOKUP(A12,INPUT_RANGE,58,FALSE) &amp; " rbi"</f>
    </oc>
    <nc r="N12">
      <f>VLOOKUP(A12,INPUT_RANGE,58,FALSE) &amp; " RBI"</f>
    </nc>
  </rcc>
  <rcc rId="513" sId="5">
    <oc r="O12">
      <f>VLOOKUP(A12,INPUT_RANGE,60,FALSE) &amp; " bb"</f>
    </oc>
    <nc r="O12">
      <f>VLOOKUP(A12,INPUT_RANGE,60,FALSE) &amp; " BB"</f>
    </nc>
  </rcc>
  <rcc rId="514" sId="5">
    <oc r="P12">
      <f>VLOOKUP(A12,INPUT_RANGE,61,FALSE) &amp; " k"</f>
    </oc>
    <nc r="P12">
      <f>VLOOKUP(A12,INPUT_RANGE,61,FALSE) &amp; " K"</f>
    </nc>
  </rcc>
  <rcc rId="515" sId="5">
    <oc r="Q12">
      <f>VLOOKUP(A12,INPUT_RANGE,64,FALSE) &amp; " sb"</f>
    </oc>
    <nc r="Q12">
      <f>VLOOKUP(A12,INPUT_RANGE,64,FALSE) &amp; " SB"</f>
    </nc>
  </rcc>
  <rcc rId="516" sId="5">
    <oc r="R12">
      <f>VLOOKUP(A12,INPUT_RANGE,55,FALSE) &amp; " 2b"</f>
    </oc>
    <nc r="R12">
      <f>VLOOKUP(A12,INPUT_RANGE,55,FALSE) &amp; " 2B"</f>
    </nc>
  </rcc>
  <rcc rId="517" sId="5">
    <oc r="S12">
      <f>VLOOKUP(A12,INPUT_RANGE,56,FALSE) &amp; " 3b"</f>
    </oc>
    <nc r="S12">
      <f>VLOOKUP(A12,INPUT_RANGE,56,FALSE) &amp; " 3B"</f>
    </nc>
  </rcc>
  <rcc rId="518" sId="5">
    <oc r="T12">
      <f>VLOOKUP(A12,INPUT_RANGE,57,FALSE) &amp; " hr"</f>
    </oc>
    <nc r="T12">
      <f>VLOOKUP(A12,INPUT_RANGE,57,FALSE) &amp; " HR"</f>
    </nc>
  </rcc>
  <rcc rId="519" sId="5">
    <oc r="U12">
      <f>VLOOKUP(A12,INPUT_RANGE,53,FALSE) &amp; " r"</f>
    </oc>
    <nc r="U12">
      <f>VLOOKUP(A12,INPUT_RANGE,53,FALSE) &amp; " R"</f>
    </nc>
  </rcc>
  <rcc rId="520" sId="5">
    <oc r="V12">
      <f>TEXT(AX12, ".000") &amp; " obp"</f>
    </oc>
    <nc r="V12">
      <f>TEXT(AX12, ".000") &amp; " OBP"</f>
    </nc>
  </rcc>
  <rcc rId="521" sId="5">
    <oc r="X12">
      <f>VLOOKUP(A12,INPUT_RANGE,77,FALSE)&amp;" games"</f>
    </oc>
    <nc r="X12">
      <f>VLOOKUP(A12,INPUT_RANGE,77,FALSE)&amp;" games"</f>
    </nc>
  </rcc>
  <rcc rId="522" sId="5">
    <oc r="Y12">
      <f>VLOOKUP(A12,INPUT_RANGE,78,FALSE) &amp; " starts"</f>
    </oc>
    <nc r="Y12">
      <f>VLOOKUP(A12,INPUT_RANGE,78,FALSE) &amp; " starts"</f>
    </nc>
  </rcc>
  <rcc rId="523" sId="5">
    <oc r="Z12">
      <f>VLOOKUP(A12,INPUT_RANGE,82,FALSE) &amp; " ip"</f>
    </oc>
    <nc r="Z12">
      <f>VLOOKUP(A12,INPUT_RANGE,82,FALSE) &amp; " IP"</f>
    </nc>
  </rcc>
  <rcc rId="524" sId="5">
    <oc r="AA12">
      <f>TRUNC(VLOOKUP(A12,INPUT_RANGE,82,FALSE)) &amp;  IF(AR12=0.333,"º",IF(AR12=0.666,"»",""))</f>
    </oc>
    <nc r="AA12">
      <f>TRUNC(VLOOKUP(A12,INPUT_RANGE,82,FALSE)) &amp;  IF(AR12=0.333,"º",IF(AR12=0.666,"»",""))</f>
    </nc>
  </rcc>
  <rcc rId="525" sId="5">
    <oc r="AB12">
      <f>AA12&amp; " ip"</f>
    </oc>
    <nc r="AB12">
      <f>AA12&amp; " IP"</f>
    </nc>
  </rcc>
  <rcc rId="526" sId="5">
    <oc r="AC12">
      <f>VLOOKUP(A12,INPUT_RANGE,79,FALSE) &amp; " cg"</f>
    </oc>
    <nc r="AC12">
      <f>VLOOKUP(A12,INPUT_RANGE,79,FALSE) &amp; " CG"</f>
    </nc>
  </rcc>
  <rcc rId="527" sId="5">
    <oc r="AD12">
      <f>VLOOKUP(A12,INPUT_RANGE,80,FALSE) &amp; " sho"</f>
    </oc>
    <nc r="AD12">
      <f>VLOOKUP(A12,INPUT_RANGE,80,FALSE) &amp; " SHO"</f>
    </nc>
  </rcc>
  <rcc rId="528" sId="5">
    <oc r="AE12">
      <f>VLOOKUP(A12,INPUT_RANGE,75,FALSE) &amp; " win"</f>
    </oc>
    <nc r="AE12">
      <f>VLOOKUP(A12,INPUT_RANGE,75,FALSE) &amp; " Win"</f>
    </nc>
  </rcc>
  <rcc rId="529" sId="5">
    <oc r="AF12">
      <f>VLOOKUP(A12,INPUT_RANGE,76,FALSE) &amp; " loss"</f>
    </oc>
    <nc r="AF12">
      <f>VLOOKUP(A12,INPUT_RANGE,76,FALSE) &amp; " Loss"</f>
    </nc>
  </rcc>
  <rcc rId="530" sId="5">
    <oc r="AG12">
      <f>VLOOKUP(A12,INPUT_RANGE,75,FALSE) &amp; "-" &amp; VLOOKUP(A12,INPUT_RANGE,76,FALSE) &amp; " w-l"</f>
    </oc>
    <nc r="AG12">
      <f>VLOOKUP(A12,INPUT_RANGE,75,FALSE) &amp; "-" &amp; VLOOKUP(A12,INPUT_RANGE,76,FALSE) &amp; " W-L"</f>
    </nc>
  </rcc>
  <rcc rId="531" sId="5">
    <oc r="AH12">
      <f>VLOOKUP(A12,INPUT_RANGE,81,FALSE)&amp; " saves"</f>
    </oc>
    <nc r="AH12">
      <f>VLOOKUP(A12,INPUT_RANGE,81,FALSE)&amp; " Saves"</f>
    </nc>
  </rcc>
  <rcc rId="532" sId="5">
    <oc r="AI12">
      <f>VLOOKUP(A12,INPUT_RANGE,83,FALSE) &amp; " h"</f>
    </oc>
    <nc r="AI12">
      <f>VLOOKUP(A12,INPUT_RANGE,83,FALSE) &amp; " H"</f>
    </nc>
  </rcc>
  <rcc rId="533" sId="5">
    <oc r="AJ12">
      <f>VLOOKUP(A12,INPUT_RANGE,84,FALSE) &amp; " r"</f>
    </oc>
    <nc r="AJ12">
      <f>VLOOKUP(A12,INPUT_RANGE,84,FALSE) &amp; " R"</f>
    </nc>
  </rcc>
  <rcc rId="534" sId="5">
    <oc r="AK12">
      <f>VLOOKUP(A12,INPUT_RANGE,85,FALSE) &amp;" er"</f>
    </oc>
    <nc r="AK12">
      <f>VLOOKUP(A12,INPUT_RANGE,85,FALSE) &amp;" ER"</f>
    </nc>
  </rcc>
  <rcc rId="535" sId="5">
    <oc r="AL12">
      <f>VLOOKUP(A12,INPUT_RANGE,88,FALSE) &amp;" hr"</f>
    </oc>
    <nc r="AL12">
      <f>VLOOKUP(A12,INPUT_RANGE,88,FALSE) &amp;" HR"</f>
    </nc>
  </rcc>
  <rcc rId="536" sId="5">
    <oc r="AM12">
      <f>VLOOKUP(A12,INPUT_RANGE,87,FALSE) &amp; " k"</f>
    </oc>
    <nc r="AM12">
      <f>VLOOKUP(A12,INPUT_RANGE,87,FALSE) &amp; " K"</f>
    </nc>
  </rcc>
  <rcc rId="537" sId="5">
    <oc r="AN12">
      <f>VLOOKUP(A12,INPUT_RANGE,86,FALSE) &amp; " bb"</f>
    </oc>
    <nc r="AN12">
      <f>VLOOKUP(A12,INPUT_RANGE,86,FALSE) &amp; " BB"</f>
    </nc>
  </rcc>
  <rcc rId="538" sId="5">
    <oc r="AO12">
      <f>TEXT(AU12,"0.00") &amp; " era"</f>
    </oc>
    <nc r="AO12">
      <f>TEXT(AU12,"0.00") &amp; " ERA"</f>
    </nc>
  </rcc>
  <rcc rId="539" sId="5">
    <oc r="AP12">
      <f>TEXT(AT12,"0.00") &amp; " whip"</f>
    </oc>
    <nc r="AP12">
      <f>TEXT(AT12,"0.00") &amp; " WHIP"</f>
    </nc>
  </rcc>
  <rcc rId="540" sId="5">
    <oc r="AQ12">
      <f xml:space="preserve"> IF(LEFT(RIGHT((VLOOKUP(A12,INPUT_RANGE,82,FALSE)),2),1)=".",RIGHT(VLOOKUP(A12,INPUT_RANGE,82,FALSE),1), "X")</f>
    </oc>
    <nc r="AQ12">
      <f xml:space="preserve"> IF(LEFT(RIGHT((VLOOKUP(A12,INPUT_RANGE,82,FALSE)),2),1)=".",RIGHT(VLOOKUP(A12,INPUT_RANGE,82,FALSE),1), "X")</f>
    </nc>
  </rcc>
  <rcc rId="541" sId="5">
    <oc r="AR12">
      <f>IF(AQ12 ="1",0.333,IF(AQ12="2",0.666,0))</f>
    </oc>
    <nc r="AR12">
      <f>IF(AQ12 ="1",0.333,IF(AQ12="2",0.666,0))</f>
    </nc>
  </rcc>
  <rcc rId="542" sId="5">
    <oc r="AS12">
      <f>VLOOKUP(A12,INPUT_RANGE,82,FALSE)-(AQ12*0.1)+AR12</f>
    </oc>
    <nc r="AS12">
      <f>VLOOKUP(A12,INPUT_RANGE,82,FALSE)-(AQ12*0.1)+AR12</f>
    </nc>
  </rcc>
  <rcc rId="543" sId="5">
    <oc r="AT12">
      <f>ROUND((VLOOKUP(A12,INPUT_RANGE,86,FALSE)+VLOOKUP(A12,INPUT_RANGE,83,FALSE))/AS12,2)</f>
    </oc>
    <nc r="AT12">
      <f>ROUND((VLOOKUP(A12,INPUT_RANGE,86,FALSE)+VLOOKUP(A12,INPUT_RANGE,83,FALSE))/AS12,2)</f>
    </nc>
  </rcc>
  <rcc rId="544" sId="5">
    <oc r="AU12">
      <f>ROUND((VLOOKUP(A12,INPUT_RANGE,85,FALSE)/AS12)*('Team Info'!$H$25),2)</f>
    </oc>
    <nc r="AU12">
      <f>ROUND((VLOOKUP(A12,INPUT_RANGE,85,FALSE)/AS12)*('D:\Data\Softball\[ESPN_BASEBALL_AWAY_OLD.xlsx]Team Info'!$H$25),2)</f>
    </nc>
  </rcc>
  <rcc rId="545" sId="5">
    <oc r="AW12">
      <f>(VLOOKUP(A12,INPUT_RANGE,54,FALSE)/VLOOKUP(A12,INPUT_RANGE,52,FALSE))</f>
    </oc>
    <nc r="AW12">
      <f>(VLOOKUP(A12,INPUT_RANGE,54,FALSE)/VLOOKUP(A12,INPUT_RANGE,52,FALSE))</f>
    </nc>
  </rcc>
  <rcc rId="546" sId="5">
    <oc r="AX12">
      <f>((VLOOKUP(A12,INPUT_RANGE,54,FALSE)+VLOOKUP(A12,INPUT_RANGE,60,FALSE)+VLOOKUP(A12,INPUT_RANGE,59,FALSE))/(VLOOKUP(A12,INPUT_RANGE,52,FALSE)+VLOOKUP(A12,INPUT_RANGE,60,FALSE)+VLOOKUP(A12,INPUT_RANGE,59,FALSE)+VLOOKUP(A12,INPUT_RANGE,63,FALSE)))</f>
    </oc>
    <nc r="AX12">
      <f>((VLOOKUP(A12,INPUT_RANGE,54,FALSE)+VLOOKUP(A12,INPUT_RANGE,60,FALSE)+VLOOKUP(A12,INPUT_RANGE,59,FALSE))/(VLOOKUP(A12,INPUT_RANGE,52,FALSE)+VLOOKUP(A12,INPUT_RANGE,60,FALSE)+VLOOKUP(A12,INPUT_RANGE,59,FALSE)+VLOOKUP(A12,INPUT_RANGE,63,FALSE)))</f>
    </nc>
  </rcc>
  <rcc rId="547" sId="5">
    <oc r="AY12">
      <f>(VLOOKUP(A12,INPUT_RANGE,54)+VLOOKUP(A12,INPUT_RANGE,55)+(VLOOKUP(A12,INPUT_RANGE,56)*2)+(VLOOKUP(A12,INPUT_RANGE,57)*3))/(VLOOKUP(A12,INPUT_RANGE,52))</f>
    </oc>
    <nc r="AY12">
      <f>(VLOOKUP(A12,INPUT_RANGE,54)+VLOOKUP(A12,INPUT_RANGE,55)+(VLOOKUP(A12,INPUT_RANGE,56)*2)+(VLOOKUP(A12,INPUT_RANGE,57)*3))/(VLOOKUP(A12,INPUT_RANGE,52))</f>
    </nc>
  </rcc>
  <rcc rId="548" sId="5">
    <oc r="AZ12">
      <f>AX12+AY12</f>
    </oc>
    <nc r="AZ12">
      <f>AX12+AY12</f>
    </nc>
  </rcc>
  <rcc rId="549" sId="5">
    <oc r="BA12">
      <f xml:space="preserve"> TEXT(AZ12,".000") &amp; " ops"</f>
    </oc>
    <nc r="BA12">
      <f xml:space="preserve"> TEXT(AZ12,".000") &amp; " OPS"</f>
    </nc>
  </rcc>
  <rcc rId="550" sId="5">
    <oc r="BB12">
      <f>VLOOKUP(A12,INPUT_RANGE,78,FALSE)</f>
    </oc>
    <nc r="BB12">
      <f>VLOOKUP(A12,INPUT_RANGE,78,FALSE)</f>
    </nc>
  </rcc>
  <rcc rId="551" sId="5">
    <oc r="BC12">
      <f>VLOOKUP(A12,INPUT_RANGE,77,FALSE)</f>
    </oc>
    <nc r="BC12">
      <f>VLOOKUP(A12,INPUT_RANGE,77,FALSE)</f>
    </nc>
  </rcc>
  <rcc rId="552" sId="5">
    <oc r="BD12">
      <f>VLOOKUP(A12,INPUT_RANGE,75,FALSE) &amp; "-" &amp; VLOOKUP(A12,INPUT_RANGE,76,FALSE)</f>
    </oc>
    <nc r="BD12">
      <f>VLOOKUP(A12,INPUT_RANGE,75,FALSE) &amp; "-" &amp; VLOOKUP(A12,INPUT_RANGE,76,FALSE)</f>
    </nc>
  </rcc>
  <rcc rId="553" sId="5">
    <oc r="BE12">
      <f>AU12</f>
    </oc>
    <nc r="BE12">
      <f>AU12</f>
    </nc>
  </rcc>
  <rcc rId="554" sId="5">
    <oc r="BF12">
      <f>AA12</f>
    </oc>
    <nc r="BF12">
      <f>AA12</f>
    </nc>
  </rcc>
  <rcc rId="555" sId="5">
    <oc r="BG12">
      <f>VLOOKUP(A12,INPUT_RANGE,86,FALSE)</f>
    </oc>
    <nc r="BG12">
      <f>VLOOKUP(A12,INPUT_RANGE,86,FALSE)</f>
    </nc>
  </rcc>
  <rcc rId="556" sId="5">
    <oc r="BH12">
      <f>VLOOKUP(A12,INPUT_RANGE,87,FALSE)</f>
    </oc>
    <nc r="BH12">
      <f>VLOOKUP(A12,INPUT_RANGE,87,FALSE)</f>
    </nc>
  </rcc>
  <rcc rId="557" sId="5">
    <oc r="BI12">
      <f>VLOOKUP(A12,INPUT_RANGE,81,FALSE) &amp; " SAVES"</f>
    </oc>
    <nc r="BI12">
      <f>VLOOKUP(A12,INPUT_RANGE,81,FALSE) &amp; " SAVES"</f>
    </nc>
  </rcc>
  <rcc rId="558" sId="5">
    <oc r="BJ12">
      <f>VLOOKUP(A12,INPUT_RANGE,81,FALSE)</f>
    </oc>
    <nc r="BJ12">
      <f>VLOOKUP(A12,INPUT_RANGE,81,FALSE)</f>
    </nc>
  </rcc>
  <rcc rId="559" sId="5">
    <oc r="BK12">
      <f>VLOOKUP(A12,INPUT_RANGE,83,FALSE)</f>
    </oc>
    <nc r="BK12">
      <f>VLOOKUP(A12,INPUT_RANGE,83,FALSE)</f>
    </nc>
  </rcc>
  <rcc rId="560" sId="5">
    <oc r="BL12">
      <f>VLOOKUP(A12,INPUT_RANGE,87,FALSE) &amp; "/" &amp; VLOOKUP(A12,INPUT_RANGE,86,FALSE)</f>
    </oc>
    <nc r="BL12">
      <f>VLOOKUP(A12,INPUT_RANGE,87,FALSE) &amp; "/" &amp; VLOOKUP(A12,INPUT_RANGE,86,FALSE)</f>
    </nc>
  </rcc>
  <rcc rId="561" sId="5">
    <oc r="BM12">
      <f>ROUND((VLOOKUP(A12,INPUT_RANGE,86,FALSE)+VLOOKUP(A12,INPUT_RANGE,83,FALSE))/AS12,2)</f>
    </oc>
    <nc r="BM12">
      <f>ROUND((VLOOKUP(A12,INPUT_RANGE,86,FALSE)+VLOOKUP(A12,INPUT_RANGE,83,FALSE))/AS12,2)</f>
    </nc>
  </rcc>
  <rcc rId="562" sId="5">
    <oc r="M13">
      <f xml:space="preserve"> TEXT(AW13,".000") &amp; " ba"</f>
    </oc>
    <nc r="M13">
      <f xml:space="preserve"> TEXT(AW13,".000") &amp; " BA"</f>
    </nc>
  </rcc>
  <rcc rId="563" sId="5">
    <oc r="N13">
      <f>VLOOKUP(A13,INPUT_RANGE,58,FALSE) &amp; " rbi"</f>
    </oc>
    <nc r="N13">
      <f>VLOOKUP(A13,INPUT_RANGE,58,FALSE) &amp; " RBI"</f>
    </nc>
  </rcc>
  <rcc rId="564" sId="5">
    <oc r="O13">
      <f>VLOOKUP(A13,INPUT_RANGE,60,FALSE) &amp; " bb"</f>
    </oc>
    <nc r="O13">
      <f>VLOOKUP(A13,INPUT_RANGE,60,FALSE) &amp; " BB"</f>
    </nc>
  </rcc>
  <rcc rId="565" sId="5">
    <oc r="P13">
      <f>VLOOKUP(A13,INPUT_RANGE,61,FALSE) &amp; " k"</f>
    </oc>
    <nc r="P13">
      <f>VLOOKUP(A13,INPUT_RANGE,61,FALSE) &amp; " K"</f>
    </nc>
  </rcc>
  <rcc rId="566" sId="5">
    <oc r="Q13">
      <f>VLOOKUP(A13,INPUT_RANGE,64,FALSE) &amp; " sb"</f>
    </oc>
    <nc r="Q13">
      <f>VLOOKUP(A13,INPUT_RANGE,64,FALSE) &amp; " SB"</f>
    </nc>
  </rcc>
  <rcc rId="567" sId="5">
    <oc r="R13">
      <f>VLOOKUP(A13,INPUT_RANGE,55,FALSE) &amp; " 2b"</f>
    </oc>
    <nc r="R13">
      <f>VLOOKUP(A13,INPUT_RANGE,55,FALSE) &amp; " 2B"</f>
    </nc>
  </rcc>
  <rcc rId="568" sId="5">
    <oc r="S13">
      <f>VLOOKUP(A13,INPUT_RANGE,56,FALSE) &amp; " 3b"</f>
    </oc>
    <nc r="S13">
      <f>VLOOKUP(A13,INPUT_RANGE,56,FALSE) &amp; " 3B"</f>
    </nc>
  </rcc>
  <rcc rId="569" sId="5">
    <oc r="T13">
      <f>VLOOKUP(A13,INPUT_RANGE,57,FALSE) &amp; " hr"</f>
    </oc>
    <nc r="T13">
      <f>VLOOKUP(A13,INPUT_RANGE,57,FALSE) &amp; " HR"</f>
    </nc>
  </rcc>
  <rcc rId="570" sId="5">
    <oc r="U13">
      <f>VLOOKUP(A13,INPUT_RANGE,53,FALSE) &amp; " r"</f>
    </oc>
    <nc r="U13">
      <f>VLOOKUP(A13,INPUT_RANGE,53,FALSE) &amp; " R"</f>
    </nc>
  </rcc>
  <rcc rId="571" sId="5">
    <oc r="V13">
      <f>TEXT(AX13, ".000") &amp; " obp"</f>
    </oc>
    <nc r="V13">
      <f>TEXT(AX13, ".000") &amp; " OBP"</f>
    </nc>
  </rcc>
  <rcc rId="572" sId="5">
    <oc r="X13">
      <f>VLOOKUP(A13,INPUT_RANGE,77,FALSE)&amp;" games"</f>
    </oc>
    <nc r="X13">
      <f>VLOOKUP(A13,INPUT_RANGE,77,FALSE)&amp;" games"</f>
    </nc>
  </rcc>
  <rcc rId="573" sId="5">
    <oc r="Y13">
      <f>VLOOKUP(A13,INPUT_RANGE,78,FALSE) &amp; " starts"</f>
    </oc>
    <nc r="Y13">
      <f>VLOOKUP(A13,INPUT_RANGE,78,FALSE) &amp; " starts"</f>
    </nc>
  </rcc>
  <rcc rId="574" sId="5">
    <oc r="Z13">
      <f>VLOOKUP(A13,INPUT_RANGE,82,FALSE) &amp; " ip"</f>
    </oc>
    <nc r="Z13">
      <f>VLOOKUP(A13,INPUT_RANGE,82,FALSE) &amp; " IP"</f>
    </nc>
  </rcc>
  <rcc rId="575" sId="5">
    <oc r="AA13">
      <f>TRUNC(VLOOKUP(A13,INPUT_RANGE,82,FALSE)) &amp;  IF(AR13=0.333,"º",IF(AR13=0.666,"»",""))</f>
    </oc>
    <nc r="AA13">
      <f>TRUNC(VLOOKUP(A13,INPUT_RANGE,82,FALSE)) &amp;  IF(AR13=0.333,"º",IF(AR13=0.666,"»",""))</f>
    </nc>
  </rcc>
  <rcc rId="576" sId="5">
    <oc r="AB13">
      <f>AA13&amp; " ip"</f>
    </oc>
    <nc r="AB13">
      <f>AA13&amp; " IP"</f>
    </nc>
  </rcc>
  <rcc rId="577" sId="5">
    <oc r="AC13">
      <f>VLOOKUP(A13,INPUT_RANGE,79,FALSE) &amp; " cg"</f>
    </oc>
    <nc r="AC13">
      <f>VLOOKUP(A13,INPUT_RANGE,79,FALSE) &amp; " CG"</f>
    </nc>
  </rcc>
  <rcc rId="578" sId="5">
    <oc r="AD13">
      <f>VLOOKUP(A13,INPUT_RANGE,80,FALSE) &amp; " sho"</f>
    </oc>
    <nc r="AD13">
      <f>VLOOKUP(A13,INPUT_RANGE,80,FALSE) &amp; " SHO"</f>
    </nc>
  </rcc>
  <rcc rId="579" sId="5">
    <oc r="AE13">
      <f>VLOOKUP(A13,INPUT_RANGE,75,FALSE) &amp; " win"</f>
    </oc>
    <nc r="AE13">
      <f>VLOOKUP(A13,INPUT_RANGE,75,FALSE) &amp; " Win"</f>
    </nc>
  </rcc>
  <rcc rId="580" sId="5">
    <oc r="AF13">
      <f>VLOOKUP(A13,INPUT_RANGE,76,FALSE) &amp; " loss"</f>
    </oc>
    <nc r="AF13">
      <f>VLOOKUP(A13,INPUT_RANGE,76,FALSE) &amp; " Loss"</f>
    </nc>
  </rcc>
  <rcc rId="581" sId="5">
    <oc r="AG13">
      <f>VLOOKUP(A13,INPUT_RANGE,75,FALSE) &amp; "-" &amp; VLOOKUP(A13,INPUT_RANGE,76,FALSE) &amp; " w-l"</f>
    </oc>
    <nc r="AG13">
      <f>VLOOKUP(A13,INPUT_RANGE,75,FALSE) &amp; "-" &amp; VLOOKUP(A13,INPUT_RANGE,76,FALSE) &amp; " W-L"</f>
    </nc>
  </rcc>
  <rcc rId="582" sId="5">
    <oc r="AH13">
      <f>VLOOKUP(A13,INPUT_RANGE,81,FALSE)&amp; " saves"</f>
    </oc>
    <nc r="AH13">
      <f>VLOOKUP(A13,INPUT_RANGE,81,FALSE)&amp; " Saves"</f>
    </nc>
  </rcc>
  <rcc rId="583" sId="5">
    <oc r="AI13">
      <f>VLOOKUP(A13,INPUT_RANGE,83,FALSE) &amp; " h"</f>
    </oc>
    <nc r="AI13">
      <f>VLOOKUP(A13,INPUT_RANGE,83,FALSE) &amp; " H"</f>
    </nc>
  </rcc>
  <rcc rId="584" sId="5">
    <oc r="AJ13">
      <f>VLOOKUP(A13,INPUT_RANGE,84,FALSE) &amp; " r"</f>
    </oc>
    <nc r="AJ13">
      <f>VLOOKUP(A13,INPUT_RANGE,84,FALSE) &amp; " R"</f>
    </nc>
  </rcc>
  <rcc rId="585" sId="5">
    <oc r="AK13">
      <f>VLOOKUP(A13,INPUT_RANGE,85,FALSE) &amp;" er"</f>
    </oc>
    <nc r="AK13">
      <f>VLOOKUP(A13,INPUT_RANGE,85,FALSE) &amp;" ER"</f>
    </nc>
  </rcc>
  <rcc rId="586" sId="5">
    <oc r="AL13">
      <f>VLOOKUP(A13,INPUT_RANGE,88,FALSE) &amp;" hr"</f>
    </oc>
    <nc r="AL13">
      <f>VLOOKUP(A13,INPUT_RANGE,88,FALSE) &amp;" HR"</f>
    </nc>
  </rcc>
  <rcc rId="587" sId="5">
    <oc r="AM13">
      <f>VLOOKUP(A13,INPUT_RANGE,87,FALSE) &amp; " k"</f>
    </oc>
    <nc r="AM13">
      <f>VLOOKUP(A13,INPUT_RANGE,87,FALSE) &amp; " K"</f>
    </nc>
  </rcc>
  <rcc rId="588" sId="5">
    <oc r="AN13">
      <f>VLOOKUP(A13,INPUT_RANGE,86,FALSE) &amp; " bb"</f>
    </oc>
    <nc r="AN13">
      <f>VLOOKUP(A13,INPUT_RANGE,86,FALSE) &amp; " BB"</f>
    </nc>
  </rcc>
  <rcc rId="589" sId="5">
    <oc r="AO13">
      <f>TEXT(AU13,"0.00") &amp; " era"</f>
    </oc>
    <nc r="AO13">
      <f>TEXT(AU13,"0.00") &amp; " ERA"</f>
    </nc>
  </rcc>
  <rcc rId="590" sId="5">
    <oc r="AP13">
      <f>TEXT(AT13,"0.00") &amp; " whip"</f>
    </oc>
    <nc r="AP13">
      <f>TEXT(AT13,"0.00") &amp; " WHIP"</f>
    </nc>
  </rcc>
  <rcc rId="591" sId="5">
    <oc r="AQ13">
      <f xml:space="preserve"> IF(LEFT(RIGHT((VLOOKUP(A13,INPUT_RANGE,82,FALSE)),2),1)=".",RIGHT(VLOOKUP(A13,INPUT_RANGE,82,FALSE),1), "X")</f>
    </oc>
    <nc r="AQ13">
      <f xml:space="preserve"> IF(LEFT(RIGHT((VLOOKUP(A13,INPUT_RANGE,82,FALSE)),2),1)=".",RIGHT(VLOOKUP(A13,INPUT_RANGE,82,FALSE),1), "X")</f>
    </nc>
  </rcc>
  <rcc rId="592" sId="5">
    <oc r="AR13">
      <f>IF(AQ13 ="1",0.333,IF(AQ13="2",0.666,0))</f>
    </oc>
    <nc r="AR13">
      <f>IF(AQ13 ="1",0.333,IF(AQ13="2",0.666,0))</f>
    </nc>
  </rcc>
  <rcc rId="593" sId="5">
    <oc r="AS13">
      <f>VLOOKUP(A13,INPUT_RANGE,82,FALSE)-(AQ13*0.1)+AR13</f>
    </oc>
    <nc r="AS13">
      <f>VLOOKUP(A13,INPUT_RANGE,82,FALSE)-(AQ13*0.1)+AR13</f>
    </nc>
  </rcc>
  <rcc rId="594" sId="5">
    <oc r="AT13">
      <f>ROUND((VLOOKUP(A13,INPUT_RANGE,86,FALSE)+VLOOKUP(A13,INPUT_RANGE,83,FALSE))/AS13,2)</f>
    </oc>
    <nc r="AT13">
      <f>ROUND((VLOOKUP(A13,INPUT_RANGE,86,FALSE)+VLOOKUP(A13,INPUT_RANGE,83,FALSE))/AS13,2)</f>
    </nc>
  </rcc>
  <rcc rId="595" sId="5">
    <oc r="AU13">
      <f>ROUND((VLOOKUP(A13,INPUT_RANGE,85,FALSE)/AS13)*('Team Info'!$H$25),2)</f>
    </oc>
    <nc r="AU13">
      <f>ROUND((VLOOKUP(A13,INPUT_RANGE,85,FALSE)/AS13)*('D:\Data\Softball\[ESPN_BASEBALL_AWAY_OLD.xlsx]Team Info'!$H$25),2)</f>
    </nc>
  </rcc>
  <rcc rId="596" sId="5">
    <oc r="AW13">
      <f>(VLOOKUP(A13,INPUT_RANGE,54,FALSE)/VLOOKUP(A13,INPUT_RANGE,52,FALSE))</f>
    </oc>
    <nc r="AW13">
      <f>(VLOOKUP(A13,INPUT_RANGE,54,FALSE)/VLOOKUP(A13,INPUT_RANGE,52,FALSE))</f>
    </nc>
  </rcc>
  <rcc rId="597" sId="5">
    <oc r="AX13">
      <f>((VLOOKUP(A13,INPUT_RANGE,54,FALSE)+VLOOKUP(A13,INPUT_RANGE,60,FALSE)+VLOOKUP(A13,INPUT_RANGE,59,FALSE))/(VLOOKUP(A13,INPUT_RANGE,52,FALSE)+VLOOKUP(A13,INPUT_RANGE,60,FALSE)+VLOOKUP(A13,INPUT_RANGE,59,FALSE)+VLOOKUP(A13,INPUT_RANGE,63,FALSE)))</f>
    </oc>
    <nc r="AX13">
      <f>((VLOOKUP(A13,INPUT_RANGE,54,FALSE)+VLOOKUP(A13,INPUT_RANGE,60,FALSE)+VLOOKUP(A13,INPUT_RANGE,59,FALSE))/(VLOOKUP(A13,INPUT_RANGE,52,FALSE)+VLOOKUP(A13,INPUT_RANGE,60,FALSE)+VLOOKUP(A13,INPUT_RANGE,59,FALSE)+VLOOKUP(A13,INPUT_RANGE,63,FALSE)))</f>
    </nc>
  </rcc>
  <rcc rId="598" sId="5">
    <oc r="AY13">
      <f>(VLOOKUP(A13,INPUT_RANGE,54)+VLOOKUP(A13,INPUT_RANGE,55)+(VLOOKUP(A13,INPUT_RANGE,56)*2)+(VLOOKUP(A13,INPUT_RANGE,57)*3))/(VLOOKUP(A13,INPUT_RANGE,52))</f>
    </oc>
    <nc r="AY13">
      <f>(VLOOKUP(A13,INPUT_RANGE,54)+VLOOKUP(A13,INPUT_RANGE,55)+(VLOOKUP(A13,INPUT_RANGE,56)*2)+(VLOOKUP(A13,INPUT_RANGE,57)*3))/(VLOOKUP(A13,INPUT_RANGE,52))</f>
    </nc>
  </rcc>
  <rcc rId="599" sId="5">
    <oc r="AZ13">
      <f>AX13+AY13</f>
    </oc>
    <nc r="AZ13">
      <f>AX13+AY13</f>
    </nc>
  </rcc>
  <rcc rId="600" sId="5">
    <oc r="BA13">
      <f xml:space="preserve"> TEXT(AZ13,".000") &amp; " ops"</f>
    </oc>
    <nc r="BA13">
      <f xml:space="preserve"> TEXT(AZ13,".000") &amp; " OPS"</f>
    </nc>
  </rcc>
  <rcc rId="601" sId="5">
    <oc r="BB13">
      <f>VLOOKUP(A13,INPUT_RANGE,78,FALSE)</f>
    </oc>
    <nc r="BB13">
      <f>VLOOKUP(A13,INPUT_RANGE,78,FALSE)</f>
    </nc>
  </rcc>
  <rcc rId="602" sId="5">
    <oc r="BC13">
      <f>VLOOKUP(A13,INPUT_RANGE,77,FALSE)</f>
    </oc>
    <nc r="BC13">
      <f>VLOOKUP(A13,INPUT_RANGE,77,FALSE)</f>
    </nc>
  </rcc>
  <rcc rId="603" sId="5">
    <oc r="BD13">
      <f>VLOOKUP(A13,INPUT_RANGE,75,FALSE) &amp; "-" &amp; VLOOKUP(A13,INPUT_RANGE,76,FALSE)</f>
    </oc>
    <nc r="BD13">
      <f>VLOOKUP(A13,INPUT_RANGE,75,FALSE) &amp; "-" &amp; VLOOKUP(A13,INPUT_RANGE,76,FALSE)</f>
    </nc>
  </rcc>
  <rcc rId="604" sId="5">
    <oc r="BE13">
      <f>AU13</f>
    </oc>
    <nc r="BE13">
      <f>AU13</f>
    </nc>
  </rcc>
  <rcc rId="605" sId="5">
    <oc r="BF13">
      <f>AA13</f>
    </oc>
    <nc r="BF13">
      <f>AA13</f>
    </nc>
  </rcc>
  <rcc rId="606" sId="5">
    <oc r="BG13">
      <f>VLOOKUP(A13,INPUT_RANGE,86,FALSE)</f>
    </oc>
    <nc r="BG13">
      <f>VLOOKUP(A13,INPUT_RANGE,86,FALSE)</f>
    </nc>
  </rcc>
  <rcc rId="607" sId="5">
    <oc r="BH13">
      <f>VLOOKUP(A13,INPUT_RANGE,87,FALSE)</f>
    </oc>
    <nc r="BH13">
      <f>VLOOKUP(A13,INPUT_RANGE,87,FALSE)</f>
    </nc>
  </rcc>
  <rcc rId="608" sId="5">
    <oc r="BI13">
      <f>VLOOKUP(A13,INPUT_RANGE,81,FALSE) &amp; " SAVES"</f>
    </oc>
    <nc r="BI13">
      <f>VLOOKUP(A13,INPUT_RANGE,81,FALSE) &amp; " SAVES"</f>
    </nc>
  </rcc>
  <rcc rId="609" sId="5">
    <oc r="BJ13">
      <f>VLOOKUP(A13,INPUT_RANGE,81,FALSE)</f>
    </oc>
    <nc r="BJ13">
      <f>VLOOKUP(A13,INPUT_RANGE,81,FALSE)</f>
    </nc>
  </rcc>
  <rcc rId="610" sId="5">
    <oc r="BK13">
      <f>VLOOKUP(A13,INPUT_RANGE,83,FALSE)</f>
    </oc>
    <nc r="BK13">
      <f>VLOOKUP(A13,INPUT_RANGE,83,FALSE)</f>
    </nc>
  </rcc>
  <rcc rId="611" sId="5">
    <oc r="BL13">
      <f>VLOOKUP(A13,INPUT_RANGE,87,FALSE) &amp; "/" &amp; VLOOKUP(A13,INPUT_RANGE,86,FALSE)</f>
    </oc>
    <nc r="BL13">
      <f>VLOOKUP(A13,INPUT_RANGE,87,FALSE) &amp; "/" &amp; VLOOKUP(A13,INPUT_RANGE,86,FALSE)</f>
    </nc>
  </rcc>
  <rcc rId="612" sId="5">
    <oc r="BM13">
      <f>ROUND((VLOOKUP(A13,INPUT_RANGE,86,FALSE)+VLOOKUP(A13,INPUT_RANGE,83,FALSE))/AS13,2)</f>
    </oc>
    <nc r="BM13">
      <f>ROUND((VLOOKUP(A13,INPUT_RANGE,86,FALSE)+VLOOKUP(A13,INPUT_RANGE,83,FALSE))/AS13,2)</f>
    </nc>
  </rcc>
  <rcc rId="613" sId="5">
    <oc r="M14">
      <f xml:space="preserve"> TEXT(AW14,".000") &amp; " ba"</f>
    </oc>
    <nc r="M14">
      <f xml:space="preserve"> TEXT(AW14,".000") &amp; " BA"</f>
    </nc>
  </rcc>
  <rcc rId="614" sId="5">
    <oc r="N14">
      <f>VLOOKUP(A14,INPUT_RANGE,58,FALSE) &amp; " rbi"</f>
    </oc>
    <nc r="N14">
      <f>VLOOKUP(A14,INPUT_RANGE,58,FALSE) &amp; " RBI"</f>
    </nc>
  </rcc>
  <rcc rId="615" sId="5">
    <oc r="O14">
      <f>VLOOKUP(A14,INPUT_RANGE,60,FALSE) &amp; " bb"</f>
    </oc>
    <nc r="O14">
      <f>VLOOKUP(A14,INPUT_RANGE,60,FALSE) &amp; " BB"</f>
    </nc>
  </rcc>
  <rcc rId="616" sId="5">
    <oc r="P14">
      <f>VLOOKUP(A14,INPUT_RANGE,61,FALSE) &amp; " k"</f>
    </oc>
    <nc r="P14">
      <f>VLOOKUP(A14,INPUT_RANGE,61,FALSE) &amp; " K"</f>
    </nc>
  </rcc>
  <rcc rId="617" sId="5">
    <oc r="Q14">
      <f>VLOOKUP(A14,INPUT_RANGE,64,FALSE) &amp; " sb"</f>
    </oc>
    <nc r="Q14">
      <f>VLOOKUP(A14,INPUT_RANGE,64,FALSE) &amp; " SB"</f>
    </nc>
  </rcc>
  <rcc rId="618" sId="5">
    <oc r="R14">
      <f>VLOOKUP(A14,INPUT_RANGE,55,FALSE) &amp; " 2b"</f>
    </oc>
    <nc r="R14">
      <f>VLOOKUP(A14,INPUT_RANGE,55,FALSE) &amp; " 2B"</f>
    </nc>
  </rcc>
  <rcc rId="619" sId="5">
    <oc r="S14">
      <f>VLOOKUP(A14,INPUT_RANGE,56,FALSE) &amp; " 3b"</f>
    </oc>
    <nc r="S14">
      <f>VLOOKUP(A14,INPUT_RANGE,56,FALSE) &amp; " 3B"</f>
    </nc>
  </rcc>
  <rcc rId="620" sId="5">
    <oc r="T14">
      <f>VLOOKUP(A14,INPUT_RANGE,57,FALSE) &amp; " hr"</f>
    </oc>
    <nc r="T14">
      <f>VLOOKUP(A14,INPUT_RANGE,57,FALSE) &amp; " HR"</f>
    </nc>
  </rcc>
  <rcc rId="621" sId="5">
    <oc r="U14">
      <f>VLOOKUP(A14,INPUT_RANGE,53,FALSE) &amp; " r"</f>
    </oc>
    <nc r="U14">
      <f>VLOOKUP(A14,INPUT_RANGE,53,FALSE) &amp; " R"</f>
    </nc>
  </rcc>
  <rcc rId="622" sId="5">
    <oc r="V14">
      <f>TEXT(AX14, ".000") &amp; " obp"</f>
    </oc>
    <nc r="V14">
      <f>TEXT(AX14, ".000") &amp; " OBP"</f>
    </nc>
  </rcc>
  <rcc rId="623" sId="5">
    <oc r="X14">
      <f>VLOOKUP(A14,INPUT_RANGE,77,FALSE)&amp;" games"</f>
    </oc>
    <nc r="X14">
      <f>VLOOKUP(A14,INPUT_RANGE,77,FALSE)&amp;" games"</f>
    </nc>
  </rcc>
  <rcc rId="624" sId="5">
    <oc r="Y14">
      <f>VLOOKUP(A14,INPUT_RANGE,78,FALSE) &amp; " starts"</f>
    </oc>
    <nc r="Y14">
      <f>VLOOKUP(A14,INPUT_RANGE,78,FALSE) &amp; " starts"</f>
    </nc>
  </rcc>
  <rcc rId="625" sId="5">
    <oc r="Z14">
      <f>VLOOKUP(A14,INPUT_RANGE,82,FALSE) &amp; " ip"</f>
    </oc>
    <nc r="Z14">
      <f>VLOOKUP(A14,INPUT_RANGE,82,FALSE) &amp; " IP"</f>
    </nc>
  </rcc>
  <rcc rId="626" sId="5">
    <oc r="AA14">
      <f>TRUNC(VLOOKUP(A14,INPUT_RANGE,82,FALSE)) &amp;  IF(AR14=0.333,"º",IF(AR14=0.666,"»",""))</f>
    </oc>
    <nc r="AA14">
      <f>TRUNC(VLOOKUP(A14,INPUT_RANGE,82,FALSE)) &amp;  IF(AR14=0.333,"º",IF(AR14=0.666,"»",""))</f>
    </nc>
  </rcc>
  <rcc rId="627" sId="5">
    <oc r="AB14">
      <f>AA14&amp; " ip"</f>
    </oc>
    <nc r="AB14">
      <f>AA14&amp; " IP"</f>
    </nc>
  </rcc>
  <rcc rId="628" sId="5">
    <oc r="AC14">
      <f>VLOOKUP(A14,INPUT_RANGE,79,FALSE) &amp; " cg"</f>
    </oc>
    <nc r="AC14">
      <f>VLOOKUP(A14,INPUT_RANGE,79,FALSE) &amp; " CG"</f>
    </nc>
  </rcc>
  <rcc rId="629" sId="5">
    <oc r="AD14">
      <f>VLOOKUP(A14,INPUT_RANGE,80,FALSE) &amp; " sho"</f>
    </oc>
    <nc r="AD14">
      <f>VLOOKUP(A14,INPUT_RANGE,80,FALSE) &amp; " SHO"</f>
    </nc>
  </rcc>
  <rcc rId="630" sId="5">
    <oc r="AE14">
      <f>VLOOKUP(A14,INPUT_RANGE,75,FALSE) &amp; " win"</f>
    </oc>
    <nc r="AE14">
      <f>VLOOKUP(A14,INPUT_RANGE,75,FALSE) &amp; " Win"</f>
    </nc>
  </rcc>
  <rcc rId="631" sId="5">
    <oc r="AF14">
      <f>VLOOKUP(A14,INPUT_RANGE,76,FALSE) &amp; " loss"</f>
    </oc>
    <nc r="AF14">
      <f>VLOOKUP(A14,INPUT_RANGE,76,FALSE) &amp; " Loss"</f>
    </nc>
  </rcc>
  <rcc rId="632" sId="5">
    <oc r="AG14">
      <f>VLOOKUP(A14,INPUT_RANGE,75,FALSE) &amp; "-" &amp; VLOOKUP(A14,INPUT_RANGE,76,FALSE) &amp; " w-l"</f>
    </oc>
    <nc r="AG14">
      <f>VLOOKUP(A14,INPUT_RANGE,75,FALSE) &amp; "-" &amp; VLOOKUP(A14,INPUT_RANGE,76,FALSE) &amp; " W-L"</f>
    </nc>
  </rcc>
  <rcc rId="633" sId="5">
    <oc r="AH14">
      <f>VLOOKUP(A14,INPUT_RANGE,81,FALSE)&amp; " saves"</f>
    </oc>
    <nc r="AH14">
      <f>VLOOKUP(A14,INPUT_RANGE,81,FALSE)&amp; " Saves"</f>
    </nc>
  </rcc>
  <rcc rId="634" sId="5">
    <oc r="AI14">
      <f>VLOOKUP(A14,INPUT_RANGE,83,FALSE) &amp; " h"</f>
    </oc>
    <nc r="AI14">
      <f>VLOOKUP(A14,INPUT_RANGE,83,FALSE) &amp; " H"</f>
    </nc>
  </rcc>
  <rcc rId="635" sId="5">
    <oc r="AJ14">
      <f>VLOOKUP(A14,INPUT_RANGE,84,FALSE) &amp; " r"</f>
    </oc>
    <nc r="AJ14">
      <f>VLOOKUP(A14,INPUT_RANGE,84,FALSE) &amp; " R"</f>
    </nc>
  </rcc>
  <rcc rId="636" sId="5">
    <oc r="AK14">
      <f>VLOOKUP(A14,INPUT_RANGE,85,FALSE) &amp;" er"</f>
    </oc>
    <nc r="AK14">
      <f>VLOOKUP(A14,INPUT_RANGE,85,FALSE) &amp;" ER"</f>
    </nc>
  </rcc>
  <rcc rId="637" sId="5">
    <oc r="AL14">
      <f>VLOOKUP(A14,INPUT_RANGE,88,FALSE) &amp;" hr"</f>
    </oc>
    <nc r="AL14">
      <f>VLOOKUP(A14,INPUT_RANGE,88,FALSE) &amp;" HR"</f>
    </nc>
  </rcc>
  <rcc rId="638" sId="5">
    <oc r="AM14">
      <f>VLOOKUP(A14,INPUT_RANGE,87,FALSE) &amp; " k"</f>
    </oc>
    <nc r="AM14">
      <f>VLOOKUP(A14,INPUT_RANGE,87,FALSE) &amp; " K"</f>
    </nc>
  </rcc>
  <rcc rId="639" sId="5">
    <oc r="AN14">
      <f>VLOOKUP(A14,INPUT_RANGE,86,FALSE) &amp; " bb"</f>
    </oc>
    <nc r="AN14">
      <f>VLOOKUP(A14,INPUT_RANGE,86,FALSE) &amp; " BB"</f>
    </nc>
  </rcc>
  <rcc rId="640" sId="5">
    <oc r="AO14">
      <f>TEXT(AU14,"0.00") &amp; " era"</f>
    </oc>
    <nc r="AO14">
      <f>TEXT(AU14,"0.00") &amp; " ERA"</f>
    </nc>
  </rcc>
  <rcc rId="641" sId="5">
    <oc r="AP14">
      <f>TEXT(AT14,"0.00") &amp; " whip"</f>
    </oc>
    <nc r="AP14">
      <f>TEXT(AT14,"0.00") &amp; " WHIP"</f>
    </nc>
  </rcc>
  <rcc rId="642" sId="5">
    <oc r="AQ14">
      <f xml:space="preserve"> IF(LEFT(RIGHT((VLOOKUP(A14,INPUT_RANGE,82,FALSE)),2),1)=".",RIGHT(VLOOKUP(A14,INPUT_RANGE,82,FALSE),1), "X")</f>
    </oc>
    <nc r="AQ14">
      <f xml:space="preserve"> IF(LEFT(RIGHT((VLOOKUP(A14,INPUT_RANGE,82,FALSE)),2),1)=".",RIGHT(VLOOKUP(A14,INPUT_RANGE,82,FALSE),1), "X")</f>
    </nc>
  </rcc>
  <rcc rId="643" sId="5">
    <oc r="AR14">
      <f>IF(AQ14 ="1",0.333,IF(AQ14="2",0.666,0))</f>
    </oc>
    <nc r="AR14">
      <f>IF(AQ14 ="1",0.333,IF(AQ14="2",0.666,0))</f>
    </nc>
  </rcc>
  <rcc rId="644" sId="5">
    <oc r="AS14">
      <f>VLOOKUP(A14,INPUT_RANGE,82,FALSE)-(AQ14*0.1)+AR14</f>
    </oc>
    <nc r="AS14">
      <f>VLOOKUP(A14,INPUT_RANGE,82,FALSE)-(AQ14*0.1)+AR14</f>
    </nc>
  </rcc>
  <rcc rId="645" sId="5">
    <oc r="AT14">
      <f>ROUND((VLOOKUP(A14,INPUT_RANGE,86,FALSE)+VLOOKUP(A14,INPUT_RANGE,83,FALSE))/AS14,2)</f>
    </oc>
    <nc r="AT14">
      <f>ROUND((VLOOKUP(A14,INPUT_RANGE,86,FALSE)+VLOOKUP(A14,INPUT_RANGE,83,FALSE))/AS14,2)</f>
    </nc>
  </rcc>
  <rcc rId="646" sId="5">
    <oc r="AU14">
      <f>ROUND((VLOOKUP(A14,INPUT_RANGE,85,FALSE)/AS14)*('Team Info'!$H$25),2)</f>
    </oc>
    <nc r="AU14">
      <f>ROUND((VLOOKUP(A14,INPUT_RANGE,85,FALSE)/AS14)*('D:\Data\Softball\[ESPN_BASEBALL_AWAY_OLD.xlsx]Team Info'!$H$25),2)</f>
    </nc>
  </rcc>
  <rcc rId="647" sId="5">
    <oc r="AW14">
      <f>(VLOOKUP(A14,INPUT_RANGE,54,FALSE)/VLOOKUP(A14,INPUT_RANGE,52,FALSE))</f>
    </oc>
    <nc r="AW14">
      <f>(VLOOKUP(A14,INPUT_RANGE,54,FALSE)/VLOOKUP(A14,INPUT_RANGE,52,FALSE))</f>
    </nc>
  </rcc>
  <rcc rId="648" sId="5">
    <oc r="AX14">
      <f>((VLOOKUP(A14,INPUT_RANGE,54,FALSE)+VLOOKUP(A14,INPUT_RANGE,60,FALSE)+VLOOKUP(A14,INPUT_RANGE,59,FALSE))/(VLOOKUP(A14,INPUT_RANGE,52,FALSE)+VLOOKUP(A14,INPUT_RANGE,60,FALSE)+VLOOKUP(A14,INPUT_RANGE,59,FALSE)+VLOOKUP(A14,INPUT_RANGE,63,FALSE)))</f>
    </oc>
    <nc r="AX14">
      <f>((VLOOKUP(A14,INPUT_RANGE,54,FALSE)+VLOOKUP(A14,INPUT_RANGE,60,FALSE)+VLOOKUP(A14,INPUT_RANGE,59,FALSE))/(VLOOKUP(A14,INPUT_RANGE,52,FALSE)+VLOOKUP(A14,INPUT_RANGE,60,FALSE)+VLOOKUP(A14,INPUT_RANGE,59,FALSE)+VLOOKUP(A14,INPUT_RANGE,63,FALSE)))</f>
    </nc>
  </rcc>
  <rcc rId="649" sId="5">
    <oc r="AY14">
      <f>(VLOOKUP(A14,INPUT_RANGE,54)+VLOOKUP(A14,INPUT_RANGE,55)+(VLOOKUP(A14,INPUT_RANGE,56)*2)+(VLOOKUP(A14,INPUT_RANGE,57)*3))/(VLOOKUP(A14,INPUT_RANGE,52))</f>
    </oc>
    <nc r="AY14">
      <f>(VLOOKUP(A14,INPUT_RANGE,54)+VLOOKUP(A14,INPUT_RANGE,55)+(VLOOKUP(A14,INPUT_RANGE,56)*2)+(VLOOKUP(A14,INPUT_RANGE,57)*3))/(VLOOKUP(A14,INPUT_RANGE,52))</f>
    </nc>
  </rcc>
  <rcc rId="650" sId="5">
    <oc r="AZ14">
      <f>AX14+AY14</f>
    </oc>
    <nc r="AZ14">
      <f>AX14+AY14</f>
    </nc>
  </rcc>
  <rcc rId="651" sId="5">
    <oc r="BA14">
      <f xml:space="preserve"> TEXT(AZ14,".000") &amp; " ops"</f>
    </oc>
    <nc r="BA14">
      <f xml:space="preserve"> TEXT(AZ14,".000") &amp; " OPS"</f>
    </nc>
  </rcc>
  <rcc rId="652" sId="5">
    <oc r="BB14">
      <f>VLOOKUP(A14,INPUT_RANGE,78,FALSE)</f>
    </oc>
    <nc r="BB14">
      <f>VLOOKUP(A14,INPUT_RANGE,78,FALSE)</f>
    </nc>
  </rcc>
  <rcc rId="653" sId="5">
    <oc r="BC14">
      <f>VLOOKUP(A14,INPUT_RANGE,77,FALSE)</f>
    </oc>
    <nc r="BC14">
      <f>VLOOKUP(A14,INPUT_RANGE,77,FALSE)</f>
    </nc>
  </rcc>
  <rcc rId="654" sId="5">
    <oc r="BD14">
      <f>VLOOKUP(A14,INPUT_RANGE,75,FALSE) &amp; "-" &amp; VLOOKUP(A14,INPUT_RANGE,76,FALSE)</f>
    </oc>
    <nc r="BD14">
      <f>VLOOKUP(A14,INPUT_RANGE,75,FALSE) &amp; "-" &amp; VLOOKUP(A14,INPUT_RANGE,76,FALSE)</f>
    </nc>
  </rcc>
  <rcc rId="655" sId="5">
    <oc r="BE14">
      <f>AU14</f>
    </oc>
    <nc r="BE14">
      <f>AU14</f>
    </nc>
  </rcc>
  <rcc rId="656" sId="5">
    <oc r="BF14">
      <f>AA14</f>
    </oc>
    <nc r="BF14">
      <f>AA14</f>
    </nc>
  </rcc>
  <rcc rId="657" sId="5">
    <oc r="BG14">
      <f>VLOOKUP(A14,INPUT_RANGE,86,FALSE)</f>
    </oc>
    <nc r="BG14">
      <f>VLOOKUP(A14,INPUT_RANGE,86,FALSE)</f>
    </nc>
  </rcc>
  <rcc rId="658" sId="5">
    <oc r="BH14">
      <f>VLOOKUP(A14,INPUT_RANGE,87,FALSE)</f>
    </oc>
    <nc r="BH14">
      <f>VLOOKUP(A14,INPUT_RANGE,87,FALSE)</f>
    </nc>
  </rcc>
  <rcc rId="659" sId="5">
    <oc r="BI14">
      <f>VLOOKUP(A14,INPUT_RANGE,81,FALSE) &amp; " SAVES"</f>
    </oc>
    <nc r="BI14">
      <f>VLOOKUP(A14,INPUT_RANGE,81,FALSE) &amp; " SAVES"</f>
    </nc>
  </rcc>
  <rcc rId="660" sId="5">
    <oc r="BJ14">
      <f>VLOOKUP(A14,INPUT_RANGE,81,FALSE)</f>
    </oc>
    <nc r="BJ14">
      <f>VLOOKUP(A14,INPUT_RANGE,81,FALSE)</f>
    </nc>
  </rcc>
  <rcc rId="661" sId="5">
    <oc r="BK14">
      <f>VLOOKUP(A14,INPUT_RANGE,83,FALSE)</f>
    </oc>
    <nc r="BK14">
      <f>VLOOKUP(A14,INPUT_RANGE,83,FALSE)</f>
    </nc>
  </rcc>
  <rcc rId="662" sId="5">
    <oc r="BL14">
      <f>VLOOKUP(A14,INPUT_RANGE,87,FALSE) &amp; "/" &amp; VLOOKUP(A14,INPUT_RANGE,86,FALSE)</f>
    </oc>
    <nc r="BL14">
      <f>VLOOKUP(A14,INPUT_RANGE,87,FALSE) &amp; "/" &amp; VLOOKUP(A14,INPUT_RANGE,86,FALSE)</f>
    </nc>
  </rcc>
  <rcc rId="663" sId="5">
    <oc r="BM14">
      <f>ROUND((VLOOKUP(A14,INPUT_RANGE,86,FALSE)+VLOOKUP(A14,INPUT_RANGE,83,FALSE))/AS14,2)</f>
    </oc>
    <nc r="BM14">
      <f>ROUND((VLOOKUP(A14,INPUT_RANGE,86,FALSE)+VLOOKUP(A14,INPUT_RANGE,83,FALSE))/AS14,2)</f>
    </nc>
  </rcc>
  <rcc rId="664" sId="5">
    <oc r="M15">
      <f xml:space="preserve"> TEXT(AW15,".000") &amp; " ba"</f>
    </oc>
    <nc r="M15">
      <f xml:space="preserve"> TEXT(AW15,".000") &amp; " BA"</f>
    </nc>
  </rcc>
  <rcc rId="665" sId="5">
    <oc r="N15">
      <f>VLOOKUP(A15,INPUT_RANGE,58,FALSE) &amp; " rbi"</f>
    </oc>
    <nc r="N15">
      <f>VLOOKUP(A15,INPUT_RANGE,58,FALSE) &amp; " RBI"</f>
    </nc>
  </rcc>
  <rcc rId="666" sId="5">
    <oc r="O15">
      <f>VLOOKUP(A15,INPUT_RANGE,60,FALSE) &amp; " bb"</f>
    </oc>
    <nc r="O15">
      <f>VLOOKUP(A15,INPUT_RANGE,60,FALSE) &amp; " BB"</f>
    </nc>
  </rcc>
  <rcc rId="667" sId="5">
    <oc r="P15">
      <f>VLOOKUP(A15,INPUT_RANGE,61,FALSE) &amp; " k"</f>
    </oc>
    <nc r="P15">
      <f>VLOOKUP(A15,INPUT_RANGE,61,FALSE) &amp; " K"</f>
    </nc>
  </rcc>
  <rcc rId="668" sId="5">
    <oc r="Q15">
      <f>VLOOKUP(A15,INPUT_RANGE,64,FALSE) &amp; " sb"</f>
    </oc>
    <nc r="Q15">
      <f>VLOOKUP(A15,INPUT_RANGE,64,FALSE) &amp; " SB"</f>
    </nc>
  </rcc>
  <rcc rId="669" sId="5">
    <oc r="R15">
      <f>VLOOKUP(A15,INPUT_RANGE,55,FALSE) &amp; " 2b"</f>
    </oc>
    <nc r="R15">
      <f>VLOOKUP(A15,INPUT_RANGE,55,FALSE) &amp; " 2B"</f>
    </nc>
  </rcc>
  <rcc rId="670" sId="5">
    <oc r="S15">
      <f>VLOOKUP(A15,INPUT_RANGE,56,FALSE) &amp; " 3b"</f>
    </oc>
    <nc r="S15">
      <f>VLOOKUP(A15,INPUT_RANGE,56,FALSE) &amp; " 3B"</f>
    </nc>
  </rcc>
  <rcc rId="671" sId="5">
    <oc r="T15">
      <f>VLOOKUP(A15,INPUT_RANGE,57,FALSE) &amp; " hr"</f>
    </oc>
    <nc r="T15">
      <f>VLOOKUP(A15,INPUT_RANGE,57,FALSE) &amp; " HR"</f>
    </nc>
  </rcc>
  <rcc rId="672" sId="5">
    <oc r="U15">
      <f>VLOOKUP(A15,INPUT_RANGE,53,FALSE) &amp; " r"</f>
    </oc>
    <nc r="U15">
      <f>VLOOKUP(A15,INPUT_RANGE,53,FALSE) &amp; " R"</f>
    </nc>
  </rcc>
  <rcc rId="673" sId="5">
    <oc r="V15">
      <f>TEXT(AX15, ".000") &amp; " obp"</f>
    </oc>
    <nc r="V15">
      <f>TEXT(AX15, ".000") &amp; " OBP"</f>
    </nc>
  </rcc>
  <rcc rId="674" sId="5">
    <oc r="X15">
      <f>VLOOKUP(A15,INPUT_RANGE,77,FALSE)&amp;" games"</f>
    </oc>
    <nc r="X15">
      <f>VLOOKUP(A15,INPUT_RANGE,77,FALSE)&amp;" games"</f>
    </nc>
  </rcc>
  <rcc rId="675" sId="5">
    <oc r="Y15">
      <f>VLOOKUP(A15,INPUT_RANGE,78,FALSE) &amp; " starts"</f>
    </oc>
    <nc r="Y15">
      <f>VLOOKUP(A15,INPUT_RANGE,78,FALSE) &amp; " starts"</f>
    </nc>
  </rcc>
  <rcc rId="676" sId="5">
    <oc r="Z15">
      <f>VLOOKUP(A15,INPUT_RANGE,82,FALSE) &amp; " ip"</f>
    </oc>
    <nc r="Z15">
      <f>VLOOKUP(A15,INPUT_RANGE,82,FALSE) &amp; " IP"</f>
    </nc>
  </rcc>
  <rcc rId="677" sId="5">
    <oc r="AA15">
      <f>TRUNC(VLOOKUP(A15,INPUT_RANGE,82,FALSE)) &amp;  IF(AR15=0.333,"º",IF(AR15=0.666,"»",""))</f>
    </oc>
    <nc r="AA15">
      <f>TRUNC(VLOOKUP(A15,INPUT_RANGE,82,FALSE)) &amp;  IF(AR15=0.333,"º",IF(AR15=0.666,"»",""))</f>
    </nc>
  </rcc>
  <rcc rId="678" sId="5">
    <oc r="AB15">
      <f>AA15&amp; " ip"</f>
    </oc>
    <nc r="AB15">
      <f>AA15&amp; " IP"</f>
    </nc>
  </rcc>
  <rcc rId="679" sId="5">
    <oc r="AC15">
      <f>VLOOKUP(A15,INPUT_RANGE,79,FALSE) &amp; " cg"</f>
    </oc>
    <nc r="AC15">
      <f>VLOOKUP(A15,INPUT_RANGE,79,FALSE) &amp; " CG"</f>
    </nc>
  </rcc>
  <rcc rId="680" sId="5">
    <oc r="AD15">
      <f>VLOOKUP(A15,INPUT_RANGE,80,FALSE) &amp; " sho"</f>
    </oc>
    <nc r="AD15">
      <f>VLOOKUP(A15,INPUT_RANGE,80,FALSE) &amp; " SHO"</f>
    </nc>
  </rcc>
  <rcc rId="681" sId="5">
    <oc r="AE15">
      <f>VLOOKUP(A15,INPUT_RANGE,75,FALSE) &amp; " win"</f>
    </oc>
    <nc r="AE15">
      <f>VLOOKUP(A15,INPUT_RANGE,75,FALSE) &amp; " Win"</f>
    </nc>
  </rcc>
  <rcc rId="682" sId="5">
    <oc r="AF15">
      <f>VLOOKUP(A15,INPUT_RANGE,76,FALSE) &amp; " loss"</f>
    </oc>
    <nc r="AF15">
      <f>VLOOKUP(A15,INPUT_RANGE,76,FALSE) &amp; " Loss"</f>
    </nc>
  </rcc>
  <rcc rId="683" sId="5">
    <oc r="AG15">
      <f>VLOOKUP(A15,INPUT_RANGE,75,FALSE) &amp; "-" &amp; VLOOKUP(A15,INPUT_RANGE,76,FALSE) &amp; " w-l"</f>
    </oc>
    <nc r="AG15">
      <f>VLOOKUP(A15,INPUT_RANGE,75,FALSE) &amp; "-" &amp; VLOOKUP(A15,INPUT_RANGE,76,FALSE) &amp; " W-L"</f>
    </nc>
  </rcc>
  <rcc rId="684" sId="5">
    <oc r="AH15">
      <f>VLOOKUP(A15,INPUT_RANGE,81,FALSE)&amp; " saves"</f>
    </oc>
    <nc r="AH15">
      <f>VLOOKUP(A15,INPUT_RANGE,81,FALSE)&amp; " Saves"</f>
    </nc>
  </rcc>
  <rcc rId="685" sId="5">
    <oc r="AI15">
      <f>VLOOKUP(A15,INPUT_RANGE,83,FALSE) &amp; " h"</f>
    </oc>
    <nc r="AI15">
      <f>VLOOKUP(A15,INPUT_RANGE,83,FALSE) &amp; " H"</f>
    </nc>
  </rcc>
  <rcc rId="686" sId="5">
    <oc r="AJ15">
      <f>VLOOKUP(A15,INPUT_RANGE,84,FALSE) &amp; " r"</f>
    </oc>
    <nc r="AJ15">
      <f>VLOOKUP(A15,INPUT_RANGE,84,FALSE) &amp; " R"</f>
    </nc>
  </rcc>
  <rcc rId="687" sId="5">
    <oc r="AK15">
      <f>VLOOKUP(A15,INPUT_RANGE,85,FALSE) &amp;" er"</f>
    </oc>
    <nc r="AK15">
      <f>VLOOKUP(A15,INPUT_RANGE,85,FALSE) &amp;" ER"</f>
    </nc>
  </rcc>
  <rcc rId="688" sId="5">
    <oc r="AL15">
      <f>VLOOKUP(A15,INPUT_RANGE,88,FALSE) &amp;" hr"</f>
    </oc>
    <nc r="AL15">
      <f>VLOOKUP(A15,INPUT_RANGE,88,FALSE) &amp;" HR"</f>
    </nc>
  </rcc>
  <rcc rId="689" sId="5">
    <oc r="AM15">
      <f>VLOOKUP(A15,INPUT_RANGE,87,FALSE) &amp; " k"</f>
    </oc>
    <nc r="AM15">
      <f>VLOOKUP(A15,INPUT_RANGE,87,FALSE) &amp; " K"</f>
    </nc>
  </rcc>
  <rcc rId="690" sId="5">
    <oc r="AN15">
      <f>VLOOKUP(A15,INPUT_RANGE,86,FALSE) &amp; " bb"</f>
    </oc>
    <nc r="AN15">
      <f>VLOOKUP(A15,INPUT_RANGE,86,FALSE) &amp; " BB"</f>
    </nc>
  </rcc>
  <rcc rId="691" sId="5">
    <oc r="AO15">
      <f>TEXT(AU15,"0.00") &amp; " era"</f>
    </oc>
    <nc r="AO15">
      <f>TEXT(AU15,"0.00") &amp; " ERA"</f>
    </nc>
  </rcc>
  <rcc rId="692" sId="5">
    <oc r="AP15">
      <f>TEXT(AT15,"0.00") &amp; " whip"</f>
    </oc>
    <nc r="AP15">
      <f>TEXT(AT15,"0.00") &amp; " WHIP"</f>
    </nc>
  </rcc>
  <rcc rId="693" sId="5">
    <oc r="AQ15">
      <f xml:space="preserve"> IF(LEFT(RIGHT((VLOOKUP(A15,INPUT_RANGE,82,FALSE)),2),1)=".",RIGHT(VLOOKUP(A15,INPUT_RANGE,82,FALSE),1), "X")</f>
    </oc>
    <nc r="AQ15">
      <f xml:space="preserve"> IF(LEFT(RIGHT((VLOOKUP(A15,INPUT_RANGE,82,FALSE)),2),1)=".",RIGHT(VLOOKUP(A15,INPUT_RANGE,82,FALSE),1), "X")</f>
    </nc>
  </rcc>
  <rcc rId="694" sId="5">
    <oc r="AR15">
      <f>IF(AQ15 ="1",0.333,IF(AQ15="2",0.666,0))</f>
    </oc>
    <nc r="AR15">
      <f>IF(AQ15 ="1",0.333,IF(AQ15="2",0.666,0))</f>
    </nc>
  </rcc>
  <rcc rId="695" sId="5">
    <oc r="AS15">
      <f>VLOOKUP(A15,INPUT_RANGE,82,FALSE)-(AQ15*0.1)+AR15</f>
    </oc>
    <nc r="AS15">
      <f>VLOOKUP(A15,INPUT_RANGE,82,FALSE)-(AQ15*0.1)+AR15</f>
    </nc>
  </rcc>
  <rcc rId="696" sId="5">
    <oc r="AT15">
      <f>ROUND((VLOOKUP(A15,INPUT_RANGE,86,FALSE)+VLOOKUP(A15,INPUT_RANGE,83,FALSE))/AS15,2)</f>
    </oc>
    <nc r="AT15">
      <f>ROUND((VLOOKUP(A15,INPUT_RANGE,86,FALSE)+VLOOKUP(A15,INPUT_RANGE,83,FALSE))/AS15,2)</f>
    </nc>
  </rcc>
  <rcc rId="697" sId="5">
    <oc r="AU15">
      <f>ROUND((VLOOKUP(A15,INPUT_RANGE,85,FALSE)/AS15)*('Team Info'!$H$25),2)</f>
    </oc>
    <nc r="AU15">
      <f>ROUND((VLOOKUP(A15,INPUT_RANGE,85,FALSE)/AS15)*('D:\Data\Softball\[ESPN_BASEBALL_AWAY_OLD.xlsx]Team Info'!$H$25),2)</f>
    </nc>
  </rcc>
  <rcc rId="698" sId="5">
    <oc r="AW15">
      <f>(VLOOKUP(A15,INPUT_RANGE,54,FALSE)/VLOOKUP(A15,INPUT_RANGE,52,FALSE))</f>
    </oc>
    <nc r="AW15">
      <f>(VLOOKUP(A15,INPUT_RANGE,54,FALSE)/VLOOKUP(A15,INPUT_RANGE,52,FALSE))</f>
    </nc>
  </rcc>
  <rcc rId="699" sId="5">
    <oc r="AX15">
      <f>((VLOOKUP(A15,INPUT_RANGE,54,FALSE)+VLOOKUP(A15,INPUT_RANGE,60,FALSE)+VLOOKUP(A15,INPUT_RANGE,59,FALSE))/(VLOOKUP(A15,INPUT_RANGE,52,FALSE)+VLOOKUP(A15,INPUT_RANGE,60,FALSE)+VLOOKUP(A15,INPUT_RANGE,59,FALSE)+VLOOKUP(A15,INPUT_RANGE,63,FALSE)))</f>
    </oc>
    <nc r="AX15">
      <f>((VLOOKUP(A15,INPUT_RANGE,54,FALSE)+VLOOKUP(A15,INPUT_RANGE,60,FALSE)+VLOOKUP(A15,INPUT_RANGE,59,FALSE))/(VLOOKUP(A15,INPUT_RANGE,52,FALSE)+VLOOKUP(A15,INPUT_RANGE,60,FALSE)+VLOOKUP(A15,INPUT_RANGE,59,FALSE)+VLOOKUP(A15,INPUT_RANGE,63,FALSE)))</f>
    </nc>
  </rcc>
  <rcc rId="700" sId="5">
    <oc r="AY15">
      <f>(VLOOKUP(A15,INPUT_RANGE,54)+VLOOKUP(A15,INPUT_RANGE,55)+(VLOOKUP(A15,INPUT_RANGE,56)*2)+(VLOOKUP(A15,INPUT_RANGE,57)*3))/(VLOOKUP(A15,INPUT_RANGE,52))</f>
    </oc>
    <nc r="AY15">
      <f>(VLOOKUP(A15,INPUT_RANGE,54)+VLOOKUP(A15,INPUT_RANGE,55)+(VLOOKUP(A15,INPUT_RANGE,56)*2)+(VLOOKUP(A15,INPUT_RANGE,57)*3))/(VLOOKUP(A15,INPUT_RANGE,52))</f>
    </nc>
  </rcc>
  <rcc rId="701" sId="5">
    <oc r="AZ15">
      <f>AX15+AY15</f>
    </oc>
    <nc r="AZ15">
      <f>AX15+AY15</f>
    </nc>
  </rcc>
  <rcc rId="702" sId="5">
    <oc r="BA15">
      <f xml:space="preserve"> TEXT(AZ15,".000") &amp; " ops"</f>
    </oc>
    <nc r="BA15">
      <f xml:space="preserve"> TEXT(AZ15,".000") &amp; " OPS"</f>
    </nc>
  </rcc>
  <rcc rId="703" sId="5">
    <oc r="BB15">
      <f>VLOOKUP(A15,INPUT_RANGE,78,FALSE)</f>
    </oc>
    <nc r="BB15">
      <f>VLOOKUP(A15,INPUT_RANGE,78,FALSE)</f>
    </nc>
  </rcc>
  <rcc rId="704" sId="5">
    <oc r="BC15">
      <f>VLOOKUP(A15,INPUT_RANGE,77,FALSE)</f>
    </oc>
    <nc r="BC15">
      <f>VLOOKUP(A15,INPUT_RANGE,77,FALSE)</f>
    </nc>
  </rcc>
  <rcc rId="705" sId="5">
    <oc r="BD15">
      <f>VLOOKUP(A15,INPUT_RANGE,75,FALSE) &amp; "-" &amp; VLOOKUP(A15,INPUT_RANGE,76,FALSE)</f>
    </oc>
    <nc r="BD15">
      <f>VLOOKUP(A15,INPUT_RANGE,75,FALSE) &amp; "-" &amp; VLOOKUP(A15,INPUT_RANGE,76,FALSE)</f>
    </nc>
  </rcc>
  <rcc rId="706" sId="5">
    <oc r="BE15">
      <f>AU15</f>
    </oc>
    <nc r="BE15">
      <f>AU15</f>
    </nc>
  </rcc>
  <rcc rId="707" sId="5">
    <oc r="BF15">
      <f>AA15</f>
    </oc>
    <nc r="BF15">
      <f>AA15</f>
    </nc>
  </rcc>
  <rcc rId="708" sId="5">
    <oc r="BG15">
      <f>VLOOKUP(A15,INPUT_RANGE,86,FALSE)</f>
    </oc>
    <nc r="BG15">
      <f>VLOOKUP(A15,INPUT_RANGE,86,FALSE)</f>
    </nc>
  </rcc>
  <rcc rId="709" sId="5">
    <oc r="BH15">
      <f>VLOOKUP(A15,INPUT_RANGE,87,FALSE)</f>
    </oc>
    <nc r="BH15">
      <f>VLOOKUP(A15,INPUT_RANGE,87,FALSE)</f>
    </nc>
  </rcc>
  <rcc rId="710" sId="5">
    <oc r="BI15">
      <f>VLOOKUP(A15,INPUT_RANGE,81,FALSE) &amp; " SAVES"</f>
    </oc>
    <nc r="BI15">
      <f>VLOOKUP(A15,INPUT_RANGE,81,FALSE) &amp; " SAVES"</f>
    </nc>
  </rcc>
  <rcc rId="711" sId="5">
    <oc r="BJ15">
      <f>VLOOKUP(A15,INPUT_RANGE,81,FALSE)</f>
    </oc>
    <nc r="BJ15">
      <f>VLOOKUP(A15,INPUT_RANGE,81,FALSE)</f>
    </nc>
  </rcc>
  <rcc rId="712" sId="5">
    <oc r="BK15">
      <f>VLOOKUP(A15,INPUT_RANGE,83,FALSE)</f>
    </oc>
    <nc r="BK15">
      <f>VLOOKUP(A15,INPUT_RANGE,83,FALSE)</f>
    </nc>
  </rcc>
  <rcc rId="713" sId="5">
    <oc r="BL15">
      <f>VLOOKUP(A15,INPUT_RANGE,87,FALSE) &amp; "/" &amp; VLOOKUP(A15,INPUT_RANGE,86,FALSE)</f>
    </oc>
    <nc r="BL15">
      <f>VLOOKUP(A15,INPUT_RANGE,87,FALSE) &amp; "/" &amp; VLOOKUP(A15,INPUT_RANGE,86,FALSE)</f>
    </nc>
  </rcc>
  <rcc rId="714" sId="5">
    <oc r="BM15">
      <f>ROUND((VLOOKUP(A15,INPUT_RANGE,86,FALSE)+VLOOKUP(A15,INPUT_RANGE,83,FALSE))/AS15,2)</f>
    </oc>
    <nc r="BM15">
      <f>ROUND((VLOOKUP(A15,INPUT_RANGE,86,FALSE)+VLOOKUP(A15,INPUT_RANGE,83,FALSE))/AS15,2)</f>
    </nc>
  </rcc>
  <rcc rId="715" sId="5">
    <oc r="M16">
      <f xml:space="preserve"> TEXT(AW16,".000") &amp; " ba"</f>
    </oc>
    <nc r="M16">
      <f xml:space="preserve"> TEXT(AW16,".000") &amp; " BA"</f>
    </nc>
  </rcc>
  <rcc rId="716" sId="5">
    <oc r="N16">
      <f>VLOOKUP(A16,INPUT_RANGE,58,FALSE) &amp; " rbi"</f>
    </oc>
    <nc r="N16">
      <f>VLOOKUP(A16,INPUT_RANGE,58,FALSE) &amp; " RBI"</f>
    </nc>
  </rcc>
  <rcc rId="717" sId="5">
    <oc r="O16">
      <f>VLOOKUP(A16,INPUT_RANGE,60,FALSE) &amp; " bb"</f>
    </oc>
    <nc r="O16">
      <f>VLOOKUP(A16,INPUT_RANGE,60,FALSE) &amp; " BB"</f>
    </nc>
  </rcc>
  <rcc rId="718" sId="5">
    <oc r="P16">
      <f>VLOOKUP(A16,INPUT_RANGE,61,FALSE) &amp; " k"</f>
    </oc>
    <nc r="P16">
      <f>VLOOKUP(A16,INPUT_RANGE,61,FALSE) &amp; " K"</f>
    </nc>
  </rcc>
  <rcc rId="719" sId="5">
    <oc r="Q16">
      <f>VLOOKUP(A16,INPUT_RANGE,64,FALSE) &amp; " sb"</f>
    </oc>
    <nc r="Q16">
      <f>VLOOKUP(A16,INPUT_RANGE,64,FALSE) &amp; " SB"</f>
    </nc>
  </rcc>
  <rcc rId="720" sId="5">
    <oc r="R16">
      <f>VLOOKUP(A16,INPUT_RANGE,55,FALSE) &amp; " 2b"</f>
    </oc>
    <nc r="R16">
      <f>VLOOKUP(A16,INPUT_RANGE,55,FALSE) &amp; " 2B"</f>
    </nc>
  </rcc>
  <rcc rId="721" sId="5">
    <oc r="S16">
      <f>VLOOKUP(A16,INPUT_RANGE,56,FALSE) &amp; " 3b"</f>
    </oc>
    <nc r="S16">
      <f>VLOOKUP(A16,INPUT_RANGE,56,FALSE) &amp; " 3B"</f>
    </nc>
  </rcc>
  <rcc rId="722" sId="5">
    <oc r="T16">
      <f>VLOOKUP(A16,INPUT_RANGE,57,FALSE) &amp; " hr"</f>
    </oc>
    <nc r="T16">
      <f>VLOOKUP(A16,INPUT_RANGE,57,FALSE) &amp; " HR"</f>
    </nc>
  </rcc>
  <rcc rId="723" sId="5">
    <oc r="U16">
      <f>VLOOKUP(A16,INPUT_RANGE,53,FALSE) &amp; " r"</f>
    </oc>
    <nc r="U16">
      <f>VLOOKUP(A16,INPUT_RANGE,53,FALSE) &amp; " R"</f>
    </nc>
  </rcc>
  <rcc rId="724" sId="5">
    <oc r="V16">
      <f>TEXT(AX16, ".000") &amp; " obp"</f>
    </oc>
    <nc r="V16">
      <f>TEXT(AX16, ".000") &amp; " OBP"</f>
    </nc>
  </rcc>
  <rcc rId="725" sId="5">
    <oc r="X16">
      <f>VLOOKUP(A16,INPUT_RANGE,77,FALSE)&amp;" games"</f>
    </oc>
    <nc r="X16">
      <f>VLOOKUP(A16,INPUT_RANGE,77,FALSE)&amp;" games"</f>
    </nc>
  </rcc>
  <rcc rId="726" sId="5">
    <oc r="Y16">
      <f>VLOOKUP(A16,INPUT_RANGE,78,FALSE) &amp; " starts"</f>
    </oc>
    <nc r="Y16">
      <f>VLOOKUP(A16,INPUT_RANGE,78,FALSE) &amp; " starts"</f>
    </nc>
  </rcc>
  <rcc rId="727" sId="5">
    <oc r="Z16">
      <f>VLOOKUP(A16,INPUT_RANGE,82,FALSE) &amp; " ip"</f>
    </oc>
    <nc r="Z16">
      <f>VLOOKUP(A16,INPUT_RANGE,82,FALSE) &amp; " IP"</f>
    </nc>
  </rcc>
  <rcc rId="728" sId="5">
    <oc r="AA16">
      <f>TRUNC(VLOOKUP(A16,INPUT_RANGE,82,FALSE)) &amp;  IF(AR16=0.333,"º",IF(AR16=0.666,"»",""))</f>
    </oc>
    <nc r="AA16">
      <f>TRUNC(VLOOKUP(A16,INPUT_RANGE,82,FALSE)) &amp;  IF(AR16=0.333,"º",IF(AR16=0.666,"»",""))</f>
    </nc>
  </rcc>
  <rcc rId="729" sId="5">
    <oc r="AB16">
      <f>AA16&amp; " ip"</f>
    </oc>
    <nc r="AB16">
      <f>AA16&amp; " IP"</f>
    </nc>
  </rcc>
  <rcc rId="730" sId="5">
    <oc r="AC16">
      <f>VLOOKUP(A16,INPUT_RANGE,79,FALSE) &amp; " cg"</f>
    </oc>
    <nc r="AC16">
      <f>VLOOKUP(A16,INPUT_RANGE,79,FALSE) &amp; " CG"</f>
    </nc>
  </rcc>
  <rcc rId="731" sId="5">
    <oc r="AD16">
      <f>VLOOKUP(A16,INPUT_RANGE,80,FALSE) &amp; " sho"</f>
    </oc>
    <nc r="AD16">
      <f>VLOOKUP(A16,INPUT_RANGE,80,FALSE) &amp; " SHO"</f>
    </nc>
  </rcc>
  <rcc rId="732" sId="5">
    <oc r="AE16">
      <f>VLOOKUP(A16,INPUT_RANGE,75,FALSE) &amp; " win"</f>
    </oc>
    <nc r="AE16">
      <f>VLOOKUP(A16,INPUT_RANGE,75,FALSE) &amp; " Win"</f>
    </nc>
  </rcc>
  <rcc rId="733" sId="5">
    <oc r="AF16">
      <f>VLOOKUP(A16,INPUT_RANGE,76,FALSE) &amp; " loss"</f>
    </oc>
    <nc r="AF16">
      <f>VLOOKUP(A16,INPUT_RANGE,76,FALSE) &amp; " Loss"</f>
    </nc>
  </rcc>
  <rcc rId="734" sId="5">
    <oc r="AG16">
      <f>VLOOKUP(A16,INPUT_RANGE,75,FALSE) &amp; "-" &amp; VLOOKUP(A16,INPUT_RANGE,76,FALSE) &amp; " w-l"</f>
    </oc>
    <nc r="AG16">
      <f>VLOOKUP(A16,INPUT_RANGE,75,FALSE) &amp; "-" &amp; VLOOKUP(A16,INPUT_RANGE,76,FALSE) &amp; " W-L"</f>
    </nc>
  </rcc>
  <rcc rId="735" sId="5">
    <oc r="AH16">
      <f>VLOOKUP(A16,INPUT_RANGE,81,FALSE)&amp; " saves"</f>
    </oc>
    <nc r="AH16">
      <f>VLOOKUP(A16,INPUT_RANGE,81,FALSE)&amp; " Saves"</f>
    </nc>
  </rcc>
  <rcc rId="736" sId="5">
    <oc r="AI16">
      <f>VLOOKUP(A16,INPUT_RANGE,83,FALSE) &amp; " h"</f>
    </oc>
    <nc r="AI16">
      <f>VLOOKUP(A16,INPUT_RANGE,83,FALSE) &amp; " H"</f>
    </nc>
  </rcc>
  <rcc rId="737" sId="5">
    <oc r="AJ16">
      <f>VLOOKUP(A16,INPUT_RANGE,84,FALSE) &amp; " r"</f>
    </oc>
    <nc r="AJ16">
      <f>VLOOKUP(A16,INPUT_RANGE,84,FALSE) &amp; " R"</f>
    </nc>
  </rcc>
  <rcc rId="738" sId="5">
    <oc r="AK16">
      <f>VLOOKUP(A16,INPUT_RANGE,85,FALSE) &amp;" er"</f>
    </oc>
    <nc r="AK16">
      <f>VLOOKUP(A16,INPUT_RANGE,85,FALSE) &amp;" ER"</f>
    </nc>
  </rcc>
  <rcc rId="739" sId="5">
    <oc r="AL16">
      <f>VLOOKUP(A16,INPUT_RANGE,88,FALSE) &amp;" hr"</f>
    </oc>
    <nc r="AL16">
      <f>VLOOKUP(A16,INPUT_RANGE,88,FALSE) &amp;" HR"</f>
    </nc>
  </rcc>
  <rcc rId="740" sId="5">
    <oc r="AM16">
      <f>VLOOKUP(A16,INPUT_RANGE,87,FALSE) &amp; " k"</f>
    </oc>
    <nc r="AM16">
      <f>VLOOKUP(A16,INPUT_RANGE,87,FALSE) &amp; " K"</f>
    </nc>
  </rcc>
  <rcc rId="741" sId="5">
    <oc r="AN16">
      <f>VLOOKUP(A16,INPUT_RANGE,86,FALSE) &amp; " bb"</f>
    </oc>
    <nc r="AN16">
      <f>VLOOKUP(A16,INPUT_RANGE,86,FALSE) &amp; " BB"</f>
    </nc>
  </rcc>
  <rcc rId="742" sId="5">
    <oc r="AO16">
      <f>TEXT(AU16,"0.00") &amp; " era"</f>
    </oc>
    <nc r="AO16">
      <f>TEXT(AU16,"0.00") &amp; " ERA"</f>
    </nc>
  </rcc>
  <rcc rId="743" sId="5">
    <oc r="AP16">
      <f>TEXT(AT16,"0.00") &amp; " whip"</f>
    </oc>
    <nc r="AP16">
      <f>TEXT(AT16,"0.00") &amp; " WHIP"</f>
    </nc>
  </rcc>
  <rcc rId="744" sId="5">
    <oc r="AQ16">
      <f xml:space="preserve"> IF(LEFT(RIGHT((VLOOKUP(A16,INPUT_RANGE,82,FALSE)),2),1)=".",RIGHT(VLOOKUP(A16,INPUT_RANGE,82,FALSE),1), "X")</f>
    </oc>
    <nc r="AQ16">
      <f xml:space="preserve"> IF(LEFT(RIGHT((VLOOKUP(A16,INPUT_RANGE,82,FALSE)),2),1)=".",RIGHT(VLOOKUP(A16,INPUT_RANGE,82,FALSE),1), "X")</f>
    </nc>
  </rcc>
  <rcc rId="745" sId="5">
    <oc r="AR16">
      <f>IF(AQ16 ="1",0.333,IF(AQ16="2",0.666,0))</f>
    </oc>
    <nc r="AR16">
      <f>IF(AQ16 ="1",0.333,IF(AQ16="2",0.666,0))</f>
    </nc>
  </rcc>
  <rcc rId="746" sId="5">
    <oc r="AS16">
      <f>VLOOKUP(A16,INPUT_RANGE,82,FALSE)-(AQ16*0.1)+AR16</f>
    </oc>
    <nc r="AS16">
      <f>VLOOKUP(A16,INPUT_RANGE,82,FALSE)-(AQ16*0.1)+AR16</f>
    </nc>
  </rcc>
  <rcc rId="747" sId="5">
    <oc r="AT16">
      <f>ROUND((VLOOKUP(A16,INPUT_RANGE,86,FALSE)+VLOOKUP(A16,INPUT_RANGE,83,FALSE))/AS16,2)</f>
    </oc>
    <nc r="AT16">
      <f>ROUND((VLOOKUP(A16,INPUT_RANGE,86,FALSE)+VLOOKUP(A16,INPUT_RANGE,83,FALSE))/AS16,2)</f>
    </nc>
  </rcc>
  <rcc rId="748" sId="5">
    <oc r="AU16">
      <f>ROUND((VLOOKUP(A16,INPUT_RANGE,85,FALSE)/AS16)*('Team Info'!$H$25),2)</f>
    </oc>
    <nc r="AU16">
      <f>ROUND((VLOOKUP(A16,INPUT_RANGE,85,FALSE)/AS16)*('D:\Data\Softball\[ESPN_BASEBALL_AWAY_OLD.xlsx]Team Info'!$H$25),2)</f>
    </nc>
  </rcc>
  <rcc rId="749" sId="5">
    <oc r="AW16">
      <f>(VLOOKUP(A16,INPUT_RANGE,54,FALSE)/VLOOKUP(A16,INPUT_RANGE,52,FALSE))</f>
    </oc>
    <nc r="AW16">
      <f>(VLOOKUP(A16,INPUT_RANGE,54,FALSE)/VLOOKUP(A16,INPUT_RANGE,52,FALSE))</f>
    </nc>
  </rcc>
  <rcc rId="750" sId="5">
    <oc r="AX16">
      <f>((VLOOKUP(A16,INPUT_RANGE,54,FALSE)+VLOOKUP(A16,INPUT_RANGE,60,FALSE)+VLOOKUP(A16,INPUT_RANGE,59,FALSE))/(VLOOKUP(A16,INPUT_RANGE,52,FALSE)+VLOOKUP(A16,INPUT_RANGE,60,FALSE)+VLOOKUP(A16,INPUT_RANGE,59,FALSE)+VLOOKUP(A16,INPUT_RANGE,63,FALSE)))</f>
    </oc>
    <nc r="AX16">
      <f>((VLOOKUP(A16,INPUT_RANGE,54,FALSE)+VLOOKUP(A16,INPUT_RANGE,60,FALSE)+VLOOKUP(A16,INPUT_RANGE,59,FALSE))/(VLOOKUP(A16,INPUT_RANGE,52,FALSE)+VLOOKUP(A16,INPUT_RANGE,60,FALSE)+VLOOKUP(A16,INPUT_RANGE,59,FALSE)+VLOOKUP(A16,INPUT_RANGE,63,FALSE)))</f>
    </nc>
  </rcc>
  <rcc rId="751" sId="5">
    <oc r="AY16">
      <f>(VLOOKUP(A16,INPUT_RANGE,54)+VLOOKUP(A16,INPUT_RANGE,55)+(VLOOKUP(A16,INPUT_RANGE,56)*2)+(VLOOKUP(A16,INPUT_RANGE,57)*3))/(VLOOKUP(A16,INPUT_RANGE,52))</f>
    </oc>
    <nc r="AY16">
      <f>(VLOOKUP(A16,INPUT_RANGE,54)+VLOOKUP(A16,INPUT_RANGE,55)+(VLOOKUP(A16,INPUT_RANGE,56)*2)+(VLOOKUP(A16,INPUT_RANGE,57)*3))/(VLOOKUP(A16,INPUT_RANGE,52))</f>
    </nc>
  </rcc>
  <rcc rId="752" sId="5">
    <oc r="AZ16">
      <f>AX16+AY16</f>
    </oc>
    <nc r="AZ16">
      <f>AX16+AY16</f>
    </nc>
  </rcc>
  <rcc rId="753" sId="5">
    <oc r="BA16">
      <f xml:space="preserve"> TEXT(AZ16,".000") &amp; " ops"</f>
    </oc>
    <nc r="BA16">
      <f xml:space="preserve"> TEXT(AZ16,".000") &amp; " OPS"</f>
    </nc>
  </rcc>
  <rcc rId="754" sId="5">
    <oc r="BB16">
      <f>VLOOKUP(A16,INPUT_RANGE,78,FALSE)</f>
    </oc>
    <nc r="BB16">
      <f>VLOOKUP(A16,INPUT_RANGE,78,FALSE)</f>
    </nc>
  </rcc>
  <rcc rId="755" sId="5">
    <oc r="BC16">
      <f>VLOOKUP(A16,INPUT_RANGE,77,FALSE)</f>
    </oc>
    <nc r="BC16">
      <f>VLOOKUP(A16,INPUT_RANGE,77,FALSE)</f>
    </nc>
  </rcc>
  <rcc rId="756" sId="5">
    <oc r="BD16">
      <f>VLOOKUP(A16,INPUT_RANGE,75,FALSE) &amp; "-" &amp; VLOOKUP(A16,INPUT_RANGE,76,FALSE)</f>
    </oc>
    <nc r="BD16">
      <f>VLOOKUP(A16,INPUT_RANGE,75,FALSE) &amp; "-" &amp; VLOOKUP(A16,INPUT_RANGE,76,FALSE)</f>
    </nc>
  </rcc>
  <rcc rId="757" sId="5">
    <oc r="BE16">
      <f>AU16</f>
    </oc>
    <nc r="BE16">
      <f>AU16</f>
    </nc>
  </rcc>
  <rcc rId="758" sId="5">
    <oc r="BF16">
      <f>AA16</f>
    </oc>
    <nc r="BF16">
      <f>AA16</f>
    </nc>
  </rcc>
  <rcc rId="759" sId="5">
    <oc r="BG16">
      <f>VLOOKUP(A16,INPUT_RANGE,86,FALSE)</f>
    </oc>
    <nc r="BG16">
      <f>VLOOKUP(A16,INPUT_RANGE,86,FALSE)</f>
    </nc>
  </rcc>
  <rcc rId="760" sId="5">
    <oc r="BH16">
      <f>VLOOKUP(A16,INPUT_RANGE,87,FALSE)</f>
    </oc>
    <nc r="BH16">
      <f>VLOOKUP(A16,INPUT_RANGE,87,FALSE)</f>
    </nc>
  </rcc>
  <rcc rId="761" sId="5">
    <oc r="BI16">
      <f>VLOOKUP(A16,INPUT_RANGE,81,FALSE) &amp; " SAVES"</f>
    </oc>
    <nc r="BI16">
      <f>VLOOKUP(A16,INPUT_RANGE,81,FALSE) &amp; " SAVES"</f>
    </nc>
  </rcc>
  <rcc rId="762" sId="5">
    <oc r="BJ16">
      <f>VLOOKUP(A16,INPUT_RANGE,81,FALSE)</f>
    </oc>
    <nc r="BJ16">
      <f>VLOOKUP(A16,INPUT_RANGE,81,FALSE)</f>
    </nc>
  </rcc>
  <rcc rId="763" sId="5">
    <oc r="BK16">
      <f>VLOOKUP(A16,INPUT_RANGE,83,FALSE)</f>
    </oc>
    <nc r="BK16">
      <f>VLOOKUP(A16,INPUT_RANGE,83,FALSE)</f>
    </nc>
  </rcc>
  <rcc rId="764" sId="5">
    <oc r="BL16">
      <f>VLOOKUP(A16,INPUT_RANGE,87,FALSE) &amp; "/" &amp; VLOOKUP(A16,INPUT_RANGE,86,FALSE)</f>
    </oc>
    <nc r="BL16">
      <f>VLOOKUP(A16,INPUT_RANGE,87,FALSE) &amp; "/" &amp; VLOOKUP(A16,INPUT_RANGE,86,FALSE)</f>
    </nc>
  </rcc>
  <rcc rId="765" sId="5">
    <oc r="BM16">
      <f>ROUND((VLOOKUP(A16,INPUT_RANGE,86,FALSE)+VLOOKUP(A16,INPUT_RANGE,83,FALSE))/AS16,2)</f>
    </oc>
    <nc r="BM16">
      <f>ROUND((VLOOKUP(A16,INPUT_RANGE,86,FALSE)+VLOOKUP(A16,INPUT_RANGE,83,FALSE))/AS16,2)</f>
    </nc>
  </rcc>
  <rcc rId="766" sId="5">
    <oc r="M17">
      <f xml:space="preserve"> TEXT(AW17,".000") &amp; " ba"</f>
    </oc>
    <nc r="M17">
      <f xml:space="preserve"> TEXT(AW17,".000") &amp; " BA"</f>
    </nc>
  </rcc>
  <rcc rId="767" sId="5">
    <oc r="N17">
      <f>VLOOKUP(A17,INPUT_RANGE,58,FALSE) &amp; " rbi"</f>
    </oc>
    <nc r="N17">
      <f>VLOOKUP(A17,INPUT_RANGE,58,FALSE) &amp; " RBI"</f>
    </nc>
  </rcc>
  <rcc rId="768" sId="5">
    <oc r="O17">
      <f>VLOOKUP(A17,INPUT_RANGE,60,FALSE) &amp; " bb"</f>
    </oc>
    <nc r="O17">
      <f>VLOOKUP(A17,INPUT_RANGE,60,FALSE) &amp; " BB"</f>
    </nc>
  </rcc>
  <rcc rId="769" sId="5">
    <oc r="P17">
      <f>VLOOKUP(A17,INPUT_RANGE,61,FALSE) &amp; " k"</f>
    </oc>
    <nc r="P17">
      <f>VLOOKUP(A17,INPUT_RANGE,61,FALSE) &amp; " K"</f>
    </nc>
  </rcc>
  <rcc rId="770" sId="5">
    <oc r="Q17">
      <f>VLOOKUP(A17,INPUT_RANGE,64,FALSE) &amp; " sb"</f>
    </oc>
    <nc r="Q17">
      <f>VLOOKUP(A17,INPUT_RANGE,64,FALSE) &amp; " SB"</f>
    </nc>
  </rcc>
  <rcc rId="771" sId="5">
    <oc r="R17">
      <f>VLOOKUP(A17,INPUT_RANGE,55,FALSE) &amp; " 2b"</f>
    </oc>
    <nc r="R17">
      <f>VLOOKUP(A17,INPUT_RANGE,55,FALSE) &amp; " 2B"</f>
    </nc>
  </rcc>
  <rcc rId="772" sId="5">
    <oc r="S17">
      <f>VLOOKUP(A17,INPUT_RANGE,56,FALSE) &amp; " 3b"</f>
    </oc>
    <nc r="S17">
      <f>VLOOKUP(A17,INPUT_RANGE,56,FALSE) &amp; " 3B"</f>
    </nc>
  </rcc>
  <rcc rId="773" sId="5">
    <oc r="T17">
      <f>VLOOKUP(A17,INPUT_RANGE,57,FALSE) &amp; " hr"</f>
    </oc>
    <nc r="T17">
      <f>VLOOKUP(A17,INPUT_RANGE,57,FALSE) &amp; " HR"</f>
    </nc>
  </rcc>
  <rcc rId="774" sId="5">
    <oc r="U17">
      <f>VLOOKUP(A17,INPUT_RANGE,53,FALSE) &amp; " r"</f>
    </oc>
    <nc r="U17">
      <f>VLOOKUP(A17,INPUT_RANGE,53,FALSE) &amp; " R"</f>
    </nc>
  </rcc>
  <rcc rId="775" sId="5">
    <oc r="V17">
      <f>TEXT(AX17, ".000") &amp; " obp"</f>
    </oc>
    <nc r="V17">
      <f>TEXT(AX17, ".000") &amp; " OBP"</f>
    </nc>
  </rcc>
  <rcc rId="776" sId="5">
    <oc r="X17">
      <f>VLOOKUP(A17,INPUT_RANGE,77,FALSE)&amp;" games"</f>
    </oc>
    <nc r="X17">
      <f>VLOOKUP(A17,INPUT_RANGE,77,FALSE)&amp;" games"</f>
    </nc>
  </rcc>
  <rcc rId="777" sId="5">
    <oc r="Y17">
      <f>VLOOKUP(A17,INPUT_RANGE,78,FALSE) &amp; " starts"</f>
    </oc>
    <nc r="Y17">
      <f>VLOOKUP(A17,INPUT_RANGE,78,FALSE) &amp; " starts"</f>
    </nc>
  </rcc>
  <rcc rId="778" sId="5">
    <oc r="Z17">
      <f>VLOOKUP(A17,INPUT_RANGE,82,FALSE) &amp; " ip"</f>
    </oc>
    <nc r="Z17">
      <f>VLOOKUP(A17,INPUT_RANGE,82,FALSE) &amp; " IP"</f>
    </nc>
  </rcc>
  <rcc rId="779" sId="5">
    <oc r="AA17">
      <f>TRUNC(VLOOKUP(A17,INPUT_RANGE,82,FALSE)) &amp;  IF(AR17=0.333,"º",IF(AR17=0.666,"»",""))</f>
    </oc>
    <nc r="AA17">
      <f>TRUNC(VLOOKUP(A17,INPUT_RANGE,82,FALSE)) &amp;  IF(AR17=0.333,"º",IF(AR17=0.666,"»",""))</f>
    </nc>
  </rcc>
  <rcc rId="780" sId="5">
    <oc r="AB17">
      <f>AA17&amp; " ip"</f>
    </oc>
    <nc r="AB17">
      <f>AA17&amp; " IP"</f>
    </nc>
  </rcc>
  <rcc rId="781" sId="5">
    <oc r="AC17">
      <f>VLOOKUP(A17,INPUT_RANGE,79,FALSE) &amp; " cg"</f>
    </oc>
    <nc r="AC17">
      <f>VLOOKUP(A17,INPUT_RANGE,79,FALSE) &amp; " CG"</f>
    </nc>
  </rcc>
  <rcc rId="782" sId="5">
    <oc r="AD17">
      <f>VLOOKUP(A17,INPUT_RANGE,80,FALSE) &amp; " sho"</f>
    </oc>
    <nc r="AD17">
      <f>VLOOKUP(A17,INPUT_RANGE,80,FALSE) &amp; " SHO"</f>
    </nc>
  </rcc>
  <rcc rId="783" sId="5">
    <oc r="AE17">
      <f>VLOOKUP(A17,INPUT_RANGE,75,FALSE) &amp; " win"</f>
    </oc>
    <nc r="AE17">
      <f>VLOOKUP(A17,INPUT_RANGE,75,FALSE) &amp; " Win"</f>
    </nc>
  </rcc>
  <rcc rId="784" sId="5">
    <oc r="AF17">
      <f>VLOOKUP(A17,INPUT_RANGE,76,FALSE) &amp; " loss"</f>
    </oc>
    <nc r="AF17">
      <f>VLOOKUP(A17,INPUT_RANGE,76,FALSE) &amp; " Loss"</f>
    </nc>
  </rcc>
  <rcc rId="785" sId="5">
    <oc r="AG17">
      <f>VLOOKUP(A17,INPUT_RANGE,75,FALSE) &amp; "-" &amp; VLOOKUP(A17,INPUT_RANGE,76,FALSE) &amp; " w-l"</f>
    </oc>
    <nc r="AG17">
      <f>VLOOKUP(A17,INPUT_RANGE,75,FALSE) &amp; "-" &amp; VLOOKUP(A17,INPUT_RANGE,76,FALSE) &amp; " W-L"</f>
    </nc>
  </rcc>
  <rcc rId="786" sId="5">
    <oc r="AH17">
      <f>VLOOKUP(A17,INPUT_RANGE,81,FALSE)&amp; " saves"</f>
    </oc>
    <nc r="AH17">
      <f>VLOOKUP(A17,INPUT_RANGE,81,FALSE)&amp; " Saves"</f>
    </nc>
  </rcc>
  <rcc rId="787" sId="5">
    <oc r="AI17">
      <f>VLOOKUP(A17,INPUT_RANGE,83,FALSE) &amp; " h"</f>
    </oc>
    <nc r="AI17">
      <f>VLOOKUP(A17,INPUT_RANGE,83,FALSE) &amp; " H"</f>
    </nc>
  </rcc>
  <rcc rId="788" sId="5">
    <oc r="AJ17">
      <f>VLOOKUP(A17,INPUT_RANGE,84,FALSE) &amp; " r"</f>
    </oc>
    <nc r="AJ17">
      <f>VLOOKUP(A17,INPUT_RANGE,84,FALSE) &amp; " R"</f>
    </nc>
  </rcc>
  <rcc rId="789" sId="5">
    <oc r="AK17">
      <f>VLOOKUP(A17,INPUT_RANGE,85,FALSE) &amp;" er"</f>
    </oc>
    <nc r="AK17">
      <f>VLOOKUP(A17,INPUT_RANGE,85,FALSE) &amp;" ER"</f>
    </nc>
  </rcc>
  <rcc rId="790" sId="5">
    <oc r="AL17">
      <f>VLOOKUP(A17,INPUT_RANGE,88,FALSE) &amp;" hr"</f>
    </oc>
    <nc r="AL17">
      <f>VLOOKUP(A17,INPUT_RANGE,88,FALSE) &amp;" HR"</f>
    </nc>
  </rcc>
  <rcc rId="791" sId="5">
    <oc r="AM17">
      <f>VLOOKUP(A17,INPUT_RANGE,87,FALSE) &amp; " k"</f>
    </oc>
    <nc r="AM17">
      <f>VLOOKUP(A17,INPUT_RANGE,87,FALSE) &amp; " K"</f>
    </nc>
  </rcc>
  <rcc rId="792" sId="5">
    <oc r="AN17">
      <f>VLOOKUP(A17,INPUT_RANGE,86,FALSE) &amp; " bb"</f>
    </oc>
    <nc r="AN17">
      <f>VLOOKUP(A17,INPUT_RANGE,86,FALSE) &amp; " BB"</f>
    </nc>
  </rcc>
  <rcc rId="793" sId="5">
    <oc r="AO17">
      <f>TEXT(AU17,"0.00") &amp; " era"</f>
    </oc>
    <nc r="AO17">
      <f>TEXT(AU17,"0.00") &amp; " ERA"</f>
    </nc>
  </rcc>
  <rcc rId="794" sId="5">
    <oc r="AP17">
      <f>TEXT(AT17,"0.00") &amp; " whip"</f>
    </oc>
    <nc r="AP17">
      <f>TEXT(AT17,"0.00") &amp; " WHIP"</f>
    </nc>
  </rcc>
  <rcc rId="795" sId="5">
    <oc r="AQ17">
      <f xml:space="preserve"> IF(LEFT(RIGHT((VLOOKUP(A17,INPUT_RANGE,82,FALSE)),2),1)=".",RIGHT(VLOOKUP(A17,INPUT_RANGE,82,FALSE),1), "X")</f>
    </oc>
    <nc r="AQ17">
      <f xml:space="preserve"> IF(LEFT(RIGHT((VLOOKUP(A17,INPUT_RANGE,82,FALSE)),2),1)=".",RIGHT(VLOOKUP(A17,INPUT_RANGE,82,FALSE),1), "X")</f>
    </nc>
  </rcc>
  <rcc rId="796" sId="5">
    <oc r="AR17">
      <f>IF(AQ17 ="1",0.333,IF(AQ17="2",0.666,0))</f>
    </oc>
    <nc r="AR17">
      <f>IF(AQ17 ="1",0.333,IF(AQ17="2",0.666,0))</f>
    </nc>
  </rcc>
  <rcc rId="797" sId="5">
    <oc r="AS17">
      <f>VLOOKUP(A17,INPUT_RANGE,82,FALSE)-(AQ17*0.1)+AR17</f>
    </oc>
    <nc r="AS17">
      <f>VLOOKUP(A17,INPUT_RANGE,82,FALSE)-(AQ17*0.1)+AR17</f>
    </nc>
  </rcc>
  <rcc rId="798" sId="5">
    <oc r="AT17">
      <f>ROUND((VLOOKUP(A17,INPUT_RANGE,86,FALSE)+VLOOKUP(A17,INPUT_RANGE,83,FALSE))/AS17,2)</f>
    </oc>
    <nc r="AT17">
      <f>ROUND((VLOOKUP(A17,INPUT_RANGE,86,FALSE)+VLOOKUP(A17,INPUT_RANGE,83,FALSE))/AS17,2)</f>
    </nc>
  </rcc>
  <rcc rId="799" sId="5">
    <oc r="AU17">
      <f>ROUND((VLOOKUP(A17,INPUT_RANGE,85,FALSE)/AS17)*('Team Info'!$H$25),2)</f>
    </oc>
    <nc r="AU17">
      <f>ROUND((VLOOKUP(A17,INPUT_RANGE,85,FALSE)/AS17)*('D:\Data\Softball\[ESPN_BASEBALL_AWAY_OLD.xlsx]Team Info'!$H$25),2)</f>
    </nc>
  </rcc>
  <rcc rId="800" sId="5">
    <oc r="AW17">
      <f>(VLOOKUP(A17,INPUT_RANGE,54,FALSE)/VLOOKUP(A17,INPUT_RANGE,52,FALSE))</f>
    </oc>
    <nc r="AW17">
      <f>(VLOOKUP(A17,INPUT_RANGE,54,FALSE)/VLOOKUP(A17,INPUT_RANGE,52,FALSE))</f>
    </nc>
  </rcc>
  <rcc rId="801" sId="5">
    <oc r="AX17">
      <f>((VLOOKUP(A17,INPUT_RANGE,54,FALSE)+VLOOKUP(A17,INPUT_RANGE,60,FALSE)+VLOOKUP(A17,INPUT_RANGE,59,FALSE))/(VLOOKUP(A17,INPUT_RANGE,52,FALSE)+VLOOKUP(A17,INPUT_RANGE,60,FALSE)+VLOOKUP(A17,INPUT_RANGE,59,FALSE)+VLOOKUP(A17,INPUT_RANGE,63,FALSE)))</f>
    </oc>
    <nc r="AX17">
      <f>((VLOOKUP(A17,INPUT_RANGE,54,FALSE)+VLOOKUP(A17,INPUT_RANGE,60,FALSE)+VLOOKUP(A17,INPUT_RANGE,59,FALSE))/(VLOOKUP(A17,INPUT_RANGE,52,FALSE)+VLOOKUP(A17,INPUT_RANGE,60,FALSE)+VLOOKUP(A17,INPUT_RANGE,59,FALSE)+VLOOKUP(A17,INPUT_RANGE,63,FALSE)))</f>
    </nc>
  </rcc>
  <rcc rId="802" sId="5">
    <oc r="AY17">
      <f>(VLOOKUP(A17,INPUT_RANGE,54)+VLOOKUP(A17,INPUT_RANGE,55)+(VLOOKUP(A17,INPUT_RANGE,56)*2)+(VLOOKUP(A17,INPUT_RANGE,57)*3))/(VLOOKUP(A17,INPUT_RANGE,52))</f>
    </oc>
    <nc r="AY17">
      <f>(VLOOKUP(A17,INPUT_RANGE,54)+VLOOKUP(A17,INPUT_RANGE,55)+(VLOOKUP(A17,INPUT_RANGE,56)*2)+(VLOOKUP(A17,INPUT_RANGE,57)*3))/(VLOOKUP(A17,INPUT_RANGE,52))</f>
    </nc>
  </rcc>
  <rcc rId="803" sId="5">
    <oc r="AZ17">
      <f>AX17+AY17</f>
    </oc>
    <nc r="AZ17">
      <f>AX17+AY17</f>
    </nc>
  </rcc>
  <rcc rId="804" sId="5">
    <oc r="BA17">
      <f xml:space="preserve"> TEXT(AZ17,".000") &amp; " ops"</f>
    </oc>
    <nc r="BA17">
      <f xml:space="preserve"> TEXT(AZ17,".000") &amp; " OPS"</f>
    </nc>
  </rcc>
  <rcc rId="805" sId="5">
    <oc r="BB17">
      <f>VLOOKUP(A17,INPUT_RANGE,78,FALSE)</f>
    </oc>
    <nc r="BB17">
      <f>VLOOKUP(A17,INPUT_RANGE,78,FALSE)</f>
    </nc>
  </rcc>
  <rcc rId="806" sId="5">
    <oc r="BC17">
      <f>VLOOKUP(A17,INPUT_RANGE,77,FALSE)</f>
    </oc>
    <nc r="BC17">
      <f>VLOOKUP(A17,INPUT_RANGE,77,FALSE)</f>
    </nc>
  </rcc>
  <rcc rId="807" sId="5">
    <oc r="BD17">
      <f>VLOOKUP(A17,INPUT_RANGE,75,FALSE) &amp; "-" &amp; VLOOKUP(A17,INPUT_RANGE,76,FALSE)</f>
    </oc>
    <nc r="BD17">
      <f>VLOOKUP(A17,INPUT_RANGE,75,FALSE) &amp; "-" &amp; VLOOKUP(A17,INPUT_RANGE,76,FALSE)</f>
    </nc>
  </rcc>
  <rcc rId="808" sId="5">
    <oc r="BE17">
      <f>AU17</f>
    </oc>
    <nc r="BE17">
      <f>AU17</f>
    </nc>
  </rcc>
  <rcc rId="809" sId="5">
    <oc r="BF17">
      <f>AA17</f>
    </oc>
    <nc r="BF17">
      <f>AA17</f>
    </nc>
  </rcc>
  <rcc rId="810" sId="5">
    <oc r="BG17">
      <f>VLOOKUP(A17,INPUT_RANGE,86,FALSE)</f>
    </oc>
    <nc r="BG17">
      <f>VLOOKUP(A17,INPUT_RANGE,86,FALSE)</f>
    </nc>
  </rcc>
  <rcc rId="811" sId="5">
    <oc r="BH17">
      <f>VLOOKUP(A17,INPUT_RANGE,87,FALSE)</f>
    </oc>
    <nc r="BH17">
      <f>VLOOKUP(A17,INPUT_RANGE,87,FALSE)</f>
    </nc>
  </rcc>
  <rcc rId="812" sId="5">
    <oc r="BI17">
      <f>VLOOKUP(A17,INPUT_RANGE,81,FALSE) &amp; " SAVES"</f>
    </oc>
    <nc r="BI17">
      <f>VLOOKUP(A17,INPUT_RANGE,81,FALSE) &amp; " SAVES"</f>
    </nc>
  </rcc>
  <rcc rId="813" sId="5">
    <oc r="BJ17">
      <f>VLOOKUP(A17,INPUT_RANGE,81,FALSE)</f>
    </oc>
    <nc r="BJ17">
      <f>VLOOKUP(A17,INPUT_RANGE,81,FALSE)</f>
    </nc>
  </rcc>
  <rcc rId="814" sId="5">
    <oc r="BK17">
      <f>VLOOKUP(A17,INPUT_RANGE,83,FALSE)</f>
    </oc>
    <nc r="BK17">
      <f>VLOOKUP(A17,INPUT_RANGE,83,FALSE)</f>
    </nc>
  </rcc>
  <rcc rId="815" sId="5">
    <oc r="BL17">
      <f>VLOOKUP(A17,INPUT_RANGE,87,FALSE) &amp; "/" &amp; VLOOKUP(A17,INPUT_RANGE,86,FALSE)</f>
    </oc>
    <nc r="BL17">
      <f>VLOOKUP(A17,INPUT_RANGE,87,FALSE) &amp; "/" &amp; VLOOKUP(A17,INPUT_RANGE,86,FALSE)</f>
    </nc>
  </rcc>
  <rcc rId="816" sId="5">
    <oc r="BM17">
      <f>ROUND((VLOOKUP(A17,INPUT_RANGE,86,FALSE)+VLOOKUP(A17,INPUT_RANGE,83,FALSE))/AS17,2)</f>
    </oc>
    <nc r="BM17">
      <f>ROUND((VLOOKUP(A17,INPUT_RANGE,86,FALSE)+VLOOKUP(A17,INPUT_RANGE,83,FALSE))/AS17,2)</f>
    </nc>
  </rcc>
  <rcc rId="817" sId="5">
    <oc r="M18">
      <f xml:space="preserve"> TEXT(AW18,".000") &amp; " ba"</f>
    </oc>
    <nc r="M18">
      <f xml:space="preserve"> TEXT(AW18,".000") &amp; " BA"</f>
    </nc>
  </rcc>
  <rcc rId="818" sId="5">
    <oc r="N18">
      <f>VLOOKUP(A18,INPUT_RANGE,58,FALSE) &amp; " rbi"</f>
    </oc>
    <nc r="N18">
      <f>VLOOKUP(A18,INPUT_RANGE,58,FALSE) &amp; " RBI"</f>
    </nc>
  </rcc>
  <rcc rId="819" sId="5">
    <oc r="O18">
      <f>VLOOKUP(A18,INPUT_RANGE,60,FALSE) &amp; " bb"</f>
    </oc>
    <nc r="O18">
      <f>VLOOKUP(A18,INPUT_RANGE,60,FALSE) &amp; " BB"</f>
    </nc>
  </rcc>
  <rcc rId="820" sId="5">
    <oc r="P18">
      <f>VLOOKUP(A18,INPUT_RANGE,61,FALSE) &amp; " k"</f>
    </oc>
    <nc r="P18">
      <f>VLOOKUP(A18,INPUT_RANGE,61,FALSE) &amp; " K"</f>
    </nc>
  </rcc>
  <rcc rId="821" sId="5">
    <oc r="Q18">
      <f>VLOOKUP(A18,INPUT_RANGE,64,FALSE) &amp; " sb"</f>
    </oc>
    <nc r="Q18">
      <f>VLOOKUP(A18,INPUT_RANGE,64,FALSE) &amp; " SB"</f>
    </nc>
  </rcc>
  <rcc rId="822" sId="5">
    <oc r="R18">
      <f>VLOOKUP(A18,INPUT_RANGE,55,FALSE) &amp; " 2b"</f>
    </oc>
    <nc r="R18">
      <f>VLOOKUP(A18,INPUT_RANGE,55,FALSE) &amp; " 2B"</f>
    </nc>
  </rcc>
  <rcc rId="823" sId="5">
    <oc r="S18">
      <f>VLOOKUP(A18,INPUT_RANGE,56,FALSE) &amp; " 3b"</f>
    </oc>
    <nc r="S18">
      <f>VLOOKUP(A18,INPUT_RANGE,56,FALSE) &amp; " 3B"</f>
    </nc>
  </rcc>
  <rcc rId="824" sId="5">
    <oc r="T18">
      <f>VLOOKUP(A18,INPUT_RANGE,57,FALSE) &amp; " hr"</f>
    </oc>
    <nc r="T18">
      <f>VLOOKUP(A18,INPUT_RANGE,57,FALSE) &amp; " HR"</f>
    </nc>
  </rcc>
  <rcc rId="825" sId="5">
    <oc r="U18">
      <f>VLOOKUP(A18,INPUT_RANGE,53,FALSE) &amp; " r"</f>
    </oc>
    <nc r="U18">
      <f>VLOOKUP(A18,INPUT_RANGE,53,FALSE) &amp; " R"</f>
    </nc>
  </rcc>
  <rcc rId="826" sId="5">
    <oc r="V18">
      <f>TEXT(AX18, ".000") &amp; " obp"</f>
    </oc>
    <nc r="V18">
      <f>TEXT(AX18, ".000") &amp; " OBP"</f>
    </nc>
  </rcc>
  <rcc rId="827" sId="5">
    <oc r="X18">
      <f>VLOOKUP(A18,INPUT_RANGE,77,FALSE)&amp;" games"</f>
    </oc>
    <nc r="X18">
      <f>VLOOKUP(A18,INPUT_RANGE,77,FALSE)&amp;" games"</f>
    </nc>
  </rcc>
  <rcc rId="828" sId="5">
    <oc r="Y18">
      <f>VLOOKUP(A18,INPUT_RANGE,78,FALSE) &amp; " starts"</f>
    </oc>
    <nc r="Y18">
      <f>VLOOKUP(A18,INPUT_RANGE,78,FALSE) &amp; " starts"</f>
    </nc>
  </rcc>
  <rcc rId="829" sId="5">
    <oc r="Z18">
      <f>VLOOKUP(A18,INPUT_RANGE,82,FALSE) &amp; " ip"</f>
    </oc>
    <nc r="Z18">
      <f>VLOOKUP(A18,INPUT_RANGE,82,FALSE) &amp; " IP"</f>
    </nc>
  </rcc>
  <rcc rId="830" sId="5">
    <oc r="AA18">
      <f>TRUNC(VLOOKUP(A18,INPUT_RANGE,82,FALSE)) &amp;  IF(AR18=0.333,"º",IF(AR18=0.666,"»",""))</f>
    </oc>
    <nc r="AA18">
      <f>TRUNC(VLOOKUP(A18,INPUT_RANGE,82,FALSE)) &amp;  IF(AR18=0.333,"º",IF(AR18=0.666,"»",""))</f>
    </nc>
  </rcc>
  <rcc rId="831" sId="5">
    <oc r="AB18">
      <f>AA18&amp; " ip"</f>
    </oc>
    <nc r="AB18">
      <f>AA18&amp; " IP"</f>
    </nc>
  </rcc>
  <rcc rId="832" sId="5">
    <oc r="AC18">
      <f>VLOOKUP(A18,INPUT_RANGE,79,FALSE) &amp; " cg"</f>
    </oc>
    <nc r="AC18">
      <f>VLOOKUP(A18,INPUT_RANGE,79,FALSE) &amp; " CG"</f>
    </nc>
  </rcc>
  <rcc rId="833" sId="5">
    <oc r="AD18">
      <f>VLOOKUP(A18,INPUT_RANGE,80,FALSE) &amp; " sho"</f>
    </oc>
    <nc r="AD18">
      <f>VLOOKUP(A18,INPUT_RANGE,80,FALSE) &amp; " SHO"</f>
    </nc>
  </rcc>
  <rcc rId="834" sId="5">
    <oc r="AE18">
      <f>VLOOKUP(A18,INPUT_RANGE,75,FALSE) &amp; " win"</f>
    </oc>
    <nc r="AE18">
      <f>VLOOKUP(A18,INPUT_RANGE,75,FALSE) &amp; " Win"</f>
    </nc>
  </rcc>
  <rcc rId="835" sId="5">
    <oc r="AF18">
      <f>VLOOKUP(A18,INPUT_RANGE,76,FALSE) &amp; " loss"</f>
    </oc>
    <nc r="AF18">
      <f>VLOOKUP(A18,INPUT_RANGE,76,FALSE) &amp; " Loss"</f>
    </nc>
  </rcc>
  <rcc rId="836" sId="5">
    <oc r="AG18">
      <f>VLOOKUP(A18,INPUT_RANGE,75,FALSE) &amp; "-" &amp; VLOOKUP(A18,INPUT_RANGE,76,FALSE) &amp; " w-l"</f>
    </oc>
    <nc r="AG18">
      <f>VLOOKUP(A18,INPUT_RANGE,75,FALSE) &amp; "-" &amp; VLOOKUP(A18,INPUT_RANGE,76,FALSE) &amp; " W-L"</f>
    </nc>
  </rcc>
  <rcc rId="837" sId="5">
    <oc r="AH18">
      <f>VLOOKUP(A18,INPUT_RANGE,81,FALSE)&amp; " saves"</f>
    </oc>
    <nc r="AH18">
      <f>VLOOKUP(A18,INPUT_RANGE,81,FALSE)&amp; " Saves"</f>
    </nc>
  </rcc>
  <rcc rId="838" sId="5">
    <oc r="AI18">
      <f>VLOOKUP(A18,INPUT_RANGE,83,FALSE) &amp; " h"</f>
    </oc>
    <nc r="AI18">
      <f>VLOOKUP(A18,INPUT_RANGE,83,FALSE) &amp; " H"</f>
    </nc>
  </rcc>
  <rcc rId="839" sId="5">
    <oc r="AJ18">
      <f>VLOOKUP(A18,INPUT_RANGE,84,FALSE) &amp; " r"</f>
    </oc>
    <nc r="AJ18">
      <f>VLOOKUP(A18,INPUT_RANGE,84,FALSE) &amp; " R"</f>
    </nc>
  </rcc>
  <rcc rId="840" sId="5">
    <oc r="AK18">
      <f>VLOOKUP(A18,INPUT_RANGE,85,FALSE) &amp;" er"</f>
    </oc>
    <nc r="AK18">
      <f>VLOOKUP(A18,INPUT_RANGE,85,FALSE) &amp;" ER"</f>
    </nc>
  </rcc>
  <rcc rId="841" sId="5">
    <oc r="AL18">
      <f>VLOOKUP(A18,INPUT_RANGE,88,FALSE) &amp;" hr"</f>
    </oc>
    <nc r="AL18">
      <f>VLOOKUP(A18,INPUT_RANGE,88,FALSE) &amp;" HR"</f>
    </nc>
  </rcc>
  <rcc rId="842" sId="5">
    <oc r="AM18">
      <f>VLOOKUP(A18,INPUT_RANGE,87,FALSE) &amp; " k"</f>
    </oc>
    <nc r="AM18">
      <f>VLOOKUP(A18,INPUT_RANGE,87,FALSE) &amp; " K"</f>
    </nc>
  </rcc>
  <rcc rId="843" sId="5">
    <oc r="AN18">
      <f>VLOOKUP(A18,INPUT_RANGE,86,FALSE) &amp; " bb"</f>
    </oc>
    <nc r="AN18">
      <f>VLOOKUP(A18,INPUT_RANGE,86,FALSE) &amp; " BB"</f>
    </nc>
  </rcc>
  <rcc rId="844" sId="5">
    <oc r="AO18">
      <f>TEXT(AU18,"0.00") &amp; " era"</f>
    </oc>
    <nc r="AO18">
      <f>TEXT(AU18,"0.00") &amp; " ERA"</f>
    </nc>
  </rcc>
  <rcc rId="845" sId="5">
    <oc r="AP18">
      <f>TEXT(AT18,"0.00") &amp; " whip"</f>
    </oc>
    <nc r="AP18">
      <f>TEXT(AT18,"0.00") &amp; " WHIP"</f>
    </nc>
  </rcc>
  <rcc rId="846" sId="5">
    <oc r="AQ18">
      <f xml:space="preserve"> IF(LEFT(RIGHT((VLOOKUP(A18,INPUT_RANGE,82,FALSE)),2),1)=".",RIGHT(VLOOKUP(A18,INPUT_RANGE,82,FALSE),1), "X")</f>
    </oc>
    <nc r="AQ18">
      <f xml:space="preserve"> IF(LEFT(RIGHT((VLOOKUP(A18,INPUT_RANGE,82,FALSE)),2),1)=".",RIGHT(VLOOKUP(A18,INPUT_RANGE,82,FALSE),1), "X")</f>
    </nc>
  </rcc>
  <rcc rId="847" sId="5">
    <oc r="AR18">
      <f>IF(AQ18 ="1",0.333,IF(AQ18="2",0.666,0))</f>
    </oc>
    <nc r="AR18">
      <f>IF(AQ18 ="1",0.333,IF(AQ18="2",0.666,0))</f>
    </nc>
  </rcc>
  <rcc rId="848" sId="5">
    <oc r="AS18">
      <f>VLOOKUP(A18,INPUT_RANGE,82,FALSE)-(AQ18*0.1)+AR18</f>
    </oc>
    <nc r="AS18">
      <f>VLOOKUP(A18,INPUT_RANGE,82,FALSE)-(AQ18*0.1)+AR18</f>
    </nc>
  </rcc>
  <rcc rId="849" sId="5">
    <oc r="AT18">
      <f>ROUND((VLOOKUP(A18,INPUT_RANGE,86,FALSE)+VLOOKUP(A18,INPUT_RANGE,83,FALSE))/AS18,2)</f>
    </oc>
    <nc r="AT18">
      <f>ROUND((VLOOKUP(A18,INPUT_RANGE,86,FALSE)+VLOOKUP(A18,INPUT_RANGE,83,FALSE))/AS18,2)</f>
    </nc>
  </rcc>
  <rcc rId="850" sId="5">
    <oc r="AU18">
      <f>ROUND((VLOOKUP(A18,INPUT_RANGE,85,FALSE)/AS18)*('Team Info'!$H$25),2)</f>
    </oc>
    <nc r="AU18">
      <f>ROUND((VLOOKUP(A18,INPUT_RANGE,85,FALSE)/AS18)*('D:\Data\Softball\[ESPN_BASEBALL_AWAY_OLD.xlsx]Team Info'!$H$25),2)</f>
    </nc>
  </rcc>
  <rcc rId="851" sId="5">
    <oc r="AW18">
      <f>(VLOOKUP(A18,INPUT_RANGE,54,FALSE)/VLOOKUP(A18,INPUT_RANGE,52,FALSE))</f>
    </oc>
    <nc r="AW18">
      <f>(VLOOKUP(A18,INPUT_RANGE,54,FALSE)/VLOOKUP(A18,INPUT_RANGE,52,FALSE))</f>
    </nc>
  </rcc>
  <rcc rId="852" sId="5">
    <oc r="AX18">
      <f>((VLOOKUP(A18,INPUT_RANGE,54,FALSE)+VLOOKUP(A18,INPUT_RANGE,60,FALSE)+VLOOKUP(A18,INPUT_RANGE,59,FALSE))/(VLOOKUP(A18,INPUT_RANGE,52,FALSE)+VLOOKUP(A18,INPUT_RANGE,60,FALSE)+VLOOKUP(A18,INPUT_RANGE,59,FALSE)+VLOOKUP(A18,INPUT_RANGE,63,FALSE)))</f>
    </oc>
    <nc r="AX18">
      <f>((VLOOKUP(A18,INPUT_RANGE,54,FALSE)+VLOOKUP(A18,INPUT_RANGE,60,FALSE)+VLOOKUP(A18,INPUT_RANGE,59,FALSE))/(VLOOKUP(A18,INPUT_RANGE,52,FALSE)+VLOOKUP(A18,INPUT_RANGE,60,FALSE)+VLOOKUP(A18,INPUT_RANGE,59,FALSE)+VLOOKUP(A18,INPUT_RANGE,63,FALSE)))</f>
    </nc>
  </rcc>
  <rcc rId="853" sId="5">
    <oc r="AY18">
      <f>(VLOOKUP(A18,INPUT_RANGE,54)+VLOOKUP(A18,INPUT_RANGE,55)+(VLOOKUP(A18,INPUT_RANGE,56)*2)+(VLOOKUP(A18,INPUT_RANGE,57)*3))/(VLOOKUP(A18,INPUT_RANGE,52))</f>
    </oc>
    <nc r="AY18">
      <f>(VLOOKUP(A18,INPUT_RANGE,54)+VLOOKUP(A18,INPUT_RANGE,55)+(VLOOKUP(A18,INPUT_RANGE,56)*2)+(VLOOKUP(A18,INPUT_RANGE,57)*3))/(VLOOKUP(A18,INPUT_RANGE,52))</f>
    </nc>
  </rcc>
  <rcc rId="854" sId="5">
    <oc r="AZ18">
      <f>AX18+AY18</f>
    </oc>
    <nc r="AZ18">
      <f>AX18+AY18</f>
    </nc>
  </rcc>
  <rcc rId="855" sId="5">
    <oc r="BA18">
      <f xml:space="preserve"> TEXT(AZ18,".000") &amp; " ops"</f>
    </oc>
    <nc r="BA18">
      <f xml:space="preserve"> TEXT(AZ18,".000") &amp; " OPS"</f>
    </nc>
  </rcc>
  <rcc rId="856" sId="5">
    <oc r="BB18">
      <f>VLOOKUP(A18,INPUT_RANGE,78,FALSE)</f>
    </oc>
    <nc r="BB18">
      <f>VLOOKUP(A18,INPUT_RANGE,78,FALSE)</f>
    </nc>
  </rcc>
  <rcc rId="857" sId="5">
    <oc r="BC18">
      <f>VLOOKUP(A18,INPUT_RANGE,77,FALSE)</f>
    </oc>
    <nc r="BC18">
      <f>VLOOKUP(A18,INPUT_RANGE,77,FALSE)</f>
    </nc>
  </rcc>
  <rcc rId="858" sId="5">
    <oc r="BD18">
      <f>VLOOKUP(A18,INPUT_RANGE,75,FALSE) &amp; "-" &amp; VLOOKUP(A18,INPUT_RANGE,76,FALSE)</f>
    </oc>
    <nc r="BD18">
      <f>VLOOKUP(A18,INPUT_RANGE,75,FALSE) &amp; "-" &amp; VLOOKUP(A18,INPUT_RANGE,76,FALSE)</f>
    </nc>
  </rcc>
  <rcc rId="859" sId="5">
    <oc r="BE18">
      <f>AU18</f>
    </oc>
    <nc r="BE18">
      <f>AU18</f>
    </nc>
  </rcc>
  <rcc rId="860" sId="5">
    <oc r="BF18">
      <f>AA18</f>
    </oc>
    <nc r="BF18">
      <f>AA18</f>
    </nc>
  </rcc>
  <rcc rId="861" sId="5">
    <oc r="BG18">
      <f>VLOOKUP(A18,INPUT_RANGE,86,FALSE)</f>
    </oc>
    <nc r="BG18">
      <f>VLOOKUP(A18,INPUT_RANGE,86,FALSE)</f>
    </nc>
  </rcc>
  <rcc rId="862" sId="5">
    <oc r="BH18">
      <f>VLOOKUP(A18,INPUT_RANGE,87,FALSE)</f>
    </oc>
    <nc r="BH18">
      <f>VLOOKUP(A18,INPUT_RANGE,87,FALSE)</f>
    </nc>
  </rcc>
  <rcc rId="863" sId="5">
    <oc r="BI18">
      <f>VLOOKUP(A18,INPUT_RANGE,81,FALSE) &amp; " SAVES"</f>
    </oc>
    <nc r="BI18">
      <f>VLOOKUP(A18,INPUT_RANGE,81,FALSE) &amp; " SAVES"</f>
    </nc>
  </rcc>
  <rcc rId="864" sId="5">
    <oc r="BJ18">
      <f>VLOOKUP(A18,INPUT_RANGE,81,FALSE)</f>
    </oc>
    <nc r="BJ18">
      <f>VLOOKUP(A18,INPUT_RANGE,81,FALSE)</f>
    </nc>
  </rcc>
  <rcc rId="865" sId="5">
    <oc r="BK18">
      <f>VLOOKUP(A18,INPUT_RANGE,83,FALSE)</f>
    </oc>
    <nc r="BK18">
      <f>VLOOKUP(A18,INPUT_RANGE,83,FALSE)</f>
    </nc>
  </rcc>
  <rcc rId="866" sId="5">
    <oc r="BL18">
      <f>VLOOKUP(A18,INPUT_RANGE,87,FALSE) &amp; "/" &amp; VLOOKUP(A18,INPUT_RANGE,86,FALSE)</f>
    </oc>
    <nc r="BL18">
      <f>VLOOKUP(A18,INPUT_RANGE,87,FALSE) &amp; "/" &amp; VLOOKUP(A18,INPUT_RANGE,86,FALSE)</f>
    </nc>
  </rcc>
  <rcc rId="867" sId="5">
    <oc r="BM18">
      <f>ROUND((VLOOKUP(A18,INPUT_RANGE,86,FALSE)+VLOOKUP(A18,INPUT_RANGE,83,FALSE))/AS18,2)</f>
    </oc>
    <nc r="BM18">
      <f>ROUND((VLOOKUP(A18,INPUT_RANGE,86,FALSE)+VLOOKUP(A18,INPUT_RANGE,83,FALSE))/AS18,2)</f>
    </nc>
  </rcc>
  <rcc rId="868" sId="5">
    <oc r="M19">
      <f xml:space="preserve"> TEXT(AW19,".000") &amp; " ba"</f>
    </oc>
    <nc r="M19">
      <f xml:space="preserve"> TEXT(AW19,".000") &amp; " BA"</f>
    </nc>
  </rcc>
  <rcc rId="869" sId="5">
    <oc r="N19">
      <f>VLOOKUP(A19,INPUT_RANGE,58,FALSE) &amp; " rbi"</f>
    </oc>
    <nc r="N19">
      <f>VLOOKUP(A19,INPUT_RANGE,58,FALSE) &amp; " RBI"</f>
    </nc>
  </rcc>
  <rcc rId="870" sId="5">
    <oc r="O19">
      <f>VLOOKUP(A19,INPUT_RANGE,60,FALSE) &amp; " bb"</f>
    </oc>
    <nc r="O19">
      <f>VLOOKUP(A19,INPUT_RANGE,60,FALSE) &amp; " BB"</f>
    </nc>
  </rcc>
  <rcc rId="871" sId="5">
    <oc r="P19">
      <f>VLOOKUP(A19,INPUT_RANGE,61,FALSE) &amp; " k"</f>
    </oc>
    <nc r="P19">
      <f>VLOOKUP(A19,INPUT_RANGE,61,FALSE) &amp; " K"</f>
    </nc>
  </rcc>
  <rcc rId="872" sId="5">
    <oc r="Q19">
      <f>VLOOKUP(A19,INPUT_RANGE,64,FALSE) &amp; " sb"</f>
    </oc>
    <nc r="Q19">
      <f>VLOOKUP(A19,INPUT_RANGE,64,FALSE) &amp; " SB"</f>
    </nc>
  </rcc>
  <rcc rId="873" sId="5">
    <oc r="R19">
      <f>VLOOKUP(A19,INPUT_RANGE,55,FALSE) &amp; " 2b"</f>
    </oc>
    <nc r="R19">
      <f>VLOOKUP(A19,INPUT_RANGE,55,FALSE) &amp; " 2B"</f>
    </nc>
  </rcc>
  <rcc rId="874" sId="5">
    <oc r="S19">
      <f>VLOOKUP(A19,INPUT_RANGE,56,FALSE) &amp; " 3b"</f>
    </oc>
    <nc r="S19">
      <f>VLOOKUP(A19,INPUT_RANGE,56,FALSE) &amp; " 3B"</f>
    </nc>
  </rcc>
  <rcc rId="875" sId="5">
    <oc r="T19">
      <f>VLOOKUP(A19,INPUT_RANGE,57,FALSE) &amp; " hr"</f>
    </oc>
    <nc r="T19">
      <f>VLOOKUP(A19,INPUT_RANGE,57,FALSE) &amp; " HR"</f>
    </nc>
  </rcc>
  <rcc rId="876" sId="5">
    <oc r="U19">
      <f>VLOOKUP(A19,INPUT_RANGE,53,FALSE) &amp; " r"</f>
    </oc>
    <nc r="U19">
      <f>VLOOKUP(A19,INPUT_RANGE,53,FALSE) &amp; " R"</f>
    </nc>
  </rcc>
  <rcc rId="877" sId="5">
    <oc r="V19">
      <f>TEXT(AX19, ".000") &amp; " obp"</f>
    </oc>
    <nc r="V19">
      <f>TEXT(AX19, ".000") &amp; " OBP"</f>
    </nc>
  </rcc>
  <rcc rId="878" sId="5">
    <oc r="X19">
      <f>VLOOKUP(A19,INPUT_RANGE,77,FALSE)&amp;" games"</f>
    </oc>
    <nc r="X19">
      <f>VLOOKUP(A19,INPUT_RANGE,77,FALSE)&amp;" games"</f>
    </nc>
  </rcc>
  <rcc rId="879" sId="5">
    <oc r="Y19">
      <f>VLOOKUP(A19,INPUT_RANGE,78,FALSE) &amp; " starts"</f>
    </oc>
    <nc r="Y19">
      <f>VLOOKUP(A19,INPUT_RANGE,78,FALSE) &amp; " starts"</f>
    </nc>
  </rcc>
  <rcc rId="880" sId="5">
    <oc r="Z19">
      <f>VLOOKUP(A19,INPUT_RANGE,82,FALSE) &amp; " ip"</f>
    </oc>
    <nc r="Z19">
      <f>VLOOKUP(A19,INPUT_RANGE,82,FALSE) &amp; " IP"</f>
    </nc>
  </rcc>
  <rcc rId="881" sId="5">
    <oc r="AA19">
      <f>TRUNC(VLOOKUP(A19,INPUT_RANGE,82,FALSE)) &amp;  IF(AR19=0.333,"º",IF(AR19=0.666,"»",""))</f>
    </oc>
    <nc r="AA19">
      <f>TRUNC(VLOOKUP(A19,INPUT_RANGE,82,FALSE)) &amp;  IF(AR19=0.333,"º",IF(AR19=0.666,"»",""))</f>
    </nc>
  </rcc>
  <rcc rId="882" sId="5">
    <oc r="AB19">
      <f>AA19&amp; " ip"</f>
    </oc>
    <nc r="AB19">
      <f>AA19&amp; " IP"</f>
    </nc>
  </rcc>
  <rcc rId="883" sId="5">
    <oc r="AC19">
      <f>VLOOKUP(A19,INPUT_RANGE,79,FALSE) &amp; " cg"</f>
    </oc>
    <nc r="AC19">
      <f>VLOOKUP(A19,INPUT_RANGE,79,FALSE) &amp; " CG"</f>
    </nc>
  </rcc>
  <rcc rId="884" sId="5">
    <oc r="AD19">
      <f>VLOOKUP(A19,INPUT_RANGE,80,FALSE) &amp; " sho"</f>
    </oc>
    <nc r="AD19">
      <f>VLOOKUP(A19,INPUT_RANGE,80,FALSE) &amp; " SHO"</f>
    </nc>
  </rcc>
  <rcc rId="885" sId="5">
    <oc r="AE19">
      <f>VLOOKUP(A19,INPUT_RANGE,75,FALSE) &amp; " win"</f>
    </oc>
    <nc r="AE19">
      <f>VLOOKUP(A19,INPUT_RANGE,75,FALSE) &amp; " Win"</f>
    </nc>
  </rcc>
  <rcc rId="886" sId="5">
    <oc r="AF19">
      <f>VLOOKUP(A19,INPUT_RANGE,76,FALSE) &amp; " loss"</f>
    </oc>
    <nc r="AF19">
      <f>VLOOKUP(A19,INPUT_RANGE,76,FALSE) &amp; " Loss"</f>
    </nc>
  </rcc>
  <rcc rId="887" sId="5">
    <oc r="AG19">
      <f>VLOOKUP(A19,INPUT_RANGE,75,FALSE) &amp; "-" &amp; VLOOKUP(A19,INPUT_RANGE,76,FALSE) &amp; " w-l"</f>
    </oc>
    <nc r="AG19">
      <f>VLOOKUP(A19,INPUT_RANGE,75,FALSE) &amp; "-" &amp; VLOOKUP(A19,INPUT_RANGE,76,FALSE) &amp; " W-L"</f>
    </nc>
  </rcc>
  <rcc rId="888" sId="5">
    <oc r="AH19">
      <f>VLOOKUP(A19,INPUT_RANGE,81,FALSE)&amp; " saves"</f>
    </oc>
    <nc r="AH19">
      <f>VLOOKUP(A19,INPUT_RANGE,81,FALSE)&amp; " Saves"</f>
    </nc>
  </rcc>
  <rcc rId="889" sId="5">
    <oc r="AI19">
      <f>VLOOKUP(A19,INPUT_RANGE,83,FALSE) &amp; " h"</f>
    </oc>
    <nc r="AI19">
      <f>VLOOKUP(A19,INPUT_RANGE,83,FALSE) &amp; " H"</f>
    </nc>
  </rcc>
  <rcc rId="890" sId="5">
    <oc r="AJ19">
      <f>VLOOKUP(A19,INPUT_RANGE,84,FALSE) &amp; " r"</f>
    </oc>
    <nc r="AJ19">
      <f>VLOOKUP(A19,INPUT_RANGE,84,FALSE) &amp; " R"</f>
    </nc>
  </rcc>
  <rcc rId="891" sId="5">
    <oc r="AK19">
      <f>VLOOKUP(A19,INPUT_RANGE,85,FALSE) &amp;" er"</f>
    </oc>
    <nc r="AK19">
      <f>VLOOKUP(A19,INPUT_RANGE,85,FALSE) &amp;" ER"</f>
    </nc>
  </rcc>
  <rcc rId="892" sId="5">
    <oc r="AL19">
      <f>VLOOKUP(A19,INPUT_RANGE,88,FALSE) &amp;" hr"</f>
    </oc>
    <nc r="AL19">
      <f>VLOOKUP(A19,INPUT_RANGE,88,FALSE) &amp;" HR"</f>
    </nc>
  </rcc>
  <rcc rId="893" sId="5">
    <oc r="AM19">
      <f>VLOOKUP(A19,INPUT_RANGE,87,FALSE) &amp; " k"</f>
    </oc>
    <nc r="AM19">
      <f>VLOOKUP(A19,INPUT_RANGE,87,FALSE) &amp; " K"</f>
    </nc>
  </rcc>
  <rcc rId="894" sId="5">
    <oc r="AN19">
      <f>VLOOKUP(A19,INPUT_RANGE,86,FALSE) &amp; " bb"</f>
    </oc>
    <nc r="AN19">
      <f>VLOOKUP(A19,INPUT_RANGE,86,FALSE) &amp; " BB"</f>
    </nc>
  </rcc>
  <rcc rId="895" sId="5">
    <oc r="AO19">
      <f>TEXT(AU19,"0.00") &amp; " era"</f>
    </oc>
    <nc r="AO19">
      <f>TEXT(AU19,"0.00") &amp; " ERA"</f>
    </nc>
  </rcc>
  <rcc rId="896" sId="5">
    <oc r="AP19">
      <f>TEXT(AT19,"0.00") &amp; " whip"</f>
    </oc>
    <nc r="AP19">
      <f>TEXT(AT19,"0.00") &amp; " WHIP"</f>
    </nc>
  </rcc>
  <rcc rId="897" sId="5">
    <oc r="AQ19">
      <f xml:space="preserve"> IF(LEFT(RIGHT((VLOOKUP(A19,INPUT_RANGE,82,FALSE)),2),1)=".",RIGHT(VLOOKUP(A19,INPUT_RANGE,82,FALSE),1), "X")</f>
    </oc>
    <nc r="AQ19">
      <f xml:space="preserve"> IF(LEFT(RIGHT((VLOOKUP(A19,INPUT_RANGE,82,FALSE)),2),1)=".",RIGHT(VLOOKUP(A19,INPUT_RANGE,82,FALSE),1), "X")</f>
    </nc>
  </rcc>
  <rcc rId="898" sId="5">
    <oc r="AR19">
      <f>IF(AQ19 ="1",0.333,IF(AQ19="2",0.666,0))</f>
    </oc>
    <nc r="AR19">
      <f>IF(AQ19 ="1",0.333,IF(AQ19="2",0.666,0))</f>
    </nc>
  </rcc>
  <rcc rId="899" sId="5">
    <oc r="AS19">
      <f>VLOOKUP(A19,INPUT_RANGE,82,FALSE)-(AQ19*0.1)+AR19</f>
    </oc>
    <nc r="AS19">
      <f>VLOOKUP(A19,INPUT_RANGE,82,FALSE)-(AQ19*0.1)+AR19</f>
    </nc>
  </rcc>
  <rcc rId="900" sId="5">
    <oc r="AT19">
      <f>ROUND((VLOOKUP(A19,INPUT_RANGE,86,FALSE)+VLOOKUP(A19,INPUT_RANGE,83,FALSE))/AS19,2)</f>
    </oc>
    <nc r="AT19">
      <f>ROUND((VLOOKUP(A19,INPUT_RANGE,86,FALSE)+VLOOKUP(A19,INPUT_RANGE,83,FALSE))/AS19,2)</f>
    </nc>
  </rcc>
  <rcc rId="901" sId="5">
    <oc r="AU19">
      <f>ROUND((VLOOKUP(A19,INPUT_RANGE,85,FALSE)/AS19)*('Team Info'!$H$25),2)</f>
    </oc>
    <nc r="AU19">
      <f>ROUND((VLOOKUP(A19,INPUT_RANGE,85,FALSE)/AS19)*('D:\Data\Softball\[ESPN_BASEBALL_AWAY_OLD.xlsx]Team Info'!$H$25),2)</f>
    </nc>
  </rcc>
  <rcc rId="902" sId="5">
    <oc r="AW19">
      <f>(VLOOKUP(A19,INPUT_RANGE,54,FALSE)/VLOOKUP(A19,INPUT_RANGE,52,FALSE))</f>
    </oc>
    <nc r="AW19">
      <f>(VLOOKUP(A19,INPUT_RANGE,54,FALSE)/VLOOKUP(A19,INPUT_RANGE,52,FALSE))</f>
    </nc>
  </rcc>
  <rcc rId="903" sId="5">
    <oc r="AX19">
      <f>((VLOOKUP(A19,INPUT_RANGE,54,FALSE)+VLOOKUP(A19,INPUT_RANGE,60,FALSE)+VLOOKUP(A19,INPUT_RANGE,59,FALSE))/(VLOOKUP(A19,INPUT_RANGE,52,FALSE)+VLOOKUP(A19,INPUT_RANGE,60,FALSE)+VLOOKUP(A19,INPUT_RANGE,59,FALSE)+VLOOKUP(A19,INPUT_RANGE,63,FALSE)))</f>
    </oc>
    <nc r="AX19">
      <f>((VLOOKUP(A19,INPUT_RANGE,54,FALSE)+VLOOKUP(A19,INPUT_RANGE,60,FALSE)+VLOOKUP(A19,INPUT_RANGE,59,FALSE))/(VLOOKUP(A19,INPUT_RANGE,52,FALSE)+VLOOKUP(A19,INPUT_RANGE,60,FALSE)+VLOOKUP(A19,INPUT_RANGE,59,FALSE)+VLOOKUP(A19,INPUT_RANGE,63,FALSE)))</f>
    </nc>
  </rcc>
  <rcc rId="904" sId="5">
    <oc r="AY19">
      <f>(VLOOKUP(A19,INPUT_RANGE,54)+VLOOKUP(A19,INPUT_RANGE,55)+(VLOOKUP(A19,INPUT_RANGE,56)*2)+(VLOOKUP(A19,INPUT_RANGE,57)*3))/(VLOOKUP(A19,INPUT_RANGE,52))</f>
    </oc>
    <nc r="AY19">
      <f>(VLOOKUP(A19,INPUT_RANGE,54)+VLOOKUP(A19,INPUT_RANGE,55)+(VLOOKUP(A19,INPUT_RANGE,56)*2)+(VLOOKUP(A19,INPUT_RANGE,57)*3))/(VLOOKUP(A19,INPUT_RANGE,52))</f>
    </nc>
  </rcc>
  <rcc rId="905" sId="5">
    <oc r="AZ19">
      <f>AX19+AY19</f>
    </oc>
    <nc r="AZ19">
      <f>AX19+AY19</f>
    </nc>
  </rcc>
  <rcc rId="906" sId="5">
    <oc r="BA19">
      <f xml:space="preserve"> TEXT(AZ19,".000") &amp; " ops"</f>
    </oc>
    <nc r="BA19">
      <f xml:space="preserve"> TEXT(AZ19,".000") &amp; " OPS"</f>
    </nc>
  </rcc>
  <rcc rId="907" sId="5">
    <oc r="BB19">
      <f>VLOOKUP(A19,INPUT_RANGE,78,FALSE)</f>
    </oc>
    <nc r="BB19">
      <f>VLOOKUP(A19,INPUT_RANGE,78,FALSE)</f>
    </nc>
  </rcc>
  <rcc rId="908" sId="5">
    <oc r="BC19">
      <f>VLOOKUP(A19,INPUT_RANGE,77,FALSE)</f>
    </oc>
    <nc r="BC19">
      <f>VLOOKUP(A19,INPUT_RANGE,77,FALSE)</f>
    </nc>
  </rcc>
  <rcc rId="909" sId="5">
    <oc r="BD19">
      <f>VLOOKUP(A19,INPUT_RANGE,75,FALSE) &amp; "-" &amp; VLOOKUP(A19,INPUT_RANGE,76,FALSE)</f>
    </oc>
    <nc r="BD19">
      <f>VLOOKUP(A19,INPUT_RANGE,75,FALSE) &amp; "-" &amp; VLOOKUP(A19,INPUT_RANGE,76,FALSE)</f>
    </nc>
  </rcc>
  <rcc rId="910" sId="5">
    <oc r="BE19">
      <f>AU19</f>
    </oc>
    <nc r="BE19">
      <f>AU19</f>
    </nc>
  </rcc>
  <rcc rId="911" sId="5">
    <oc r="BF19">
      <f>AA19</f>
    </oc>
    <nc r="BF19">
      <f>AA19</f>
    </nc>
  </rcc>
  <rcc rId="912" sId="5">
    <oc r="BG19">
      <f>VLOOKUP(A19,INPUT_RANGE,86,FALSE)</f>
    </oc>
    <nc r="BG19">
      <f>VLOOKUP(A19,INPUT_RANGE,86,FALSE)</f>
    </nc>
  </rcc>
  <rcc rId="913" sId="5">
    <oc r="BH19">
      <f>VLOOKUP(A19,INPUT_RANGE,87,FALSE)</f>
    </oc>
    <nc r="BH19">
      <f>VLOOKUP(A19,INPUT_RANGE,87,FALSE)</f>
    </nc>
  </rcc>
  <rcc rId="914" sId="5">
    <oc r="BI19">
      <f>VLOOKUP(A19,INPUT_RANGE,81,FALSE) &amp; " SAVES"</f>
    </oc>
    <nc r="BI19">
      <f>VLOOKUP(A19,INPUT_RANGE,81,FALSE) &amp; " SAVES"</f>
    </nc>
  </rcc>
  <rcc rId="915" sId="5">
    <oc r="BJ19">
      <f>VLOOKUP(A19,INPUT_RANGE,81,FALSE)</f>
    </oc>
    <nc r="BJ19">
      <f>VLOOKUP(A19,INPUT_RANGE,81,FALSE)</f>
    </nc>
  </rcc>
  <rcc rId="916" sId="5">
    <oc r="BK19">
      <f>VLOOKUP(A19,INPUT_RANGE,83,FALSE)</f>
    </oc>
    <nc r="BK19">
      <f>VLOOKUP(A19,INPUT_RANGE,83,FALSE)</f>
    </nc>
  </rcc>
  <rcc rId="917" sId="5">
    <oc r="BL19">
      <f>VLOOKUP(A19,INPUT_RANGE,87,FALSE) &amp; "/" &amp; VLOOKUP(A19,INPUT_RANGE,86,FALSE)</f>
    </oc>
    <nc r="BL19">
      <f>VLOOKUP(A19,INPUT_RANGE,87,FALSE) &amp; "/" &amp; VLOOKUP(A19,INPUT_RANGE,86,FALSE)</f>
    </nc>
  </rcc>
  <rcc rId="918" sId="5">
    <oc r="BM19">
      <f>ROUND((VLOOKUP(A19,INPUT_RANGE,86,FALSE)+VLOOKUP(A19,INPUT_RANGE,83,FALSE))/AS19,2)</f>
    </oc>
    <nc r="BM19">
      <f>ROUND((VLOOKUP(A19,INPUT_RANGE,86,FALSE)+VLOOKUP(A19,INPUT_RANGE,83,FALSE))/AS19,2)</f>
    </nc>
  </rcc>
  <rcc rId="919" sId="5">
    <oc r="M20">
      <f xml:space="preserve"> TEXT(AW20,".000") &amp; " ba"</f>
    </oc>
    <nc r="M20">
      <f xml:space="preserve"> TEXT(AW20,".000") &amp; " BA"</f>
    </nc>
  </rcc>
  <rcc rId="920" sId="5">
    <oc r="N20">
      <f>VLOOKUP(A20,INPUT_RANGE,58,FALSE) &amp; " rbi"</f>
    </oc>
    <nc r="N20">
      <f>VLOOKUP(A20,INPUT_RANGE,58,FALSE) &amp; " RBI"</f>
    </nc>
  </rcc>
  <rcc rId="921" sId="5">
    <oc r="O20">
      <f>VLOOKUP(A20,INPUT_RANGE,60,FALSE) &amp; " bb"</f>
    </oc>
    <nc r="O20">
      <f>VLOOKUP(A20,INPUT_RANGE,60,FALSE) &amp; " BB"</f>
    </nc>
  </rcc>
  <rcc rId="922" sId="5">
    <oc r="P20">
      <f>VLOOKUP(A20,INPUT_RANGE,61,FALSE) &amp; " k"</f>
    </oc>
    <nc r="P20">
      <f>VLOOKUP(A20,INPUT_RANGE,61,FALSE) &amp; " K"</f>
    </nc>
  </rcc>
  <rcc rId="923" sId="5">
    <oc r="Q20">
      <f>VLOOKUP(A20,INPUT_RANGE,64,FALSE) &amp; " sb"</f>
    </oc>
    <nc r="Q20">
      <f>VLOOKUP(A20,INPUT_RANGE,64,FALSE) &amp; " SB"</f>
    </nc>
  </rcc>
  <rcc rId="924" sId="5">
    <oc r="R20">
      <f>VLOOKUP(A20,INPUT_RANGE,55,FALSE) &amp; " 2b"</f>
    </oc>
    <nc r="R20">
      <f>VLOOKUP(A20,INPUT_RANGE,55,FALSE) &amp; " 2B"</f>
    </nc>
  </rcc>
  <rcc rId="925" sId="5">
    <oc r="S20">
      <f>VLOOKUP(A20,INPUT_RANGE,56,FALSE) &amp; " 3b"</f>
    </oc>
    <nc r="S20">
      <f>VLOOKUP(A20,INPUT_RANGE,56,FALSE) &amp; " 3B"</f>
    </nc>
  </rcc>
  <rcc rId="926" sId="5">
    <oc r="T20">
      <f>VLOOKUP(A20,INPUT_RANGE,57,FALSE) &amp; " hr"</f>
    </oc>
    <nc r="T20">
      <f>VLOOKUP(A20,INPUT_RANGE,57,FALSE) &amp; " HR"</f>
    </nc>
  </rcc>
  <rcc rId="927" sId="5">
    <oc r="U20">
      <f>VLOOKUP(A20,INPUT_RANGE,53,FALSE) &amp; " r"</f>
    </oc>
    <nc r="U20">
      <f>VLOOKUP(A20,INPUT_RANGE,53,FALSE) &amp; " R"</f>
    </nc>
  </rcc>
  <rcc rId="928" sId="5">
    <oc r="V20">
      <f>TEXT(AX20, ".000") &amp; " obp"</f>
    </oc>
    <nc r="V20">
      <f>TEXT(AX20, ".000") &amp; " OBP"</f>
    </nc>
  </rcc>
  <rcc rId="929" sId="5">
    <oc r="X20">
      <f>VLOOKUP(A20,INPUT_RANGE,77,FALSE)&amp;" games"</f>
    </oc>
    <nc r="X20">
      <f>VLOOKUP(A20,INPUT_RANGE,77,FALSE)&amp;" games"</f>
    </nc>
  </rcc>
  <rcc rId="930" sId="5">
    <oc r="Y20">
      <f>VLOOKUP(A20,INPUT_RANGE,78,FALSE) &amp; " starts"</f>
    </oc>
    <nc r="Y20">
      <f>VLOOKUP(A20,INPUT_RANGE,78,FALSE) &amp; " starts"</f>
    </nc>
  </rcc>
  <rcc rId="931" sId="5">
    <oc r="Z20">
      <f>VLOOKUP(A20,INPUT_RANGE,82,FALSE) &amp; " ip"</f>
    </oc>
    <nc r="Z20">
      <f>VLOOKUP(A20,INPUT_RANGE,82,FALSE) &amp; " IP"</f>
    </nc>
  </rcc>
  <rcc rId="932" sId="5">
    <oc r="AA20">
      <f>TRUNC(VLOOKUP(A20,INPUT_RANGE,82,FALSE)) &amp;  IF(AR20=0.333,"º",IF(AR20=0.666,"»",""))</f>
    </oc>
    <nc r="AA20">
      <f>TRUNC(VLOOKUP(A20,INPUT_RANGE,82,FALSE)) &amp;  IF(AR20=0.333,"º",IF(AR20=0.666,"»",""))</f>
    </nc>
  </rcc>
  <rcc rId="933" sId="5">
    <oc r="AB20">
      <f>AA20&amp; " ip"</f>
    </oc>
    <nc r="AB20">
      <f>AA20&amp; " IP"</f>
    </nc>
  </rcc>
  <rcc rId="934" sId="5">
    <oc r="AC20">
      <f>VLOOKUP(A20,INPUT_RANGE,79,FALSE) &amp; " cg"</f>
    </oc>
    <nc r="AC20">
      <f>VLOOKUP(A20,INPUT_RANGE,79,FALSE) &amp; " CG"</f>
    </nc>
  </rcc>
  <rcc rId="935" sId="5">
    <oc r="AD20">
      <f>VLOOKUP(A20,INPUT_RANGE,80,FALSE) &amp; " sho"</f>
    </oc>
    <nc r="AD20">
      <f>VLOOKUP(A20,INPUT_RANGE,80,FALSE) &amp; " SHO"</f>
    </nc>
  </rcc>
  <rcc rId="936" sId="5">
    <oc r="AE20">
      <f>VLOOKUP(A20,INPUT_RANGE,75,FALSE) &amp; " win"</f>
    </oc>
    <nc r="AE20">
      <f>VLOOKUP(A20,INPUT_RANGE,75,FALSE) &amp; " Win"</f>
    </nc>
  </rcc>
  <rcc rId="937" sId="5">
    <oc r="AF20">
      <f>VLOOKUP(A20,INPUT_RANGE,76,FALSE) &amp; " loss"</f>
    </oc>
    <nc r="AF20">
      <f>VLOOKUP(A20,INPUT_RANGE,76,FALSE) &amp; " Loss"</f>
    </nc>
  </rcc>
  <rcc rId="938" sId="5">
    <oc r="AG20">
      <f>VLOOKUP(A20,INPUT_RANGE,75,FALSE) &amp; "-" &amp; VLOOKUP(A20,INPUT_RANGE,76,FALSE) &amp; " w-l"</f>
    </oc>
    <nc r="AG20">
      <f>VLOOKUP(A20,INPUT_RANGE,75,FALSE) &amp; "-" &amp; VLOOKUP(A20,INPUT_RANGE,76,FALSE) &amp; " W-L"</f>
    </nc>
  </rcc>
  <rcc rId="939" sId="5">
    <oc r="AH20">
      <f>VLOOKUP(A20,INPUT_RANGE,81,FALSE)&amp; " saves"</f>
    </oc>
    <nc r="AH20">
      <f>VLOOKUP(A20,INPUT_RANGE,81,FALSE)&amp; " Saves"</f>
    </nc>
  </rcc>
  <rcc rId="940" sId="5">
    <oc r="AI20">
      <f>VLOOKUP(A20,INPUT_RANGE,83,FALSE) &amp; " h"</f>
    </oc>
    <nc r="AI20">
      <f>VLOOKUP(A20,INPUT_RANGE,83,FALSE) &amp; " H"</f>
    </nc>
  </rcc>
  <rcc rId="941" sId="5">
    <oc r="AJ20">
      <f>VLOOKUP(A20,INPUT_RANGE,84,FALSE) &amp; " r"</f>
    </oc>
    <nc r="AJ20">
      <f>VLOOKUP(A20,INPUT_RANGE,84,FALSE) &amp; " R"</f>
    </nc>
  </rcc>
  <rcc rId="942" sId="5">
    <oc r="AK20">
      <f>VLOOKUP(A20,INPUT_RANGE,85,FALSE) &amp;" er"</f>
    </oc>
    <nc r="AK20">
      <f>VLOOKUP(A20,INPUT_RANGE,85,FALSE) &amp;" ER"</f>
    </nc>
  </rcc>
  <rcc rId="943" sId="5">
    <oc r="AL20">
      <f>VLOOKUP(A20,INPUT_RANGE,88,FALSE) &amp;" hr"</f>
    </oc>
    <nc r="AL20">
      <f>VLOOKUP(A20,INPUT_RANGE,88,FALSE) &amp;" HR"</f>
    </nc>
  </rcc>
  <rcc rId="944" sId="5">
    <oc r="AM20">
      <f>VLOOKUP(A20,INPUT_RANGE,87,FALSE) &amp; " k"</f>
    </oc>
    <nc r="AM20">
      <f>VLOOKUP(A20,INPUT_RANGE,87,FALSE) &amp; " K"</f>
    </nc>
  </rcc>
  <rcc rId="945" sId="5">
    <oc r="AN20">
      <f>VLOOKUP(A20,INPUT_RANGE,86,FALSE) &amp; " bb"</f>
    </oc>
    <nc r="AN20">
      <f>VLOOKUP(A20,INPUT_RANGE,86,FALSE) &amp; " BB"</f>
    </nc>
  </rcc>
  <rcc rId="946" sId="5">
    <oc r="AO20">
      <f>TEXT(AU20,"0.00") &amp; " era"</f>
    </oc>
    <nc r="AO20">
      <f>TEXT(AU20,"0.00") &amp; " ERA"</f>
    </nc>
  </rcc>
  <rcc rId="947" sId="5">
    <oc r="AP20">
      <f>TEXT(AT20,"0.00") &amp; " whip"</f>
    </oc>
    <nc r="AP20">
      <f>TEXT(AT20,"0.00") &amp; " WHIP"</f>
    </nc>
  </rcc>
  <rcc rId="948" sId="5">
    <oc r="AQ20">
      <f xml:space="preserve"> IF(LEFT(RIGHT((VLOOKUP(A20,INPUT_RANGE,82,FALSE)),2),1)=".",RIGHT(VLOOKUP(A20,INPUT_RANGE,82,FALSE),1), "X")</f>
    </oc>
    <nc r="AQ20">
      <f xml:space="preserve"> IF(LEFT(RIGHT((VLOOKUP(A20,INPUT_RANGE,82,FALSE)),2),1)=".",RIGHT(VLOOKUP(A20,INPUT_RANGE,82,FALSE),1), "X")</f>
    </nc>
  </rcc>
  <rcc rId="949" sId="5">
    <oc r="AR20">
      <f>IF(AQ20 ="1",0.333,IF(AQ20="2",0.666,0))</f>
    </oc>
    <nc r="AR20">
      <f>IF(AQ20 ="1",0.333,IF(AQ20="2",0.666,0))</f>
    </nc>
  </rcc>
  <rcc rId="950" sId="5">
    <oc r="AS20">
      <f>VLOOKUP(A20,INPUT_RANGE,82,FALSE)-(AQ20*0.1)+AR20</f>
    </oc>
    <nc r="AS20">
      <f>VLOOKUP(A20,INPUT_RANGE,82,FALSE)-(AQ20*0.1)+AR20</f>
    </nc>
  </rcc>
  <rcc rId="951" sId="5">
    <oc r="AT20">
      <f>ROUND((VLOOKUP(A20,INPUT_RANGE,86,FALSE)+VLOOKUP(A20,INPUT_RANGE,83,FALSE))/AS20,2)</f>
    </oc>
    <nc r="AT20">
      <f>ROUND((VLOOKUP(A20,INPUT_RANGE,86,FALSE)+VLOOKUP(A20,INPUT_RANGE,83,FALSE))/AS20,2)</f>
    </nc>
  </rcc>
  <rcc rId="952" sId="5">
    <oc r="AU20">
      <f>ROUND((VLOOKUP(A20,INPUT_RANGE,85,FALSE)/AS20)*('Team Info'!$H$25),2)</f>
    </oc>
    <nc r="AU20">
      <f>ROUND((VLOOKUP(A20,INPUT_RANGE,85,FALSE)/AS20)*('D:\Data\Softball\[ESPN_BASEBALL_AWAY_OLD.xlsx]Team Info'!$H$25),2)</f>
    </nc>
  </rcc>
  <rcc rId="953" sId="5">
    <oc r="AW20">
      <f>(VLOOKUP(A20,INPUT_RANGE,54,FALSE)/VLOOKUP(A20,INPUT_RANGE,52,FALSE))</f>
    </oc>
    <nc r="AW20">
      <f>(VLOOKUP(A20,INPUT_RANGE,54,FALSE)/VLOOKUP(A20,INPUT_RANGE,52,FALSE))</f>
    </nc>
  </rcc>
  <rcc rId="954" sId="5">
    <oc r="AX20">
      <f>((VLOOKUP(A20,INPUT_RANGE,54,FALSE)+VLOOKUP(A20,INPUT_RANGE,60,FALSE)+VLOOKUP(A20,INPUT_RANGE,59,FALSE))/(VLOOKUP(A20,INPUT_RANGE,52,FALSE)+VLOOKUP(A20,INPUT_RANGE,60,FALSE)+VLOOKUP(A20,INPUT_RANGE,59,FALSE)+VLOOKUP(A20,INPUT_RANGE,63,FALSE)))</f>
    </oc>
    <nc r="AX20">
      <f>((VLOOKUP(A20,INPUT_RANGE,54,FALSE)+VLOOKUP(A20,INPUT_RANGE,60,FALSE)+VLOOKUP(A20,INPUT_RANGE,59,FALSE))/(VLOOKUP(A20,INPUT_RANGE,52,FALSE)+VLOOKUP(A20,INPUT_RANGE,60,FALSE)+VLOOKUP(A20,INPUT_RANGE,59,FALSE)+VLOOKUP(A20,INPUT_RANGE,63,FALSE)))</f>
    </nc>
  </rcc>
  <rcc rId="955" sId="5">
    <oc r="AY20">
      <f>(VLOOKUP(A20,INPUT_RANGE,54)+VLOOKUP(A20,INPUT_RANGE,55)+(VLOOKUP(A20,INPUT_RANGE,56)*2)+(VLOOKUP(A20,INPUT_RANGE,57)*3))/(VLOOKUP(A20,INPUT_RANGE,52))</f>
    </oc>
    <nc r="AY20">
      <f>(VLOOKUP(A20,INPUT_RANGE,54)+VLOOKUP(A20,INPUT_RANGE,55)+(VLOOKUP(A20,INPUT_RANGE,56)*2)+(VLOOKUP(A20,INPUT_RANGE,57)*3))/(VLOOKUP(A20,INPUT_RANGE,52))</f>
    </nc>
  </rcc>
  <rcc rId="956" sId="5">
    <oc r="AZ20">
      <f>AX20+AY20</f>
    </oc>
    <nc r="AZ20">
      <f>AX20+AY20</f>
    </nc>
  </rcc>
  <rcc rId="957" sId="5">
    <oc r="BA20">
      <f xml:space="preserve"> TEXT(AZ20,".000") &amp; " ops"</f>
    </oc>
    <nc r="BA20">
      <f xml:space="preserve"> TEXT(AZ20,".000") &amp; " OPS"</f>
    </nc>
  </rcc>
  <rcc rId="958" sId="5">
    <oc r="BB20">
      <f>VLOOKUP(A20,INPUT_RANGE,78,FALSE)</f>
    </oc>
    <nc r="BB20">
      <f>VLOOKUP(A20,INPUT_RANGE,78,FALSE)</f>
    </nc>
  </rcc>
  <rcc rId="959" sId="5">
    <oc r="BC20">
      <f>VLOOKUP(A20,INPUT_RANGE,77,FALSE)</f>
    </oc>
    <nc r="BC20">
      <f>VLOOKUP(A20,INPUT_RANGE,77,FALSE)</f>
    </nc>
  </rcc>
  <rcc rId="960" sId="5">
    <oc r="BD20">
      <f>VLOOKUP(A20,INPUT_RANGE,75,FALSE) &amp; "-" &amp; VLOOKUP(A20,INPUT_RANGE,76,FALSE)</f>
    </oc>
    <nc r="BD20">
      <f>VLOOKUP(A20,INPUT_RANGE,75,FALSE) &amp; "-" &amp; VLOOKUP(A20,INPUT_RANGE,76,FALSE)</f>
    </nc>
  </rcc>
  <rcc rId="961" sId="5">
    <oc r="BE20">
      <f>AU20</f>
    </oc>
    <nc r="BE20">
      <f>AU20</f>
    </nc>
  </rcc>
  <rcc rId="962" sId="5">
    <oc r="BF20">
      <f>AA20</f>
    </oc>
    <nc r="BF20">
      <f>AA20</f>
    </nc>
  </rcc>
  <rcc rId="963" sId="5">
    <oc r="BG20">
      <f>VLOOKUP(A20,INPUT_RANGE,86,FALSE)</f>
    </oc>
    <nc r="BG20">
      <f>VLOOKUP(A20,INPUT_RANGE,86,FALSE)</f>
    </nc>
  </rcc>
  <rcc rId="964" sId="5">
    <oc r="BH20">
      <f>VLOOKUP(A20,INPUT_RANGE,87,FALSE)</f>
    </oc>
    <nc r="BH20">
      <f>VLOOKUP(A20,INPUT_RANGE,87,FALSE)</f>
    </nc>
  </rcc>
  <rcc rId="965" sId="5">
    <oc r="BI20">
      <f>VLOOKUP(A20,INPUT_RANGE,81,FALSE) &amp; " SAVES"</f>
    </oc>
    <nc r="BI20">
      <f>VLOOKUP(A20,INPUT_RANGE,81,FALSE) &amp; " SAVES"</f>
    </nc>
  </rcc>
  <rcc rId="966" sId="5">
    <oc r="BJ20">
      <f>VLOOKUP(A20,INPUT_RANGE,81,FALSE)</f>
    </oc>
    <nc r="BJ20">
      <f>VLOOKUP(A20,INPUT_RANGE,81,FALSE)</f>
    </nc>
  </rcc>
  <rcc rId="967" sId="5">
    <oc r="BK20">
      <f>VLOOKUP(A20,INPUT_RANGE,83,FALSE)</f>
    </oc>
    <nc r="BK20">
      <f>VLOOKUP(A20,INPUT_RANGE,83,FALSE)</f>
    </nc>
  </rcc>
  <rcc rId="968" sId="5">
    <oc r="BL20">
      <f>VLOOKUP(A20,INPUT_RANGE,87,FALSE) &amp; "/" &amp; VLOOKUP(A20,INPUT_RANGE,86,FALSE)</f>
    </oc>
    <nc r="BL20">
      <f>VLOOKUP(A20,INPUT_RANGE,87,FALSE) &amp; "/" &amp; VLOOKUP(A20,INPUT_RANGE,86,FALSE)</f>
    </nc>
  </rcc>
  <rcc rId="969" sId="5">
    <oc r="BM20">
      <f>ROUND((VLOOKUP(A20,INPUT_RANGE,86,FALSE)+VLOOKUP(A20,INPUT_RANGE,83,FALSE))/AS20,2)</f>
    </oc>
    <nc r="BM20">
      <f>ROUND((VLOOKUP(A20,INPUT_RANGE,86,FALSE)+VLOOKUP(A20,INPUT_RANGE,83,FALSE))/AS20,2)</f>
    </nc>
  </rcc>
  <rcc rId="970" sId="5">
    <oc r="M21">
      <f xml:space="preserve"> TEXT(AW21,".000") &amp; " ba"</f>
    </oc>
    <nc r="M21">
      <f xml:space="preserve"> TEXT(AW21,".000") &amp; " BA"</f>
    </nc>
  </rcc>
  <rcc rId="971" sId="5">
    <oc r="N21">
      <f>VLOOKUP(A21,INPUT_RANGE,58,FALSE) &amp; " rbi"</f>
    </oc>
    <nc r="N21">
      <f>VLOOKUP(A21,INPUT_RANGE,58,FALSE) &amp; " RBI"</f>
    </nc>
  </rcc>
  <rcc rId="972" sId="5">
    <oc r="O21">
      <f>VLOOKUP(A21,INPUT_RANGE,60,FALSE) &amp; " bb"</f>
    </oc>
    <nc r="O21">
      <f>VLOOKUP(A21,INPUT_RANGE,60,FALSE) &amp; " BB"</f>
    </nc>
  </rcc>
  <rcc rId="973" sId="5">
    <oc r="P21">
      <f>VLOOKUP(A21,INPUT_RANGE,61,FALSE) &amp; " k"</f>
    </oc>
    <nc r="P21">
      <f>VLOOKUP(A21,INPUT_RANGE,61,FALSE) &amp; " K"</f>
    </nc>
  </rcc>
  <rcc rId="974" sId="5">
    <oc r="Q21">
      <f>VLOOKUP(A21,INPUT_RANGE,64,FALSE) &amp; " sb"</f>
    </oc>
    <nc r="Q21">
      <f>VLOOKUP(A21,INPUT_RANGE,64,FALSE) &amp; " SB"</f>
    </nc>
  </rcc>
  <rcc rId="975" sId="5">
    <oc r="R21">
      <f>VLOOKUP(A21,INPUT_RANGE,55,FALSE) &amp; " 2b"</f>
    </oc>
    <nc r="R21">
      <f>VLOOKUP(A21,INPUT_RANGE,55,FALSE) &amp; " 2B"</f>
    </nc>
  </rcc>
  <rcc rId="976" sId="5">
    <oc r="S21">
      <f>VLOOKUP(A21,INPUT_RANGE,56,FALSE) &amp; " 3b"</f>
    </oc>
    <nc r="S21">
      <f>VLOOKUP(A21,INPUT_RANGE,56,FALSE) &amp; " 3B"</f>
    </nc>
  </rcc>
  <rcc rId="977" sId="5">
    <oc r="T21">
      <f>VLOOKUP(A21,INPUT_RANGE,57,FALSE) &amp; " hr"</f>
    </oc>
    <nc r="T21">
      <f>VLOOKUP(A21,INPUT_RANGE,57,FALSE) &amp; " HR"</f>
    </nc>
  </rcc>
  <rcc rId="978" sId="5">
    <oc r="U21">
      <f>VLOOKUP(A21,INPUT_RANGE,53,FALSE) &amp; " r"</f>
    </oc>
    <nc r="U21">
      <f>VLOOKUP(A21,INPUT_RANGE,53,FALSE) &amp; " R"</f>
    </nc>
  </rcc>
  <rcc rId="979" sId="5">
    <oc r="V21">
      <f>TEXT(AX21, ".000") &amp; " obp"</f>
    </oc>
    <nc r="V21">
      <f>TEXT(AX21, ".000") &amp; " OBP"</f>
    </nc>
  </rcc>
  <rcc rId="980" sId="5">
    <oc r="X21">
      <f>VLOOKUP(A21,INPUT_RANGE,77,FALSE)&amp;" games"</f>
    </oc>
    <nc r="X21">
      <f>VLOOKUP(A21,INPUT_RANGE,77,FALSE)&amp;" games"</f>
    </nc>
  </rcc>
  <rcc rId="981" sId="5">
    <oc r="Y21">
      <f>VLOOKUP(A21,INPUT_RANGE,78,FALSE) &amp; " starts"</f>
    </oc>
    <nc r="Y21">
      <f>VLOOKUP(A21,INPUT_RANGE,78,FALSE) &amp; " starts"</f>
    </nc>
  </rcc>
  <rcc rId="982" sId="5">
    <oc r="Z21">
      <f>VLOOKUP(A21,INPUT_RANGE,82,FALSE) &amp; " ip"</f>
    </oc>
    <nc r="Z21">
      <f>VLOOKUP(A21,INPUT_RANGE,82,FALSE) &amp; " IP"</f>
    </nc>
  </rcc>
  <rcc rId="983" sId="5">
    <oc r="AA21">
      <f>TRUNC(VLOOKUP(A21,INPUT_RANGE,82,FALSE)) &amp;  IF(AR21=0.333,"º",IF(AR21=0.666,"»",""))</f>
    </oc>
    <nc r="AA21">
      <f>TRUNC(VLOOKUP(A21,INPUT_RANGE,82,FALSE)) &amp;  IF(AR21=0.333,"º",IF(AR21=0.666,"»",""))</f>
    </nc>
  </rcc>
  <rcc rId="984" sId="5">
    <oc r="AB21">
      <f>AA21&amp; " ip"</f>
    </oc>
    <nc r="AB21">
      <f>AA21&amp; " IP"</f>
    </nc>
  </rcc>
  <rcc rId="985" sId="5">
    <oc r="AC21">
      <f>VLOOKUP(A21,INPUT_RANGE,79,FALSE) &amp; " cg"</f>
    </oc>
    <nc r="AC21">
      <f>VLOOKUP(A21,INPUT_RANGE,79,FALSE) &amp; " CG"</f>
    </nc>
  </rcc>
  <rcc rId="986" sId="5">
    <oc r="AD21">
      <f>VLOOKUP(A21,INPUT_RANGE,80,FALSE) &amp; " sho"</f>
    </oc>
    <nc r="AD21">
      <f>VLOOKUP(A21,INPUT_RANGE,80,FALSE) &amp; " SHO"</f>
    </nc>
  </rcc>
  <rcc rId="987" sId="5">
    <oc r="AE21">
      <f>VLOOKUP(A21,INPUT_RANGE,75,FALSE) &amp; " win"</f>
    </oc>
    <nc r="AE21">
      <f>VLOOKUP(A21,INPUT_RANGE,75,FALSE) &amp; " Win"</f>
    </nc>
  </rcc>
  <rcc rId="988" sId="5">
    <oc r="AF21">
      <f>VLOOKUP(A21,INPUT_RANGE,76,FALSE) &amp; " loss"</f>
    </oc>
    <nc r="AF21">
      <f>VLOOKUP(A21,INPUT_RANGE,76,FALSE) &amp; " Loss"</f>
    </nc>
  </rcc>
  <rcc rId="989" sId="5">
    <oc r="AG21">
      <f>VLOOKUP(A21,INPUT_RANGE,75,FALSE) &amp; "-" &amp; VLOOKUP(A21,INPUT_RANGE,76,FALSE) &amp; " w-l"</f>
    </oc>
    <nc r="AG21">
      <f>VLOOKUP(A21,INPUT_RANGE,75,FALSE) &amp; "-" &amp; VLOOKUP(A21,INPUT_RANGE,76,FALSE) &amp; " W-L"</f>
    </nc>
  </rcc>
  <rcc rId="990" sId="5">
    <oc r="AH21">
      <f>VLOOKUP(A21,INPUT_RANGE,81,FALSE)&amp; " saves"</f>
    </oc>
    <nc r="AH21">
      <f>VLOOKUP(A21,INPUT_RANGE,81,FALSE)&amp; " Saves"</f>
    </nc>
  </rcc>
  <rcc rId="991" sId="5">
    <oc r="AI21">
      <f>VLOOKUP(A21,INPUT_RANGE,83,FALSE) &amp; " h"</f>
    </oc>
    <nc r="AI21">
      <f>VLOOKUP(A21,INPUT_RANGE,83,FALSE) &amp; " H"</f>
    </nc>
  </rcc>
  <rcc rId="992" sId="5">
    <oc r="AJ21">
      <f>VLOOKUP(A21,INPUT_RANGE,84,FALSE) &amp; " r"</f>
    </oc>
    <nc r="AJ21">
      <f>VLOOKUP(A21,INPUT_RANGE,84,FALSE) &amp; " R"</f>
    </nc>
  </rcc>
  <rcc rId="993" sId="5">
    <oc r="AK21">
      <f>VLOOKUP(A21,INPUT_RANGE,85,FALSE) &amp;" er"</f>
    </oc>
    <nc r="AK21">
      <f>VLOOKUP(A21,INPUT_RANGE,85,FALSE) &amp;" ER"</f>
    </nc>
  </rcc>
  <rcc rId="994" sId="5">
    <oc r="AL21">
      <f>VLOOKUP(A21,INPUT_RANGE,88,FALSE) &amp;" hr"</f>
    </oc>
    <nc r="AL21">
      <f>VLOOKUP(A21,INPUT_RANGE,88,FALSE) &amp;" HR"</f>
    </nc>
  </rcc>
  <rcc rId="995" sId="5">
    <oc r="AM21">
      <f>VLOOKUP(A21,INPUT_RANGE,87,FALSE) &amp; " k"</f>
    </oc>
    <nc r="AM21">
      <f>VLOOKUP(A21,INPUT_RANGE,87,FALSE) &amp; " K"</f>
    </nc>
  </rcc>
  <rcc rId="996" sId="5">
    <oc r="AN21">
      <f>VLOOKUP(A21,INPUT_RANGE,86,FALSE) &amp; " bb"</f>
    </oc>
    <nc r="AN21">
      <f>VLOOKUP(A21,INPUT_RANGE,86,FALSE) &amp; " BB"</f>
    </nc>
  </rcc>
  <rcc rId="997" sId="5">
    <oc r="AO21">
      <f>TEXT(AU21,"0.00") &amp; " era"</f>
    </oc>
    <nc r="AO21">
      <f>TEXT(AU21,"0.00") &amp; " ERA"</f>
    </nc>
  </rcc>
  <rcc rId="998" sId="5">
    <oc r="AP21">
      <f>TEXT(AT21,"0.00") &amp; " whip"</f>
    </oc>
    <nc r="AP21">
      <f>TEXT(AT21,"0.00") &amp; " WHIP"</f>
    </nc>
  </rcc>
  <rcc rId="999" sId="5">
    <oc r="AQ21">
      <f xml:space="preserve"> IF(LEFT(RIGHT((VLOOKUP(A21,INPUT_RANGE,82,FALSE)),2),1)=".",RIGHT(VLOOKUP(A21,INPUT_RANGE,82,FALSE),1), "X")</f>
    </oc>
    <nc r="AQ21">
      <f xml:space="preserve"> IF(LEFT(RIGHT((VLOOKUP(A21,INPUT_RANGE,82,FALSE)),2),1)=".",RIGHT(VLOOKUP(A21,INPUT_RANGE,82,FALSE),1), "X")</f>
    </nc>
  </rcc>
  <rcc rId="1000" sId="5">
    <oc r="AR21">
      <f>IF(AQ21 ="1",0.333,IF(AQ21="2",0.666,0))</f>
    </oc>
    <nc r="AR21">
      <f>IF(AQ21 ="1",0.333,IF(AQ21="2",0.666,0))</f>
    </nc>
  </rcc>
  <rcc rId="1001" sId="5">
    <oc r="AS21">
      <f>VLOOKUP(A21,INPUT_RANGE,82,FALSE)-(AQ21*0.1)+AR21</f>
    </oc>
    <nc r="AS21">
      <f>VLOOKUP(A21,INPUT_RANGE,82,FALSE)-(AQ21*0.1)+AR21</f>
    </nc>
  </rcc>
  <rcc rId="1002" sId="5">
    <oc r="AT21">
      <f>ROUND((VLOOKUP(A21,INPUT_RANGE,86,FALSE)+VLOOKUP(A21,INPUT_RANGE,83,FALSE))/AS21,2)</f>
    </oc>
    <nc r="AT21">
      <f>ROUND((VLOOKUP(A21,INPUT_RANGE,86,FALSE)+VLOOKUP(A21,INPUT_RANGE,83,FALSE))/AS21,2)</f>
    </nc>
  </rcc>
  <rcc rId="1003" sId="5">
    <oc r="AU21">
      <f>ROUND((VLOOKUP(A21,INPUT_RANGE,85,FALSE)/AS21)*('Team Info'!$H$25),2)</f>
    </oc>
    <nc r="AU21">
      <f>ROUND((VLOOKUP(A21,INPUT_RANGE,85,FALSE)/AS21)*('D:\Data\Softball\[ESPN_BASEBALL_AWAY_OLD.xlsx]Team Info'!$H$25),2)</f>
    </nc>
  </rcc>
  <rcc rId="1004" sId="5">
    <oc r="AW21">
      <f>(VLOOKUP(A21,INPUT_RANGE,54,FALSE)/VLOOKUP(A21,INPUT_RANGE,52,FALSE))</f>
    </oc>
    <nc r="AW21">
      <f>(VLOOKUP(A21,INPUT_RANGE,54,FALSE)/VLOOKUP(A21,INPUT_RANGE,52,FALSE))</f>
    </nc>
  </rcc>
  <rcc rId="1005" sId="5">
    <oc r="AX21">
      <f>((VLOOKUP(A21,INPUT_RANGE,54,FALSE)+VLOOKUP(A21,INPUT_RANGE,60,FALSE)+VLOOKUP(A21,INPUT_RANGE,59,FALSE))/(VLOOKUP(A21,INPUT_RANGE,52,FALSE)+VLOOKUP(A21,INPUT_RANGE,60,FALSE)+VLOOKUP(A21,INPUT_RANGE,59,FALSE)+VLOOKUP(A21,INPUT_RANGE,63,FALSE)))</f>
    </oc>
    <nc r="AX21">
      <f>((VLOOKUP(A21,INPUT_RANGE,54,FALSE)+VLOOKUP(A21,INPUT_RANGE,60,FALSE)+VLOOKUP(A21,INPUT_RANGE,59,FALSE))/(VLOOKUP(A21,INPUT_RANGE,52,FALSE)+VLOOKUP(A21,INPUT_RANGE,60,FALSE)+VLOOKUP(A21,INPUT_RANGE,59,FALSE)+VLOOKUP(A21,INPUT_RANGE,63,FALSE)))</f>
    </nc>
  </rcc>
  <rcc rId="1006" sId="5">
    <oc r="AY21">
      <f>(VLOOKUP(A21,INPUT_RANGE,54)+VLOOKUP(A21,INPUT_RANGE,55)+(VLOOKUP(A21,INPUT_RANGE,56)*2)+(VLOOKUP(A21,INPUT_RANGE,57)*3))/(VLOOKUP(A21,INPUT_RANGE,52))</f>
    </oc>
    <nc r="AY21">
      <f>(VLOOKUP(A21,INPUT_RANGE,54)+VLOOKUP(A21,INPUT_RANGE,55)+(VLOOKUP(A21,INPUT_RANGE,56)*2)+(VLOOKUP(A21,INPUT_RANGE,57)*3))/(VLOOKUP(A21,INPUT_RANGE,52))</f>
    </nc>
  </rcc>
  <rcc rId="1007" sId="5">
    <oc r="AZ21">
      <f>AX21+AY21</f>
    </oc>
    <nc r="AZ21">
      <f>AX21+AY21</f>
    </nc>
  </rcc>
  <rcc rId="1008" sId="5">
    <oc r="BA21">
      <f xml:space="preserve"> TEXT(AZ21,".000") &amp; " ops"</f>
    </oc>
    <nc r="BA21">
      <f xml:space="preserve"> TEXT(AZ21,".000") &amp; " OPS"</f>
    </nc>
  </rcc>
  <rcc rId="1009" sId="5">
    <oc r="BB21">
      <f>VLOOKUP(A21,INPUT_RANGE,78,FALSE)</f>
    </oc>
    <nc r="BB21">
      <f>VLOOKUP(A21,INPUT_RANGE,78,FALSE)</f>
    </nc>
  </rcc>
  <rcc rId="1010" sId="5">
    <oc r="BC21">
      <f>VLOOKUP(A21,INPUT_RANGE,77,FALSE)</f>
    </oc>
    <nc r="BC21">
      <f>VLOOKUP(A21,INPUT_RANGE,77,FALSE)</f>
    </nc>
  </rcc>
  <rcc rId="1011" sId="5">
    <oc r="BD21">
      <f>VLOOKUP(A21,INPUT_RANGE,75,FALSE) &amp; "-" &amp; VLOOKUP(A21,INPUT_RANGE,76,FALSE)</f>
    </oc>
    <nc r="BD21">
      <f>VLOOKUP(A21,INPUT_RANGE,75,FALSE) &amp; "-" &amp; VLOOKUP(A21,INPUT_RANGE,76,FALSE)</f>
    </nc>
  </rcc>
  <rcc rId="1012" sId="5">
    <oc r="BE21">
      <f>AU21</f>
    </oc>
    <nc r="BE21">
      <f>AU21</f>
    </nc>
  </rcc>
  <rcc rId="1013" sId="5">
    <oc r="BF21">
      <f>AA21</f>
    </oc>
    <nc r="BF21">
      <f>AA21</f>
    </nc>
  </rcc>
  <rcc rId="1014" sId="5">
    <oc r="BG21">
      <f>VLOOKUP(A21,INPUT_RANGE,86,FALSE)</f>
    </oc>
    <nc r="BG21">
      <f>VLOOKUP(A21,INPUT_RANGE,86,FALSE)</f>
    </nc>
  </rcc>
  <rcc rId="1015" sId="5">
    <oc r="BH21">
      <f>VLOOKUP(A21,INPUT_RANGE,87,FALSE)</f>
    </oc>
    <nc r="BH21">
      <f>VLOOKUP(A21,INPUT_RANGE,87,FALSE)</f>
    </nc>
  </rcc>
  <rcc rId="1016" sId="5">
    <oc r="BI21">
      <f>VLOOKUP(A21,INPUT_RANGE,81,FALSE) &amp; " SAVES"</f>
    </oc>
    <nc r="BI21">
      <f>VLOOKUP(A21,INPUT_RANGE,81,FALSE) &amp; " SAVES"</f>
    </nc>
  </rcc>
  <rcc rId="1017" sId="5">
    <oc r="BJ21">
      <f>VLOOKUP(A21,INPUT_RANGE,81,FALSE)</f>
    </oc>
    <nc r="BJ21">
      <f>VLOOKUP(A21,INPUT_RANGE,81,FALSE)</f>
    </nc>
  </rcc>
  <rcc rId="1018" sId="5">
    <oc r="BK21">
      <f>VLOOKUP(A21,INPUT_RANGE,83,FALSE)</f>
    </oc>
    <nc r="BK21">
      <f>VLOOKUP(A21,INPUT_RANGE,83,FALSE)</f>
    </nc>
  </rcc>
  <rcc rId="1019" sId="5">
    <oc r="BL21">
      <f>VLOOKUP(A21,INPUT_RANGE,87,FALSE) &amp; "/" &amp; VLOOKUP(A21,INPUT_RANGE,86,FALSE)</f>
    </oc>
    <nc r="BL21">
      <f>VLOOKUP(A21,INPUT_RANGE,87,FALSE) &amp; "/" &amp; VLOOKUP(A21,INPUT_RANGE,86,FALSE)</f>
    </nc>
  </rcc>
  <rcc rId="1020" sId="5">
    <oc r="BM21">
      <f>ROUND((VLOOKUP(A21,INPUT_RANGE,86,FALSE)+VLOOKUP(A21,INPUT_RANGE,83,FALSE))/AS21,2)</f>
    </oc>
    <nc r="BM21">
      <f>ROUND((VLOOKUP(A21,INPUT_RANGE,86,FALSE)+VLOOKUP(A21,INPUT_RANGE,83,FALSE))/AS21,2)</f>
    </nc>
  </rcc>
  <rcc rId="1021" sId="5">
    <oc r="M22">
      <f xml:space="preserve"> TEXT(AW22,".000") &amp; " ba"</f>
    </oc>
    <nc r="M22">
      <f xml:space="preserve"> TEXT(AW22,".000") &amp; " BA"</f>
    </nc>
  </rcc>
  <rcc rId="1022" sId="5">
    <oc r="N22">
      <f>VLOOKUP(A22,INPUT_RANGE,58,FALSE) &amp; " rbi"</f>
    </oc>
    <nc r="N22">
      <f>VLOOKUP(A22,INPUT_RANGE,58,FALSE) &amp; " RBI"</f>
    </nc>
  </rcc>
  <rcc rId="1023" sId="5">
    <oc r="O22">
      <f>VLOOKUP(A22,INPUT_RANGE,60,FALSE) &amp; " bb"</f>
    </oc>
    <nc r="O22">
      <f>VLOOKUP(A22,INPUT_RANGE,60,FALSE) &amp; " BB"</f>
    </nc>
  </rcc>
  <rcc rId="1024" sId="5">
    <oc r="P22">
      <f>VLOOKUP(A22,INPUT_RANGE,61,FALSE) &amp; " k"</f>
    </oc>
    <nc r="P22">
      <f>VLOOKUP(A22,INPUT_RANGE,61,FALSE) &amp; " K"</f>
    </nc>
  </rcc>
  <rcc rId="1025" sId="5">
    <oc r="Q22">
      <f>VLOOKUP(A22,INPUT_RANGE,64,FALSE) &amp; " sb"</f>
    </oc>
    <nc r="Q22">
      <f>VLOOKUP(A22,INPUT_RANGE,64,FALSE) &amp; " SB"</f>
    </nc>
  </rcc>
  <rcc rId="1026" sId="5">
    <oc r="R22">
      <f>VLOOKUP(A22,INPUT_RANGE,55,FALSE) &amp; " 2b"</f>
    </oc>
    <nc r="R22">
      <f>VLOOKUP(A22,INPUT_RANGE,55,FALSE) &amp; " 2B"</f>
    </nc>
  </rcc>
  <rcc rId="1027" sId="5">
    <oc r="S22">
      <f>VLOOKUP(A22,INPUT_RANGE,56,FALSE) &amp; " 3b"</f>
    </oc>
    <nc r="S22">
      <f>VLOOKUP(A22,INPUT_RANGE,56,FALSE) &amp; " 3B"</f>
    </nc>
  </rcc>
  <rcc rId="1028" sId="5">
    <oc r="T22">
      <f>VLOOKUP(A22,INPUT_RANGE,57,FALSE) &amp; " hr"</f>
    </oc>
    <nc r="T22">
      <f>VLOOKUP(A22,INPUT_RANGE,57,FALSE) &amp; " HR"</f>
    </nc>
  </rcc>
  <rcc rId="1029" sId="5">
    <oc r="U22">
      <f>VLOOKUP(A22,INPUT_RANGE,53,FALSE) &amp; " r"</f>
    </oc>
    <nc r="U22">
      <f>VLOOKUP(A22,INPUT_RANGE,53,FALSE) &amp; " R"</f>
    </nc>
  </rcc>
  <rcc rId="1030" sId="5">
    <oc r="V22">
      <f>TEXT(AX22, ".000") &amp; " obp"</f>
    </oc>
    <nc r="V22">
      <f>TEXT(AX22, ".000") &amp; " OBP"</f>
    </nc>
  </rcc>
  <rcc rId="1031" sId="5">
    <oc r="X22">
      <f>VLOOKUP(A22,INPUT_RANGE,77,FALSE)&amp;" games"</f>
    </oc>
    <nc r="X22">
      <f>VLOOKUP(A22,INPUT_RANGE,77,FALSE)&amp;" games"</f>
    </nc>
  </rcc>
  <rcc rId="1032" sId="5">
    <oc r="Y22">
      <f>VLOOKUP(A22,INPUT_RANGE,78,FALSE) &amp; " starts"</f>
    </oc>
    <nc r="Y22">
      <f>VLOOKUP(A22,INPUT_RANGE,78,FALSE) &amp; " starts"</f>
    </nc>
  </rcc>
  <rcc rId="1033" sId="5">
    <oc r="Z22">
      <f>VLOOKUP(A22,INPUT_RANGE,82,FALSE) &amp; " ip"</f>
    </oc>
    <nc r="Z22">
      <f>VLOOKUP(A22,INPUT_RANGE,82,FALSE) &amp; " IP"</f>
    </nc>
  </rcc>
  <rcc rId="1034" sId="5">
    <oc r="AA22">
      <f>TRUNC(VLOOKUP(A22,INPUT_RANGE,82,FALSE)) &amp;  IF(AR22=0.333,"º",IF(AR22=0.666,"»",""))</f>
    </oc>
    <nc r="AA22">
      <f>TRUNC(VLOOKUP(A22,INPUT_RANGE,82,FALSE)) &amp;  IF(AR22=0.333,"º",IF(AR22=0.666,"»",""))</f>
    </nc>
  </rcc>
  <rcc rId="1035" sId="5">
    <oc r="AB22">
      <f>AA22&amp; " ip"</f>
    </oc>
    <nc r="AB22">
      <f>AA22&amp; " IP"</f>
    </nc>
  </rcc>
  <rcc rId="1036" sId="5">
    <oc r="AC22">
      <f>VLOOKUP(A22,INPUT_RANGE,79,FALSE) &amp; " cg"</f>
    </oc>
    <nc r="AC22">
      <f>VLOOKUP(A22,INPUT_RANGE,79,FALSE) &amp; " CG"</f>
    </nc>
  </rcc>
  <rcc rId="1037" sId="5">
    <oc r="AD22">
      <f>VLOOKUP(A22,INPUT_RANGE,80,FALSE) &amp; " sho"</f>
    </oc>
    <nc r="AD22">
      <f>VLOOKUP(A22,INPUT_RANGE,80,FALSE) &amp; " SHO"</f>
    </nc>
  </rcc>
  <rcc rId="1038" sId="5">
    <oc r="AE22">
      <f>VLOOKUP(A22,INPUT_RANGE,75,FALSE) &amp; " win"</f>
    </oc>
    <nc r="AE22">
      <f>VLOOKUP(A22,INPUT_RANGE,75,FALSE) &amp; " Win"</f>
    </nc>
  </rcc>
  <rcc rId="1039" sId="5">
    <oc r="AF22">
      <f>VLOOKUP(A22,INPUT_RANGE,76,FALSE) &amp; " loss"</f>
    </oc>
    <nc r="AF22">
      <f>VLOOKUP(A22,INPUT_RANGE,76,FALSE) &amp; " Loss"</f>
    </nc>
  </rcc>
  <rcc rId="1040" sId="5">
    <oc r="AG22">
      <f>VLOOKUP(A22,INPUT_RANGE,75,FALSE) &amp; "-" &amp; VLOOKUP(A22,INPUT_RANGE,76,FALSE) &amp; " w-l"</f>
    </oc>
    <nc r="AG22">
      <f>VLOOKUP(A22,INPUT_RANGE,75,FALSE) &amp; "-" &amp; VLOOKUP(A22,INPUT_RANGE,76,FALSE) &amp; " W-L"</f>
    </nc>
  </rcc>
  <rcc rId="1041" sId="5">
    <oc r="AH22">
      <f>VLOOKUP(A22,INPUT_RANGE,81,FALSE)&amp; " saves"</f>
    </oc>
    <nc r="AH22">
      <f>VLOOKUP(A22,INPUT_RANGE,81,FALSE)&amp; " Saves"</f>
    </nc>
  </rcc>
  <rcc rId="1042" sId="5">
    <oc r="AI22">
      <f>VLOOKUP(A22,INPUT_RANGE,83,FALSE) &amp; " h"</f>
    </oc>
    <nc r="AI22">
      <f>VLOOKUP(A22,INPUT_RANGE,83,FALSE) &amp; " H"</f>
    </nc>
  </rcc>
  <rcc rId="1043" sId="5">
    <oc r="AJ22">
      <f>VLOOKUP(A22,INPUT_RANGE,84,FALSE) &amp; " r"</f>
    </oc>
    <nc r="AJ22">
      <f>VLOOKUP(A22,INPUT_RANGE,84,FALSE) &amp; " R"</f>
    </nc>
  </rcc>
  <rcc rId="1044" sId="5">
    <oc r="AK22">
      <f>VLOOKUP(A22,INPUT_RANGE,85,FALSE) &amp;" er"</f>
    </oc>
    <nc r="AK22">
      <f>VLOOKUP(A22,INPUT_RANGE,85,FALSE) &amp;" ER"</f>
    </nc>
  </rcc>
  <rcc rId="1045" sId="5">
    <oc r="AL22">
      <f>VLOOKUP(A22,INPUT_RANGE,88,FALSE) &amp;" hr"</f>
    </oc>
    <nc r="AL22">
      <f>VLOOKUP(A22,INPUT_RANGE,88,FALSE) &amp;" HR"</f>
    </nc>
  </rcc>
  <rcc rId="1046" sId="5">
    <oc r="AM22">
      <f>VLOOKUP(A22,INPUT_RANGE,87,FALSE) &amp; " k"</f>
    </oc>
    <nc r="AM22">
      <f>VLOOKUP(A22,INPUT_RANGE,87,FALSE) &amp; " K"</f>
    </nc>
  </rcc>
  <rcc rId="1047" sId="5">
    <oc r="AN22">
      <f>VLOOKUP(A22,INPUT_RANGE,86,FALSE) &amp; " bb"</f>
    </oc>
    <nc r="AN22">
      <f>VLOOKUP(A22,INPUT_RANGE,86,FALSE) &amp; " BB"</f>
    </nc>
  </rcc>
  <rcc rId="1048" sId="5">
    <oc r="AO22">
      <f>TEXT(AU22,"0.00") &amp; " era"</f>
    </oc>
    <nc r="AO22">
      <f>TEXT(AU22,"0.00") &amp; " ERA"</f>
    </nc>
  </rcc>
  <rcc rId="1049" sId="5">
    <oc r="AP22">
      <f>TEXT(AT22,"0.00") &amp; " whip"</f>
    </oc>
    <nc r="AP22">
      <f>TEXT(AT22,"0.00") &amp; " WHIP"</f>
    </nc>
  </rcc>
  <rcc rId="1050" sId="5">
    <oc r="AQ22">
      <f xml:space="preserve"> IF(LEFT(RIGHT((VLOOKUP(A22,INPUT_RANGE,82,FALSE)),2),1)=".",RIGHT(VLOOKUP(A22,INPUT_RANGE,82,FALSE),1), "X")</f>
    </oc>
    <nc r="AQ22">
      <f xml:space="preserve"> IF(LEFT(RIGHT((VLOOKUP(A22,INPUT_RANGE,82,FALSE)),2),1)=".",RIGHT(VLOOKUP(A22,INPUT_RANGE,82,FALSE),1), "X")</f>
    </nc>
  </rcc>
  <rcc rId="1051" sId="5">
    <oc r="AR22">
      <f>IF(AQ22 ="1",0.333,IF(AQ22="2",0.666,0))</f>
    </oc>
    <nc r="AR22">
      <f>IF(AQ22 ="1",0.333,IF(AQ22="2",0.666,0))</f>
    </nc>
  </rcc>
  <rcc rId="1052" sId="5">
    <oc r="AS22">
      <f>VLOOKUP(A22,INPUT_RANGE,82,FALSE)-(AQ22*0.1)+AR22</f>
    </oc>
    <nc r="AS22">
      <f>VLOOKUP(A22,INPUT_RANGE,82,FALSE)-(AQ22*0.1)+AR22</f>
    </nc>
  </rcc>
  <rcc rId="1053" sId="5">
    <oc r="AT22">
      <f>ROUND((VLOOKUP(A22,INPUT_RANGE,86,FALSE)+VLOOKUP(A22,INPUT_RANGE,83,FALSE))/AS22,2)</f>
    </oc>
    <nc r="AT22">
      <f>ROUND((VLOOKUP(A22,INPUT_RANGE,86,FALSE)+VLOOKUP(A22,INPUT_RANGE,83,FALSE))/AS22,2)</f>
    </nc>
  </rcc>
  <rcc rId="1054" sId="5">
    <oc r="AU22">
      <f>ROUND((VLOOKUP(A22,INPUT_RANGE,85,FALSE)/AS22)*('Team Info'!$H$25),2)</f>
    </oc>
    <nc r="AU22">
      <f>ROUND((VLOOKUP(A22,INPUT_RANGE,85,FALSE)/AS22)*('D:\Data\Softball\[ESPN_BASEBALL_AWAY_OLD.xlsx]Team Info'!$H$25),2)</f>
    </nc>
  </rcc>
  <rcc rId="1055" sId="5">
    <oc r="AW22">
      <f>(VLOOKUP(A22,INPUT_RANGE,54,FALSE)/VLOOKUP(A22,INPUT_RANGE,52,FALSE))</f>
    </oc>
    <nc r="AW22">
      <f>(VLOOKUP(A22,INPUT_RANGE,54,FALSE)/VLOOKUP(A22,INPUT_RANGE,52,FALSE))</f>
    </nc>
  </rcc>
  <rcc rId="1056" sId="5">
    <oc r="AX22">
      <f>((VLOOKUP(A22,INPUT_RANGE,54,FALSE)+VLOOKUP(A22,INPUT_RANGE,60,FALSE)+VLOOKUP(A22,INPUT_RANGE,59,FALSE))/(VLOOKUP(A22,INPUT_RANGE,52,FALSE)+VLOOKUP(A22,INPUT_RANGE,60,FALSE)+VLOOKUP(A22,INPUT_RANGE,59,FALSE)+VLOOKUP(A22,INPUT_RANGE,63,FALSE)))</f>
    </oc>
    <nc r="AX22">
      <f>((VLOOKUP(A22,INPUT_RANGE,54,FALSE)+VLOOKUP(A22,INPUT_RANGE,60,FALSE)+VLOOKUP(A22,INPUT_RANGE,59,FALSE))/(VLOOKUP(A22,INPUT_RANGE,52,FALSE)+VLOOKUP(A22,INPUT_RANGE,60,FALSE)+VLOOKUP(A22,INPUT_RANGE,59,FALSE)+VLOOKUP(A22,INPUT_RANGE,63,FALSE)))</f>
    </nc>
  </rcc>
  <rcc rId="1057" sId="5">
    <oc r="AY22">
      <f>(VLOOKUP(A22,INPUT_RANGE,54)+VLOOKUP(A22,INPUT_RANGE,55)+(VLOOKUP(A22,INPUT_RANGE,56)*2)+(VLOOKUP(A22,INPUT_RANGE,57)*3))/(VLOOKUP(A22,INPUT_RANGE,52))</f>
    </oc>
    <nc r="AY22">
      <f>(VLOOKUP(A22,INPUT_RANGE,54)+VLOOKUP(A22,INPUT_RANGE,55)+(VLOOKUP(A22,INPUT_RANGE,56)*2)+(VLOOKUP(A22,INPUT_RANGE,57)*3))/(VLOOKUP(A22,INPUT_RANGE,52))</f>
    </nc>
  </rcc>
  <rcc rId="1058" sId="5">
    <oc r="AZ22">
      <f>AX22+AY22</f>
    </oc>
    <nc r="AZ22">
      <f>AX22+AY22</f>
    </nc>
  </rcc>
  <rcc rId="1059" sId="5">
    <oc r="BA22">
      <f xml:space="preserve"> TEXT(AZ22,".000") &amp; " ops"</f>
    </oc>
    <nc r="BA22">
      <f xml:space="preserve"> TEXT(AZ22,".000") &amp; " OPS"</f>
    </nc>
  </rcc>
  <rcc rId="1060" sId="5">
    <oc r="BB22">
      <f>VLOOKUP(A22,INPUT_RANGE,78,FALSE)</f>
    </oc>
    <nc r="BB22">
      <f>VLOOKUP(A22,INPUT_RANGE,78,FALSE)</f>
    </nc>
  </rcc>
  <rcc rId="1061" sId="5">
    <oc r="BC22">
      <f>VLOOKUP(A22,INPUT_RANGE,77,FALSE)</f>
    </oc>
    <nc r="BC22">
      <f>VLOOKUP(A22,INPUT_RANGE,77,FALSE)</f>
    </nc>
  </rcc>
  <rcc rId="1062" sId="5">
    <oc r="BD22">
      <f>VLOOKUP(A22,INPUT_RANGE,75,FALSE) &amp; "-" &amp; VLOOKUP(A22,INPUT_RANGE,76,FALSE)</f>
    </oc>
    <nc r="BD22">
      <f>VLOOKUP(A22,INPUT_RANGE,75,FALSE) &amp; "-" &amp; VLOOKUP(A22,INPUT_RANGE,76,FALSE)</f>
    </nc>
  </rcc>
  <rcc rId="1063" sId="5">
    <oc r="BE22">
      <f>AU22</f>
    </oc>
    <nc r="BE22">
      <f>AU22</f>
    </nc>
  </rcc>
  <rcc rId="1064" sId="5">
    <oc r="BF22">
      <f>AA22</f>
    </oc>
    <nc r="BF22">
      <f>AA22</f>
    </nc>
  </rcc>
  <rcc rId="1065" sId="5">
    <oc r="BG22">
      <f>VLOOKUP(A22,INPUT_RANGE,86,FALSE)</f>
    </oc>
    <nc r="BG22">
      <f>VLOOKUP(A22,INPUT_RANGE,86,FALSE)</f>
    </nc>
  </rcc>
  <rcc rId="1066" sId="5">
    <oc r="BH22">
      <f>VLOOKUP(A22,INPUT_RANGE,87,FALSE)</f>
    </oc>
    <nc r="BH22">
      <f>VLOOKUP(A22,INPUT_RANGE,87,FALSE)</f>
    </nc>
  </rcc>
  <rcc rId="1067" sId="5">
    <oc r="BI22">
      <f>VLOOKUP(A22,INPUT_RANGE,81,FALSE) &amp; " SAVES"</f>
    </oc>
    <nc r="BI22">
      <f>VLOOKUP(A22,INPUT_RANGE,81,FALSE) &amp; " SAVES"</f>
    </nc>
  </rcc>
  <rcc rId="1068" sId="5">
    <oc r="BJ22">
      <f>VLOOKUP(A22,INPUT_RANGE,81,FALSE)</f>
    </oc>
    <nc r="BJ22">
      <f>VLOOKUP(A22,INPUT_RANGE,81,FALSE)</f>
    </nc>
  </rcc>
  <rcc rId="1069" sId="5">
    <oc r="BK22">
      <f>VLOOKUP(A22,INPUT_RANGE,83,FALSE)</f>
    </oc>
    <nc r="BK22">
      <f>VLOOKUP(A22,INPUT_RANGE,83,FALSE)</f>
    </nc>
  </rcc>
  <rcc rId="1070" sId="5">
    <oc r="BL22">
      <f>VLOOKUP(A22,INPUT_RANGE,87,FALSE) &amp; "/" &amp; VLOOKUP(A22,INPUT_RANGE,86,FALSE)</f>
    </oc>
    <nc r="BL22">
      <f>VLOOKUP(A22,INPUT_RANGE,87,FALSE) &amp; "/" &amp; VLOOKUP(A22,INPUT_RANGE,86,FALSE)</f>
    </nc>
  </rcc>
  <rcc rId="1071" sId="5">
    <oc r="BM22">
      <f>ROUND((VLOOKUP(A22,INPUT_RANGE,86,FALSE)+VLOOKUP(A22,INPUT_RANGE,83,FALSE))/AS22,2)</f>
    </oc>
    <nc r="BM22">
      <f>ROUND((VLOOKUP(A22,INPUT_RANGE,86,FALSE)+VLOOKUP(A22,INPUT_RANGE,83,FALSE))/AS22,2)</f>
    </nc>
  </rcc>
  <rcc rId="1072" sId="5">
    <oc r="M23">
      <f xml:space="preserve"> TEXT(AW23,".000") &amp; " ba"</f>
    </oc>
    <nc r="M23">
      <f xml:space="preserve"> TEXT(AW23,".000") &amp; " BA"</f>
    </nc>
  </rcc>
  <rcc rId="1073" sId="5">
    <oc r="N23">
      <f>VLOOKUP(A23,INPUT_RANGE,58,FALSE) &amp; " rbi"</f>
    </oc>
    <nc r="N23">
      <f>VLOOKUP(A23,INPUT_RANGE,58,FALSE) &amp; " RBI"</f>
    </nc>
  </rcc>
  <rcc rId="1074" sId="5">
    <oc r="O23">
      <f>VLOOKUP(A23,INPUT_RANGE,60,FALSE) &amp; " bb"</f>
    </oc>
    <nc r="O23">
      <f>VLOOKUP(A23,INPUT_RANGE,60,FALSE) &amp; " BB"</f>
    </nc>
  </rcc>
  <rcc rId="1075" sId="5">
    <oc r="P23">
      <f>VLOOKUP(A23,INPUT_RANGE,61,FALSE) &amp; " k"</f>
    </oc>
    <nc r="P23">
      <f>VLOOKUP(A23,INPUT_RANGE,61,FALSE) &amp; " K"</f>
    </nc>
  </rcc>
  <rcc rId="1076" sId="5">
    <oc r="Q23">
      <f>VLOOKUP(A23,INPUT_RANGE,64,FALSE) &amp; " sb"</f>
    </oc>
    <nc r="Q23">
      <f>VLOOKUP(A23,INPUT_RANGE,64,FALSE) &amp; " SB"</f>
    </nc>
  </rcc>
  <rcc rId="1077" sId="5">
    <oc r="R23">
      <f>VLOOKUP(A23,INPUT_RANGE,55,FALSE) &amp; " 2b"</f>
    </oc>
    <nc r="R23">
      <f>VLOOKUP(A23,INPUT_RANGE,55,FALSE) &amp; " 2B"</f>
    </nc>
  </rcc>
  <rcc rId="1078" sId="5">
    <oc r="S23">
      <f>VLOOKUP(A23,INPUT_RANGE,56,FALSE) &amp; " 3b"</f>
    </oc>
    <nc r="S23">
      <f>VLOOKUP(A23,INPUT_RANGE,56,FALSE) &amp; " 3B"</f>
    </nc>
  </rcc>
  <rcc rId="1079" sId="5">
    <oc r="T23">
      <f>VLOOKUP(A23,INPUT_RANGE,57,FALSE) &amp; " hr"</f>
    </oc>
    <nc r="T23">
      <f>VLOOKUP(A23,INPUT_RANGE,57,FALSE) &amp; " HR"</f>
    </nc>
  </rcc>
  <rcc rId="1080" sId="5">
    <oc r="U23">
      <f>VLOOKUP(A23,INPUT_RANGE,53,FALSE) &amp; " r"</f>
    </oc>
    <nc r="U23">
      <f>VLOOKUP(A23,INPUT_RANGE,53,FALSE) &amp; " R"</f>
    </nc>
  </rcc>
  <rcc rId="1081" sId="5">
    <oc r="V23">
      <f>TEXT(AX23, ".000") &amp; " obp"</f>
    </oc>
    <nc r="V23">
      <f>TEXT(AX23, ".000") &amp; " OBP"</f>
    </nc>
  </rcc>
  <rcc rId="1082" sId="5">
    <oc r="X23">
      <f>VLOOKUP(A23,INPUT_RANGE,77,FALSE)&amp;" games"</f>
    </oc>
    <nc r="X23">
      <f>VLOOKUP(A23,INPUT_RANGE,77,FALSE)&amp;" games"</f>
    </nc>
  </rcc>
  <rcc rId="1083" sId="5">
    <oc r="Y23">
      <f>VLOOKUP(A23,INPUT_RANGE,78,FALSE) &amp; " starts"</f>
    </oc>
    <nc r="Y23">
      <f>VLOOKUP(A23,INPUT_RANGE,78,FALSE) &amp; " starts"</f>
    </nc>
  </rcc>
  <rcc rId="1084" sId="5">
    <oc r="Z23">
      <f>VLOOKUP(A23,INPUT_RANGE,82,FALSE) &amp; " ip"</f>
    </oc>
    <nc r="Z23">
      <f>VLOOKUP(A23,INPUT_RANGE,82,FALSE) &amp; " IP"</f>
    </nc>
  </rcc>
  <rcc rId="1085" sId="5">
    <oc r="AA23">
      <f>TRUNC(VLOOKUP(A23,INPUT_RANGE,82,FALSE)) &amp;  IF(AR23=0.333,"º",IF(AR23=0.666,"»",""))</f>
    </oc>
    <nc r="AA23">
      <f>TRUNC(VLOOKUP(A23,INPUT_RANGE,82,FALSE)) &amp;  IF(AR23=0.333,"º",IF(AR23=0.666,"»",""))</f>
    </nc>
  </rcc>
  <rcc rId="1086" sId="5">
    <oc r="AB23">
      <f>AA23&amp; " ip"</f>
    </oc>
    <nc r="AB23">
      <f>AA23&amp; " IP"</f>
    </nc>
  </rcc>
  <rcc rId="1087" sId="5">
    <oc r="AC23">
      <f>VLOOKUP(A23,INPUT_RANGE,79,FALSE) &amp; " cg"</f>
    </oc>
    <nc r="AC23">
      <f>VLOOKUP(A23,INPUT_RANGE,79,FALSE) &amp; " CG"</f>
    </nc>
  </rcc>
  <rcc rId="1088" sId="5">
    <oc r="AD23">
      <f>VLOOKUP(A23,INPUT_RANGE,80,FALSE) &amp; " sho"</f>
    </oc>
    <nc r="AD23">
      <f>VLOOKUP(A23,INPUT_RANGE,80,FALSE) &amp; " SHO"</f>
    </nc>
  </rcc>
  <rcc rId="1089" sId="5">
    <oc r="AE23">
      <f>VLOOKUP(A23,INPUT_RANGE,75,FALSE) &amp; " win"</f>
    </oc>
    <nc r="AE23">
      <f>VLOOKUP(A23,INPUT_RANGE,75,FALSE) &amp; " Win"</f>
    </nc>
  </rcc>
  <rcc rId="1090" sId="5">
    <oc r="AF23">
      <f>VLOOKUP(A23,INPUT_RANGE,76,FALSE) &amp; " loss"</f>
    </oc>
    <nc r="AF23">
      <f>VLOOKUP(A23,INPUT_RANGE,76,FALSE) &amp; " Loss"</f>
    </nc>
  </rcc>
  <rcc rId="1091" sId="5">
    <oc r="AG23">
      <f>VLOOKUP(A23,INPUT_RANGE,75,FALSE) &amp; "-" &amp; VLOOKUP(A23,INPUT_RANGE,76,FALSE) &amp; " w-l"</f>
    </oc>
    <nc r="AG23">
      <f>VLOOKUP(A23,INPUT_RANGE,75,FALSE) &amp; "-" &amp; VLOOKUP(A23,INPUT_RANGE,76,FALSE) &amp; " W-L"</f>
    </nc>
  </rcc>
  <rcc rId="1092" sId="5">
    <oc r="AH23">
      <f>VLOOKUP(A23,INPUT_RANGE,81,FALSE)&amp; " saves"</f>
    </oc>
    <nc r="AH23">
      <f>VLOOKUP(A23,INPUT_RANGE,81,FALSE)&amp; " Saves"</f>
    </nc>
  </rcc>
  <rcc rId="1093" sId="5">
    <oc r="AI23">
      <f>VLOOKUP(A23,INPUT_RANGE,83,FALSE) &amp; " h"</f>
    </oc>
    <nc r="AI23">
      <f>VLOOKUP(A23,INPUT_RANGE,83,FALSE) &amp; " H"</f>
    </nc>
  </rcc>
  <rcc rId="1094" sId="5">
    <oc r="AJ23">
      <f>VLOOKUP(A23,INPUT_RANGE,84,FALSE) &amp; " r"</f>
    </oc>
    <nc r="AJ23">
      <f>VLOOKUP(A23,INPUT_RANGE,84,FALSE) &amp; " R"</f>
    </nc>
  </rcc>
  <rcc rId="1095" sId="5">
    <oc r="AK23">
      <f>VLOOKUP(A23,INPUT_RANGE,85,FALSE) &amp;" er"</f>
    </oc>
    <nc r="AK23">
      <f>VLOOKUP(A23,INPUT_RANGE,85,FALSE) &amp;" ER"</f>
    </nc>
  </rcc>
  <rcc rId="1096" sId="5">
    <oc r="AL23">
      <f>VLOOKUP(A23,INPUT_RANGE,88,FALSE) &amp;" hr"</f>
    </oc>
    <nc r="AL23">
      <f>VLOOKUP(A23,INPUT_RANGE,88,FALSE) &amp;" HR"</f>
    </nc>
  </rcc>
  <rcc rId="1097" sId="5">
    <oc r="AM23">
      <f>VLOOKUP(A23,INPUT_RANGE,87,FALSE) &amp; " k"</f>
    </oc>
    <nc r="AM23">
      <f>VLOOKUP(A23,INPUT_RANGE,87,FALSE) &amp; " K"</f>
    </nc>
  </rcc>
  <rcc rId="1098" sId="5">
    <oc r="AN23">
      <f>VLOOKUP(A23,INPUT_RANGE,86,FALSE) &amp; " bb"</f>
    </oc>
    <nc r="AN23">
      <f>VLOOKUP(A23,INPUT_RANGE,86,FALSE) &amp; " BB"</f>
    </nc>
  </rcc>
  <rcc rId="1099" sId="5">
    <oc r="AO23">
      <f>TEXT(AU23,"0.00") &amp; " era"</f>
    </oc>
    <nc r="AO23">
      <f>TEXT(AU23,"0.00") &amp; " ERA"</f>
    </nc>
  </rcc>
  <rcc rId="1100" sId="5">
    <oc r="AP23">
      <f>TEXT(AT23,"0.00") &amp; " whip"</f>
    </oc>
    <nc r="AP23">
      <f>TEXT(AT23,"0.00") &amp; " WHIP"</f>
    </nc>
  </rcc>
  <rcc rId="1101" sId="5">
    <oc r="AQ23">
      <f xml:space="preserve"> IF(LEFT(RIGHT((VLOOKUP(A23,INPUT_RANGE,82,FALSE)),2),1)=".",RIGHT(VLOOKUP(A23,INPUT_RANGE,82,FALSE),1), "X")</f>
    </oc>
    <nc r="AQ23">
      <f xml:space="preserve"> IF(LEFT(RIGHT((VLOOKUP(A23,INPUT_RANGE,82,FALSE)),2),1)=".",RIGHT(VLOOKUP(A23,INPUT_RANGE,82,FALSE),1), "X")</f>
    </nc>
  </rcc>
  <rcc rId="1102" sId="5">
    <oc r="AR23">
      <f>IF(AQ23 ="1",0.333,IF(AQ23="2",0.666,0))</f>
    </oc>
    <nc r="AR23">
      <f>IF(AQ23 ="1",0.333,IF(AQ23="2",0.666,0))</f>
    </nc>
  </rcc>
  <rcc rId="1103" sId="5">
    <oc r="AS23">
      <f>VLOOKUP(A23,INPUT_RANGE,82,FALSE)-(AQ23*0.1)+AR23</f>
    </oc>
    <nc r="AS23">
      <f>VLOOKUP(A23,INPUT_RANGE,82,FALSE)-(AQ23*0.1)+AR23</f>
    </nc>
  </rcc>
  <rcc rId="1104" sId="5">
    <oc r="AT23">
      <f>ROUND((VLOOKUP(A23,INPUT_RANGE,86,FALSE)+VLOOKUP(A23,INPUT_RANGE,83,FALSE))/AS23,2)</f>
    </oc>
    <nc r="AT23">
      <f>ROUND((VLOOKUP(A23,INPUT_RANGE,86,FALSE)+VLOOKUP(A23,INPUT_RANGE,83,FALSE))/AS23,2)</f>
    </nc>
  </rcc>
  <rcc rId="1105" sId="5">
    <oc r="AU23">
      <f>ROUND((VLOOKUP(A23,INPUT_RANGE,85,FALSE)/AS23)*('Team Info'!$H$25),2)</f>
    </oc>
    <nc r="AU23">
      <f>ROUND((VLOOKUP(A23,INPUT_RANGE,85,FALSE)/AS23)*('D:\Data\Softball\[ESPN_BASEBALL_AWAY_OLD.xlsx]Team Info'!$H$25),2)</f>
    </nc>
  </rcc>
  <rcc rId="1106" sId="5">
    <oc r="AW23">
      <f>(VLOOKUP(A23,INPUT_RANGE,54,FALSE)/VLOOKUP(A23,INPUT_RANGE,52,FALSE))</f>
    </oc>
    <nc r="AW23">
      <f>(VLOOKUP(A23,INPUT_RANGE,54,FALSE)/VLOOKUP(A23,INPUT_RANGE,52,FALSE))</f>
    </nc>
  </rcc>
  <rcc rId="1107" sId="5">
    <oc r="AX23">
      <f>((VLOOKUP(A23,INPUT_RANGE,54,FALSE)+VLOOKUP(A23,INPUT_RANGE,60,FALSE)+VLOOKUP(A23,INPUT_RANGE,59,FALSE))/(VLOOKUP(A23,INPUT_RANGE,52,FALSE)+VLOOKUP(A23,INPUT_RANGE,60,FALSE)+VLOOKUP(A23,INPUT_RANGE,59,FALSE)+VLOOKUP(A23,INPUT_RANGE,63,FALSE)))</f>
    </oc>
    <nc r="AX23">
      <f>((VLOOKUP(A23,INPUT_RANGE,54,FALSE)+VLOOKUP(A23,INPUT_RANGE,60,FALSE)+VLOOKUP(A23,INPUT_RANGE,59,FALSE))/(VLOOKUP(A23,INPUT_RANGE,52,FALSE)+VLOOKUP(A23,INPUT_RANGE,60,FALSE)+VLOOKUP(A23,INPUT_RANGE,59,FALSE)+VLOOKUP(A23,INPUT_RANGE,63,FALSE)))</f>
    </nc>
  </rcc>
  <rcc rId="1108" sId="5">
    <oc r="AY23">
      <f>(VLOOKUP(A23,INPUT_RANGE,54)+VLOOKUP(A23,INPUT_RANGE,55)+(VLOOKUP(A23,INPUT_RANGE,56)*2)+(VLOOKUP(A23,INPUT_RANGE,57)*3))/(VLOOKUP(A23,INPUT_RANGE,52))</f>
    </oc>
    <nc r="AY23">
      <f>(VLOOKUP(A23,INPUT_RANGE,54)+VLOOKUP(A23,INPUT_RANGE,55)+(VLOOKUP(A23,INPUT_RANGE,56)*2)+(VLOOKUP(A23,INPUT_RANGE,57)*3))/(VLOOKUP(A23,INPUT_RANGE,52))</f>
    </nc>
  </rcc>
  <rcc rId="1109" sId="5">
    <oc r="AZ23">
      <f>AX23+AY23</f>
    </oc>
    <nc r="AZ23">
      <f>AX23+AY23</f>
    </nc>
  </rcc>
  <rcc rId="1110" sId="5">
    <oc r="BA23">
      <f xml:space="preserve"> TEXT(AZ23,".000") &amp; " ops"</f>
    </oc>
    <nc r="BA23">
      <f xml:space="preserve"> TEXT(AZ23,".000") &amp; " OPS"</f>
    </nc>
  </rcc>
  <rcc rId="1111" sId="5">
    <oc r="BB23">
      <f>VLOOKUP(A23,INPUT_RANGE,78,FALSE)</f>
    </oc>
    <nc r="BB23">
      <f>VLOOKUP(A23,INPUT_RANGE,78,FALSE)</f>
    </nc>
  </rcc>
  <rcc rId="1112" sId="5">
    <oc r="BC23">
      <f>VLOOKUP(A23,INPUT_RANGE,77,FALSE)</f>
    </oc>
    <nc r="BC23">
      <f>VLOOKUP(A23,INPUT_RANGE,77,FALSE)</f>
    </nc>
  </rcc>
  <rcc rId="1113" sId="5">
    <oc r="BD23">
      <f>VLOOKUP(A23,INPUT_RANGE,75,FALSE) &amp; "-" &amp; VLOOKUP(A23,INPUT_RANGE,76,FALSE)</f>
    </oc>
    <nc r="BD23">
      <f>VLOOKUP(A23,INPUT_RANGE,75,FALSE) &amp; "-" &amp; VLOOKUP(A23,INPUT_RANGE,76,FALSE)</f>
    </nc>
  </rcc>
  <rcc rId="1114" sId="5">
    <oc r="BE23">
      <f>AU23</f>
    </oc>
    <nc r="BE23">
      <f>AU23</f>
    </nc>
  </rcc>
  <rcc rId="1115" sId="5">
    <oc r="BF23">
      <f>AA23</f>
    </oc>
    <nc r="BF23">
      <f>AA23</f>
    </nc>
  </rcc>
  <rcc rId="1116" sId="5">
    <oc r="BG23">
      <f>VLOOKUP(A23,INPUT_RANGE,86,FALSE)</f>
    </oc>
    <nc r="BG23">
      <f>VLOOKUP(A23,INPUT_RANGE,86,FALSE)</f>
    </nc>
  </rcc>
  <rcc rId="1117" sId="5">
    <oc r="BH23">
      <f>VLOOKUP(A23,INPUT_RANGE,87,FALSE)</f>
    </oc>
    <nc r="BH23">
      <f>VLOOKUP(A23,INPUT_RANGE,87,FALSE)</f>
    </nc>
  </rcc>
  <rcc rId="1118" sId="5">
    <oc r="BI23">
      <f>VLOOKUP(A23,INPUT_RANGE,81,FALSE) &amp; " SAVES"</f>
    </oc>
    <nc r="BI23">
      <f>VLOOKUP(A23,INPUT_RANGE,81,FALSE) &amp; " SAVES"</f>
    </nc>
  </rcc>
  <rcc rId="1119" sId="5">
    <oc r="BJ23">
      <f>VLOOKUP(A23,INPUT_RANGE,81,FALSE)</f>
    </oc>
    <nc r="BJ23">
      <f>VLOOKUP(A23,INPUT_RANGE,81,FALSE)</f>
    </nc>
  </rcc>
  <rcc rId="1120" sId="5">
    <oc r="BK23">
      <f>VLOOKUP(A23,INPUT_RANGE,83,FALSE)</f>
    </oc>
    <nc r="BK23">
      <f>VLOOKUP(A23,INPUT_RANGE,83,FALSE)</f>
    </nc>
  </rcc>
  <rcc rId="1121" sId="5">
    <oc r="BL23">
      <f>VLOOKUP(A23,INPUT_RANGE,87,FALSE) &amp; "/" &amp; VLOOKUP(A23,INPUT_RANGE,86,FALSE)</f>
    </oc>
    <nc r="BL23">
      <f>VLOOKUP(A23,INPUT_RANGE,87,FALSE) &amp; "/" &amp; VLOOKUP(A23,INPUT_RANGE,86,FALSE)</f>
    </nc>
  </rcc>
  <rcc rId="1122" sId="5">
    <oc r="BM23">
      <f>ROUND((VLOOKUP(A23,INPUT_RANGE,86,FALSE)+VLOOKUP(A23,INPUT_RANGE,83,FALSE))/AS23,2)</f>
    </oc>
    <nc r="BM23">
      <f>ROUND((VLOOKUP(A23,INPUT_RANGE,86,FALSE)+VLOOKUP(A23,INPUT_RANGE,83,FALSE))/AS23,2)</f>
    </nc>
  </rcc>
  <rcc rId="1123" sId="5">
    <oc r="M24">
      <f xml:space="preserve"> TEXT(AW24,".000") &amp; " ba"</f>
    </oc>
    <nc r="M24">
      <f xml:space="preserve"> TEXT(AW24,".000") &amp; " BA"</f>
    </nc>
  </rcc>
  <rcc rId="1124" sId="5">
    <oc r="N24">
      <f>VLOOKUP(A24,INPUT_RANGE,58,FALSE) &amp; " rbi"</f>
    </oc>
    <nc r="N24">
      <f>VLOOKUP(A24,INPUT_RANGE,58,FALSE) &amp; " RBI"</f>
    </nc>
  </rcc>
  <rcc rId="1125" sId="5">
    <oc r="O24">
      <f>VLOOKUP(A24,INPUT_RANGE,60,FALSE) &amp; " bb"</f>
    </oc>
    <nc r="O24">
      <f>VLOOKUP(A24,INPUT_RANGE,60,FALSE) &amp; " BB"</f>
    </nc>
  </rcc>
  <rcc rId="1126" sId="5">
    <oc r="P24">
      <f>VLOOKUP(A24,INPUT_RANGE,61,FALSE) &amp; " k"</f>
    </oc>
    <nc r="P24">
      <f>VLOOKUP(A24,INPUT_RANGE,61,FALSE) &amp; " K"</f>
    </nc>
  </rcc>
  <rcc rId="1127" sId="5">
    <oc r="Q24">
      <f>VLOOKUP(A24,INPUT_RANGE,64,FALSE) &amp; " sb"</f>
    </oc>
    <nc r="Q24">
      <f>VLOOKUP(A24,INPUT_RANGE,64,FALSE) &amp; " SB"</f>
    </nc>
  </rcc>
  <rcc rId="1128" sId="5">
    <oc r="R24">
      <f>VLOOKUP(A24,INPUT_RANGE,55,FALSE) &amp; " 2b"</f>
    </oc>
    <nc r="R24">
      <f>VLOOKUP(A24,INPUT_RANGE,55,FALSE) &amp; " 2B"</f>
    </nc>
  </rcc>
  <rcc rId="1129" sId="5">
    <oc r="S24">
      <f>VLOOKUP(A24,INPUT_RANGE,56,FALSE) &amp; " 3b"</f>
    </oc>
    <nc r="S24">
      <f>VLOOKUP(A24,INPUT_RANGE,56,FALSE) &amp; " 3B"</f>
    </nc>
  </rcc>
  <rcc rId="1130" sId="5">
    <oc r="T24">
      <f>VLOOKUP(A24,INPUT_RANGE,57,FALSE) &amp; " hr"</f>
    </oc>
    <nc r="T24">
      <f>VLOOKUP(A24,INPUT_RANGE,57,FALSE) &amp; " HR"</f>
    </nc>
  </rcc>
  <rcc rId="1131" sId="5">
    <oc r="U24">
      <f>VLOOKUP(A24,INPUT_RANGE,53,FALSE) &amp; " r"</f>
    </oc>
    <nc r="U24">
      <f>VLOOKUP(A24,INPUT_RANGE,53,FALSE) &amp; " R"</f>
    </nc>
  </rcc>
  <rcc rId="1132" sId="5">
    <oc r="V24">
      <f>TEXT(AX24, ".000") &amp; " obp"</f>
    </oc>
    <nc r="V24">
      <f>TEXT(AX24, ".000") &amp; " OBP"</f>
    </nc>
  </rcc>
  <rcc rId="1133" sId="5">
    <oc r="X24">
      <f>VLOOKUP(A24,INPUT_RANGE,77,FALSE)&amp;" games"</f>
    </oc>
    <nc r="X24">
      <f>VLOOKUP(A24,INPUT_RANGE,77,FALSE)&amp;" games"</f>
    </nc>
  </rcc>
  <rcc rId="1134" sId="5">
    <oc r="Y24">
      <f>VLOOKUP(A24,INPUT_RANGE,78,FALSE) &amp; " starts"</f>
    </oc>
    <nc r="Y24">
      <f>VLOOKUP(A24,INPUT_RANGE,78,FALSE) &amp; " starts"</f>
    </nc>
  </rcc>
  <rcc rId="1135" sId="5">
    <oc r="Z24">
      <f>VLOOKUP(A24,INPUT_RANGE,82,FALSE) &amp; " ip"</f>
    </oc>
    <nc r="Z24">
      <f>VLOOKUP(A24,INPUT_RANGE,82,FALSE) &amp; " IP"</f>
    </nc>
  </rcc>
  <rcc rId="1136" sId="5">
    <oc r="AA24">
      <f>TRUNC(VLOOKUP(A24,INPUT_RANGE,82,FALSE)) &amp;  IF(AR24=0.333,"º",IF(AR24=0.666,"»",""))</f>
    </oc>
    <nc r="AA24">
      <f>TRUNC(VLOOKUP(A24,INPUT_RANGE,82,FALSE)) &amp;  IF(AR24=0.333,"º",IF(AR24=0.666,"»",""))</f>
    </nc>
  </rcc>
  <rcc rId="1137" sId="5">
    <oc r="AB24">
      <f>AA24&amp; " ip"</f>
    </oc>
    <nc r="AB24">
      <f>AA24&amp; " IP"</f>
    </nc>
  </rcc>
  <rcc rId="1138" sId="5">
    <oc r="AC24">
      <f>VLOOKUP(A24,INPUT_RANGE,79,FALSE) &amp; " cg"</f>
    </oc>
    <nc r="AC24">
      <f>VLOOKUP(A24,INPUT_RANGE,79,FALSE) &amp; " CG"</f>
    </nc>
  </rcc>
  <rcc rId="1139" sId="5">
    <oc r="AD24">
      <f>VLOOKUP(A24,INPUT_RANGE,80,FALSE) &amp; " sho"</f>
    </oc>
    <nc r="AD24">
      <f>VLOOKUP(A24,INPUT_RANGE,80,FALSE) &amp; " SHO"</f>
    </nc>
  </rcc>
  <rcc rId="1140" sId="5">
    <oc r="AE24">
      <f>VLOOKUP(A24,INPUT_RANGE,75,FALSE) &amp; " win"</f>
    </oc>
    <nc r="AE24">
      <f>VLOOKUP(A24,INPUT_RANGE,75,FALSE) &amp; " Win"</f>
    </nc>
  </rcc>
  <rcc rId="1141" sId="5">
    <oc r="AF24">
      <f>VLOOKUP(A24,INPUT_RANGE,76,FALSE) &amp; " loss"</f>
    </oc>
    <nc r="AF24">
      <f>VLOOKUP(A24,INPUT_RANGE,76,FALSE) &amp; " Loss"</f>
    </nc>
  </rcc>
  <rcc rId="1142" sId="5">
    <oc r="AG24">
      <f>VLOOKUP(A24,INPUT_RANGE,75,FALSE) &amp; "-" &amp; VLOOKUP(A24,INPUT_RANGE,76,FALSE) &amp; " w-l"</f>
    </oc>
    <nc r="AG24">
      <f>VLOOKUP(A24,INPUT_RANGE,75,FALSE) &amp; "-" &amp; VLOOKUP(A24,INPUT_RANGE,76,FALSE) &amp; " W-L"</f>
    </nc>
  </rcc>
  <rcc rId="1143" sId="5">
    <oc r="AH24">
      <f>VLOOKUP(A24,INPUT_RANGE,81,FALSE)&amp; " saves"</f>
    </oc>
    <nc r="AH24">
      <f>VLOOKUP(A24,INPUT_RANGE,81,FALSE)&amp; " Saves"</f>
    </nc>
  </rcc>
  <rcc rId="1144" sId="5">
    <oc r="AI24">
      <f>VLOOKUP(A24,INPUT_RANGE,83,FALSE) &amp; " h"</f>
    </oc>
    <nc r="AI24">
      <f>VLOOKUP(A24,INPUT_RANGE,83,FALSE) &amp; " H"</f>
    </nc>
  </rcc>
  <rcc rId="1145" sId="5">
    <oc r="AJ24">
      <f>VLOOKUP(A24,INPUT_RANGE,84,FALSE) &amp; " r"</f>
    </oc>
    <nc r="AJ24">
      <f>VLOOKUP(A24,INPUT_RANGE,84,FALSE) &amp; " R"</f>
    </nc>
  </rcc>
  <rcc rId="1146" sId="5">
    <oc r="AK24">
      <f>VLOOKUP(A24,INPUT_RANGE,85,FALSE) &amp;" er"</f>
    </oc>
    <nc r="AK24">
      <f>VLOOKUP(A24,INPUT_RANGE,85,FALSE) &amp;" ER"</f>
    </nc>
  </rcc>
  <rcc rId="1147" sId="5">
    <oc r="AL24">
      <f>VLOOKUP(A24,INPUT_RANGE,88,FALSE) &amp;" hr"</f>
    </oc>
    <nc r="AL24">
      <f>VLOOKUP(A24,INPUT_RANGE,88,FALSE) &amp;" HR"</f>
    </nc>
  </rcc>
  <rcc rId="1148" sId="5">
    <oc r="AM24">
      <f>VLOOKUP(A24,INPUT_RANGE,87,FALSE) &amp; " k"</f>
    </oc>
    <nc r="AM24">
      <f>VLOOKUP(A24,INPUT_RANGE,87,FALSE) &amp; " K"</f>
    </nc>
  </rcc>
  <rcc rId="1149" sId="5">
    <oc r="AN24">
      <f>VLOOKUP(A24,INPUT_RANGE,86,FALSE) &amp; " bb"</f>
    </oc>
    <nc r="AN24">
      <f>VLOOKUP(A24,INPUT_RANGE,86,FALSE) &amp; " BB"</f>
    </nc>
  </rcc>
  <rcc rId="1150" sId="5">
    <oc r="AO24">
      <f>TEXT(AU24,"0.00") &amp; " era"</f>
    </oc>
    <nc r="AO24">
      <f>TEXT(AU24,"0.00") &amp; " ERA"</f>
    </nc>
  </rcc>
  <rcc rId="1151" sId="5">
    <oc r="AP24">
      <f>TEXT(AT24,"0.00") &amp; " whip"</f>
    </oc>
    <nc r="AP24">
      <f>TEXT(AT24,"0.00") &amp; " WHIP"</f>
    </nc>
  </rcc>
  <rcc rId="1152" sId="5">
    <oc r="AQ24">
      <f xml:space="preserve"> IF(LEFT(RIGHT((VLOOKUP(A24,INPUT_RANGE,82,FALSE)),2),1)=".",RIGHT(VLOOKUP(A24,INPUT_RANGE,82,FALSE),1), "X")</f>
    </oc>
    <nc r="AQ24">
      <f xml:space="preserve"> IF(LEFT(RIGHT((VLOOKUP(A24,INPUT_RANGE,82,FALSE)),2),1)=".",RIGHT(VLOOKUP(A24,INPUT_RANGE,82,FALSE),1), "X")</f>
    </nc>
  </rcc>
  <rcc rId="1153" sId="5">
    <oc r="AR24">
      <f>IF(AQ24 ="1",0.333,IF(AQ24="2",0.666,0))</f>
    </oc>
    <nc r="AR24">
      <f>IF(AQ24 ="1",0.333,IF(AQ24="2",0.666,0))</f>
    </nc>
  </rcc>
  <rcc rId="1154" sId="5">
    <oc r="AS24">
      <f>VLOOKUP(A24,INPUT_RANGE,82,FALSE)-(AQ24*0.1)+AR24</f>
    </oc>
    <nc r="AS24">
      <f>VLOOKUP(A24,INPUT_RANGE,82,FALSE)-(AQ24*0.1)+AR24</f>
    </nc>
  </rcc>
  <rcc rId="1155" sId="5">
    <oc r="AT24">
      <f>ROUND((VLOOKUP(A24,INPUT_RANGE,86,FALSE)+VLOOKUP(A24,INPUT_RANGE,83,FALSE))/AS24,2)</f>
    </oc>
    <nc r="AT24">
      <f>ROUND((VLOOKUP(A24,INPUT_RANGE,86,FALSE)+VLOOKUP(A24,INPUT_RANGE,83,FALSE))/AS24,2)</f>
    </nc>
  </rcc>
  <rcc rId="1156" sId="5">
    <oc r="AU24">
      <f>ROUND((VLOOKUP(A24,INPUT_RANGE,85,FALSE)/AS24)*('Team Info'!$H$25),2)</f>
    </oc>
    <nc r="AU24">
      <f>ROUND((VLOOKUP(A24,INPUT_RANGE,85,FALSE)/AS24)*('D:\Data\Softball\[ESPN_BASEBALL_AWAY_OLD.xlsx]Team Info'!$H$25),2)</f>
    </nc>
  </rcc>
  <rcc rId="1157" sId="5">
    <oc r="AW24">
      <f>(VLOOKUP(A24,INPUT_RANGE,54,FALSE)/VLOOKUP(A24,INPUT_RANGE,52,FALSE))</f>
    </oc>
    <nc r="AW24">
      <f>(VLOOKUP(A24,INPUT_RANGE,54,FALSE)/VLOOKUP(A24,INPUT_RANGE,52,FALSE))</f>
    </nc>
  </rcc>
  <rcc rId="1158" sId="5">
    <oc r="AX24">
      <f>((VLOOKUP(A24,INPUT_RANGE,54,FALSE)+VLOOKUP(A24,INPUT_RANGE,60,FALSE)+VLOOKUP(A24,INPUT_RANGE,59,FALSE))/(VLOOKUP(A24,INPUT_RANGE,52,FALSE)+VLOOKUP(A24,INPUT_RANGE,60,FALSE)+VLOOKUP(A24,INPUT_RANGE,59,FALSE)+VLOOKUP(A24,INPUT_RANGE,63,FALSE)))</f>
    </oc>
    <nc r="AX24">
      <f>((VLOOKUP(A24,INPUT_RANGE,54,FALSE)+VLOOKUP(A24,INPUT_RANGE,60,FALSE)+VLOOKUP(A24,INPUT_RANGE,59,FALSE))/(VLOOKUP(A24,INPUT_RANGE,52,FALSE)+VLOOKUP(A24,INPUT_RANGE,60,FALSE)+VLOOKUP(A24,INPUT_RANGE,59,FALSE)+VLOOKUP(A24,INPUT_RANGE,63,FALSE)))</f>
    </nc>
  </rcc>
  <rcc rId="1159" sId="5">
    <oc r="AY24">
      <f>(VLOOKUP(A24,INPUT_RANGE,54)+VLOOKUP(A24,INPUT_RANGE,55)+(VLOOKUP(A24,INPUT_RANGE,56)*2)+(VLOOKUP(A24,INPUT_RANGE,57)*3))/(VLOOKUP(A24,INPUT_RANGE,52))</f>
    </oc>
    <nc r="AY24">
      <f>(VLOOKUP(A24,INPUT_RANGE,54)+VLOOKUP(A24,INPUT_RANGE,55)+(VLOOKUP(A24,INPUT_RANGE,56)*2)+(VLOOKUP(A24,INPUT_RANGE,57)*3))/(VLOOKUP(A24,INPUT_RANGE,52))</f>
    </nc>
  </rcc>
  <rcc rId="1160" sId="5">
    <oc r="AZ24">
      <f>AX24+AY24</f>
    </oc>
    <nc r="AZ24">
      <f>AX24+AY24</f>
    </nc>
  </rcc>
  <rcc rId="1161" sId="5">
    <oc r="BA24">
      <f xml:space="preserve"> TEXT(AZ24,".000") &amp; " ops"</f>
    </oc>
    <nc r="BA24">
      <f xml:space="preserve"> TEXT(AZ24,".000") &amp; " OPS"</f>
    </nc>
  </rcc>
  <rcc rId="1162" sId="5">
    <oc r="BB24">
      <f>VLOOKUP(A24,INPUT_RANGE,78,FALSE)</f>
    </oc>
    <nc r="BB24">
      <f>VLOOKUP(A24,INPUT_RANGE,78,FALSE)</f>
    </nc>
  </rcc>
  <rcc rId="1163" sId="5">
    <oc r="BC24">
      <f>VLOOKUP(A24,INPUT_RANGE,77,FALSE)</f>
    </oc>
    <nc r="BC24">
      <f>VLOOKUP(A24,INPUT_RANGE,77,FALSE)</f>
    </nc>
  </rcc>
  <rcc rId="1164" sId="5">
    <oc r="BD24">
      <f>VLOOKUP(A24,INPUT_RANGE,75,FALSE) &amp; "-" &amp; VLOOKUP(A24,INPUT_RANGE,76,FALSE)</f>
    </oc>
    <nc r="BD24">
      <f>VLOOKUP(A24,INPUT_RANGE,75,FALSE) &amp; "-" &amp; VLOOKUP(A24,INPUT_RANGE,76,FALSE)</f>
    </nc>
  </rcc>
  <rcc rId="1165" sId="5">
    <oc r="BE24">
      <f>AU24</f>
    </oc>
    <nc r="BE24">
      <f>AU24</f>
    </nc>
  </rcc>
  <rcc rId="1166" sId="5">
    <oc r="BF24">
      <f>AA24</f>
    </oc>
    <nc r="BF24">
      <f>AA24</f>
    </nc>
  </rcc>
  <rcc rId="1167" sId="5">
    <oc r="BG24">
      <f>VLOOKUP(A24,INPUT_RANGE,86,FALSE)</f>
    </oc>
    <nc r="BG24">
      <f>VLOOKUP(A24,INPUT_RANGE,86,FALSE)</f>
    </nc>
  </rcc>
  <rcc rId="1168" sId="5">
    <oc r="BH24">
      <f>VLOOKUP(A24,INPUT_RANGE,87,FALSE)</f>
    </oc>
    <nc r="BH24">
      <f>VLOOKUP(A24,INPUT_RANGE,87,FALSE)</f>
    </nc>
  </rcc>
  <rcc rId="1169" sId="5">
    <oc r="BI24">
      <f>VLOOKUP(A24,INPUT_RANGE,81,FALSE) &amp; " SAVES"</f>
    </oc>
    <nc r="BI24">
      <f>VLOOKUP(A24,INPUT_RANGE,81,FALSE) &amp; " SAVES"</f>
    </nc>
  </rcc>
  <rcc rId="1170" sId="5">
    <oc r="BJ24">
      <f>VLOOKUP(A24,INPUT_RANGE,81,FALSE)</f>
    </oc>
    <nc r="BJ24">
      <f>VLOOKUP(A24,INPUT_RANGE,81,FALSE)</f>
    </nc>
  </rcc>
  <rcc rId="1171" sId="5">
    <oc r="BK24">
      <f>VLOOKUP(A24,INPUT_RANGE,83,FALSE)</f>
    </oc>
    <nc r="BK24">
      <f>VLOOKUP(A24,INPUT_RANGE,83,FALSE)</f>
    </nc>
  </rcc>
  <rcc rId="1172" sId="5">
    <oc r="BL24">
      <f>VLOOKUP(A24,INPUT_RANGE,87,FALSE) &amp; "/" &amp; VLOOKUP(A24,INPUT_RANGE,86,FALSE)</f>
    </oc>
    <nc r="BL24">
      <f>VLOOKUP(A24,INPUT_RANGE,87,FALSE) &amp; "/" &amp; VLOOKUP(A24,INPUT_RANGE,86,FALSE)</f>
    </nc>
  </rcc>
  <rcc rId="1173" sId="5">
    <oc r="BM24">
      <f>ROUND((VLOOKUP(A24,INPUT_RANGE,86,FALSE)+VLOOKUP(A24,INPUT_RANGE,83,FALSE))/AS24,2)</f>
    </oc>
    <nc r="BM24">
      <f>ROUND((VLOOKUP(A24,INPUT_RANGE,86,FALSE)+VLOOKUP(A24,INPUT_RANGE,83,FALSE))/AS24,2)</f>
    </nc>
  </rcc>
  <rcc rId="1174" sId="5">
    <oc r="M25">
      <f xml:space="preserve"> TEXT(AW25,".000") &amp; " ba"</f>
    </oc>
    <nc r="M25">
      <f xml:space="preserve"> TEXT(AW25,".000") &amp; " BA"</f>
    </nc>
  </rcc>
  <rcc rId="1175" sId="5">
    <oc r="N25">
      <f>VLOOKUP(A25,INPUT_RANGE,58,FALSE) &amp; " rbi"</f>
    </oc>
    <nc r="N25">
      <f>VLOOKUP(A25,INPUT_RANGE,58,FALSE) &amp; " RBI"</f>
    </nc>
  </rcc>
  <rcc rId="1176" sId="5">
    <oc r="O25">
      <f>VLOOKUP(A25,INPUT_RANGE,60,FALSE) &amp; " bb"</f>
    </oc>
    <nc r="O25">
      <f>VLOOKUP(A25,INPUT_RANGE,60,FALSE) &amp; " BB"</f>
    </nc>
  </rcc>
  <rcc rId="1177" sId="5">
    <oc r="P25">
      <f>VLOOKUP(A25,INPUT_RANGE,61,FALSE) &amp; " k"</f>
    </oc>
    <nc r="P25">
      <f>VLOOKUP(A25,INPUT_RANGE,61,FALSE) &amp; " K"</f>
    </nc>
  </rcc>
  <rcc rId="1178" sId="5">
    <oc r="Q25">
      <f>VLOOKUP(A25,INPUT_RANGE,64,FALSE) &amp; " sb"</f>
    </oc>
    <nc r="Q25">
      <f>VLOOKUP(A25,INPUT_RANGE,64,FALSE) &amp; " SB"</f>
    </nc>
  </rcc>
  <rcc rId="1179" sId="5">
    <oc r="R25">
      <f>VLOOKUP(A25,INPUT_RANGE,55,FALSE) &amp; " 2b"</f>
    </oc>
    <nc r="R25">
      <f>VLOOKUP(A25,INPUT_RANGE,55,FALSE) &amp; " 2B"</f>
    </nc>
  </rcc>
  <rcc rId="1180" sId="5">
    <oc r="S25">
      <f>VLOOKUP(A25,INPUT_RANGE,56,FALSE) &amp; " 3b"</f>
    </oc>
    <nc r="S25">
      <f>VLOOKUP(A25,INPUT_RANGE,56,FALSE) &amp; " 3B"</f>
    </nc>
  </rcc>
  <rcc rId="1181" sId="5">
    <oc r="T25">
      <f>VLOOKUP(A25,INPUT_RANGE,57,FALSE) &amp; " hr"</f>
    </oc>
    <nc r="T25">
      <f>VLOOKUP(A25,INPUT_RANGE,57,FALSE) &amp; " HR"</f>
    </nc>
  </rcc>
  <rcc rId="1182" sId="5">
    <oc r="U25">
      <f>VLOOKUP(A25,INPUT_RANGE,53,FALSE) &amp; " r"</f>
    </oc>
    <nc r="U25">
      <f>VLOOKUP(A25,INPUT_RANGE,53,FALSE) &amp; " R"</f>
    </nc>
  </rcc>
  <rcc rId="1183" sId="5">
    <oc r="V25">
      <f>TEXT(AX25, ".000") &amp; " obp"</f>
    </oc>
    <nc r="V25">
      <f>TEXT(AX25, ".000") &amp; " OBP"</f>
    </nc>
  </rcc>
  <rcc rId="1184" sId="5">
    <oc r="X25">
      <f>VLOOKUP(A25,INPUT_RANGE,77,FALSE)&amp;" games"</f>
    </oc>
    <nc r="X25">
      <f>VLOOKUP(A25,INPUT_RANGE,77,FALSE)&amp;" games"</f>
    </nc>
  </rcc>
  <rcc rId="1185" sId="5">
    <oc r="Y25">
      <f>VLOOKUP(A25,INPUT_RANGE,78,FALSE) &amp; " starts"</f>
    </oc>
    <nc r="Y25">
      <f>VLOOKUP(A25,INPUT_RANGE,78,FALSE) &amp; " starts"</f>
    </nc>
  </rcc>
  <rcc rId="1186" sId="5">
    <oc r="Z25">
      <f>VLOOKUP(A25,INPUT_RANGE,82,FALSE) &amp; " ip"</f>
    </oc>
    <nc r="Z25">
      <f>VLOOKUP(A25,INPUT_RANGE,82,FALSE) &amp; " IP"</f>
    </nc>
  </rcc>
  <rcc rId="1187" sId="5">
    <oc r="AA25">
      <f>TRUNC(VLOOKUP(A25,INPUT_RANGE,82,FALSE)) &amp;  IF(AR25=0.333,"º",IF(AR25=0.666,"»",""))</f>
    </oc>
    <nc r="AA25">
      <f>TRUNC(VLOOKUP(A25,INPUT_RANGE,82,FALSE)) &amp;  IF(AR25=0.333,"º",IF(AR25=0.666,"»",""))</f>
    </nc>
  </rcc>
  <rcc rId="1188" sId="5">
    <oc r="AB25">
      <f>AA25&amp; " ip"</f>
    </oc>
    <nc r="AB25">
      <f>AA25&amp; " IP"</f>
    </nc>
  </rcc>
  <rcc rId="1189" sId="5">
    <oc r="AC25">
      <f>VLOOKUP(A25,INPUT_RANGE,79,FALSE) &amp; " cg"</f>
    </oc>
    <nc r="AC25">
      <f>VLOOKUP(A25,INPUT_RANGE,79,FALSE) &amp; " CG"</f>
    </nc>
  </rcc>
  <rcc rId="1190" sId="5">
    <oc r="AD25">
      <f>VLOOKUP(A25,INPUT_RANGE,80,FALSE) &amp; " sho"</f>
    </oc>
    <nc r="AD25">
      <f>VLOOKUP(A25,INPUT_RANGE,80,FALSE) &amp; " SHO"</f>
    </nc>
  </rcc>
  <rcc rId="1191" sId="5">
    <oc r="AE25">
      <f>VLOOKUP(A25,INPUT_RANGE,75,FALSE) &amp; " win"</f>
    </oc>
    <nc r="AE25">
      <f>VLOOKUP(A25,INPUT_RANGE,75,FALSE) &amp; " Win"</f>
    </nc>
  </rcc>
  <rcc rId="1192" sId="5">
    <oc r="AF25">
      <f>VLOOKUP(A25,INPUT_RANGE,76,FALSE) &amp; " loss"</f>
    </oc>
    <nc r="AF25">
      <f>VLOOKUP(A25,INPUT_RANGE,76,FALSE) &amp; " Loss"</f>
    </nc>
  </rcc>
  <rcc rId="1193" sId="5">
    <oc r="AG25">
      <f>VLOOKUP(A25,INPUT_RANGE,75,FALSE) &amp; "-" &amp; VLOOKUP(A25,INPUT_RANGE,76,FALSE) &amp; " w-l"</f>
    </oc>
    <nc r="AG25">
      <f>VLOOKUP(A25,INPUT_RANGE,75,FALSE) &amp; "-" &amp; VLOOKUP(A25,INPUT_RANGE,76,FALSE) &amp; " W-L"</f>
    </nc>
  </rcc>
  <rcc rId="1194" sId="5">
    <oc r="AH25">
      <f>VLOOKUP(A25,INPUT_RANGE,81,FALSE)&amp; " saves"</f>
    </oc>
    <nc r="AH25">
      <f>VLOOKUP(A25,INPUT_RANGE,81,FALSE)&amp; " Saves"</f>
    </nc>
  </rcc>
  <rcc rId="1195" sId="5">
    <oc r="AI25">
      <f>VLOOKUP(A25,INPUT_RANGE,83,FALSE) &amp; " h"</f>
    </oc>
    <nc r="AI25">
      <f>VLOOKUP(A25,INPUT_RANGE,83,FALSE) &amp; " H"</f>
    </nc>
  </rcc>
  <rcc rId="1196" sId="5">
    <oc r="AJ25">
      <f>VLOOKUP(A25,INPUT_RANGE,84,FALSE) &amp; " r"</f>
    </oc>
    <nc r="AJ25">
      <f>VLOOKUP(A25,INPUT_RANGE,84,FALSE) &amp; " R"</f>
    </nc>
  </rcc>
  <rcc rId="1197" sId="5">
    <oc r="AK25">
      <f>VLOOKUP(A25,INPUT_RANGE,85,FALSE) &amp;" er"</f>
    </oc>
    <nc r="AK25">
      <f>VLOOKUP(A25,INPUT_RANGE,85,FALSE) &amp;" ER"</f>
    </nc>
  </rcc>
  <rcc rId="1198" sId="5">
    <oc r="AL25">
      <f>VLOOKUP(A25,INPUT_RANGE,88,FALSE) &amp;" hr"</f>
    </oc>
    <nc r="AL25">
      <f>VLOOKUP(A25,INPUT_RANGE,88,FALSE) &amp;" HR"</f>
    </nc>
  </rcc>
  <rcc rId="1199" sId="5">
    <oc r="AM25">
      <f>VLOOKUP(A25,INPUT_RANGE,87,FALSE) &amp; " k"</f>
    </oc>
    <nc r="AM25">
      <f>VLOOKUP(A25,INPUT_RANGE,87,FALSE) &amp; " K"</f>
    </nc>
  </rcc>
  <rcc rId="1200" sId="5">
    <oc r="AN25">
      <f>VLOOKUP(A25,INPUT_RANGE,86,FALSE) &amp; " bb"</f>
    </oc>
    <nc r="AN25">
      <f>VLOOKUP(A25,INPUT_RANGE,86,FALSE) &amp; " BB"</f>
    </nc>
  </rcc>
  <rcc rId="1201" sId="5">
    <oc r="AO25">
      <f>TEXT(AU25,"0.00") &amp; " era"</f>
    </oc>
    <nc r="AO25">
      <f>TEXT(AU25,"0.00") &amp; " ERA"</f>
    </nc>
  </rcc>
  <rcc rId="1202" sId="5">
    <oc r="AP25">
      <f>TEXT(AT25,"0.00") &amp; " whip"</f>
    </oc>
    <nc r="AP25">
      <f>TEXT(AT25,"0.00") &amp; " WHIP"</f>
    </nc>
  </rcc>
  <rcc rId="1203" sId="5">
    <oc r="AQ25">
      <f xml:space="preserve"> IF(LEFT(RIGHT((VLOOKUP(A25,INPUT_RANGE,82,FALSE)),2),1)=".",RIGHT(VLOOKUP(A25,INPUT_RANGE,82,FALSE),1), "X")</f>
    </oc>
    <nc r="AQ25">
      <f xml:space="preserve"> IF(LEFT(RIGHT((VLOOKUP(A25,INPUT_RANGE,82,FALSE)),2),1)=".",RIGHT(VLOOKUP(A25,INPUT_RANGE,82,FALSE),1), "X")</f>
    </nc>
  </rcc>
  <rcc rId="1204" sId="5">
    <oc r="AR25">
      <f>IF(AQ25 ="1",0.333,IF(AQ25="2",0.666,0))</f>
    </oc>
    <nc r="AR25">
      <f>IF(AQ25 ="1",0.333,IF(AQ25="2",0.666,0))</f>
    </nc>
  </rcc>
  <rcc rId="1205" sId="5">
    <oc r="AS25">
      <f>VLOOKUP(A25,INPUT_RANGE,82,FALSE)-(AQ25*0.1)+AR25</f>
    </oc>
    <nc r="AS25">
      <f>VLOOKUP(A25,INPUT_RANGE,82,FALSE)-(AQ25*0.1)+AR25</f>
    </nc>
  </rcc>
  <rcc rId="1206" sId="5">
    <oc r="AT25">
      <f>ROUND((VLOOKUP(A25,INPUT_RANGE,86,FALSE)+VLOOKUP(A25,INPUT_RANGE,83,FALSE))/AS25,2)</f>
    </oc>
    <nc r="AT25">
      <f>ROUND((VLOOKUP(A25,INPUT_RANGE,86,FALSE)+VLOOKUP(A25,INPUT_RANGE,83,FALSE))/AS25,2)</f>
    </nc>
  </rcc>
  <rcc rId="1207" sId="5">
    <oc r="AU25">
      <f>ROUND((VLOOKUP(A25,INPUT_RANGE,85,FALSE)/AS25)*('Team Info'!$H$25),2)</f>
    </oc>
    <nc r="AU25">
      <f>ROUND((VLOOKUP(A25,INPUT_RANGE,85,FALSE)/AS25)*('D:\Data\Softball\[ESPN_BASEBALL_AWAY_OLD.xlsx]Team Info'!$H$25),2)</f>
    </nc>
  </rcc>
  <rcc rId="1208" sId="5">
    <oc r="AW25">
      <f>(VLOOKUP(A25,INPUT_RANGE,54,FALSE)/VLOOKUP(A25,INPUT_RANGE,52,FALSE))</f>
    </oc>
    <nc r="AW25">
      <f>(VLOOKUP(A25,INPUT_RANGE,54,FALSE)/VLOOKUP(A25,INPUT_RANGE,52,FALSE))</f>
    </nc>
  </rcc>
  <rcc rId="1209" sId="5">
    <oc r="AX25">
      <f>((VLOOKUP(A25,INPUT_RANGE,54,FALSE)+VLOOKUP(A25,INPUT_RANGE,60,FALSE)+VLOOKUP(A25,INPUT_RANGE,59,FALSE))/(VLOOKUP(A25,INPUT_RANGE,52,FALSE)+VLOOKUP(A25,INPUT_RANGE,60,FALSE)+VLOOKUP(A25,INPUT_RANGE,59,FALSE)+VLOOKUP(A25,INPUT_RANGE,63,FALSE)))</f>
    </oc>
    <nc r="AX25">
      <f>((VLOOKUP(A25,INPUT_RANGE,54,FALSE)+VLOOKUP(A25,INPUT_RANGE,60,FALSE)+VLOOKUP(A25,INPUT_RANGE,59,FALSE))/(VLOOKUP(A25,INPUT_RANGE,52,FALSE)+VLOOKUP(A25,INPUT_RANGE,60,FALSE)+VLOOKUP(A25,INPUT_RANGE,59,FALSE)+VLOOKUP(A25,INPUT_RANGE,63,FALSE)))</f>
    </nc>
  </rcc>
  <rcc rId="1210" sId="5">
    <oc r="AY25">
      <f>(VLOOKUP(A25,INPUT_RANGE,54)+VLOOKUP(A25,INPUT_RANGE,55)+(VLOOKUP(A25,INPUT_RANGE,56)*2)+(VLOOKUP(A25,INPUT_RANGE,57)*3))/(VLOOKUP(A25,INPUT_RANGE,52))</f>
    </oc>
    <nc r="AY25">
      <f>(VLOOKUP(A25,INPUT_RANGE,54)+VLOOKUP(A25,INPUT_RANGE,55)+(VLOOKUP(A25,INPUT_RANGE,56)*2)+(VLOOKUP(A25,INPUT_RANGE,57)*3))/(VLOOKUP(A25,INPUT_RANGE,52))</f>
    </nc>
  </rcc>
  <rcc rId="1211" sId="5">
    <oc r="AZ25">
      <f>AX25+AY25</f>
    </oc>
    <nc r="AZ25">
      <f>AX25+AY25</f>
    </nc>
  </rcc>
  <rcc rId="1212" sId="5">
    <oc r="BA25">
      <f xml:space="preserve"> TEXT(AZ25,".000") &amp; " ops"</f>
    </oc>
    <nc r="BA25">
      <f xml:space="preserve"> TEXT(AZ25,".000") &amp; " OPS"</f>
    </nc>
  </rcc>
  <rcc rId="1213" sId="5">
    <oc r="BB25">
      <f>VLOOKUP(A25,INPUT_RANGE,78,FALSE)</f>
    </oc>
    <nc r="BB25">
      <f>VLOOKUP(A25,INPUT_RANGE,78,FALSE)</f>
    </nc>
  </rcc>
  <rcc rId="1214" sId="5">
    <oc r="BC25">
      <f>VLOOKUP(A25,INPUT_RANGE,77,FALSE)</f>
    </oc>
    <nc r="BC25">
      <f>VLOOKUP(A25,INPUT_RANGE,77,FALSE)</f>
    </nc>
  </rcc>
  <rcc rId="1215" sId="5">
    <oc r="BD25">
      <f>VLOOKUP(A25,INPUT_RANGE,75,FALSE) &amp; "-" &amp; VLOOKUP(A25,INPUT_RANGE,76,FALSE)</f>
    </oc>
    <nc r="BD25">
      <f>VLOOKUP(A25,INPUT_RANGE,75,FALSE) &amp; "-" &amp; VLOOKUP(A25,INPUT_RANGE,76,FALSE)</f>
    </nc>
  </rcc>
  <rcc rId="1216" sId="5">
    <oc r="BE25">
      <f>AU25</f>
    </oc>
    <nc r="BE25">
      <f>AU25</f>
    </nc>
  </rcc>
  <rcc rId="1217" sId="5">
    <oc r="BF25">
      <f>AA25</f>
    </oc>
    <nc r="BF25">
      <f>AA25</f>
    </nc>
  </rcc>
  <rcc rId="1218" sId="5">
    <oc r="BG25">
      <f>VLOOKUP(A25,INPUT_RANGE,86,FALSE)</f>
    </oc>
    <nc r="BG25">
      <f>VLOOKUP(A25,INPUT_RANGE,86,FALSE)</f>
    </nc>
  </rcc>
  <rcc rId="1219" sId="5">
    <oc r="BH25">
      <f>VLOOKUP(A25,INPUT_RANGE,87,FALSE)</f>
    </oc>
    <nc r="BH25">
      <f>VLOOKUP(A25,INPUT_RANGE,87,FALSE)</f>
    </nc>
  </rcc>
  <rcc rId="1220" sId="5">
    <oc r="BI25">
      <f>VLOOKUP(A25,INPUT_RANGE,81,FALSE) &amp; " SAVES"</f>
    </oc>
    <nc r="BI25">
      <f>VLOOKUP(A25,INPUT_RANGE,81,FALSE) &amp; " SAVES"</f>
    </nc>
  </rcc>
  <rcc rId="1221" sId="5">
    <oc r="BJ25">
      <f>VLOOKUP(A25,INPUT_RANGE,81,FALSE)</f>
    </oc>
    <nc r="BJ25">
      <f>VLOOKUP(A25,INPUT_RANGE,81,FALSE)</f>
    </nc>
  </rcc>
  <rcc rId="1222" sId="5">
    <oc r="BK25">
      <f>VLOOKUP(A25,INPUT_RANGE,83,FALSE)</f>
    </oc>
    <nc r="BK25">
      <f>VLOOKUP(A25,INPUT_RANGE,83,FALSE)</f>
    </nc>
  </rcc>
  <rcc rId="1223" sId="5">
    <oc r="BL25">
      <f>VLOOKUP(A25,INPUT_RANGE,87,FALSE) &amp; "/" &amp; VLOOKUP(A25,INPUT_RANGE,86,FALSE)</f>
    </oc>
    <nc r="BL25">
      <f>VLOOKUP(A25,INPUT_RANGE,87,FALSE) &amp; "/" &amp; VLOOKUP(A25,INPUT_RANGE,86,FALSE)</f>
    </nc>
  </rcc>
  <rcc rId="1224" sId="5">
    <oc r="BM25">
      <f>ROUND((VLOOKUP(A25,INPUT_RANGE,86,FALSE)+VLOOKUP(A25,INPUT_RANGE,83,FALSE))/AS25,2)</f>
    </oc>
    <nc r="BM25">
      <f>ROUND((VLOOKUP(A25,INPUT_RANGE,86,FALSE)+VLOOKUP(A25,INPUT_RANGE,83,FALSE))/AS25,2)</f>
    </nc>
  </rcc>
  <rcc rId="1225" sId="5">
    <oc r="M26">
      <f xml:space="preserve"> TEXT(AW26,".000") &amp; " ba"</f>
    </oc>
    <nc r="M26">
      <f xml:space="preserve"> TEXT(AW26,".000") &amp; " BA"</f>
    </nc>
  </rcc>
  <rcc rId="1226" sId="5">
    <oc r="N26">
      <f>VLOOKUP(A26,INPUT_RANGE,58,FALSE) &amp; " rbi"</f>
    </oc>
    <nc r="N26">
      <f>VLOOKUP(A26,INPUT_RANGE,58,FALSE) &amp; " RBI"</f>
    </nc>
  </rcc>
  <rcc rId="1227" sId="5">
    <oc r="O26">
      <f>VLOOKUP(A26,INPUT_RANGE,60,FALSE) &amp; " bb"</f>
    </oc>
    <nc r="O26">
      <f>VLOOKUP(A26,INPUT_RANGE,60,FALSE) &amp; " BB"</f>
    </nc>
  </rcc>
  <rcc rId="1228" sId="5">
    <oc r="P26">
      <f>VLOOKUP(A26,INPUT_RANGE,61,FALSE) &amp; " k"</f>
    </oc>
    <nc r="P26">
      <f>VLOOKUP(A26,INPUT_RANGE,61,FALSE) &amp; " K"</f>
    </nc>
  </rcc>
  <rcc rId="1229" sId="5">
    <oc r="Q26">
      <f>VLOOKUP(A26,INPUT_RANGE,64,FALSE) &amp; " sb"</f>
    </oc>
    <nc r="Q26">
      <f>VLOOKUP(A26,INPUT_RANGE,64,FALSE) &amp; " SB"</f>
    </nc>
  </rcc>
  <rcc rId="1230" sId="5">
    <oc r="R26">
      <f>VLOOKUP(A26,INPUT_RANGE,55,FALSE) &amp; " 2b"</f>
    </oc>
    <nc r="R26">
      <f>VLOOKUP(A26,INPUT_RANGE,55,FALSE) &amp; " 2B"</f>
    </nc>
  </rcc>
  <rcc rId="1231" sId="5">
    <oc r="S26">
      <f>VLOOKUP(A26,INPUT_RANGE,56,FALSE) &amp; " 3b"</f>
    </oc>
    <nc r="S26">
      <f>VLOOKUP(A26,INPUT_RANGE,56,FALSE) &amp; " 3B"</f>
    </nc>
  </rcc>
  <rcc rId="1232" sId="5">
    <oc r="T26">
      <f>VLOOKUP(A26,INPUT_RANGE,57,FALSE) &amp; " hr"</f>
    </oc>
    <nc r="T26">
      <f>VLOOKUP(A26,INPUT_RANGE,57,FALSE) &amp; " HR"</f>
    </nc>
  </rcc>
  <rcc rId="1233" sId="5">
    <oc r="U26">
      <f>VLOOKUP(A26,INPUT_RANGE,53,FALSE) &amp; " r"</f>
    </oc>
    <nc r="U26">
      <f>VLOOKUP(A26,INPUT_RANGE,53,FALSE) &amp; " R"</f>
    </nc>
  </rcc>
  <rcc rId="1234" sId="5">
    <oc r="V26">
      <f>TEXT(AX26, ".000") &amp; " obp"</f>
    </oc>
    <nc r="V26">
      <f>TEXT(AX26, ".000") &amp; " OBP"</f>
    </nc>
  </rcc>
  <rcc rId="1235" sId="5">
    <oc r="X26">
      <f>VLOOKUP(A26,INPUT_RANGE,77,FALSE)&amp;" games"</f>
    </oc>
    <nc r="X26">
      <f>VLOOKUP(A26,INPUT_RANGE,77,FALSE)&amp;" games"</f>
    </nc>
  </rcc>
  <rcc rId="1236" sId="5">
    <oc r="Y26">
      <f>VLOOKUP(A26,INPUT_RANGE,78,FALSE) &amp; " starts"</f>
    </oc>
    <nc r="Y26">
      <f>VLOOKUP(A26,INPUT_RANGE,78,FALSE) &amp; " starts"</f>
    </nc>
  </rcc>
  <rcc rId="1237" sId="5">
    <oc r="Z26">
      <f>VLOOKUP(A26,INPUT_RANGE,82,FALSE) &amp; " ip"</f>
    </oc>
    <nc r="Z26">
      <f>VLOOKUP(A26,INPUT_RANGE,82,FALSE) &amp; " IP"</f>
    </nc>
  </rcc>
  <rcc rId="1238" sId="5">
    <oc r="AA26">
      <f>TRUNC(VLOOKUP(A26,INPUT_RANGE,82,FALSE)) &amp;  IF(AR26=0.333,"º",IF(AR26=0.666,"»",""))</f>
    </oc>
    <nc r="AA26">
      <f>TRUNC(VLOOKUP(A26,INPUT_RANGE,82,FALSE)) &amp;  IF(AR26=0.333,"º",IF(AR26=0.666,"»",""))</f>
    </nc>
  </rcc>
  <rcc rId="1239" sId="5">
    <oc r="AB26">
      <f>AA26&amp; " ip"</f>
    </oc>
    <nc r="AB26">
      <f>AA26&amp; " IP"</f>
    </nc>
  </rcc>
  <rcc rId="1240" sId="5">
    <oc r="AC26">
      <f>VLOOKUP(A26,INPUT_RANGE,79,FALSE) &amp; " cg"</f>
    </oc>
    <nc r="AC26">
      <f>VLOOKUP(A26,INPUT_RANGE,79,FALSE) &amp; " CG"</f>
    </nc>
  </rcc>
  <rcc rId="1241" sId="5">
    <oc r="AD26">
      <f>VLOOKUP(A26,INPUT_RANGE,80,FALSE) &amp; " sho"</f>
    </oc>
    <nc r="AD26">
      <f>VLOOKUP(A26,INPUT_RANGE,80,FALSE) &amp; " SHO"</f>
    </nc>
  </rcc>
  <rcc rId="1242" sId="5">
    <oc r="AE26">
      <f>VLOOKUP(A26,INPUT_RANGE,75,FALSE) &amp; " win"</f>
    </oc>
    <nc r="AE26">
      <f>VLOOKUP(A26,INPUT_RANGE,75,FALSE) &amp; " Win"</f>
    </nc>
  </rcc>
  <rcc rId="1243" sId="5">
    <oc r="AF26">
      <f>VLOOKUP(A26,INPUT_RANGE,76,FALSE) &amp; " loss"</f>
    </oc>
    <nc r="AF26">
      <f>VLOOKUP(A26,INPUT_RANGE,76,FALSE) &amp; " Loss"</f>
    </nc>
  </rcc>
  <rcc rId="1244" sId="5">
    <oc r="AG26">
      <f>VLOOKUP(A26,INPUT_RANGE,75,FALSE) &amp; "-" &amp; VLOOKUP(A26,INPUT_RANGE,76,FALSE) &amp; " w-l"</f>
    </oc>
    <nc r="AG26">
      <f>VLOOKUP(A26,INPUT_RANGE,75,FALSE) &amp; "-" &amp; VLOOKUP(A26,INPUT_RANGE,76,FALSE) &amp; " W-L"</f>
    </nc>
  </rcc>
  <rcc rId="1245" sId="5">
    <oc r="AH26">
      <f>VLOOKUP(A26,INPUT_RANGE,81,FALSE)&amp; " saves"</f>
    </oc>
    <nc r="AH26">
      <f>VLOOKUP(A26,INPUT_RANGE,81,FALSE)&amp; " Saves"</f>
    </nc>
  </rcc>
  <rcc rId="1246" sId="5">
    <oc r="AI26">
      <f>VLOOKUP(A26,INPUT_RANGE,83,FALSE) &amp; " h"</f>
    </oc>
    <nc r="AI26">
      <f>VLOOKUP(A26,INPUT_RANGE,83,FALSE) &amp; " H"</f>
    </nc>
  </rcc>
  <rcc rId="1247" sId="5">
    <oc r="AJ26">
      <f>VLOOKUP(A26,INPUT_RANGE,84,FALSE) &amp; " r"</f>
    </oc>
    <nc r="AJ26">
      <f>VLOOKUP(A26,INPUT_RANGE,84,FALSE) &amp; " R"</f>
    </nc>
  </rcc>
  <rcc rId="1248" sId="5">
    <oc r="AK26">
      <f>VLOOKUP(A26,INPUT_RANGE,85,FALSE) &amp;" er"</f>
    </oc>
    <nc r="AK26">
      <f>VLOOKUP(A26,INPUT_RANGE,85,FALSE) &amp;" ER"</f>
    </nc>
  </rcc>
  <rcc rId="1249" sId="5">
    <oc r="AL26">
      <f>VLOOKUP(A26,INPUT_RANGE,88,FALSE) &amp;" hr"</f>
    </oc>
    <nc r="AL26">
      <f>VLOOKUP(A26,INPUT_RANGE,88,FALSE) &amp;" HR"</f>
    </nc>
  </rcc>
  <rcc rId="1250" sId="5">
    <oc r="AM26">
      <f>VLOOKUP(A26,INPUT_RANGE,87,FALSE) &amp; " k"</f>
    </oc>
    <nc r="AM26">
      <f>VLOOKUP(A26,INPUT_RANGE,87,FALSE) &amp; " K"</f>
    </nc>
  </rcc>
  <rcc rId="1251" sId="5">
    <oc r="AN26">
      <f>VLOOKUP(A26,INPUT_RANGE,86,FALSE) &amp; " bb"</f>
    </oc>
    <nc r="AN26">
      <f>VLOOKUP(A26,INPUT_RANGE,86,FALSE) &amp; " BB"</f>
    </nc>
  </rcc>
  <rcc rId="1252" sId="5">
    <oc r="AO26">
      <f>TEXT(AU26,"0.00") &amp; " era"</f>
    </oc>
    <nc r="AO26">
      <f>TEXT(AU26,"0.00") &amp; " ERA"</f>
    </nc>
  </rcc>
  <rcc rId="1253" sId="5">
    <oc r="AP26">
      <f>TEXT(AT26,"0.00") &amp; " whip"</f>
    </oc>
    <nc r="AP26">
      <f>TEXT(AT26,"0.00") &amp; " WHIP"</f>
    </nc>
  </rcc>
  <rcc rId="1254" sId="5">
    <oc r="AQ26">
      <f xml:space="preserve"> IF(LEFT(RIGHT((VLOOKUP(A26,INPUT_RANGE,82,FALSE)),2),1)=".",RIGHT(VLOOKUP(A26,INPUT_RANGE,82,FALSE),1), "X")</f>
    </oc>
    <nc r="AQ26">
      <f xml:space="preserve"> IF(LEFT(RIGHT((VLOOKUP(A26,INPUT_RANGE,82,FALSE)),2),1)=".",RIGHT(VLOOKUP(A26,INPUT_RANGE,82,FALSE),1), "X")</f>
    </nc>
  </rcc>
  <rcc rId="1255" sId="5">
    <oc r="AR26">
      <f>IF(AQ26 ="1",0.333,IF(AQ26="2",0.666,0))</f>
    </oc>
    <nc r="AR26">
      <f>IF(AQ26 ="1",0.333,IF(AQ26="2",0.666,0))</f>
    </nc>
  </rcc>
  <rcc rId="1256" sId="5">
    <oc r="AS26">
      <f>VLOOKUP(A26,INPUT_RANGE,82,FALSE)-(AQ26*0.1)+AR26</f>
    </oc>
    <nc r="AS26">
      <f>VLOOKUP(A26,INPUT_RANGE,82,FALSE)-(AQ26*0.1)+AR26</f>
    </nc>
  </rcc>
  <rcc rId="1257" sId="5">
    <oc r="AT26">
      <f>ROUND((VLOOKUP(A26,INPUT_RANGE,86,FALSE)+VLOOKUP(A26,INPUT_RANGE,83,FALSE))/AS26,2)</f>
    </oc>
    <nc r="AT26">
      <f>ROUND((VLOOKUP(A26,INPUT_RANGE,86,FALSE)+VLOOKUP(A26,INPUT_RANGE,83,FALSE))/AS26,2)</f>
    </nc>
  </rcc>
  <rcc rId="1258" sId="5">
    <oc r="AU26">
      <f>ROUND((VLOOKUP(A26,INPUT_RANGE,85,FALSE)/AS26)*('Team Info'!$H$25),2)</f>
    </oc>
    <nc r="AU26">
      <f>ROUND((VLOOKUP(A26,INPUT_RANGE,85,FALSE)/AS26)*('D:\Data\Softball\[ESPN_BASEBALL_AWAY_OLD.xlsx]Team Info'!$H$25),2)</f>
    </nc>
  </rcc>
  <rcc rId="1259" sId="5">
    <oc r="AW26">
      <f>(VLOOKUP(A26,INPUT_RANGE,54,FALSE)/VLOOKUP(A26,INPUT_RANGE,52,FALSE))</f>
    </oc>
    <nc r="AW26">
      <f>(VLOOKUP(A26,INPUT_RANGE,54,FALSE)/VLOOKUP(A26,INPUT_RANGE,52,FALSE))</f>
    </nc>
  </rcc>
  <rcc rId="1260" sId="5">
    <oc r="AX26">
      <f>((VLOOKUP(A26,INPUT_RANGE,54,FALSE)+VLOOKUP(A26,INPUT_RANGE,60,FALSE)+VLOOKUP(A26,INPUT_RANGE,59,FALSE))/(VLOOKUP(A26,INPUT_RANGE,52,FALSE)+VLOOKUP(A26,INPUT_RANGE,60,FALSE)+VLOOKUP(A26,INPUT_RANGE,59,FALSE)+VLOOKUP(A26,INPUT_RANGE,63,FALSE)))</f>
    </oc>
    <nc r="AX26">
      <f>((VLOOKUP(A26,INPUT_RANGE,54,FALSE)+VLOOKUP(A26,INPUT_RANGE,60,FALSE)+VLOOKUP(A26,INPUT_RANGE,59,FALSE))/(VLOOKUP(A26,INPUT_RANGE,52,FALSE)+VLOOKUP(A26,INPUT_RANGE,60,FALSE)+VLOOKUP(A26,INPUT_RANGE,59,FALSE)+VLOOKUP(A26,INPUT_RANGE,63,FALSE)))</f>
    </nc>
  </rcc>
  <rcc rId="1261" sId="5">
    <oc r="AY26">
      <f>(VLOOKUP(A26,INPUT_RANGE,54)+VLOOKUP(A26,INPUT_RANGE,55)+(VLOOKUP(A26,INPUT_RANGE,56)*2)+(VLOOKUP(A26,INPUT_RANGE,57)*3))/(VLOOKUP(A26,INPUT_RANGE,52))</f>
    </oc>
    <nc r="AY26">
      <f>(VLOOKUP(A26,INPUT_RANGE,54)+VLOOKUP(A26,INPUT_RANGE,55)+(VLOOKUP(A26,INPUT_RANGE,56)*2)+(VLOOKUP(A26,INPUT_RANGE,57)*3))/(VLOOKUP(A26,INPUT_RANGE,52))</f>
    </nc>
  </rcc>
  <rcc rId="1262" sId="5">
    <oc r="AZ26">
      <f>AX26+AY26</f>
    </oc>
    <nc r="AZ26">
      <f>AX26+AY26</f>
    </nc>
  </rcc>
  <rcc rId="1263" sId="5">
    <oc r="BA26">
      <f xml:space="preserve"> TEXT(AZ26,".000") &amp; " ops"</f>
    </oc>
    <nc r="BA26">
      <f xml:space="preserve"> TEXT(AZ26,".000") &amp; " OPS"</f>
    </nc>
  </rcc>
  <rcc rId="1264" sId="5">
    <oc r="BB26">
      <f>VLOOKUP(A26,INPUT_RANGE,78,FALSE)</f>
    </oc>
    <nc r="BB26">
      <f>VLOOKUP(A26,INPUT_RANGE,78,FALSE)</f>
    </nc>
  </rcc>
  <rcc rId="1265" sId="5">
    <oc r="BC26">
      <f>VLOOKUP(A26,INPUT_RANGE,77,FALSE)</f>
    </oc>
    <nc r="BC26">
      <f>VLOOKUP(A26,INPUT_RANGE,77,FALSE)</f>
    </nc>
  </rcc>
  <rcc rId="1266" sId="5">
    <oc r="BD26">
      <f>VLOOKUP(A26,INPUT_RANGE,75,FALSE) &amp; "-" &amp; VLOOKUP(A26,INPUT_RANGE,76,FALSE)</f>
    </oc>
    <nc r="BD26">
      <f>VLOOKUP(A26,INPUT_RANGE,75,FALSE) &amp; "-" &amp; VLOOKUP(A26,INPUT_RANGE,76,FALSE)</f>
    </nc>
  </rcc>
  <rcc rId="1267" sId="5">
    <oc r="BE26">
      <f>AU26</f>
    </oc>
    <nc r="BE26">
      <f>AU26</f>
    </nc>
  </rcc>
  <rcc rId="1268" sId="5">
    <oc r="BF26">
      <f>AA26</f>
    </oc>
    <nc r="BF26">
      <f>AA26</f>
    </nc>
  </rcc>
  <rcc rId="1269" sId="5">
    <oc r="BG26">
      <f>VLOOKUP(A26,INPUT_RANGE,86,FALSE)</f>
    </oc>
    <nc r="BG26">
      <f>VLOOKUP(A26,INPUT_RANGE,86,FALSE)</f>
    </nc>
  </rcc>
  <rcc rId="1270" sId="5">
    <oc r="BH26">
      <f>VLOOKUP(A26,INPUT_RANGE,87,FALSE)</f>
    </oc>
    <nc r="BH26">
      <f>VLOOKUP(A26,INPUT_RANGE,87,FALSE)</f>
    </nc>
  </rcc>
  <rcc rId="1271" sId="5">
    <oc r="BI26">
      <f>VLOOKUP(A26,INPUT_RANGE,81,FALSE) &amp; " SAVES"</f>
    </oc>
    <nc r="BI26">
      <f>VLOOKUP(A26,INPUT_RANGE,81,FALSE) &amp; " SAVES"</f>
    </nc>
  </rcc>
  <rcc rId="1272" sId="5">
    <oc r="BJ26">
      <f>VLOOKUP(A26,INPUT_RANGE,81,FALSE)</f>
    </oc>
    <nc r="BJ26">
      <f>VLOOKUP(A26,INPUT_RANGE,81,FALSE)</f>
    </nc>
  </rcc>
  <rcc rId="1273" sId="5">
    <oc r="BK26">
      <f>VLOOKUP(A26,INPUT_RANGE,83,FALSE)</f>
    </oc>
    <nc r="BK26">
      <f>VLOOKUP(A26,INPUT_RANGE,83,FALSE)</f>
    </nc>
  </rcc>
  <rcc rId="1274" sId="5">
    <oc r="BL26">
      <f>VLOOKUP(A26,INPUT_RANGE,87,FALSE) &amp; "/" &amp; VLOOKUP(A26,INPUT_RANGE,86,FALSE)</f>
    </oc>
    <nc r="BL26">
      <f>VLOOKUP(A26,INPUT_RANGE,87,FALSE) &amp; "/" &amp; VLOOKUP(A26,INPUT_RANGE,86,FALSE)</f>
    </nc>
  </rcc>
  <rcc rId="1275" sId="5">
    <oc r="BM26">
      <f>ROUND((VLOOKUP(A26,INPUT_RANGE,86,FALSE)+VLOOKUP(A26,INPUT_RANGE,83,FALSE))/AS26,2)</f>
    </oc>
    <nc r="BM26">
      <f>ROUND((VLOOKUP(A26,INPUT_RANGE,86,FALSE)+VLOOKUP(A26,INPUT_RANGE,83,FALSE))/AS26,2)</f>
    </nc>
  </rcc>
  <rcc rId="1276" sId="5">
    <oc r="M27">
      <f xml:space="preserve"> TEXT(AW27,".000") &amp; " ba"</f>
    </oc>
    <nc r="M27">
      <f xml:space="preserve"> TEXT(AW27,".000") &amp; " BA"</f>
    </nc>
  </rcc>
  <rcc rId="1277" sId="5">
    <oc r="N27">
      <f>VLOOKUP(A27,INPUT_RANGE,58,FALSE) &amp; " rbi"</f>
    </oc>
    <nc r="N27">
      <f>VLOOKUP(A27,INPUT_RANGE,58,FALSE) &amp; " RBI"</f>
    </nc>
  </rcc>
  <rcc rId="1278" sId="5">
    <oc r="O27">
      <f>VLOOKUP(A27,INPUT_RANGE,60,FALSE) &amp; " bb"</f>
    </oc>
    <nc r="O27">
      <f>VLOOKUP(A27,INPUT_RANGE,60,FALSE) &amp; " BB"</f>
    </nc>
  </rcc>
  <rcc rId="1279" sId="5">
    <oc r="P27">
      <f>VLOOKUP(A27,INPUT_RANGE,61,FALSE) &amp; " k"</f>
    </oc>
    <nc r="P27">
      <f>VLOOKUP(A27,INPUT_RANGE,61,FALSE) &amp; " K"</f>
    </nc>
  </rcc>
  <rcc rId="1280" sId="5">
    <oc r="Q27">
      <f>VLOOKUP(A27,INPUT_RANGE,64,FALSE) &amp; " sb"</f>
    </oc>
    <nc r="Q27">
      <f>VLOOKUP(A27,INPUT_RANGE,64,FALSE) &amp; " SB"</f>
    </nc>
  </rcc>
  <rcc rId="1281" sId="5">
    <oc r="R27">
      <f>VLOOKUP(A27,INPUT_RANGE,55,FALSE) &amp; " 2b"</f>
    </oc>
    <nc r="R27">
      <f>VLOOKUP(A27,INPUT_RANGE,55,FALSE) &amp; " 2B"</f>
    </nc>
  </rcc>
  <rcc rId="1282" sId="5">
    <oc r="S27">
      <f>VLOOKUP(A27,INPUT_RANGE,56,FALSE) &amp; " 3b"</f>
    </oc>
    <nc r="S27">
      <f>VLOOKUP(A27,INPUT_RANGE,56,FALSE) &amp; " 3B"</f>
    </nc>
  </rcc>
  <rcc rId="1283" sId="5">
    <oc r="T27">
      <f>VLOOKUP(A27,INPUT_RANGE,57,FALSE) &amp; " hr"</f>
    </oc>
    <nc r="T27">
      <f>VLOOKUP(A27,INPUT_RANGE,57,FALSE) &amp; " HR"</f>
    </nc>
  </rcc>
  <rcc rId="1284" sId="5">
    <oc r="U27">
      <f>VLOOKUP(A27,INPUT_RANGE,53,FALSE) &amp; " r"</f>
    </oc>
    <nc r="U27">
      <f>VLOOKUP(A27,INPUT_RANGE,53,FALSE) &amp; " R"</f>
    </nc>
  </rcc>
  <rcc rId="1285" sId="5">
    <oc r="V27">
      <f>TEXT(AX27, ".000") &amp; " obp"</f>
    </oc>
    <nc r="V27">
      <f>TEXT(AX27, ".000") &amp; " OBP"</f>
    </nc>
  </rcc>
  <rcc rId="1286" sId="5">
    <oc r="X27">
      <f>VLOOKUP(A27,INPUT_RANGE,77,FALSE)&amp;" games"</f>
    </oc>
    <nc r="X27">
      <f>VLOOKUP(A27,INPUT_RANGE,77,FALSE)&amp;" games"</f>
    </nc>
  </rcc>
  <rcc rId="1287" sId="5">
    <oc r="Y27">
      <f>VLOOKUP(A27,INPUT_RANGE,78,FALSE) &amp; " starts"</f>
    </oc>
    <nc r="Y27">
      <f>VLOOKUP(A27,INPUT_RANGE,78,FALSE) &amp; " starts"</f>
    </nc>
  </rcc>
  <rcc rId="1288" sId="5">
    <oc r="Z27">
      <f>VLOOKUP(A27,INPUT_RANGE,82,FALSE) &amp; " ip"</f>
    </oc>
    <nc r="Z27">
      <f>VLOOKUP(A27,INPUT_RANGE,82,FALSE) &amp; " IP"</f>
    </nc>
  </rcc>
  <rcc rId="1289" sId="5">
    <oc r="AA27">
      <f>TRUNC(VLOOKUP(A27,INPUT_RANGE,82,FALSE)) &amp;  IF(AR27=0.333,"º",IF(AR27=0.666,"»",""))</f>
    </oc>
    <nc r="AA27">
      <f>TRUNC(VLOOKUP(A27,INPUT_RANGE,82,FALSE)) &amp;  IF(AR27=0.333,"º",IF(AR27=0.666,"»",""))</f>
    </nc>
  </rcc>
  <rcc rId="1290" sId="5">
    <oc r="AB27">
      <f>AA27&amp; " ip"</f>
    </oc>
    <nc r="AB27">
      <f>AA27&amp; " IP"</f>
    </nc>
  </rcc>
  <rcc rId="1291" sId="5">
    <oc r="AC27">
      <f>VLOOKUP(A27,INPUT_RANGE,79,FALSE) &amp; " cg"</f>
    </oc>
    <nc r="AC27">
      <f>VLOOKUP(A27,INPUT_RANGE,79,FALSE) &amp; " CG"</f>
    </nc>
  </rcc>
  <rcc rId="1292" sId="5">
    <oc r="AD27">
      <f>VLOOKUP(A27,INPUT_RANGE,80,FALSE) &amp; " sho"</f>
    </oc>
    <nc r="AD27">
      <f>VLOOKUP(A27,INPUT_RANGE,80,FALSE) &amp; " SHO"</f>
    </nc>
  </rcc>
  <rcc rId="1293" sId="5">
    <oc r="AE27">
      <f>VLOOKUP(A27,INPUT_RANGE,75,FALSE) &amp; " win"</f>
    </oc>
    <nc r="AE27">
      <f>VLOOKUP(A27,INPUT_RANGE,75,FALSE) &amp; " Win"</f>
    </nc>
  </rcc>
  <rcc rId="1294" sId="5">
    <oc r="AF27">
      <f>VLOOKUP(A27,INPUT_RANGE,76,FALSE) &amp; " loss"</f>
    </oc>
    <nc r="AF27">
      <f>VLOOKUP(A27,INPUT_RANGE,76,FALSE) &amp; " Loss"</f>
    </nc>
  </rcc>
  <rcc rId="1295" sId="5">
    <oc r="AG27">
      <f>VLOOKUP(A27,INPUT_RANGE,75,FALSE) &amp; "-" &amp; VLOOKUP(A27,INPUT_RANGE,76,FALSE) &amp; " w-l"</f>
    </oc>
    <nc r="AG27">
      <f>VLOOKUP(A27,INPUT_RANGE,75,FALSE) &amp; "-" &amp; VLOOKUP(A27,INPUT_RANGE,76,FALSE) &amp; " W-L"</f>
    </nc>
  </rcc>
  <rcc rId="1296" sId="5">
    <oc r="AH27">
      <f>VLOOKUP(A27,INPUT_RANGE,81,FALSE)&amp; " saves"</f>
    </oc>
    <nc r="AH27">
      <f>VLOOKUP(A27,INPUT_RANGE,81,FALSE)&amp; " Saves"</f>
    </nc>
  </rcc>
  <rcc rId="1297" sId="5">
    <oc r="AI27">
      <f>VLOOKUP(A27,INPUT_RANGE,83,FALSE) &amp; " h"</f>
    </oc>
    <nc r="AI27">
      <f>VLOOKUP(A27,INPUT_RANGE,83,FALSE) &amp; " H"</f>
    </nc>
  </rcc>
  <rcc rId="1298" sId="5">
    <oc r="AJ27">
      <f>VLOOKUP(A27,INPUT_RANGE,84,FALSE) &amp; " r"</f>
    </oc>
    <nc r="AJ27">
      <f>VLOOKUP(A27,INPUT_RANGE,84,FALSE) &amp; " R"</f>
    </nc>
  </rcc>
  <rcc rId="1299" sId="5">
    <oc r="AK27">
      <f>VLOOKUP(A27,INPUT_RANGE,85,FALSE) &amp;" er"</f>
    </oc>
    <nc r="AK27">
      <f>VLOOKUP(A27,INPUT_RANGE,85,FALSE) &amp;" ER"</f>
    </nc>
  </rcc>
  <rcc rId="1300" sId="5">
    <oc r="AL27">
      <f>VLOOKUP(A27,INPUT_RANGE,88,FALSE) &amp;" hr"</f>
    </oc>
    <nc r="AL27">
      <f>VLOOKUP(A27,INPUT_RANGE,88,FALSE) &amp;" HR"</f>
    </nc>
  </rcc>
  <rcc rId="1301" sId="5">
    <oc r="AM27">
      <f>VLOOKUP(A27,INPUT_RANGE,87,FALSE) &amp; " k"</f>
    </oc>
    <nc r="AM27">
      <f>VLOOKUP(A27,INPUT_RANGE,87,FALSE) &amp; " K"</f>
    </nc>
  </rcc>
  <rcc rId="1302" sId="5">
    <oc r="AN27">
      <f>VLOOKUP(A27,INPUT_RANGE,86,FALSE) &amp; " bb"</f>
    </oc>
    <nc r="AN27">
      <f>VLOOKUP(A27,INPUT_RANGE,86,FALSE) &amp; " BB"</f>
    </nc>
  </rcc>
  <rcc rId="1303" sId="5">
    <oc r="AO27">
      <f>TEXT(AU27,"0.00") &amp; " era"</f>
    </oc>
    <nc r="AO27">
      <f>TEXT(AU27,"0.00") &amp; " ERA"</f>
    </nc>
  </rcc>
  <rcc rId="1304" sId="5">
    <oc r="AP27">
      <f>TEXT(AT27,"0.00") &amp; " whip"</f>
    </oc>
    <nc r="AP27">
      <f>TEXT(AT27,"0.00") &amp; " WHIP"</f>
    </nc>
  </rcc>
  <rcc rId="1305" sId="5">
    <oc r="AQ27">
      <f xml:space="preserve"> IF(LEFT(RIGHT((VLOOKUP(A27,INPUT_RANGE,82,FALSE)),2),1)=".",RIGHT(VLOOKUP(A27,INPUT_RANGE,82,FALSE),1), "X")</f>
    </oc>
    <nc r="AQ27">
      <f xml:space="preserve"> IF(LEFT(RIGHT((VLOOKUP(A27,INPUT_RANGE,82,FALSE)),2),1)=".",RIGHT(VLOOKUP(A27,INPUT_RANGE,82,FALSE),1), "X")</f>
    </nc>
  </rcc>
  <rcc rId="1306" sId="5">
    <oc r="AR27">
      <f>IF(AQ27 ="1",0.333,IF(AQ27="2",0.666,0))</f>
    </oc>
    <nc r="AR27">
      <f>IF(AQ27 ="1",0.333,IF(AQ27="2",0.666,0))</f>
    </nc>
  </rcc>
  <rcc rId="1307" sId="5">
    <oc r="AS27">
      <f>VLOOKUP(A27,INPUT_RANGE,82,FALSE)-(AQ27*0.1)+AR27</f>
    </oc>
    <nc r="AS27">
      <f>VLOOKUP(A27,INPUT_RANGE,82,FALSE)-(AQ27*0.1)+AR27</f>
    </nc>
  </rcc>
  <rcc rId="1308" sId="5">
    <oc r="AT27">
      <f>ROUND((VLOOKUP(A27,INPUT_RANGE,86,FALSE)+VLOOKUP(A27,INPUT_RANGE,83,FALSE))/AS27,2)</f>
    </oc>
    <nc r="AT27">
      <f>ROUND((VLOOKUP(A27,INPUT_RANGE,86,FALSE)+VLOOKUP(A27,INPUT_RANGE,83,FALSE))/AS27,2)</f>
    </nc>
  </rcc>
  <rcc rId="1309" sId="5">
    <oc r="AU27">
      <f>ROUND((VLOOKUP(A27,INPUT_RANGE,85,FALSE)/AS27)*('Team Info'!$H$25),2)</f>
    </oc>
    <nc r="AU27">
      <f>ROUND((VLOOKUP(A27,INPUT_RANGE,85,FALSE)/AS27)*('D:\Data\Softball\[ESPN_BASEBALL_AWAY_OLD.xlsx]Team Info'!$H$25),2)</f>
    </nc>
  </rcc>
  <rcc rId="1310" sId="5">
    <oc r="AW27">
      <f>(VLOOKUP(A27,INPUT_RANGE,54,FALSE)/VLOOKUP(A27,INPUT_RANGE,52,FALSE))</f>
    </oc>
    <nc r="AW27">
      <f>(VLOOKUP(A27,INPUT_RANGE,54,FALSE)/VLOOKUP(A27,INPUT_RANGE,52,FALSE))</f>
    </nc>
  </rcc>
  <rcc rId="1311" sId="5">
    <oc r="AX27">
      <f>((VLOOKUP(A27,INPUT_RANGE,54,FALSE)+VLOOKUP(A27,INPUT_RANGE,60,FALSE)+VLOOKUP(A27,INPUT_RANGE,59,FALSE))/(VLOOKUP(A27,INPUT_RANGE,52,FALSE)+VLOOKUP(A27,INPUT_RANGE,60,FALSE)+VLOOKUP(A27,INPUT_RANGE,59,FALSE)+VLOOKUP(A27,INPUT_RANGE,63,FALSE)))</f>
    </oc>
    <nc r="AX27">
      <f>((VLOOKUP(A27,INPUT_RANGE,54,FALSE)+VLOOKUP(A27,INPUT_RANGE,60,FALSE)+VLOOKUP(A27,INPUT_RANGE,59,FALSE))/(VLOOKUP(A27,INPUT_RANGE,52,FALSE)+VLOOKUP(A27,INPUT_RANGE,60,FALSE)+VLOOKUP(A27,INPUT_RANGE,59,FALSE)+VLOOKUP(A27,INPUT_RANGE,63,FALSE)))</f>
    </nc>
  </rcc>
  <rcc rId="1312" sId="5">
    <oc r="AY27">
      <f>(VLOOKUP(A27,INPUT_RANGE,54)+VLOOKUP(A27,INPUT_RANGE,55)+(VLOOKUP(A27,INPUT_RANGE,56)*2)+(VLOOKUP(A27,INPUT_RANGE,57)*3))/(VLOOKUP(A27,INPUT_RANGE,52))</f>
    </oc>
    <nc r="AY27">
      <f>(VLOOKUP(A27,INPUT_RANGE,54)+VLOOKUP(A27,INPUT_RANGE,55)+(VLOOKUP(A27,INPUT_RANGE,56)*2)+(VLOOKUP(A27,INPUT_RANGE,57)*3))/(VLOOKUP(A27,INPUT_RANGE,52))</f>
    </nc>
  </rcc>
  <rcc rId="1313" sId="5">
    <oc r="AZ27">
      <f>AX27+AY27</f>
    </oc>
    <nc r="AZ27">
      <f>AX27+AY27</f>
    </nc>
  </rcc>
  <rcc rId="1314" sId="5">
    <oc r="BA27">
      <f xml:space="preserve"> TEXT(AZ27,".000") &amp; " ops"</f>
    </oc>
    <nc r="BA27">
      <f xml:space="preserve"> TEXT(AZ27,".000") &amp; " OPS"</f>
    </nc>
  </rcc>
  <rcc rId="1315" sId="5">
    <oc r="BB27">
      <f>VLOOKUP(A27,INPUT_RANGE,78,FALSE)</f>
    </oc>
    <nc r="BB27">
      <f>VLOOKUP(A27,INPUT_RANGE,78,FALSE)</f>
    </nc>
  </rcc>
  <rcc rId="1316" sId="5">
    <oc r="BC27">
      <f>VLOOKUP(A27,INPUT_RANGE,77,FALSE)</f>
    </oc>
    <nc r="BC27">
      <f>VLOOKUP(A27,INPUT_RANGE,77,FALSE)</f>
    </nc>
  </rcc>
  <rcc rId="1317" sId="5">
    <oc r="BD27">
      <f>VLOOKUP(A27,INPUT_RANGE,75,FALSE) &amp; "-" &amp; VLOOKUP(A27,INPUT_RANGE,76,FALSE)</f>
    </oc>
    <nc r="BD27">
      <f>VLOOKUP(A27,INPUT_RANGE,75,FALSE) &amp; "-" &amp; VLOOKUP(A27,INPUT_RANGE,76,FALSE)</f>
    </nc>
  </rcc>
  <rcc rId="1318" sId="5">
    <oc r="BE27">
      <f>AU27</f>
    </oc>
    <nc r="BE27">
      <f>AU27</f>
    </nc>
  </rcc>
  <rcc rId="1319" sId="5">
    <oc r="BF27">
      <f>AA27</f>
    </oc>
    <nc r="BF27">
      <f>AA27</f>
    </nc>
  </rcc>
  <rcc rId="1320" sId="5">
    <oc r="BG27">
      <f>VLOOKUP(A27,INPUT_RANGE,86,FALSE)</f>
    </oc>
    <nc r="BG27">
      <f>VLOOKUP(A27,INPUT_RANGE,86,FALSE)</f>
    </nc>
  </rcc>
  <rcc rId="1321" sId="5">
    <oc r="BH27">
      <f>VLOOKUP(A27,INPUT_RANGE,87,FALSE)</f>
    </oc>
    <nc r="BH27">
      <f>VLOOKUP(A27,INPUT_RANGE,87,FALSE)</f>
    </nc>
  </rcc>
  <rcc rId="1322" sId="5">
    <oc r="BI27">
      <f>VLOOKUP(A27,INPUT_RANGE,81,FALSE) &amp; " SAVES"</f>
    </oc>
    <nc r="BI27">
      <f>VLOOKUP(A27,INPUT_RANGE,81,FALSE) &amp; " SAVES"</f>
    </nc>
  </rcc>
  <rcc rId="1323" sId="5">
    <oc r="BJ27">
      <f>VLOOKUP(A27,INPUT_RANGE,81,FALSE)</f>
    </oc>
    <nc r="BJ27">
      <f>VLOOKUP(A27,INPUT_RANGE,81,FALSE)</f>
    </nc>
  </rcc>
  <rcc rId="1324" sId="5">
    <oc r="BK27">
      <f>VLOOKUP(A27,INPUT_RANGE,83,FALSE)</f>
    </oc>
    <nc r="BK27">
      <f>VLOOKUP(A27,INPUT_RANGE,83,FALSE)</f>
    </nc>
  </rcc>
  <rcc rId="1325" sId="5">
    <oc r="BL27">
      <f>VLOOKUP(A27,INPUT_RANGE,87,FALSE) &amp; "/" &amp; VLOOKUP(A27,INPUT_RANGE,86,FALSE)</f>
    </oc>
    <nc r="BL27">
      <f>VLOOKUP(A27,INPUT_RANGE,87,FALSE) &amp; "/" &amp; VLOOKUP(A27,INPUT_RANGE,86,FALSE)</f>
    </nc>
  </rcc>
  <rcc rId="1326" sId="5">
    <oc r="BM27">
      <f>ROUND((VLOOKUP(A27,INPUT_RANGE,86,FALSE)+VLOOKUP(A27,INPUT_RANGE,83,FALSE))/AS27,2)</f>
    </oc>
    <nc r="BM27">
      <f>ROUND((VLOOKUP(A27,INPUT_RANGE,86,FALSE)+VLOOKUP(A27,INPUT_RANGE,83,FALSE))/AS27,2)</f>
    </nc>
  </rcc>
  <rcc rId="1327" sId="5">
    <oc r="M28">
      <f xml:space="preserve"> TEXT(AW28,".000") &amp; " ba"</f>
    </oc>
    <nc r="M28">
      <f xml:space="preserve"> TEXT(AW28,".000") &amp; " BA"</f>
    </nc>
  </rcc>
  <rcc rId="1328" sId="5">
    <oc r="N28">
      <f>VLOOKUP(A28,INPUT_RANGE,58,FALSE) &amp; " rbi"</f>
    </oc>
    <nc r="N28">
      <f>VLOOKUP(A28,INPUT_RANGE,58,FALSE) &amp; " RBI"</f>
    </nc>
  </rcc>
  <rcc rId="1329" sId="5">
    <oc r="O28">
      <f>VLOOKUP(A28,INPUT_RANGE,60,FALSE) &amp; " bb"</f>
    </oc>
    <nc r="O28">
      <f>VLOOKUP(A28,INPUT_RANGE,60,FALSE) &amp; " BB"</f>
    </nc>
  </rcc>
  <rcc rId="1330" sId="5">
    <oc r="P28">
      <f>VLOOKUP(A28,INPUT_RANGE,61,FALSE) &amp; " k"</f>
    </oc>
    <nc r="P28">
      <f>VLOOKUP(A28,INPUT_RANGE,61,FALSE) &amp; " K"</f>
    </nc>
  </rcc>
  <rcc rId="1331" sId="5">
    <oc r="Q28">
      <f>VLOOKUP(A28,INPUT_RANGE,64,FALSE) &amp; " sb"</f>
    </oc>
    <nc r="Q28">
      <f>VLOOKUP(A28,INPUT_RANGE,64,FALSE) &amp; " SB"</f>
    </nc>
  </rcc>
  <rcc rId="1332" sId="5">
    <oc r="R28">
      <f>VLOOKUP(A28,INPUT_RANGE,55,FALSE) &amp; " 2b"</f>
    </oc>
    <nc r="R28">
      <f>VLOOKUP(A28,INPUT_RANGE,55,FALSE) &amp; " 2B"</f>
    </nc>
  </rcc>
  <rcc rId="1333" sId="5">
    <oc r="S28">
      <f>VLOOKUP(A28,INPUT_RANGE,56,FALSE) &amp; " 3b"</f>
    </oc>
    <nc r="S28">
      <f>VLOOKUP(A28,INPUT_RANGE,56,FALSE) &amp; " 3B"</f>
    </nc>
  </rcc>
  <rcc rId="1334" sId="5">
    <oc r="T28">
      <f>VLOOKUP(A28,INPUT_RANGE,57,FALSE) &amp; " hr"</f>
    </oc>
    <nc r="T28">
      <f>VLOOKUP(A28,INPUT_RANGE,57,FALSE) &amp; " HR"</f>
    </nc>
  </rcc>
  <rcc rId="1335" sId="5">
    <oc r="U28">
      <f>VLOOKUP(A28,INPUT_RANGE,53,FALSE) &amp; " r"</f>
    </oc>
    <nc r="U28">
      <f>VLOOKUP(A28,INPUT_RANGE,53,FALSE) &amp; " R"</f>
    </nc>
  </rcc>
  <rcc rId="1336" sId="5">
    <oc r="V28">
      <f>TEXT(AX28, ".000") &amp; " obp"</f>
    </oc>
    <nc r="V28">
      <f>TEXT(AX28, ".000") &amp; " OBP"</f>
    </nc>
  </rcc>
  <rcc rId="1337" sId="5">
    <oc r="X28">
      <f>VLOOKUP(A28,INPUT_RANGE,77,FALSE)&amp;" games"</f>
    </oc>
    <nc r="X28">
      <f>VLOOKUP(A28,INPUT_RANGE,77,FALSE)&amp;" games"</f>
    </nc>
  </rcc>
  <rcc rId="1338" sId="5">
    <oc r="Y28">
      <f>VLOOKUP(A28,INPUT_RANGE,78,FALSE) &amp; " starts"</f>
    </oc>
    <nc r="Y28">
      <f>VLOOKUP(A28,INPUT_RANGE,78,FALSE) &amp; " starts"</f>
    </nc>
  </rcc>
  <rcc rId="1339" sId="5">
    <oc r="Z28">
      <f>VLOOKUP(A28,INPUT_RANGE,82,FALSE) &amp; " ip"</f>
    </oc>
    <nc r="Z28">
      <f>VLOOKUP(A28,INPUT_RANGE,82,FALSE) &amp; " IP"</f>
    </nc>
  </rcc>
  <rcc rId="1340" sId="5">
    <oc r="AA28">
      <f>TRUNC(VLOOKUP(A28,INPUT_RANGE,82,FALSE)) &amp;  IF(AR28=0.333,"º",IF(AR28=0.666,"»",""))</f>
    </oc>
    <nc r="AA28">
      <f>TRUNC(VLOOKUP(A28,INPUT_RANGE,82,FALSE)) &amp;  IF(AR28=0.333,"º",IF(AR28=0.666,"»",""))</f>
    </nc>
  </rcc>
  <rcc rId="1341" sId="5">
    <oc r="AB28">
      <f>AA28&amp; " ip"</f>
    </oc>
    <nc r="AB28">
      <f>AA28&amp; " IP"</f>
    </nc>
  </rcc>
  <rcc rId="1342" sId="5">
    <oc r="AC28">
      <f>VLOOKUP(A28,INPUT_RANGE,79,FALSE) &amp; " cg"</f>
    </oc>
    <nc r="AC28">
      <f>VLOOKUP(A28,INPUT_RANGE,79,FALSE) &amp; " CG"</f>
    </nc>
  </rcc>
  <rcc rId="1343" sId="5">
    <oc r="AD28">
      <f>VLOOKUP(A28,INPUT_RANGE,80,FALSE) &amp; " sho"</f>
    </oc>
    <nc r="AD28">
      <f>VLOOKUP(A28,INPUT_RANGE,80,FALSE) &amp; " SHO"</f>
    </nc>
  </rcc>
  <rcc rId="1344" sId="5">
    <oc r="AE28">
      <f>VLOOKUP(A28,INPUT_RANGE,75,FALSE) &amp; " win"</f>
    </oc>
    <nc r="AE28">
      <f>VLOOKUP(A28,INPUT_RANGE,75,FALSE) &amp; " Win"</f>
    </nc>
  </rcc>
  <rcc rId="1345" sId="5">
    <oc r="AF28">
      <f>VLOOKUP(A28,INPUT_RANGE,76,FALSE) &amp; " loss"</f>
    </oc>
    <nc r="AF28">
      <f>VLOOKUP(A28,INPUT_RANGE,76,FALSE) &amp; " Loss"</f>
    </nc>
  </rcc>
  <rcc rId="1346" sId="5">
    <oc r="AG28">
      <f>VLOOKUP(A28,INPUT_RANGE,75,FALSE) &amp; "-" &amp; VLOOKUP(A28,INPUT_RANGE,76,FALSE) &amp; " w-l"</f>
    </oc>
    <nc r="AG28">
      <f>VLOOKUP(A28,INPUT_RANGE,75,FALSE) &amp; "-" &amp; VLOOKUP(A28,INPUT_RANGE,76,FALSE) &amp; " W-L"</f>
    </nc>
  </rcc>
  <rcc rId="1347" sId="5">
    <oc r="AH28">
      <f>VLOOKUP(A28,INPUT_RANGE,81,FALSE)&amp; " saves"</f>
    </oc>
    <nc r="AH28">
      <f>VLOOKUP(A28,INPUT_RANGE,81,FALSE)&amp; " Saves"</f>
    </nc>
  </rcc>
  <rcc rId="1348" sId="5">
    <oc r="AI28">
      <f>VLOOKUP(A28,INPUT_RANGE,83,FALSE) &amp; " h"</f>
    </oc>
    <nc r="AI28">
      <f>VLOOKUP(A28,INPUT_RANGE,83,FALSE) &amp; " H"</f>
    </nc>
  </rcc>
  <rcc rId="1349" sId="5">
    <oc r="AJ28">
      <f>VLOOKUP(A28,INPUT_RANGE,84,FALSE) &amp; " r"</f>
    </oc>
    <nc r="AJ28">
      <f>VLOOKUP(A28,INPUT_RANGE,84,FALSE) &amp; " R"</f>
    </nc>
  </rcc>
  <rcc rId="1350" sId="5">
    <oc r="AK28">
      <f>VLOOKUP(A28,INPUT_RANGE,85,FALSE) &amp;" er"</f>
    </oc>
    <nc r="AK28">
      <f>VLOOKUP(A28,INPUT_RANGE,85,FALSE) &amp;" ER"</f>
    </nc>
  </rcc>
  <rcc rId="1351" sId="5">
    <oc r="AL28">
      <f>VLOOKUP(A28,INPUT_RANGE,88,FALSE) &amp;" hr"</f>
    </oc>
    <nc r="AL28">
      <f>VLOOKUP(A28,INPUT_RANGE,88,FALSE) &amp;" HR"</f>
    </nc>
  </rcc>
  <rcc rId="1352" sId="5">
    <oc r="AM28">
      <f>VLOOKUP(A28,INPUT_RANGE,87,FALSE) &amp; " k"</f>
    </oc>
    <nc r="AM28">
      <f>VLOOKUP(A28,INPUT_RANGE,87,FALSE) &amp; " K"</f>
    </nc>
  </rcc>
  <rcc rId="1353" sId="5">
    <oc r="AN28">
      <f>VLOOKUP(A28,INPUT_RANGE,86,FALSE) &amp; " bb"</f>
    </oc>
    <nc r="AN28">
      <f>VLOOKUP(A28,INPUT_RANGE,86,FALSE) &amp; " BB"</f>
    </nc>
  </rcc>
  <rcc rId="1354" sId="5">
    <oc r="AO28">
      <f>TEXT(AU28,"0.00") &amp; " era"</f>
    </oc>
    <nc r="AO28">
      <f>TEXT(AU28,"0.00") &amp; " ERA"</f>
    </nc>
  </rcc>
  <rcc rId="1355" sId="5">
    <oc r="AP28">
      <f>TEXT(AT28,"0.00") &amp; " whip"</f>
    </oc>
    <nc r="AP28">
      <f>TEXT(AT28,"0.00") &amp; " WHIP"</f>
    </nc>
  </rcc>
  <rcc rId="1356" sId="5">
    <oc r="AQ28">
      <f xml:space="preserve"> IF(LEFT(RIGHT((VLOOKUP(A28,INPUT_RANGE,82,FALSE)),2),1)=".",RIGHT(VLOOKUP(A28,INPUT_RANGE,82,FALSE),1), "X")</f>
    </oc>
    <nc r="AQ28">
      <f xml:space="preserve"> IF(LEFT(RIGHT((VLOOKUP(A28,INPUT_RANGE,82,FALSE)),2),1)=".",RIGHT(VLOOKUP(A28,INPUT_RANGE,82,FALSE),1), "X")</f>
    </nc>
  </rcc>
  <rcc rId="1357" sId="5">
    <oc r="AR28">
      <f>IF(AQ28 ="1",0.333,IF(AQ28="2",0.666,0))</f>
    </oc>
    <nc r="AR28">
      <f>IF(AQ28 ="1",0.333,IF(AQ28="2",0.666,0))</f>
    </nc>
  </rcc>
  <rcc rId="1358" sId="5">
    <oc r="AS28">
      <f>VLOOKUP(A28,INPUT_RANGE,82,FALSE)-(AQ28*0.1)+AR28</f>
    </oc>
    <nc r="AS28">
      <f>VLOOKUP(A28,INPUT_RANGE,82,FALSE)-(AQ28*0.1)+AR28</f>
    </nc>
  </rcc>
  <rcc rId="1359" sId="5">
    <oc r="AT28">
      <f>ROUND((VLOOKUP(A28,INPUT_RANGE,86,FALSE)+VLOOKUP(A28,INPUT_RANGE,83,FALSE))/AS28,2)</f>
    </oc>
    <nc r="AT28">
      <f>ROUND((VLOOKUP(A28,INPUT_RANGE,86,FALSE)+VLOOKUP(A28,INPUT_RANGE,83,FALSE))/AS28,2)</f>
    </nc>
  </rcc>
  <rcc rId="1360" sId="5">
    <oc r="AU28">
      <f>ROUND((VLOOKUP(A28,INPUT_RANGE,85,FALSE)/AS28)*('Team Info'!$H$25),2)</f>
    </oc>
    <nc r="AU28">
      <f>ROUND((VLOOKUP(A28,INPUT_RANGE,85,FALSE)/AS28)*('D:\Data\Softball\[ESPN_BASEBALL_AWAY_OLD.xlsx]Team Info'!$H$25),2)</f>
    </nc>
  </rcc>
  <rcc rId="1361" sId="5">
    <oc r="AW28">
      <f>(VLOOKUP(A28,INPUT_RANGE,54,FALSE)/VLOOKUP(A28,INPUT_RANGE,52,FALSE))</f>
    </oc>
    <nc r="AW28">
      <f>(VLOOKUP(A28,INPUT_RANGE,54,FALSE)/VLOOKUP(A28,INPUT_RANGE,52,FALSE))</f>
    </nc>
  </rcc>
  <rcc rId="1362" sId="5">
    <oc r="AX28">
      <f>((VLOOKUP(A28,INPUT_RANGE,54,FALSE)+VLOOKUP(A28,INPUT_RANGE,60,FALSE)+VLOOKUP(A28,INPUT_RANGE,59,FALSE))/(VLOOKUP(A28,INPUT_RANGE,52,FALSE)+VLOOKUP(A28,INPUT_RANGE,60,FALSE)+VLOOKUP(A28,INPUT_RANGE,59,FALSE)+VLOOKUP(A28,INPUT_RANGE,63,FALSE)))</f>
    </oc>
    <nc r="AX28">
      <f>((VLOOKUP(A28,INPUT_RANGE,54,FALSE)+VLOOKUP(A28,INPUT_RANGE,60,FALSE)+VLOOKUP(A28,INPUT_RANGE,59,FALSE))/(VLOOKUP(A28,INPUT_RANGE,52,FALSE)+VLOOKUP(A28,INPUT_RANGE,60,FALSE)+VLOOKUP(A28,INPUT_RANGE,59,FALSE)+VLOOKUP(A28,INPUT_RANGE,63,FALSE)))</f>
    </nc>
  </rcc>
  <rcc rId="1363" sId="5">
    <oc r="AY28">
      <f>(VLOOKUP(A28,INPUT_RANGE,54)+VLOOKUP(A28,INPUT_RANGE,55)+(VLOOKUP(A28,INPUT_RANGE,56)*2)+(VLOOKUP(A28,INPUT_RANGE,57)*3))/(VLOOKUP(A28,INPUT_RANGE,52))</f>
    </oc>
    <nc r="AY28">
      <f>(VLOOKUP(A28,INPUT_RANGE,54)+VLOOKUP(A28,INPUT_RANGE,55)+(VLOOKUP(A28,INPUT_RANGE,56)*2)+(VLOOKUP(A28,INPUT_RANGE,57)*3))/(VLOOKUP(A28,INPUT_RANGE,52))</f>
    </nc>
  </rcc>
  <rcc rId="1364" sId="5">
    <oc r="AZ28">
      <f>AX28+AY28</f>
    </oc>
    <nc r="AZ28">
      <f>AX28+AY28</f>
    </nc>
  </rcc>
  <rcc rId="1365" sId="5">
    <oc r="BA28">
      <f xml:space="preserve"> TEXT(AZ28,".000") &amp; " ops"</f>
    </oc>
    <nc r="BA28">
      <f xml:space="preserve"> TEXT(AZ28,".000") &amp; " OPS"</f>
    </nc>
  </rcc>
  <rcc rId="1366" sId="5">
    <oc r="BB28">
      <f>VLOOKUP(A28,INPUT_RANGE,78,FALSE)</f>
    </oc>
    <nc r="BB28">
      <f>VLOOKUP(A28,INPUT_RANGE,78,FALSE)</f>
    </nc>
  </rcc>
  <rcc rId="1367" sId="5">
    <oc r="BC28">
      <f>VLOOKUP(A28,INPUT_RANGE,77,FALSE)</f>
    </oc>
    <nc r="BC28">
      <f>VLOOKUP(A28,INPUT_RANGE,77,FALSE)</f>
    </nc>
  </rcc>
  <rcc rId="1368" sId="5">
    <oc r="BD28">
      <f>VLOOKUP(A28,INPUT_RANGE,75,FALSE) &amp; "-" &amp; VLOOKUP(A28,INPUT_RANGE,76,FALSE)</f>
    </oc>
    <nc r="BD28">
      <f>VLOOKUP(A28,INPUT_RANGE,75,FALSE) &amp; "-" &amp; VLOOKUP(A28,INPUT_RANGE,76,FALSE)</f>
    </nc>
  </rcc>
  <rcc rId="1369" sId="5">
    <oc r="BE28">
      <f>AU28</f>
    </oc>
    <nc r="BE28">
      <f>AU28</f>
    </nc>
  </rcc>
  <rcc rId="1370" sId="5">
    <oc r="BF28">
      <f>AA28</f>
    </oc>
    <nc r="BF28">
      <f>AA28</f>
    </nc>
  </rcc>
  <rcc rId="1371" sId="5">
    <oc r="BG28">
      <f>VLOOKUP(A28,INPUT_RANGE,86,FALSE)</f>
    </oc>
    <nc r="BG28">
      <f>VLOOKUP(A28,INPUT_RANGE,86,FALSE)</f>
    </nc>
  </rcc>
  <rcc rId="1372" sId="5">
    <oc r="BH28">
      <f>VLOOKUP(A28,INPUT_RANGE,87,FALSE)</f>
    </oc>
    <nc r="BH28">
      <f>VLOOKUP(A28,INPUT_RANGE,87,FALSE)</f>
    </nc>
  </rcc>
  <rcc rId="1373" sId="5">
    <oc r="BI28">
      <f>VLOOKUP(A28,INPUT_RANGE,81,FALSE) &amp; " SAVES"</f>
    </oc>
    <nc r="BI28">
      <f>VLOOKUP(A28,INPUT_RANGE,81,FALSE) &amp; " SAVES"</f>
    </nc>
  </rcc>
  <rcc rId="1374" sId="5">
    <oc r="BJ28">
      <f>VLOOKUP(A28,INPUT_RANGE,81,FALSE)</f>
    </oc>
    <nc r="BJ28">
      <f>VLOOKUP(A28,INPUT_RANGE,81,FALSE)</f>
    </nc>
  </rcc>
  <rcc rId="1375" sId="5">
    <oc r="BK28">
      <f>VLOOKUP(A28,INPUT_RANGE,83,FALSE)</f>
    </oc>
    <nc r="BK28">
      <f>VLOOKUP(A28,INPUT_RANGE,83,FALSE)</f>
    </nc>
  </rcc>
  <rcc rId="1376" sId="5">
    <oc r="BL28">
      <f>VLOOKUP(A28,INPUT_RANGE,87,FALSE) &amp; "/" &amp; VLOOKUP(A28,INPUT_RANGE,86,FALSE)</f>
    </oc>
    <nc r="BL28">
      <f>VLOOKUP(A28,INPUT_RANGE,87,FALSE) &amp; "/" &amp; VLOOKUP(A28,INPUT_RANGE,86,FALSE)</f>
    </nc>
  </rcc>
  <rcc rId="1377" sId="5">
    <oc r="BM28">
      <f>ROUND((VLOOKUP(A28,INPUT_RANGE,86,FALSE)+VLOOKUP(A28,INPUT_RANGE,83,FALSE))/AS28,2)</f>
    </oc>
    <nc r="BM28">
      <f>ROUND((VLOOKUP(A28,INPUT_RANGE,86,FALSE)+VLOOKUP(A28,INPUT_RANGE,83,FALSE))/AS28,2)</f>
    </nc>
  </rcc>
  <rcc rId="1378" sId="5">
    <oc r="M29">
      <f xml:space="preserve"> TEXT(AW29,".000") &amp; " ba"</f>
    </oc>
    <nc r="M29">
      <f xml:space="preserve"> TEXT(AW29,".000") &amp; " BA"</f>
    </nc>
  </rcc>
  <rcc rId="1379" sId="5">
    <oc r="N29">
      <f>VLOOKUP(A29,INPUT_RANGE,58,FALSE) &amp; " rbi"</f>
    </oc>
    <nc r="N29">
      <f>VLOOKUP(A29,INPUT_RANGE,58,FALSE) &amp; " RBI"</f>
    </nc>
  </rcc>
  <rcc rId="1380" sId="5">
    <oc r="O29">
      <f>VLOOKUP(A29,INPUT_RANGE,60,FALSE) &amp; " bb"</f>
    </oc>
    <nc r="O29">
      <f>VLOOKUP(A29,INPUT_RANGE,60,FALSE) &amp; " BB"</f>
    </nc>
  </rcc>
  <rcc rId="1381" sId="5">
    <oc r="P29">
      <f>VLOOKUP(A29,INPUT_RANGE,61,FALSE) &amp; " k"</f>
    </oc>
    <nc r="P29">
      <f>VLOOKUP(A29,INPUT_RANGE,61,FALSE) &amp; " K"</f>
    </nc>
  </rcc>
  <rcc rId="1382" sId="5">
    <oc r="Q29">
      <f>VLOOKUP(A29,INPUT_RANGE,64,FALSE) &amp; " sb"</f>
    </oc>
    <nc r="Q29">
      <f>VLOOKUP(A29,INPUT_RANGE,64,FALSE) &amp; " SB"</f>
    </nc>
  </rcc>
  <rcc rId="1383" sId="5">
    <oc r="R29">
      <f>VLOOKUP(A29,INPUT_RANGE,55,FALSE) &amp; " 2b"</f>
    </oc>
    <nc r="R29">
      <f>VLOOKUP(A29,INPUT_RANGE,55,FALSE) &amp; " 2B"</f>
    </nc>
  </rcc>
  <rcc rId="1384" sId="5">
    <oc r="S29">
      <f>VLOOKUP(A29,INPUT_RANGE,56,FALSE) &amp; " 3b"</f>
    </oc>
    <nc r="S29">
      <f>VLOOKUP(A29,INPUT_RANGE,56,FALSE) &amp; " 3B"</f>
    </nc>
  </rcc>
  <rcc rId="1385" sId="5">
    <oc r="T29">
      <f>VLOOKUP(A29,INPUT_RANGE,57,FALSE) &amp; " hr"</f>
    </oc>
    <nc r="T29">
      <f>VLOOKUP(A29,INPUT_RANGE,57,FALSE) &amp; " HR"</f>
    </nc>
  </rcc>
  <rcc rId="1386" sId="5">
    <oc r="U29">
      <f>VLOOKUP(A29,INPUT_RANGE,53,FALSE) &amp; " r"</f>
    </oc>
    <nc r="U29">
      <f>VLOOKUP(A29,INPUT_RANGE,53,FALSE) &amp; " R"</f>
    </nc>
  </rcc>
  <rcc rId="1387" sId="5">
    <oc r="V29">
      <f>TEXT(AX29, ".000") &amp; " obp"</f>
    </oc>
    <nc r="V29">
      <f>TEXT(AX29, ".000") &amp; " OBP"</f>
    </nc>
  </rcc>
  <rcc rId="1388" sId="5">
    <oc r="X29">
      <f>VLOOKUP(A29,INPUT_RANGE,77,FALSE)&amp;" games"</f>
    </oc>
    <nc r="X29">
      <f>VLOOKUP(A29,INPUT_RANGE,77,FALSE)&amp;" games"</f>
    </nc>
  </rcc>
  <rcc rId="1389" sId="5">
    <oc r="Y29">
      <f>VLOOKUP(A29,INPUT_RANGE,78,FALSE) &amp; " starts"</f>
    </oc>
    <nc r="Y29">
      <f>VLOOKUP(A29,INPUT_RANGE,78,FALSE) &amp; " starts"</f>
    </nc>
  </rcc>
  <rcc rId="1390" sId="5">
    <oc r="Z29">
      <f>VLOOKUP(A29,INPUT_RANGE,82,FALSE) &amp; " ip"</f>
    </oc>
    <nc r="Z29">
      <f>VLOOKUP(A29,INPUT_RANGE,82,FALSE) &amp; " IP"</f>
    </nc>
  </rcc>
  <rcc rId="1391" sId="5">
    <oc r="AA29">
      <f>TRUNC(VLOOKUP(A29,INPUT_RANGE,82,FALSE)) &amp;  IF(AR29=0.333,"º",IF(AR29=0.666,"»",""))</f>
    </oc>
    <nc r="AA29">
      <f>TRUNC(VLOOKUP(A29,INPUT_RANGE,82,FALSE)) &amp;  IF(AR29=0.333,"º",IF(AR29=0.666,"»",""))</f>
    </nc>
  </rcc>
  <rcc rId="1392" sId="5">
    <oc r="AB29">
      <f>AA29&amp; " ip"</f>
    </oc>
    <nc r="AB29">
      <f>AA29&amp; " IP"</f>
    </nc>
  </rcc>
  <rcc rId="1393" sId="5">
    <oc r="AC29">
      <f>VLOOKUP(A29,INPUT_RANGE,79,FALSE) &amp; " cg"</f>
    </oc>
    <nc r="AC29">
      <f>VLOOKUP(A29,INPUT_RANGE,79,FALSE) &amp; " CG"</f>
    </nc>
  </rcc>
  <rcc rId="1394" sId="5">
    <oc r="AD29">
      <f>VLOOKUP(A29,INPUT_RANGE,80,FALSE) &amp; " sho"</f>
    </oc>
    <nc r="AD29">
      <f>VLOOKUP(A29,INPUT_RANGE,80,FALSE) &amp; " SHO"</f>
    </nc>
  </rcc>
  <rcc rId="1395" sId="5">
    <oc r="AE29">
      <f>VLOOKUP(A29,INPUT_RANGE,75,FALSE) &amp; " win"</f>
    </oc>
    <nc r="AE29">
      <f>VLOOKUP(A29,INPUT_RANGE,75,FALSE) &amp; " Win"</f>
    </nc>
  </rcc>
  <rcc rId="1396" sId="5">
    <oc r="AF29">
      <f>VLOOKUP(A29,INPUT_RANGE,76,FALSE) &amp; " loss"</f>
    </oc>
    <nc r="AF29">
      <f>VLOOKUP(A29,INPUT_RANGE,76,FALSE) &amp; " Loss"</f>
    </nc>
  </rcc>
  <rcc rId="1397" sId="5">
    <oc r="AG29">
      <f>VLOOKUP(A29,INPUT_RANGE,75,FALSE) &amp; "-" &amp; VLOOKUP(A29,INPUT_RANGE,76,FALSE) &amp; " w-l"</f>
    </oc>
    <nc r="AG29">
      <f>VLOOKUP(A29,INPUT_RANGE,75,FALSE) &amp; "-" &amp; VLOOKUP(A29,INPUT_RANGE,76,FALSE) &amp; " W-L"</f>
    </nc>
  </rcc>
  <rcc rId="1398" sId="5">
    <oc r="AH29">
      <f>VLOOKUP(A29,INPUT_RANGE,81,FALSE)&amp; " saves"</f>
    </oc>
    <nc r="AH29">
      <f>VLOOKUP(A29,INPUT_RANGE,81,FALSE)&amp; " Saves"</f>
    </nc>
  </rcc>
  <rcc rId="1399" sId="5">
    <oc r="AI29">
      <f>VLOOKUP(A29,INPUT_RANGE,83,FALSE) &amp; " h"</f>
    </oc>
    <nc r="AI29">
      <f>VLOOKUP(A29,INPUT_RANGE,83,FALSE) &amp; " H"</f>
    </nc>
  </rcc>
  <rcc rId="1400" sId="5">
    <oc r="AJ29">
      <f>VLOOKUP(A29,INPUT_RANGE,84,FALSE) &amp; " r"</f>
    </oc>
    <nc r="AJ29">
      <f>VLOOKUP(A29,INPUT_RANGE,84,FALSE) &amp; " R"</f>
    </nc>
  </rcc>
  <rcc rId="1401" sId="5">
    <oc r="AK29">
      <f>VLOOKUP(A29,INPUT_RANGE,85,FALSE) &amp;" er"</f>
    </oc>
    <nc r="AK29">
      <f>VLOOKUP(A29,INPUT_RANGE,85,FALSE) &amp;" ER"</f>
    </nc>
  </rcc>
  <rcc rId="1402" sId="5">
    <oc r="AL29">
      <f>VLOOKUP(A29,INPUT_RANGE,88,FALSE) &amp;" hr"</f>
    </oc>
    <nc r="AL29">
      <f>VLOOKUP(A29,INPUT_RANGE,88,FALSE) &amp;" HR"</f>
    </nc>
  </rcc>
  <rcc rId="1403" sId="5">
    <oc r="AM29">
      <f>VLOOKUP(A29,INPUT_RANGE,87,FALSE) &amp; " k"</f>
    </oc>
    <nc r="AM29">
      <f>VLOOKUP(A29,INPUT_RANGE,87,FALSE) &amp; " K"</f>
    </nc>
  </rcc>
  <rcc rId="1404" sId="5">
    <oc r="AN29">
      <f>VLOOKUP(A29,INPUT_RANGE,86,FALSE) &amp; " bb"</f>
    </oc>
    <nc r="AN29">
      <f>VLOOKUP(A29,INPUT_RANGE,86,FALSE) &amp; " BB"</f>
    </nc>
  </rcc>
  <rcc rId="1405" sId="5">
    <oc r="AO29">
      <f>TEXT(AU29,"0.00") &amp; " era"</f>
    </oc>
    <nc r="AO29">
      <f>TEXT(AU29,"0.00") &amp; " ERA"</f>
    </nc>
  </rcc>
  <rcc rId="1406" sId="5">
    <oc r="AP29">
      <f>TEXT(AT29,"0.00") &amp; " whip"</f>
    </oc>
    <nc r="AP29">
      <f>TEXT(AT29,"0.00") &amp; " WHIP"</f>
    </nc>
  </rcc>
  <rcc rId="1407" sId="5">
    <oc r="AQ29">
      <f xml:space="preserve"> IF(LEFT(RIGHT((VLOOKUP(A29,INPUT_RANGE,82,FALSE)),2),1)=".",RIGHT(VLOOKUP(A29,INPUT_RANGE,82,FALSE),1), "X")</f>
    </oc>
    <nc r="AQ29">
      <f xml:space="preserve"> IF(LEFT(RIGHT((VLOOKUP(A29,INPUT_RANGE,82,FALSE)),2),1)=".",RIGHT(VLOOKUP(A29,INPUT_RANGE,82,FALSE),1), "X")</f>
    </nc>
  </rcc>
  <rcc rId="1408" sId="5">
    <oc r="AR29">
      <f>IF(AQ29 ="1",0.333,IF(AQ29="2",0.666,0))</f>
    </oc>
    <nc r="AR29">
      <f>IF(AQ29 ="1",0.333,IF(AQ29="2",0.666,0))</f>
    </nc>
  </rcc>
  <rcc rId="1409" sId="5">
    <oc r="AS29">
      <f>VLOOKUP(A29,INPUT_RANGE,82,FALSE)-(AQ29*0.1)+AR29</f>
    </oc>
    <nc r="AS29">
      <f>VLOOKUP(A29,INPUT_RANGE,82,FALSE)-(AQ29*0.1)+AR29</f>
    </nc>
  </rcc>
  <rcc rId="1410" sId="5">
    <oc r="AT29">
      <f>ROUND((VLOOKUP(A29,INPUT_RANGE,86,FALSE)+VLOOKUP(A29,INPUT_RANGE,83,FALSE))/AS29,2)</f>
    </oc>
    <nc r="AT29">
      <f>ROUND((VLOOKUP(A29,INPUT_RANGE,86,FALSE)+VLOOKUP(A29,INPUT_RANGE,83,FALSE))/AS29,2)</f>
    </nc>
  </rcc>
  <rcc rId="1411" sId="5">
    <oc r="AU29">
      <f>ROUND((VLOOKUP(A29,INPUT_RANGE,85,FALSE)/AS29)*('Team Info'!$H$25),2)</f>
    </oc>
    <nc r="AU29">
      <f>ROUND((VLOOKUP(A29,INPUT_RANGE,85,FALSE)/AS29)*('D:\Data\Softball\[ESPN_BASEBALL_AWAY_OLD.xlsx]Team Info'!$H$25),2)</f>
    </nc>
  </rcc>
  <rcc rId="1412" sId="5">
    <oc r="AW29">
      <f>(VLOOKUP(A29,INPUT_RANGE,54,FALSE)/VLOOKUP(A29,INPUT_RANGE,52,FALSE))</f>
    </oc>
    <nc r="AW29">
      <f>(VLOOKUP(A29,INPUT_RANGE,54,FALSE)/VLOOKUP(A29,INPUT_RANGE,52,FALSE))</f>
    </nc>
  </rcc>
  <rcc rId="1413" sId="5">
    <oc r="AX29">
      <f>((VLOOKUP(A29,INPUT_RANGE,54,FALSE)+VLOOKUP(A29,INPUT_RANGE,60,FALSE)+VLOOKUP(A29,INPUT_RANGE,59,FALSE))/(VLOOKUP(A29,INPUT_RANGE,52,FALSE)+VLOOKUP(A29,INPUT_RANGE,60,FALSE)+VLOOKUP(A29,INPUT_RANGE,59,FALSE)+VLOOKUP(A29,INPUT_RANGE,63,FALSE)))</f>
    </oc>
    <nc r="AX29">
      <f>((VLOOKUP(A29,INPUT_RANGE,54,FALSE)+VLOOKUP(A29,INPUT_RANGE,60,FALSE)+VLOOKUP(A29,INPUT_RANGE,59,FALSE))/(VLOOKUP(A29,INPUT_RANGE,52,FALSE)+VLOOKUP(A29,INPUT_RANGE,60,FALSE)+VLOOKUP(A29,INPUT_RANGE,59,FALSE)+VLOOKUP(A29,INPUT_RANGE,63,FALSE)))</f>
    </nc>
  </rcc>
  <rcc rId="1414" sId="5">
    <oc r="AY29">
      <f>(VLOOKUP(A29,INPUT_RANGE,54)+VLOOKUP(A29,INPUT_RANGE,55)+(VLOOKUP(A29,INPUT_RANGE,56)*2)+(VLOOKUP(A29,INPUT_RANGE,57)*3))/(VLOOKUP(A29,INPUT_RANGE,52))</f>
    </oc>
    <nc r="AY29">
      <f>(VLOOKUP(A29,INPUT_RANGE,54)+VLOOKUP(A29,INPUT_RANGE,55)+(VLOOKUP(A29,INPUT_RANGE,56)*2)+(VLOOKUP(A29,INPUT_RANGE,57)*3))/(VLOOKUP(A29,INPUT_RANGE,52))</f>
    </nc>
  </rcc>
  <rcc rId="1415" sId="5">
    <oc r="AZ29">
      <f>AX29+AY29</f>
    </oc>
    <nc r="AZ29">
      <f>AX29+AY29</f>
    </nc>
  </rcc>
  <rcc rId="1416" sId="5">
    <oc r="BA29">
      <f xml:space="preserve"> TEXT(AZ29,".000") &amp; " ops"</f>
    </oc>
    <nc r="BA29">
      <f xml:space="preserve"> TEXT(AZ29,".000") &amp; " OPS"</f>
    </nc>
  </rcc>
  <rcc rId="1417" sId="5">
    <oc r="BB29">
      <f>VLOOKUP(A29,INPUT_RANGE,78,FALSE)</f>
    </oc>
    <nc r="BB29">
      <f>VLOOKUP(A29,INPUT_RANGE,78,FALSE)</f>
    </nc>
  </rcc>
  <rcc rId="1418" sId="5">
    <oc r="BC29">
      <f>VLOOKUP(A29,INPUT_RANGE,77,FALSE)</f>
    </oc>
    <nc r="BC29">
      <f>VLOOKUP(A29,INPUT_RANGE,77,FALSE)</f>
    </nc>
  </rcc>
  <rcc rId="1419" sId="5">
    <oc r="BD29">
      <f>VLOOKUP(A29,INPUT_RANGE,75,FALSE) &amp; "-" &amp; VLOOKUP(A29,INPUT_RANGE,76,FALSE)</f>
    </oc>
    <nc r="BD29">
      <f>VLOOKUP(A29,INPUT_RANGE,75,FALSE) &amp; "-" &amp; VLOOKUP(A29,INPUT_RANGE,76,FALSE)</f>
    </nc>
  </rcc>
  <rcc rId="1420" sId="5">
    <oc r="BE29">
      <f>AU29</f>
    </oc>
    <nc r="BE29">
      <f>AU29</f>
    </nc>
  </rcc>
  <rcc rId="1421" sId="5">
    <oc r="BF29">
      <f>AA29</f>
    </oc>
    <nc r="BF29">
      <f>AA29</f>
    </nc>
  </rcc>
  <rcc rId="1422" sId="5">
    <oc r="BG29">
      <f>VLOOKUP(A29,INPUT_RANGE,86,FALSE)</f>
    </oc>
    <nc r="BG29">
      <f>VLOOKUP(A29,INPUT_RANGE,86,FALSE)</f>
    </nc>
  </rcc>
  <rcc rId="1423" sId="5">
    <oc r="BH29">
      <f>VLOOKUP(A29,INPUT_RANGE,87,FALSE)</f>
    </oc>
    <nc r="BH29">
      <f>VLOOKUP(A29,INPUT_RANGE,87,FALSE)</f>
    </nc>
  </rcc>
  <rcc rId="1424" sId="5">
    <oc r="BI29">
      <f>VLOOKUP(A29,INPUT_RANGE,81,FALSE) &amp; " SAVES"</f>
    </oc>
    <nc r="BI29">
      <f>VLOOKUP(A29,INPUT_RANGE,81,FALSE) &amp; " SAVES"</f>
    </nc>
  </rcc>
  <rcc rId="1425" sId="5">
    <oc r="BJ29">
      <f>VLOOKUP(A29,INPUT_RANGE,81,FALSE)</f>
    </oc>
    <nc r="BJ29">
      <f>VLOOKUP(A29,INPUT_RANGE,81,FALSE)</f>
    </nc>
  </rcc>
  <rcc rId="1426" sId="5">
    <oc r="BK29">
      <f>VLOOKUP(A29,INPUT_RANGE,83,FALSE)</f>
    </oc>
    <nc r="BK29">
      <f>VLOOKUP(A29,INPUT_RANGE,83,FALSE)</f>
    </nc>
  </rcc>
  <rcc rId="1427" sId="5">
    <oc r="BL29">
      <f>VLOOKUP(A29,INPUT_RANGE,87,FALSE) &amp; "/" &amp; VLOOKUP(A29,INPUT_RANGE,86,FALSE)</f>
    </oc>
    <nc r="BL29">
      <f>VLOOKUP(A29,INPUT_RANGE,87,FALSE) &amp; "/" &amp; VLOOKUP(A29,INPUT_RANGE,86,FALSE)</f>
    </nc>
  </rcc>
  <rcc rId="1428" sId="5">
    <oc r="BM29">
      <f>ROUND((VLOOKUP(A29,INPUT_RANGE,86,FALSE)+VLOOKUP(A29,INPUT_RANGE,83,FALSE))/AS29,2)</f>
    </oc>
    <nc r="BM29">
      <f>ROUND((VLOOKUP(A29,INPUT_RANGE,86,FALSE)+VLOOKUP(A29,INPUT_RANGE,83,FALSE))/AS29,2)</f>
    </nc>
  </rcc>
  <rcc rId="1429" sId="5">
    <oc r="M30">
      <f xml:space="preserve"> TEXT(AW30,".000") &amp; " ba"</f>
    </oc>
    <nc r="M30">
      <f xml:space="preserve"> TEXT(AW30,".000") &amp; " BA"</f>
    </nc>
  </rcc>
  <rcc rId="1430" sId="5">
    <oc r="N30">
      <f>VLOOKUP(A30,INPUT_RANGE,58,FALSE) &amp; " rbi"</f>
    </oc>
    <nc r="N30">
      <f>VLOOKUP(A30,INPUT_RANGE,58,FALSE) &amp; " RBI"</f>
    </nc>
  </rcc>
  <rcc rId="1431" sId="5">
    <oc r="O30">
      <f>VLOOKUP(A30,INPUT_RANGE,60,FALSE) &amp; " bb"</f>
    </oc>
    <nc r="O30">
      <f>VLOOKUP(A30,INPUT_RANGE,60,FALSE) &amp; " BB"</f>
    </nc>
  </rcc>
  <rcc rId="1432" sId="5">
    <oc r="P30">
      <f>VLOOKUP(A30,INPUT_RANGE,61,FALSE) &amp; " k"</f>
    </oc>
    <nc r="P30">
      <f>VLOOKUP(A30,INPUT_RANGE,61,FALSE) &amp; " K"</f>
    </nc>
  </rcc>
  <rcc rId="1433" sId="5">
    <oc r="Q30">
      <f>VLOOKUP(A30,INPUT_RANGE,64,FALSE) &amp; " sb"</f>
    </oc>
    <nc r="Q30">
      <f>VLOOKUP(A30,INPUT_RANGE,64,FALSE) &amp; " SB"</f>
    </nc>
  </rcc>
  <rcc rId="1434" sId="5">
    <oc r="R30">
      <f>VLOOKUP(A30,INPUT_RANGE,55,FALSE) &amp; " 2b"</f>
    </oc>
    <nc r="R30">
      <f>VLOOKUP(A30,INPUT_RANGE,55,FALSE) &amp; " 2B"</f>
    </nc>
  </rcc>
  <rcc rId="1435" sId="5">
    <oc r="S30">
      <f>VLOOKUP(A30,INPUT_RANGE,56,FALSE) &amp; " 3b"</f>
    </oc>
    <nc r="S30">
      <f>VLOOKUP(A30,INPUT_RANGE,56,FALSE) &amp; " 3B"</f>
    </nc>
  </rcc>
  <rcc rId="1436" sId="5">
    <oc r="T30">
      <f>VLOOKUP(A30,INPUT_RANGE,57,FALSE) &amp; " hr"</f>
    </oc>
    <nc r="T30">
      <f>VLOOKUP(A30,INPUT_RANGE,57,FALSE) &amp; " HR"</f>
    </nc>
  </rcc>
  <rcc rId="1437" sId="5">
    <oc r="U30">
      <f>VLOOKUP(A30,INPUT_RANGE,53,FALSE) &amp; " r"</f>
    </oc>
    <nc r="U30">
      <f>VLOOKUP(A30,INPUT_RANGE,53,FALSE) &amp; " R"</f>
    </nc>
  </rcc>
  <rcc rId="1438" sId="5">
    <oc r="V30">
      <f>TEXT(AX30, ".000") &amp; " obp"</f>
    </oc>
    <nc r="V30">
      <f>TEXT(AX30, ".000") &amp; " OBP"</f>
    </nc>
  </rcc>
  <rcc rId="1439" sId="5">
    <oc r="X30">
      <f>VLOOKUP(A30,INPUT_RANGE,77,FALSE)&amp;" games"</f>
    </oc>
    <nc r="X30">
      <f>VLOOKUP(A30,INPUT_RANGE,77,FALSE)&amp;" games"</f>
    </nc>
  </rcc>
  <rcc rId="1440" sId="5">
    <oc r="Y30">
      <f>VLOOKUP(A30,INPUT_RANGE,78,FALSE) &amp; " starts"</f>
    </oc>
    <nc r="Y30">
      <f>VLOOKUP(A30,INPUT_RANGE,78,FALSE) &amp; " starts"</f>
    </nc>
  </rcc>
  <rcc rId="1441" sId="5">
    <oc r="Z30">
      <f>VLOOKUP(A30,INPUT_RANGE,82,FALSE) &amp; " ip"</f>
    </oc>
    <nc r="Z30">
      <f>VLOOKUP(A30,INPUT_RANGE,82,FALSE) &amp; " IP"</f>
    </nc>
  </rcc>
  <rcc rId="1442" sId="5">
    <oc r="AA30">
      <f>TRUNC(VLOOKUP(A30,INPUT_RANGE,82,FALSE)) &amp;  IF(AR30=0.333,"º",IF(AR30=0.666,"»",""))</f>
    </oc>
    <nc r="AA30">
      <f>TRUNC(VLOOKUP(A30,INPUT_RANGE,82,FALSE)) &amp;  IF(AR30=0.333,"º",IF(AR30=0.666,"»",""))</f>
    </nc>
  </rcc>
  <rcc rId="1443" sId="5">
    <oc r="AB30">
      <f>AA30&amp; " ip"</f>
    </oc>
    <nc r="AB30">
      <f>AA30&amp; " IP"</f>
    </nc>
  </rcc>
  <rcc rId="1444" sId="5">
    <oc r="AC30">
      <f>VLOOKUP(A30,INPUT_RANGE,79,FALSE) &amp; " cg"</f>
    </oc>
    <nc r="AC30">
      <f>VLOOKUP(A30,INPUT_RANGE,79,FALSE) &amp; " CG"</f>
    </nc>
  </rcc>
  <rcc rId="1445" sId="5">
    <oc r="AD30">
      <f>VLOOKUP(A30,INPUT_RANGE,80,FALSE) &amp; " sho"</f>
    </oc>
    <nc r="AD30">
      <f>VLOOKUP(A30,INPUT_RANGE,80,FALSE) &amp; " SHO"</f>
    </nc>
  </rcc>
  <rcc rId="1446" sId="5">
    <oc r="AE30">
      <f>VLOOKUP(A30,INPUT_RANGE,75,FALSE) &amp; " win"</f>
    </oc>
    <nc r="AE30">
      <f>VLOOKUP(A30,INPUT_RANGE,75,FALSE) &amp; " Win"</f>
    </nc>
  </rcc>
  <rcc rId="1447" sId="5">
    <oc r="AF30">
      <f>VLOOKUP(A30,INPUT_RANGE,76,FALSE) &amp; " loss"</f>
    </oc>
    <nc r="AF30">
      <f>VLOOKUP(A30,INPUT_RANGE,76,FALSE) &amp; " Loss"</f>
    </nc>
  </rcc>
  <rcc rId="1448" sId="5">
    <oc r="AG30">
      <f>VLOOKUP(A30,INPUT_RANGE,75,FALSE) &amp; "-" &amp; VLOOKUP(A30,INPUT_RANGE,76,FALSE) &amp; " w-l"</f>
    </oc>
    <nc r="AG30">
      <f>VLOOKUP(A30,INPUT_RANGE,75,FALSE) &amp; "-" &amp; VLOOKUP(A30,INPUT_RANGE,76,FALSE) &amp; " W-L"</f>
    </nc>
  </rcc>
  <rcc rId="1449" sId="5">
    <oc r="AH30">
      <f>VLOOKUP(A30,INPUT_RANGE,81,FALSE)&amp; " saves"</f>
    </oc>
    <nc r="AH30">
      <f>VLOOKUP(A30,INPUT_RANGE,81,FALSE)&amp; " Saves"</f>
    </nc>
  </rcc>
  <rcc rId="1450" sId="5">
    <oc r="AI30">
      <f>VLOOKUP(A30,INPUT_RANGE,83,FALSE) &amp; " h"</f>
    </oc>
    <nc r="AI30">
      <f>VLOOKUP(A30,INPUT_RANGE,83,FALSE) &amp; " H"</f>
    </nc>
  </rcc>
  <rcc rId="1451" sId="5">
    <oc r="AJ30">
      <f>VLOOKUP(A30,INPUT_RANGE,84,FALSE) &amp; " r"</f>
    </oc>
    <nc r="AJ30">
      <f>VLOOKUP(A30,INPUT_RANGE,84,FALSE) &amp; " R"</f>
    </nc>
  </rcc>
  <rcc rId="1452" sId="5">
    <oc r="AK30">
      <f>VLOOKUP(A30,INPUT_RANGE,85,FALSE) &amp;" er"</f>
    </oc>
    <nc r="AK30">
      <f>VLOOKUP(A30,INPUT_RANGE,85,FALSE) &amp;" ER"</f>
    </nc>
  </rcc>
  <rcc rId="1453" sId="5">
    <oc r="AL30">
      <f>VLOOKUP(A30,INPUT_RANGE,88,FALSE) &amp;" hr"</f>
    </oc>
    <nc r="AL30">
      <f>VLOOKUP(A30,INPUT_RANGE,88,FALSE) &amp;" HR"</f>
    </nc>
  </rcc>
  <rcc rId="1454" sId="5">
    <oc r="AM30">
      <f>VLOOKUP(A30,INPUT_RANGE,87,FALSE) &amp; " k"</f>
    </oc>
    <nc r="AM30">
      <f>VLOOKUP(A30,INPUT_RANGE,87,FALSE) &amp; " K"</f>
    </nc>
  </rcc>
  <rcc rId="1455" sId="5">
    <oc r="AN30">
      <f>VLOOKUP(A30,INPUT_RANGE,86,FALSE) &amp; " bb"</f>
    </oc>
    <nc r="AN30">
      <f>VLOOKUP(A30,INPUT_RANGE,86,FALSE) &amp; " BB"</f>
    </nc>
  </rcc>
  <rcc rId="1456" sId="5">
    <oc r="AO30">
      <f>TEXT(AU30,"0.00") &amp; " era"</f>
    </oc>
    <nc r="AO30">
      <f>TEXT(AU30,"0.00") &amp; " ERA"</f>
    </nc>
  </rcc>
  <rcc rId="1457" sId="5">
    <oc r="AP30">
      <f>TEXT(AT30,"0.00") &amp; " whip"</f>
    </oc>
    <nc r="AP30">
      <f>TEXT(AT30,"0.00") &amp; " WHIP"</f>
    </nc>
  </rcc>
  <rcc rId="1458" sId="5">
    <oc r="AQ30">
      <f xml:space="preserve"> IF(LEFT(RIGHT((VLOOKUP(A30,INPUT_RANGE,82,FALSE)),2),1)=".",RIGHT(VLOOKUP(A30,INPUT_RANGE,82,FALSE),1), "X")</f>
    </oc>
    <nc r="AQ30">
      <f xml:space="preserve"> IF(LEFT(RIGHT((VLOOKUP(A30,INPUT_RANGE,82,FALSE)),2),1)=".",RIGHT(VLOOKUP(A30,INPUT_RANGE,82,FALSE),1), "X")</f>
    </nc>
  </rcc>
  <rcc rId="1459" sId="5">
    <oc r="AR30">
      <f>IF(AQ30 ="1",0.333,IF(AQ30="2",0.666,0))</f>
    </oc>
    <nc r="AR30">
      <f>IF(AQ30 ="1",0.333,IF(AQ30="2",0.666,0))</f>
    </nc>
  </rcc>
  <rcc rId="1460" sId="5">
    <oc r="AS30">
      <f>VLOOKUP(A30,INPUT_RANGE,82,FALSE)-(AQ30*0.1)+AR30</f>
    </oc>
    <nc r="AS30">
      <f>VLOOKUP(A30,INPUT_RANGE,82,FALSE)-(AQ30*0.1)+AR30</f>
    </nc>
  </rcc>
  <rcc rId="1461" sId="5">
    <oc r="AT30">
      <f>ROUND((VLOOKUP(A30,INPUT_RANGE,86,FALSE)+VLOOKUP(A30,INPUT_RANGE,83,FALSE))/AS30,2)</f>
    </oc>
    <nc r="AT30">
      <f>ROUND((VLOOKUP(A30,INPUT_RANGE,86,FALSE)+VLOOKUP(A30,INPUT_RANGE,83,FALSE))/AS30,2)</f>
    </nc>
  </rcc>
  <rcc rId="1462" sId="5">
    <oc r="AU30">
      <f>ROUND((VLOOKUP(A30,INPUT_RANGE,85,FALSE)/AS30)*('Team Info'!$H$25),2)</f>
    </oc>
    <nc r="AU30">
      <f>ROUND((VLOOKUP(A30,INPUT_RANGE,85,FALSE)/AS30)*('D:\Data\Softball\[ESPN_BASEBALL_AWAY_OLD.xlsx]Team Info'!$H$25),2)</f>
    </nc>
  </rcc>
  <rcc rId="1463" sId="5">
    <oc r="AW30">
      <f>(VLOOKUP(A30,INPUT_RANGE,54,FALSE)/VLOOKUP(A30,INPUT_RANGE,52,FALSE))</f>
    </oc>
    <nc r="AW30">
      <f>(VLOOKUP(A30,INPUT_RANGE,54,FALSE)/VLOOKUP(A30,INPUT_RANGE,52,FALSE))</f>
    </nc>
  </rcc>
  <rcc rId="1464" sId="5">
    <oc r="AX30">
      <f>((VLOOKUP(A30,INPUT_RANGE,54,FALSE)+VLOOKUP(A30,INPUT_RANGE,60,FALSE)+VLOOKUP(A30,INPUT_RANGE,59,FALSE))/(VLOOKUP(A30,INPUT_RANGE,52,FALSE)+VLOOKUP(A30,INPUT_RANGE,60,FALSE)+VLOOKUP(A30,INPUT_RANGE,59,FALSE)+VLOOKUP(A30,INPUT_RANGE,63,FALSE)))</f>
    </oc>
    <nc r="AX30">
      <f>((VLOOKUP(A30,INPUT_RANGE,54,FALSE)+VLOOKUP(A30,INPUT_RANGE,60,FALSE)+VLOOKUP(A30,INPUT_RANGE,59,FALSE))/(VLOOKUP(A30,INPUT_RANGE,52,FALSE)+VLOOKUP(A30,INPUT_RANGE,60,FALSE)+VLOOKUP(A30,INPUT_RANGE,59,FALSE)+VLOOKUP(A30,INPUT_RANGE,63,FALSE)))</f>
    </nc>
  </rcc>
  <rcc rId="1465" sId="5">
    <oc r="AY30">
      <f>(VLOOKUP(A30,INPUT_RANGE,54)+VLOOKUP(A30,INPUT_RANGE,55)+(VLOOKUP(A30,INPUT_RANGE,56)*2)+(VLOOKUP(A30,INPUT_RANGE,57)*3))/(VLOOKUP(A30,INPUT_RANGE,52))</f>
    </oc>
    <nc r="AY30">
      <f>(VLOOKUP(A30,INPUT_RANGE,54)+VLOOKUP(A30,INPUT_RANGE,55)+(VLOOKUP(A30,INPUT_RANGE,56)*2)+(VLOOKUP(A30,INPUT_RANGE,57)*3))/(VLOOKUP(A30,INPUT_RANGE,52))</f>
    </nc>
  </rcc>
  <rcc rId="1466" sId="5">
    <oc r="AZ30">
      <f>AX30+AY30</f>
    </oc>
    <nc r="AZ30">
      <f>AX30+AY30</f>
    </nc>
  </rcc>
  <rcc rId="1467" sId="5">
    <oc r="BA30">
      <f xml:space="preserve"> TEXT(AZ30,".000") &amp; " ops"</f>
    </oc>
    <nc r="BA30">
      <f xml:space="preserve"> TEXT(AZ30,".000") &amp; " OPS"</f>
    </nc>
  </rcc>
  <rcc rId="1468" sId="5">
    <oc r="BB30">
      <f>VLOOKUP(A30,INPUT_RANGE,78,FALSE)</f>
    </oc>
    <nc r="BB30">
      <f>VLOOKUP(A30,INPUT_RANGE,78,FALSE)</f>
    </nc>
  </rcc>
  <rcc rId="1469" sId="5">
    <oc r="BC30">
      <f>VLOOKUP(A30,INPUT_RANGE,77,FALSE)</f>
    </oc>
    <nc r="BC30">
      <f>VLOOKUP(A30,INPUT_RANGE,77,FALSE)</f>
    </nc>
  </rcc>
  <rcc rId="1470" sId="5">
    <oc r="BD30">
      <f>VLOOKUP(A30,INPUT_RANGE,75,FALSE) &amp; "-" &amp; VLOOKUP(A30,INPUT_RANGE,76,FALSE)</f>
    </oc>
    <nc r="BD30">
      <f>VLOOKUP(A30,INPUT_RANGE,75,FALSE) &amp; "-" &amp; VLOOKUP(A30,INPUT_RANGE,76,FALSE)</f>
    </nc>
  </rcc>
  <rcc rId="1471" sId="5">
    <oc r="BE30">
      <f>AU30</f>
    </oc>
    <nc r="BE30">
      <f>AU30</f>
    </nc>
  </rcc>
  <rcc rId="1472" sId="5">
    <oc r="BF30">
      <f>AA30</f>
    </oc>
    <nc r="BF30">
      <f>AA30</f>
    </nc>
  </rcc>
  <rcc rId="1473" sId="5">
    <oc r="BG30">
      <f>VLOOKUP(A30,INPUT_RANGE,86,FALSE)</f>
    </oc>
    <nc r="BG30">
      <f>VLOOKUP(A30,INPUT_RANGE,86,FALSE)</f>
    </nc>
  </rcc>
  <rcc rId="1474" sId="5">
    <oc r="BH30">
      <f>VLOOKUP(A30,INPUT_RANGE,87,FALSE)</f>
    </oc>
    <nc r="BH30">
      <f>VLOOKUP(A30,INPUT_RANGE,87,FALSE)</f>
    </nc>
  </rcc>
  <rcc rId="1475" sId="5">
    <oc r="BI30">
      <f>VLOOKUP(A30,INPUT_RANGE,81,FALSE) &amp; " SAVES"</f>
    </oc>
    <nc r="BI30">
      <f>VLOOKUP(A30,INPUT_RANGE,81,FALSE) &amp; " SAVES"</f>
    </nc>
  </rcc>
  <rcc rId="1476" sId="5">
    <oc r="BJ30">
      <f>VLOOKUP(A30,INPUT_RANGE,81,FALSE)</f>
    </oc>
    <nc r="BJ30">
      <f>VLOOKUP(A30,INPUT_RANGE,81,FALSE)</f>
    </nc>
  </rcc>
  <rcc rId="1477" sId="5">
    <oc r="BK30">
      <f>VLOOKUP(A30,INPUT_RANGE,83,FALSE)</f>
    </oc>
    <nc r="BK30">
      <f>VLOOKUP(A30,INPUT_RANGE,83,FALSE)</f>
    </nc>
  </rcc>
  <rcc rId="1478" sId="5">
    <oc r="BL30">
      <f>VLOOKUP(A30,INPUT_RANGE,87,FALSE) &amp; "/" &amp; VLOOKUP(A30,INPUT_RANGE,86,FALSE)</f>
    </oc>
    <nc r="BL30">
      <f>VLOOKUP(A30,INPUT_RANGE,87,FALSE) &amp; "/" &amp; VLOOKUP(A30,INPUT_RANGE,86,FALSE)</f>
    </nc>
  </rcc>
  <rcc rId="1479" sId="5">
    <oc r="BM30">
      <f>ROUND((VLOOKUP(A30,INPUT_RANGE,86,FALSE)+VLOOKUP(A30,INPUT_RANGE,83,FALSE))/AS30,2)</f>
    </oc>
    <nc r="BM30">
      <f>ROUND((VLOOKUP(A30,INPUT_RANGE,86,FALSE)+VLOOKUP(A30,INPUT_RANGE,83,FALSE))/AS30,2)</f>
    </nc>
  </rcc>
  <rcc rId="1480" sId="5">
    <oc r="M31">
      <f xml:space="preserve"> TEXT(AW31,".000") &amp; " ba"</f>
    </oc>
    <nc r="M31">
      <f xml:space="preserve"> TEXT(AW31,".000") &amp; " BA"</f>
    </nc>
  </rcc>
  <rcc rId="1481" sId="5">
    <oc r="N31">
      <f>VLOOKUP(A31,INPUT_RANGE,58,FALSE) &amp; " rbi"</f>
    </oc>
    <nc r="N31">
      <f>VLOOKUP(A31,INPUT_RANGE,58,FALSE) &amp; " RBI"</f>
    </nc>
  </rcc>
  <rcc rId="1482" sId="5">
    <oc r="O31">
      <f>VLOOKUP(A31,INPUT_RANGE,60,FALSE) &amp; " bb"</f>
    </oc>
    <nc r="O31">
      <f>VLOOKUP(A31,INPUT_RANGE,60,FALSE) &amp; " BB"</f>
    </nc>
  </rcc>
  <rcc rId="1483" sId="5">
    <oc r="P31">
      <f>VLOOKUP(A31,INPUT_RANGE,61,FALSE) &amp; " k"</f>
    </oc>
    <nc r="P31">
      <f>VLOOKUP(A31,INPUT_RANGE,61,FALSE) &amp; " K"</f>
    </nc>
  </rcc>
  <rcc rId="1484" sId="5">
    <oc r="Q31">
      <f>VLOOKUP(A31,INPUT_RANGE,64,FALSE) &amp; " sb"</f>
    </oc>
    <nc r="Q31">
      <f>VLOOKUP(A31,INPUT_RANGE,64,FALSE) &amp; " SB"</f>
    </nc>
  </rcc>
  <rcc rId="1485" sId="5">
    <oc r="R31">
      <f>VLOOKUP(A31,INPUT_RANGE,55,FALSE) &amp; " 2b"</f>
    </oc>
    <nc r="R31">
      <f>VLOOKUP(A31,INPUT_RANGE,55,FALSE) &amp; " 2B"</f>
    </nc>
  </rcc>
  <rcc rId="1486" sId="5">
    <oc r="S31">
      <f>VLOOKUP(A31,INPUT_RANGE,56,FALSE) &amp; " 3b"</f>
    </oc>
    <nc r="S31">
      <f>VLOOKUP(A31,INPUT_RANGE,56,FALSE) &amp; " 3B"</f>
    </nc>
  </rcc>
  <rcc rId="1487" sId="5">
    <oc r="T31">
      <f>VLOOKUP(A31,INPUT_RANGE,57,FALSE) &amp; " hr"</f>
    </oc>
    <nc r="T31">
      <f>VLOOKUP(A31,INPUT_RANGE,57,FALSE) &amp; " HR"</f>
    </nc>
  </rcc>
  <rcc rId="1488" sId="5">
    <oc r="U31">
      <f>VLOOKUP(A31,INPUT_RANGE,53,FALSE) &amp; " r"</f>
    </oc>
    <nc r="U31">
      <f>VLOOKUP(A31,INPUT_RANGE,53,FALSE) &amp; " R"</f>
    </nc>
  </rcc>
  <rcc rId="1489" sId="5">
    <oc r="V31">
      <f>TEXT(AX31, ".000") &amp; " obp"</f>
    </oc>
    <nc r="V31">
      <f>TEXT(AX31, ".000") &amp; " OBP"</f>
    </nc>
  </rcc>
  <rcc rId="1490" sId="5">
    <oc r="X31">
      <f>VLOOKUP(A31,INPUT_RANGE,77,FALSE)&amp;" games"</f>
    </oc>
    <nc r="X31">
      <f>VLOOKUP(A31,INPUT_RANGE,77,FALSE)&amp;" games"</f>
    </nc>
  </rcc>
  <rcc rId="1491" sId="5">
    <oc r="Y31">
      <f>VLOOKUP(A31,INPUT_RANGE,78,FALSE) &amp; " starts"</f>
    </oc>
    <nc r="Y31">
      <f>VLOOKUP(A31,INPUT_RANGE,78,FALSE) &amp; " starts"</f>
    </nc>
  </rcc>
  <rcc rId="1492" sId="5">
    <oc r="Z31">
      <f>VLOOKUP(A31,INPUT_RANGE,82,FALSE) &amp; " ip"</f>
    </oc>
    <nc r="Z31">
      <f>VLOOKUP(A31,INPUT_RANGE,82,FALSE) &amp; " IP"</f>
    </nc>
  </rcc>
  <rcc rId="1493" sId="5">
    <oc r="AA31">
      <f>TRUNC(VLOOKUP(A31,INPUT_RANGE,82,FALSE)) &amp;  IF(AR31=0.333,"º",IF(AR31=0.666,"»",""))</f>
    </oc>
    <nc r="AA31">
      <f>TRUNC(VLOOKUP(A31,INPUT_RANGE,82,FALSE)) &amp;  IF(AR31=0.333,"º",IF(AR31=0.666,"»",""))</f>
    </nc>
  </rcc>
  <rcc rId="1494" sId="5">
    <oc r="AB31">
      <f>AA31&amp; " ip"</f>
    </oc>
    <nc r="AB31">
      <f>AA31&amp; " IP"</f>
    </nc>
  </rcc>
  <rcc rId="1495" sId="5">
    <oc r="AC31">
      <f>VLOOKUP(A31,INPUT_RANGE,79,FALSE) &amp; " cg"</f>
    </oc>
    <nc r="AC31">
      <f>VLOOKUP(A31,INPUT_RANGE,79,FALSE) &amp; " CG"</f>
    </nc>
  </rcc>
  <rcc rId="1496" sId="5">
    <oc r="AD31">
      <f>VLOOKUP(A31,INPUT_RANGE,80,FALSE) &amp; " sho"</f>
    </oc>
    <nc r="AD31">
      <f>VLOOKUP(A31,INPUT_RANGE,80,FALSE) &amp; " SHO"</f>
    </nc>
  </rcc>
  <rcc rId="1497" sId="5">
    <oc r="AE31">
      <f>VLOOKUP(A31,INPUT_RANGE,75,FALSE) &amp; " win"</f>
    </oc>
    <nc r="AE31">
      <f>VLOOKUP(A31,INPUT_RANGE,75,FALSE) &amp; " Win"</f>
    </nc>
  </rcc>
  <rcc rId="1498" sId="5">
    <oc r="AF31">
      <f>VLOOKUP(A31,INPUT_RANGE,76,FALSE) &amp; " loss"</f>
    </oc>
    <nc r="AF31">
      <f>VLOOKUP(A31,INPUT_RANGE,76,FALSE) &amp; " Loss"</f>
    </nc>
  </rcc>
  <rcc rId="1499" sId="5">
    <oc r="AG31">
      <f>VLOOKUP(A31,INPUT_RANGE,75,FALSE) &amp; "-" &amp; VLOOKUP(A31,INPUT_RANGE,76,FALSE) &amp; " w-l"</f>
    </oc>
    <nc r="AG31">
      <f>VLOOKUP(A31,INPUT_RANGE,75,FALSE) &amp; "-" &amp; VLOOKUP(A31,INPUT_RANGE,76,FALSE) &amp; " W-L"</f>
    </nc>
  </rcc>
  <rcc rId="1500" sId="5">
    <oc r="AH31">
      <f>VLOOKUP(A31,INPUT_RANGE,81,FALSE)&amp; " saves"</f>
    </oc>
    <nc r="AH31">
      <f>VLOOKUP(A31,INPUT_RANGE,81,FALSE)&amp; " Saves"</f>
    </nc>
  </rcc>
  <rcc rId="1501" sId="5">
    <oc r="AI31">
      <f>VLOOKUP(A31,INPUT_RANGE,83,FALSE) &amp; " h"</f>
    </oc>
    <nc r="AI31">
      <f>VLOOKUP(A31,INPUT_RANGE,83,FALSE) &amp; " H"</f>
    </nc>
  </rcc>
  <rcc rId="1502" sId="5">
    <oc r="AJ31">
      <f>VLOOKUP(A31,INPUT_RANGE,84,FALSE) &amp; " r"</f>
    </oc>
    <nc r="AJ31">
      <f>VLOOKUP(A31,INPUT_RANGE,84,FALSE) &amp; " R"</f>
    </nc>
  </rcc>
  <rcc rId="1503" sId="5">
    <oc r="AK31">
      <f>VLOOKUP(A31,INPUT_RANGE,85,FALSE) &amp;" er"</f>
    </oc>
    <nc r="AK31">
      <f>VLOOKUP(A31,INPUT_RANGE,85,FALSE) &amp;" ER"</f>
    </nc>
  </rcc>
  <rcc rId="1504" sId="5">
    <oc r="AL31">
      <f>VLOOKUP(A31,INPUT_RANGE,88,FALSE) &amp;" hr"</f>
    </oc>
    <nc r="AL31">
      <f>VLOOKUP(A31,INPUT_RANGE,88,FALSE) &amp;" HR"</f>
    </nc>
  </rcc>
  <rcc rId="1505" sId="5">
    <oc r="AM31">
      <f>VLOOKUP(A31,INPUT_RANGE,87,FALSE) &amp; " k"</f>
    </oc>
    <nc r="AM31">
      <f>VLOOKUP(A31,INPUT_RANGE,87,FALSE) &amp; " K"</f>
    </nc>
  </rcc>
  <rcc rId="1506" sId="5">
    <oc r="AN31">
      <f>VLOOKUP(A31,INPUT_RANGE,86,FALSE) &amp; " bb"</f>
    </oc>
    <nc r="AN31">
      <f>VLOOKUP(A31,INPUT_RANGE,86,FALSE) &amp; " BB"</f>
    </nc>
  </rcc>
  <rcc rId="1507" sId="5">
    <oc r="AO31">
      <f>TEXT(AU31,"0.00") &amp; " era"</f>
    </oc>
    <nc r="AO31">
      <f>TEXT(AU31,"0.00") &amp; " ERA"</f>
    </nc>
  </rcc>
  <rcc rId="1508" sId="5">
    <oc r="AP31">
      <f>TEXT(AT31,"0.00") &amp; " whip"</f>
    </oc>
    <nc r="AP31">
      <f>TEXT(AT31,"0.00") &amp; " WHIP"</f>
    </nc>
  </rcc>
  <rcc rId="1509" sId="5">
    <oc r="AQ31">
      <f xml:space="preserve"> IF(LEFT(RIGHT((VLOOKUP(A31,INPUT_RANGE,82,FALSE)),2),1)=".",RIGHT(VLOOKUP(A31,INPUT_RANGE,82,FALSE),1), "X")</f>
    </oc>
    <nc r="AQ31">
      <f xml:space="preserve"> IF(LEFT(RIGHT((VLOOKUP(A31,INPUT_RANGE,82,FALSE)),2),1)=".",RIGHT(VLOOKUP(A31,INPUT_RANGE,82,FALSE),1), "X")</f>
    </nc>
  </rcc>
  <rcc rId="1510" sId="5">
    <oc r="AR31">
      <f>IF(AQ31 ="1",0.333,IF(AQ31="2",0.666,0))</f>
    </oc>
    <nc r="AR31">
      <f>IF(AQ31 ="1",0.333,IF(AQ31="2",0.666,0))</f>
    </nc>
  </rcc>
  <rcc rId="1511" sId="5">
    <oc r="AS31">
      <f>VLOOKUP(A31,INPUT_RANGE,82,FALSE)-(AQ31*0.1)+AR31</f>
    </oc>
    <nc r="AS31">
      <f>VLOOKUP(A31,INPUT_RANGE,82,FALSE)-(AQ31*0.1)+AR31</f>
    </nc>
  </rcc>
  <rcc rId="1512" sId="5">
    <oc r="AT31">
      <f>ROUND((VLOOKUP(A31,INPUT_RANGE,86,FALSE)+VLOOKUP(A31,INPUT_RANGE,83,FALSE))/AS31,2)</f>
    </oc>
    <nc r="AT31">
      <f>ROUND((VLOOKUP(A31,INPUT_RANGE,86,FALSE)+VLOOKUP(A31,INPUT_RANGE,83,FALSE))/AS31,2)</f>
    </nc>
  </rcc>
  <rcc rId="1513" sId="5">
    <oc r="AU31">
      <f>ROUND((VLOOKUP(A31,INPUT_RANGE,85,FALSE)/AS31)*('Team Info'!$H$25),2)</f>
    </oc>
    <nc r="AU31">
      <f>ROUND((VLOOKUP(A31,INPUT_RANGE,85,FALSE)/AS31)*('D:\Data\Softball\[ESPN_BASEBALL_AWAY_OLD.xlsx]Team Info'!$H$25),2)</f>
    </nc>
  </rcc>
  <rcc rId="1514" sId="5">
    <oc r="AW31">
      <f>(VLOOKUP(A31,INPUT_RANGE,54,FALSE)/VLOOKUP(A31,INPUT_RANGE,52,FALSE))</f>
    </oc>
    <nc r="AW31">
      <f>(VLOOKUP(A31,INPUT_RANGE,54,FALSE)/VLOOKUP(A31,INPUT_RANGE,52,FALSE))</f>
    </nc>
  </rcc>
  <rcc rId="1515" sId="5">
    <oc r="AX31">
      <f>((VLOOKUP(A31,INPUT_RANGE,54,FALSE)+VLOOKUP(A31,INPUT_RANGE,60,FALSE)+VLOOKUP(A31,INPUT_RANGE,59,FALSE))/(VLOOKUP(A31,INPUT_RANGE,52,FALSE)+VLOOKUP(A31,INPUT_RANGE,60,FALSE)+VLOOKUP(A31,INPUT_RANGE,59,FALSE)+VLOOKUP(A31,INPUT_RANGE,63,FALSE)))</f>
    </oc>
    <nc r="AX31">
      <f>((VLOOKUP(A31,INPUT_RANGE,54,FALSE)+VLOOKUP(A31,INPUT_RANGE,60,FALSE)+VLOOKUP(A31,INPUT_RANGE,59,FALSE))/(VLOOKUP(A31,INPUT_RANGE,52,FALSE)+VLOOKUP(A31,INPUT_RANGE,60,FALSE)+VLOOKUP(A31,INPUT_RANGE,59,FALSE)+VLOOKUP(A31,INPUT_RANGE,63,FALSE)))</f>
    </nc>
  </rcc>
  <rcc rId="1516" sId="5">
    <oc r="AY31">
      <f>(VLOOKUP(A31,INPUT_RANGE,54)+VLOOKUP(A31,INPUT_RANGE,55)+(VLOOKUP(A31,INPUT_RANGE,56)*2)+(VLOOKUP(A31,INPUT_RANGE,57)*3))/(VLOOKUP(A31,INPUT_RANGE,52))</f>
    </oc>
    <nc r="AY31">
      <f>(VLOOKUP(A31,INPUT_RANGE,54)+VLOOKUP(A31,INPUT_RANGE,55)+(VLOOKUP(A31,INPUT_RANGE,56)*2)+(VLOOKUP(A31,INPUT_RANGE,57)*3))/(VLOOKUP(A31,INPUT_RANGE,52))</f>
    </nc>
  </rcc>
  <rcc rId="1517" sId="5">
    <oc r="AZ31">
      <f>AX31+AY31</f>
    </oc>
    <nc r="AZ31">
      <f>AX31+AY31</f>
    </nc>
  </rcc>
  <rcc rId="1518" sId="5">
    <oc r="BA31">
      <f xml:space="preserve"> TEXT(AZ31,".000") &amp; " ops"</f>
    </oc>
    <nc r="BA31">
      <f xml:space="preserve"> TEXT(AZ31,".000") &amp; " OPS"</f>
    </nc>
  </rcc>
  <rcc rId="1519" sId="5">
    <oc r="BB31">
      <f>VLOOKUP(A31,INPUT_RANGE,78,FALSE)</f>
    </oc>
    <nc r="BB31">
      <f>VLOOKUP(A31,INPUT_RANGE,78,FALSE)</f>
    </nc>
  </rcc>
  <rcc rId="1520" sId="5">
    <oc r="BC31">
      <f>VLOOKUP(A31,INPUT_RANGE,77,FALSE)</f>
    </oc>
    <nc r="BC31">
      <f>VLOOKUP(A31,INPUT_RANGE,77,FALSE)</f>
    </nc>
  </rcc>
  <rcc rId="1521" sId="5">
    <oc r="BD31">
      <f>VLOOKUP(A31,INPUT_RANGE,75,FALSE) &amp; "-" &amp; VLOOKUP(A31,INPUT_RANGE,76,FALSE)</f>
    </oc>
    <nc r="BD31">
      <f>VLOOKUP(A31,INPUT_RANGE,75,FALSE) &amp; "-" &amp; VLOOKUP(A31,INPUT_RANGE,76,FALSE)</f>
    </nc>
  </rcc>
  <rcc rId="1522" sId="5">
    <oc r="BE31">
      <f>AU31</f>
    </oc>
    <nc r="BE31">
      <f>AU31</f>
    </nc>
  </rcc>
  <rcc rId="1523" sId="5">
    <oc r="BF31">
      <f>AA31</f>
    </oc>
    <nc r="BF31">
      <f>AA31</f>
    </nc>
  </rcc>
  <rcc rId="1524" sId="5">
    <oc r="BG31">
      <f>VLOOKUP(A31,INPUT_RANGE,86,FALSE)</f>
    </oc>
    <nc r="BG31">
      <f>VLOOKUP(A31,INPUT_RANGE,86,FALSE)</f>
    </nc>
  </rcc>
  <rcc rId="1525" sId="5">
    <oc r="BH31">
      <f>VLOOKUP(A31,INPUT_RANGE,87,FALSE)</f>
    </oc>
    <nc r="BH31">
      <f>VLOOKUP(A31,INPUT_RANGE,87,FALSE)</f>
    </nc>
  </rcc>
  <rcc rId="1526" sId="5">
    <oc r="BI31">
      <f>VLOOKUP(A31,INPUT_RANGE,81,FALSE) &amp; " SAVES"</f>
    </oc>
    <nc r="BI31">
      <f>VLOOKUP(A31,INPUT_RANGE,81,FALSE) &amp; " SAVES"</f>
    </nc>
  </rcc>
  <rcc rId="1527" sId="5">
    <oc r="BJ31">
      <f>VLOOKUP(A31,INPUT_RANGE,81,FALSE)</f>
    </oc>
    <nc r="BJ31">
      <f>VLOOKUP(A31,INPUT_RANGE,81,FALSE)</f>
    </nc>
  </rcc>
  <rcc rId="1528" sId="5">
    <oc r="BK31">
      <f>VLOOKUP(A31,INPUT_RANGE,83,FALSE)</f>
    </oc>
    <nc r="BK31">
      <f>VLOOKUP(A31,INPUT_RANGE,83,FALSE)</f>
    </nc>
  </rcc>
  <rcc rId="1529" sId="5">
    <oc r="BL31">
      <f>VLOOKUP(A31,INPUT_RANGE,87,FALSE) &amp; "/" &amp; VLOOKUP(A31,INPUT_RANGE,86,FALSE)</f>
    </oc>
    <nc r="BL31">
      <f>VLOOKUP(A31,INPUT_RANGE,87,FALSE) &amp; "/" &amp; VLOOKUP(A31,INPUT_RANGE,86,FALSE)</f>
    </nc>
  </rcc>
  <rcc rId="1530" sId="5">
    <oc r="BM31">
      <f>ROUND((VLOOKUP(A31,INPUT_RANGE,86,FALSE)+VLOOKUP(A31,INPUT_RANGE,83,FALSE))/AS31,2)</f>
    </oc>
    <nc r="BM31">
      <f>ROUND((VLOOKUP(A31,INPUT_RANGE,86,FALSE)+VLOOKUP(A31,INPUT_RANGE,83,FALSE))/AS31,2)</f>
    </nc>
  </rcc>
  <rcc rId="1531" sId="5">
    <oc r="M32">
      <f xml:space="preserve"> TEXT(AW32,".000") &amp; " ba"</f>
    </oc>
    <nc r="M32">
      <f xml:space="preserve"> TEXT(AW32,".000") &amp; " BA"</f>
    </nc>
  </rcc>
  <rcc rId="1532" sId="5">
    <oc r="N32">
      <f>VLOOKUP(A32,INPUT_RANGE,58,FALSE) &amp; " rbi"</f>
    </oc>
    <nc r="N32">
      <f>VLOOKUP(A32,INPUT_RANGE,58,FALSE) &amp; " RBI"</f>
    </nc>
  </rcc>
  <rcc rId="1533" sId="5">
    <oc r="O32">
      <f>VLOOKUP(A32,INPUT_RANGE,60,FALSE) &amp; " bb"</f>
    </oc>
    <nc r="O32">
      <f>VLOOKUP(A32,INPUT_RANGE,60,FALSE) &amp; " BB"</f>
    </nc>
  </rcc>
  <rcc rId="1534" sId="5">
    <oc r="P32">
      <f>VLOOKUP(A32,INPUT_RANGE,61,FALSE) &amp; " k"</f>
    </oc>
    <nc r="P32">
      <f>VLOOKUP(A32,INPUT_RANGE,61,FALSE) &amp; " K"</f>
    </nc>
  </rcc>
  <rcc rId="1535" sId="5">
    <oc r="Q32">
      <f>VLOOKUP(A32,INPUT_RANGE,64,FALSE) &amp; " sb"</f>
    </oc>
    <nc r="Q32">
      <f>VLOOKUP(A32,INPUT_RANGE,64,FALSE) &amp; " SB"</f>
    </nc>
  </rcc>
  <rcc rId="1536" sId="5">
    <oc r="R32">
      <f>VLOOKUP(A32,INPUT_RANGE,55,FALSE) &amp; " 2b"</f>
    </oc>
    <nc r="R32">
      <f>VLOOKUP(A32,INPUT_RANGE,55,FALSE) &amp; " 2B"</f>
    </nc>
  </rcc>
  <rcc rId="1537" sId="5">
    <oc r="S32">
      <f>VLOOKUP(A32,INPUT_RANGE,56,FALSE) &amp; " 3b"</f>
    </oc>
    <nc r="S32">
      <f>VLOOKUP(A32,INPUT_RANGE,56,FALSE) &amp; " 3B"</f>
    </nc>
  </rcc>
  <rcc rId="1538" sId="5">
    <oc r="T32">
      <f>VLOOKUP(A32,INPUT_RANGE,57,FALSE) &amp; " hr"</f>
    </oc>
    <nc r="T32">
      <f>VLOOKUP(A32,INPUT_RANGE,57,FALSE) &amp; " HR"</f>
    </nc>
  </rcc>
  <rcc rId="1539" sId="5">
    <oc r="U32">
      <f>VLOOKUP(A32,INPUT_RANGE,53,FALSE) &amp; " r"</f>
    </oc>
    <nc r="U32">
      <f>VLOOKUP(A32,INPUT_RANGE,53,FALSE) &amp; " R"</f>
    </nc>
  </rcc>
  <rcc rId="1540" sId="5">
    <oc r="V32">
      <f>TEXT(AX32, ".000") &amp; " obp"</f>
    </oc>
    <nc r="V32">
      <f>TEXT(AX32, ".000") &amp; " OBP"</f>
    </nc>
  </rcc>
  <rcc rId="1541" sId="5">
    <oc r="X32">
      <f>VLOOKUP(A32,INPUT_RANGE,77,FALSE)&amp;" games"</f>
    </oc>
    <nc r="X32">
      <f>VLOOKUP(A32,INPUT_RANGE,77,FALSE)&amp;" games"</f>
    </nc>
  </rcc>
  <rcc rId="1542" sId="5">
    <oc r="Y32">
      <f>VLOOKUP(A32,INPUT_RANGE,78,FALSE) &amp; " starts"</f>
    </oc>
    <nc r="Y32">
      <f>VLOOKUP(A32,INPUT_RANGE,78,FALSE) &amp; " starts"</f>
    </nc>
  </rcc>
  <rcc rId="1543" sId="5">
    <oc r="Z32">
      <f>VLOOKUP(A32,INPUT_RANGE,82,FALSE) &amp; " ip"</f>
    </oc>
    <nc r="Z32">
      <f>VLOOKUP(A32,INPUT_RANGE,82,FALSE) &amp; " IP"</f>
    </nc>
  </rcc>
  <rcc rId="1544" sId="5">
    <oc r="AA32">
      <f>TRUNC(VLOOKUP(A32,INPUT_RANGE,82,FALSE)) &amp;  IF(AR32=0.333,"º",IF(AR32=0.666,"»",""))</f>
    </oc>
    <nc r="AA32">
      <f>TRUNC(VLOOKUP(A32,INPUT_RANGE,82,FALSE)) &amp;  IF(AR32=0.333,"º",IF(AR32=0.666,"»",""))</f>
    </nc>
  </rcc>
  <rcc rId="1545" sId="5">
    <oc r="AB32">
      <f>AA32&amp; " ip"</f>
    </oc>
    <nc r="AB32">
      <f>AA32&amp; " IP"</f>
    </nc>
  </rcc>
  <rcc rId="1546" sId="5">
    <oc r="AC32">
      <f>VLOOKUP(A32,INPUT_RANGE,79,FALSE) &amp; " cg"</f>
    </oc>
    <nc r="AC32">
      <f>VLOOKUP(A32,INPUT_RANGE,79,FALSE) &amp; " CG"</f>
    </nc>
  </rcc>
  <rcc rId="1547" sId="5">
    <oc r="AD32">
      <f>VLOOKUP(A32,INPUT_RANGE,80,FALSE) &amp; " sho"</f>
    </oc>
    <nc r="AD32">
      <f>VLOOKUP(A32,INPUT_RANGE,80,FALSE) &amp; " SHO"</f>
    </nc>
  </rcc>
  <rcc rId="1548" sId="5">
    <oc r="AE32">
      <f>VLOOKUP(A32,INPUT_RANGE,75,FALSE) &amp; " win"</f>
    </oc>
    <nc r="AE32">
      <f>VLOOKUP(A32,INPUT_RANGE,75,FALSE) &amp; " Win"</f>
    </nc>
  </rcc>
  <rcc rId="1549" sId="5">
    <oc r="AF32">
      <f>VLOOKUP(A32,INPUT_RANGE,76,FALSE) &amp; " loss"</f>
    </oc>
    <nc r="AF32">
      <f>VLOOKUP(A32,INPUT_RANGE,76,FALSE) &amp; " Loss"</f>
    </nc>
  </rcc>
  <rcc rId="1550" sId="5">
    <oc r="AG32">
      <f>VLOOKUP(A32,INPUT_RANGE,75,FALSE) &amp; "-" &amp; VLOOKUP(A32,INPUT_RANGE,76,FALSE) &amp; " w-l"</f>
    </oc>
    <nc r="AG32">
      <f>VLOOKUP(A32,INPUT_RANGE,75,FALSE) &amp; "-" &amp; VLOOKUP(A32,INPUT_RANGE,76,FALSE) &amp; " W-L"</f>
    </nc>
  </rcc>
  <rcc rId="1551" sId="5">
    <oc r="AH32">
      <f>VLOOKUP(A32,INPUT_RANGE,81,FALSE)&amp; " saves"</f>
    </oc>
    <nc r="AH32">
      <f>VLOOKUP(A32,INPUT_RANGE,81,FALSE)&amp; " Saves"</f>
    </nc>
  </rcc>
  <rcc rId="1552" sId="5">
    <oc r="AI32">
      <f>VLOOKUP(A32,INPUT_RANGE,83,FALSE) &amp; " h"</f>
    </oc>
    <nc r="AI32">
      <f>VLOOKUP(A32,INPUT_RANGE,83,FALSE) &amp; " H"</f>
    </nc>
  </rcc>
  <rcc rId="1553" sId="5">
    <oc r="AJ32">
      <f>VLOOKUP(A32,INPUT_RANGE,84,FALSE) &amp; " r"</f>
    </oc>
    <nc r="AJ32">
      <f>VLOOKUP(A32,INPUT_RANGE,84,FALSE) &amp; " R"</f>
    </nc>
  </rcc>
  <rcc rId="1554" sId="5">
    <oc r="AK32">
      <f>VLOOKUP(A32,INPUT_RANGE,85,FALSE) &amp;" er"</f>
    </oc>
    <nc r="AK32">
      <f>VLOOKUP(A32,INPUT_RANGE,85,FALSE) &amp;" ER"</f>
    </nc>
  </rcc>
  <rcc rId="1555" sId="5">
    <oc r="AL32">
      <f>VLOOKUP(A32,INPUT_RANGE,88,FALSE) &amp;" hr"</f>
    </oc>
    <nc r="AL32">
      <f>VLOOKUP(A32,INPUT_RANGE,88,FALSE) &amp;" HR"</f>
    </nc>
  </rcc>
  <rcc rId="1556" sId="5">
    <oc r="AM32">
      <f>VLOOKUP(A32,INPUT_RANGE,87,FALSE) &amp; " k"</f>
    </oc>
    <nc r="AM32">
      <f>VLOOKUP(A32,INPUT_RANGE,87,FALSE) &amp; " K"</f>
    </nc>
  </rcc>
  <rcc rId="1557" sId="5">
    <oc r="AN32">
      <f>VLOOKUP(A32,INPUT_RANGE,86,FALSE) &amp; " bb"</f>
    </oc>
    <nc r="AN32">
      <f>VLOOKUP(A32,INPUT_RANGE,86,FALSE) &amp; " BB"</f>
    </nc>
  </rcc>
  <rcc rId="1558" sId="5">
    <oc r="AO32">
      <f>TEXT(AU32,"0.00") &amp; " era"</f>
    </oc>
    <nc r="AO32">
      <f>TEXT(AU32,"0.00") &amp; " ERA"</f>
    </nc>
  </rcc>
  <rcc rId="1559" sId="5">
    <oc r="AP32">
      <f>TEXT(AT32,"0.00") &amp; " whip"</f>
    </oc>
    <nc r="AP32">
      <f>TEXT(AT32,"0.00") &amp; " WHIP"</f>
    </nc>
  </rcc>
  <rcc rId="1560" sId="5">
    <oc r="AQ32">
      <f xml:space="preserve"> IF(LEFT(RIGHT((VLOOKUP(A32,INPUT_RANGE,82,FALSE)),2),1)=".",RIGHT(VLOOKUP(A32,INPUT_RANGE,82,FALSE),1), "X")</f>
    </oc>
    <nc r="AQ32">
      <f xml:space="preserve"> IF(LEFT(RIGHT((VLOOKUP(A32,INPUT_RANGE,82,FALSE)),2),1)=".",RIGHT(VLOOKUP(A32,INPUT_RANGE,82,FALSE),1), "X")</f>
    </nc>
  </rcc>
  <rcc rId="1561" sId="5">
    <oc r="AR32">
      <f>IF(AQ32 ="1",0.333,IF(AQ32="2",0.666,0))</f>
    </oc>
    <nc r="AR32">
      <f>IF(AQ32 ="1",0.333,IF(AQ32="2",0.666,0))</f>
    </nc>
  </rcc>
  <rcc rId="1562" sId="5">
    <oc r="AS32">
      <f>VLOOKUP(A32,INPUT_RANGE,82,FALSE)-(AQ32*0.1)+AR32</f>
    </oc>
    <nc r="AS32">
      <f>VLOOKUP(A32,INPUT_RANGE,82,FALSE)-(AQ32*0.1)+AR32</f>
    </nc>
  </rcc>
  <rcc rId="1563" sId="5">
    <oc r="AT32">
      <f>ROUND((VLOOKUP(A32,INPUT_RANGE,86,FALSE)+VLOOKUP(A32,INPUT_RANGE,83,FALSE))/AS32,2)</f>
    </oc>
    <nc r="AT32">
      <f>ROUND((VLOOKUP(A32,INPUT_RANGE,86,FALSE)+VLOOKUP(A32,INPUT_RANGE,83,FALSE))/AS32,2)</f>
    </nc>
  </rcc>
  <rcc rId="1564" sId="5">
    <oc r="AU32">
      <f>ROUND((VLOOKUP(A32,INPUT_RANGE,85,FALSE)/AS32)*('Team Info'!$H$25),2)</f>
    </oc>
    <nc r="AU32">
      <f>ROUND((VLOOKUP(A32,INPUT_RANGE,85,FALSE)/AS32)*('D:\Data\Softball\[ESPN_BASEBALL_AWAY_OLD.xlsx]Team Info'!$H$25),2)</f>
    </nc>
  </rcc>
  <rcc rId="1565" sId="5">
    <oc r="AW32">
      <f>(VLOOKUP(A32,INPUT_RANGE,54,FALSE)/VLOOKUP(A32,INPUT_RANGE,52,FALSE))</f>
    </oc>
    <nc r="AW32">
      <f>(VLOOKUP(A32,INPUT_RANGE,54,FALSE)/VLOOKUP(A32,INPUT_RANGE,52,FALSE))</f>
    </nc>
  </rcc>
  <rcc rId="1566" sId="5">
    <oc r="AX32">
      <f>((VLOOKUP(A32,INPUT_RANGE,54,FALSE)+VLOOKUP(A32,INPUT_RANGE,60,FALSE)+VLOOKUP(A32,INPUT_RANGE,59,FALSE))/(VLOOKUP(A32,INPUT_RANGE,52,FALSE)+VLOOKUP(A32,INPUT_RANGE,60,FALSE)+VLOOKUP(A32,INPUT_RANGE,59,FALSE)+VLOOKUP(A32,INPUT_RANGE,63,FALSE)))</f>
    </oc>
    <nc r="AX32">
      <f>((VLOOKUP(A32,INPUT_RANGE,54,FALSE)+VLOOKUP(A32,INPUT_RANGE,60,FALSE)+VLOOKUP(A32,INPUT_RANGE,59,FALSE))/(VLOOKUP(A32,INPUT_RANGE,52,FALSE)+VLOOKUP(A32,INPUT_RANGE,60,FALSE)+VLOOKUP(A32,INPUT_RANGE,59,FALSE)+VLOOKUP(A32,INPUT_RANGE,63,FALSE)))</f>
    </nc>
  </rcc>
  <rcc rId="1567" sId="5">
    <oc r="AY32">
      <f>(VLOOKUP(A32,INPUT_RANGE,54)+VLOOKUP(A32,INPUT_RANGE,55)+(VLOOKUP(A32,INPUT_RANGE,56)*2)+(VLOOKUP(A32,INPUT_RANGE,57)*3))/(VLOOKUP(A32,INPUT_RANGE,52))</f>
    </oc>
    <nc r="AY32">
      <f>(VLOOKUP(A32,INPUT_RANGE,54)+VLOOKUP(A32,INPUT_RANGE,55)+(VLOOKUP(A32,INPUT_RANGE,56)*2)+(VLOOKUP(A32,INPUT_RANGE,57)*3))/(VLOOKUP(A32,INPUT_RANGE,52))</f>
    </nc>
  </rcc>
  <rcc rId="1568" sId="5">
    <oc r="AZ32">
      <f>AX32+AY32</f>
    </oc>
    <nc r="AZ32">
      <f>AX32+AY32</f>
    </nc>
  </rcc>
  <rcc rId="1569" sId="5">
    <oc r="BA32">
      <f xml:space="preserve"> TEXT(AZ32,".000") &amp; " ops"</f>
    </oc>
    <nc r="BA32">
      <f xml:space="preserve"> TEXT(AZ32,".000") &amp; " OPS"</f>
    </nc>
  </rcc>
  <rcc rId="1570" sId="5">
    <oc r="BB32">
      <f>VLOOKUP(A32,INPUT_RANGE,78,FALSE)</f>
    </oc>
    <nc r="BB32">
      <f>VLOOKUP(A32,INPUT_RANGE,78,FALSE)</f>
    </nc>
  </rcc>
  <rcc rId="1571" sId="5">
    <oc r="BC32">
      <f>VLOOKUP(A32,INPUT_RANGE,77,FALSE)</f>
    </oc>
    <nc r="BC32">
      <f>VLOOKUP(A32,INPUT_RANGE,77,FALSE)</f>
    </nc>
  </rcc>
  <rcc rId="1572" sId="5">
    <oc r="BD32">
      <f>VLOOKUP(A32,INPUT_RANGE,75,FALSE) &amp; "-" &amp; VLOOKUP(A32,INPUT_RANGE,76,FALSE)</f>
    </oc>
    <nc r="BD32">
      <f>VLOOKUP(A32,INPUT_RANGE,75,FALSE) &amp; "-" &amp; VLOOKUP(A32,INPUT_RANGE,76,FALSE)</f>
    </nc>
  </rcc>
  <rcc rId="1573" sId="5">
    <oc r="BE32">
      <f>AU32</f>
    </oc>
    <nc r="BE32">
      <f>AU32</f>
    </nc>
  </rcc>
  <rcc rId="1574" sId="5">
    <oc r="BF32">
      <f>AA32</f>
    </oc>
    <nc r="BF32">
      <f>AA32</f>
    </nc>
  </rcc>
  <rcc rId="1575" sId="5">
    <oc r="BG32">
      <f>VLOOKUP(A32,INPUT_RANGE,86,FALSE)</f>
    </oc>
    <nc r="BG32">
      <f>VLOOKUP(A32,INPUT_RANGE,86,FALSE)</f>
    </nc>
  </rcc>
  <rcc rId="1576" sId="5">
    <oc r="BH32">
      <f>VLOOKUP(A32,INPUT_RANGE,87,FALSE)</f>
    </oc>
    <nc r="BH32">
      <f>VLOOKUP(A32,INPUT_RANGE,87,FALSE)</f>
    </nc>
  </rcc>
  <rcc rId="1577" sId="5">
    <oc r="BI32">
      <f>VLOOKUP(A32,INPUT_RANGE,81,FALSE) &amp; " SAVES"</f>
    </oc>
    <nc r="BI32">
      <f>VLOOKUP(A32,INPUT_RANGE,81,FALSE) &amp; " SAVES"</f>
    </nc>
  </rcc>
  <rcc rId="1578" sId="5">
    <oc r="BJ32">
      <f>VLOOKUP(A32,INPUT_RANGE,81,FALSE)</f>
    </oc>
    <nc r="BJ32">
      <f>VLOOKUP(A32,INPUT_RANGE,81,FALSE)</f>
    </nc>
  </rcc>
  <rcc rId="1579" sId="5">
    <oc r="BK32">
      <f>VLOOKUP(A32,INPUT_RANGE,83,FALSE)</f>
    </oc>
    <nc r="BK32">
      <f>VLOOKUP(A32,INPUT_RANGE,83,FALSE)</f>
    </nc>
  </rcc>
  <rcc rId="1580" sId="5">
    <oc r="BL32">
      <f>VLOOKUP(A32,INPUT_RANGE,87,FALSE) &amp; "/" &amp; VLOOKUP(A32,INPUT_RANGE,86,FALSE)</f>
    </oc>
    <nc r="BL32">
      <f>VLOOKUP(A32,INPUT_RANGE,87,FALSE) &amp; "/" &amp; VLOOKUP(A32,INPUT_RANGE,86,FALSE)</f>
    </nc>
  </rcc>
  <rcc rId="1581" sId="5">
    <oc r="BM32">
      <f>ROUND((VLOOKUP(A32,INPUT_RANGE,86,FALSE)+VLOOKUP(A32,INPUT_RANGE,83,FALSE))/AS32,2)</f>
    </oc>
    <nc r="BM32">
      <f>ROUND((VLOOKUP(A32,INPUT_RANGE,86,FALSE)+VLOOKUP(A32,INPUT_RANGE,83,FALSE))/AS32,2)</f>
    </nc>
  </rcc>
  <rcc rId="1582" sId="5">
    <oc r="M33">
      <f xml:space="preserve"> TEXT(AW33,".000") &amp; " ba"</f>
    </oc>
    <nc r="M33">
      <f xml:space="preserve"> TEXT(AW33,".000") &amp; " BA"</f>
    </nc>
  </rcc>
  <rcc rId="1583" sId="5">
    <oc r="N33">
      <f>VLOOKUP(A33,INPUT_RANGE,58,FALSE) &amp; " rbi"</f>
    </oc>
    <nc r="N33">
      <f>VLOOKUP(A33,INPUT_RANGE,58,FALSE) &amp; " RBI"</f>
    </nc>
  </rcc>
  <rcc rId="1584" sId="5">
    <oc r="O33">
      <f>VLOOKUP(A33,INPUT_RANGE,60,FALSE) &amp; " bb"</f>
    </oc>
    <nc r="O33">
      <f>VLOOKUP(A33,INPUT_RANGE,60,FALSE) &amp; " BB"</f>
    </nc>
  </rcc>
  <rcc rId="1585" sId="5">
    <oc r="P33">
      <f>VLOOKUP(A33,INPUT_RANGE,61,FALSE) &amp; " k"</f>
    </oc>
    <nc r="P33">
      <f>VLOOKUP(A33,INPUT_RANGE,61,FALSE) &amp; " K"</f>
    </nc>
  </rcc>
  <rcc rId="1586" sId="5">
    <oc r="Q33">
      <f>VLOOKUP(A33,INPUT_RANGE,64,FALSE) &amp; " sb"</f>
    </oc>
    <nc r="Q33">
      <f>VLOOKUP(A33,INPUT_RANGE,64,FALSE) &amp; " SB"</f>
    </nc>
  </rcc>
  <rcc rId="1587" sId="5">
    <oc r="R33">
      <f>VLOOKUP(A33,INPUT_RANGE,55,FALSE) &amp; " 2b"</f>
    </oc>
    <nc r="R33">
      <f>VLOOKUP(A33,INPUT_RANGE,55,FALSE) &amp; " 2B"</f>
    </nc>
  </rcc>
  <rcc rId="1588" sId="5">
    <oc r="S33">
      <f>VLOOKUP(A33,INPUT_RANGE,56,FALSE) &amp; " 3b"</f>
    </oc>
    <nc r="S33">
      <f>VLOOKUP(A33,INPUT_RANGE,56,FALSE) &amp; " 3B"</f>
    </nc>
  </rcc>
  <rcc rId="1589" sId="5">
    <oc r="T33">
      <f>VLOOKUP(A33,INPUT_RANGE,57,FALSE) &amp; " hr"</f>
    </oc>
    <nc r="T33">
      <f>VLOOKUP(A33,INPUT_RANGE,57,FALSE) &amp; " HR"</f>
    </nc>
  </rcc>
  <rcc rId="1590" sId="5">
    <oc r="U33">
      <f>VLOOKUP(A33,INPUT_RANGE,53,FALSE) &amp; " r"</f>
    </oc>
    <nc r="U33">
      <f>VLOOKUP(A33,INPUT_RANGE,53,FALSE) &amp; " R"</f>
    </nc>
  </rcc>
  <rcc rId="1591" sId="5">
    <oc r="V33">
      <f>TEXT(AX33, ".000") &amp; " obp"</f>
    </oc>
    <nc r="V33">
      <f>TEXT(AX33, ".000") &amp; " OBP"</f>
    </nc>
  </rcc>
  <rcc rId="1592" sId="5">
    <oc r="X33">
      <f>VLOOKUP(A33,INPUT_RANGE,77,FALSE)&amp;" games"</f>
    </oc>
    <nc r="X33">
      <f>VLOOKUP(A33,INPUT_RANGE,77,FALSE)&amp;" games"</f>
    </nc>
  </rcc>
  <rcc rId="1593" sId="5">
    <oc r="Y33">
      <f>VLOOKUP(A33,INPUT_RANGE,78,FALSE) &amp; " starts"</f>
    </oc>
    <nc r="Y33">
      <f>VLOOKUP(A33,INPUT_RANGE,78,FALSE) &amp; " starts"</f>
    </nc>
  </rcc>
  <rcc rId="1594" sId="5">
    <oc r="Z33">
      <f>VLOOKUP(A33,INPUT_RANGE,82,FALSE) &amp; " ip"</f>
    </oc>
    <nc r="Z33">
      <f>VLOOKUP(A33,INPUT_RANGE,82,FALSE) &amp; " IP"</f>
    </nc>
  </rcc>
  <rcc rId="1595" sId="5">
    <oc r="AA33">
      <f>TRUNC(VLOOKUP(A33,INPUT_RANGE,82,FALSE)) &amp;  IF(AR33=0.333,"º",IF(AR33=0.666,"»",""))</f>
    </oc>
    <nc r="AA33">
      <f>TRUNC(VLOOKUP(A33,INPUT_RANGE,82,FALSE)) &amp;  IF(AR33=0.333,"º",IF(AR33=0.666,"»",""))</f>
    </nc>
  </rcc>
  <rcc rId="1596" sId="5">
    <oc r="AB33">
      <f>AA33&amp; " ip"</f>
    </oc>
    <nc r="AB33">
      <f>AA33&amp; " IP"</f>
    </nc>
  </rcc>
  <rcc rId="1597" sId="5">
    <oc r="AC33">
      <f>VLOOKUP(A33,INPUT_RANGE,79,FALSE) &amp; " cg"</f>
    </oc>
    <nc r="AC33">
      <f>VLOOKUP(A33,INPUT_RANGE,79,FALSE) &amp; " CG"</f>
    </nc>
  </rcc>
  <rcc rId="1598" sId="5">
    <oc r="AD33">
      <f>VLOOKUP(A33,INPUT_RANGE,80,FALSE) &amp; " sho"</f>
    </oc>
    <nc r="AD33">
      <f>VLOOKUP(A33,INPUT_RANGE,80,FALSE) &amp; " SHO"</f>
    </nc>
  </rcc>
  <rcc rId="1599" sId="5">
    <oc r="AE33">
      <f>VLOOKUP(A33,INPUT_RANGE,75,FALSE) &amp; " win"</f>
    </oc>
    <nc r="AE33">
      <f>VLOOKUP(A33,INPUT_RANGE,75,FALSE) &amp; " Win"</f>
    </nc>
  </rcc>
  <rcc rId="1600" sId="5">
    <oc r="AF33">
      <f>VLOOKUP(A33,INPUT_RANGE,76,FALSE) &amp; " loss"</f>
    </oc>
    <nc r="AF33">
      <f>VLOOKUP(A33,INPUT_RANGE,76,FALSE) &amp; " Loss"</f>
    </nc>
  </rcc>
  <rcc rId="1601" sId="5">
    <oc r="AG33">
      <f>VLOOKUP(A33,INPUT_RANGE,75,FALSE) &amp; "-" &amp; VLOOKUP(A33,INPUT_RANGE,76,FALSE) &amp; " w-l"</f>
    </oc>
    <nc r="AG33">
      <f>VLOOKUP(A33,INPUT_RANGE,75,FALSE) &amp; "-" &amp; VLOOKUP(A33,INPUT_RANGE,76,FALSE) &amp; " W-L"</f>
    </nc>
  </rcc>
  <rcc rId="1602" sId="5">
    <oc r="AH33">
      <f>VLOOKUP(A33,INPUT_RANGE,81,FALSE)&amp; " saves"</f>
    </oc>
    <nc r="AH33">
      <f>VLOOKUP(A33,INPUT_RANGE,81,FALSE)&amp; " Saves"</f>
    </nc>
  </rcc>
  <rcc rId="1603" sId="5">
    <oc r="AI33">
      <f>VLOOKUP(A33,INPUT_RANGE,83,FALSE) &amp; " h"</f>
    </oc>
    <nc r="AI33">
      <f>VLOOKUP(A33,INPUT_RANGE,83,FALSE) &amp; " H"</f>
    </nc>
  </rcc>
  <rcc rId="1604" sId="5">
    <oc r="AJ33">
      <f>VLOOKUP(A33,INPUT_RANGE,84,FALSE) &amp; " r"</f>
    </oc>
    <nc r="AJ33">
      <f>VLOOKUP(A33,INPUT_RANGE,84,FALSE) &amp; " R"</f>
    </nc>
  </rcc>
  <rcc rId="1605" sId="5">
    <oc r="AK33">
      <f>VLOOKUP(A33,INPUT_RANGE,85,FALSE) &amp;" er"</f>
    </oc>
    <nc r="AK33">
      <f>VLOOKUP(A33,INPUT_RANGE,85,FALSE) &amp;" ER"</f>
    </nc>
  </rcc>
  <rcc rId="1606" sId="5">
    <oc r="AL33">
      <f>VLOOKUP(A33,INPUT_RANGE,88,FALSE) &amp;" hr"</f>
    </oc>
    <nc r="AL33">
      <f>VLOOKUP(A33,INPUT_RANGE,88,FALSE) &amp;" HR"</f>
    </nc>
  </rcc>
  <rcc rId="1607" sId="5">
    <oc r="AM33">
      <f>VLOOKUP(A33,INPUT_RANGE,87,FALSE) &amp; " k"</f>
    </oc>
    <nc r="AM33">
      <f>VLOOKUP(A33,INPUT_RANGE,87,FALSE) &amp; " K"</f>
    </nc>
  </rcc>
  <rcc rId="1608" sId="5">
    <oc r="AN33">
      <f>VLOOKUP(A33,INPUT_RANGE,86,FALSE) &amp; " bb"</f>
    </oc>
    <nc r="AN33">
      <f>VLOOKUP(A33,INPUT_RANGE,86,FALSE) &amp; " BB"</f>
    </nc>
  </rcc>
  <rcc rId="1609" sId="5">
    <oc r="AO33">
      <f>TEXT(AU33,"0.00") &amp; " era"</f>
    </oc>
    <nc r="AO33">
      <f>TEXT(AU33,"0.00") &amp; " ERA"</f>
    </nc>
  </rcc>
  <rcc rId="1610" sId="5">
    <oc r="AP33">
      <f>TEXT(AT33,"0.00") &amp; " whip"</f>
    </oc>
    <nc r="AP33">
      <f>TEXT(AT33,"0.00") &amp; " WHIP"</f>
    </nc>
  </rcc>
  <rcc rId="1611" sId="5">
    <oc r="AQ33">
      <f xml:space="preserve"> IF(LEFT(RIGHT((VLOOKUP(A33,INPUT_RANGE,82,FALSE)),2),1)=".",RIGHT(VLOOKUP(A33,INPUT_RANGE,82,FALSE),1), "X")</f>
    </oc>
    <nc r="AQ33">
      <f xml:space="preserve"> IF(LEFT(RIGHT((VLOOKUP(A33,INPUT_RANGE,82,FALSE)),2),1)=".",RIGHT(VLOOKUP(A33,INPUT_RANGE,82,FALSE),1), "X")</f>
    </nc>
  </rcc>
  <rcc rId="1612" sId="5">
    <oc r="AR33">
      <f>IF(AQ33 ="1",0.333,IF(AQ33="2",0.666,0))</f>
    </oc>
    <nc r="AR33">
      <f>IF(AQ33 ="1",0.333,IF(AQ33="2",0.666,0))</f>
    </nc>
  </rcc>
  <rcc rId="1613" sId="5">
    <oc r="AS33">
      <f>VLOOKUP(A33,INPUT_RANGE,82,FALSE)-(AQ33*0.1)+AR33</f>
    </oc>
    <nc r="AS33">
      <f>VLOOKUP(A33,INPUT_RANGE,82,FALSE)-(AQ33*0.1)+AR33</f>
    </nc>
  </rcc>
  <rcc rId="1614" sId="5">
    <oc r="AT33">
      <f>ROUND((VLOOKUP(A33,INPUT_RANGE,86,FALSE)+VLOOKUP(A33,INPUT_RANGE,83,FALSE))/AS33,2)</f>
    </oc>
    <nc r="AT33">
      <f>ROUND((VLOOKUP(A33,INPUT_RANGE,86,FALSE)+VLOOKUP(A33,INPUT_RANGE,83,FALSE))/AS33,2)</f>
    </nc>
  </rcc>
  <rcc rId="1615" sId="5">
    <oc r="AU33">
      <f>ROUND((VLOOKUP(A33,INPUT_RANGE,85,FALSE)/AS33)*('Team Info'!$H$25),2)</f>
    </oc>
    <nc r="AU33">
      <f>ROUND((VLOOKUP(A33,INPUT_RANGE,85,FALSE)/AS33)*('D:\Data\Softball\[ESPN_BASEBALL_AWAY_OLD.xlsx]Team Info'!$H$25),2)</f>
    </nc>
  </rcc>
  <rcc rId="1616" sId="5">
    <oc r="AW33">
      <f>(VLOOKUP(A33,INPUT_RANGE,54,FALSE)/VLOOKUP(A33,INPUT_RANGE,52,FALSE))</f>
    </oc>
    <nc r="AW33">
      <f>(VLOOKUP(A33,INPUT_RANGE,54,FALSE)/VLOOKUP(A33,INPUT_RANGE,52,FALSE))</f>
    </nc>
  </rcc>
  <rcc rId="1617" sId="5">
    <oc r="AX33">
      <f>((VLOOKUP(A33,INPUT_RANGE,54,FALSE)+VLOOKUP(A33,INPUT_RANGE,60,FALSE)+VLOOKUP(A33,INPUT_RANGE,59,FALSE))/(VLOOKUP(A33,INPUT_RANGE,52,FALSE)+VLOOKUP(A33,INPUT_RANGE,60,FALSE)+VLOOKUP(A33,INPUT_RANGE,59,FALSE)+VLOOKUP(A33,INPUT_RANGE,63,FALSE)))</f>
    </oc>
    <nc r="AX33">
      <f>((VLOOKUP(A33,INPUT_RANGE,54,FALSE)+VLOOKUP(A33,INPUT_RANGE,60,FALSE)+VLOOKUP(A33,INPUT_RANGE,59,FALSE))/(VLOOKUP(A33,INPUT_RANGE,52,FALSE)+VLOOKUP(A33,INPUT_RANGE,60,FALSE)+VLOOKUP(A33,INPUT_RANGE,59,FALSE)+VLOOKUP(A33,INPUT_RANGE,63,FALSE)))</f>
    </nc>
  </rcc>
  <rcc rId="1618" sId="5">
    <oc r="AY33">
      <f>(VLOOKUP(A33,INPUT_RANGE,54)+VLOOKUP(A33,INPUT_RANGE,55)+(VLOOKUP(A33,INPUT_RANGE,56)*2)+(VLOOKUP(A33,INPUT_RANGE,57)*3))/(VLOOKUP(A33,INPUT_RANGE,52))</f>
    </oc>
    <nc r="AY33">
      <f>(VLOOKUP(A33,INPUT_RANGE,54)+VLOOKUP(A33,INPUT_RANGE,55)+(VLOOKUP(A33,INPUT_RANGE,56)*2)+(VLOOKUP(A33,INPUT_RANGE,57)*3))/(VLOOKUP(A33,INPUT_RANGE,52))</f>
    </nc>
  </rcc>
  <rcc rId="1619" sId="5">
    <oc r="AZ33">
      <f>AX33+AY33</f>
    </oc>
    <nc r="AZ33">
      <f>AX33+AY33</f>
    </nc>
  </rcc>
  <rcc rId="1620" sId="5">
    <oc r="BA33">
      <f xml:space="preserve"> TEXT(AZ33,".000") &amp; " ops"</f>
    </oc>
    <nc r="BA33">
      <f xml:space="preserve"> TEXT(AZ33,".000") &amp; " OPS"</f>
    </nc>
  </rcc>
  <rcc rId="1621" sId="5">
    <oc r="BB33">
      <f>VLOOKUP(A33,INPUT_RANGE,78,FALSE)</f>
    </oc>
    <nc r="BB33">
      <f>VLOOKUP(A33,INPUT_RANGE,78,FALSE)</f>
    </nc>
  </rcc>
  <rcc rId="1622" sId="5">
    <oc r="BC33">
      <f>VLOOKUP(A33,INPUT_RANGE,77,FALSE)</f>
    </oc>
    <nc r="BC33">
      <f>VLOOKUP(A33,INPUT_RANGE,77,FALSE)</f>
    </nc>
  </rcc>
  <rcc rId="1623" sId="5">
    <oc r="BD33">
      <f>VLOOKUP(A33,INPUT_RANGE,75,FALSE) &amp; "-" &amp; VLOOKUP(A33,INPUT_RANGE,76,FALSE)</f>
    </oc>
    <nc r="BD33">
      <f>VLOOKUP(A33,INPUT_RANGE,75,FALSE) &amp; "-" &amp; VLOOKUP(A33,INPUT_RANGE,76,FALSE)</f>
    </nc>
  </rcc>
  <rcc rId="1624" sId="5">
    <oc r="BE33">
      <f>AU33</f>
    </oc>
    <nc r="BE33">
      <f>AU33</f>
    </nc>
  </rcc>
  <rcc rId="1625" sId="5">
    <oc r="BF33">
      <f>AA33</f>
    </oc>
    <nc r="BF33">
      <f>AA33</f>
    </nc>
  </rcc>
  <rcc rId="1626" sId="5">
    <oc r="BG33">
      <f>VLOOKUP(A33,INPUT_RANGE,86,FALSE)</f>
    </oc>
    <nc r="BG33">
      <f>VLOOKUP(A33,INPUT_RANGE,86,FALSE)</f>
    </nc>
  </rcc>
  <rcc rId="1627" sId="5">
    <oc r="BH33">
      <f>VLOOKUP(A33,INPUT_RANGE,87,FALSE)</f>
    </oc>
    <nc r="BH33">
      <f>VLOOKUP(A33,INPUT_RANGE,87,FALSE)</f>
    </nc>
  </rcc>
  <rcc rId="1628" sId="5">
    <oc r="BI33">
      <f>VLOOKUP(A33,INPUT_RANGE,81,FALSE) &amp; " SAVES"</f>
    </oc>
    <nc r="BI33">
      <f>VLOOKUP(A33,INPUT_RANGE,81,FALSE) &amp; " SAVES"</f>
    </nc>
  </rcc>
  <rcc rId="1629" sId="5">
    <oc r="BJ33">
      <f>VLOOKUP(A33,INPUT_RANGE,81,FALSE)</f>
    </oc>
    <nc r="BJ33">
      <f>VLOOKUP(A33,INPUT_RANGE,81,FALSE)</f>
    </nc>
  </rcc>
  <rcc rId="1630" sId="5">
    <oc r="BK33">
      <f>VLOOKUP(A33,INPUT_RANGE,83,FALSE)</f>
    </oc>
    <nc r="BK33">
      <f>VLOOKUP(A33,INPUT_RANGE,83,FALSE)</f>
    </nc>
  </rcc>
  <rcc rId="1631" sId="5">
    <oc r="BL33">
      <f>VLOOKUP(A33,INPUT_RANGE,87,FALSE) &amp; "/" &amp; VLOOKUP(A33,INPUT_RANGE,86,FALSE)</f>
    </oc>
    <nc r="BL33">
      <f>VLOOKUP(A33,INPUT_RANGE,87,FALSE) &amp; "/" &amp; VLOOKUP(A33,INPUT_RANGE,86,FALSE)</f>
    </nc>
  </rcc>
  <rcc rId="1632" sId="5">
    <oc r="BM33">
      <f>ROUND((VLOOKUP(A33,INPUT_RANGE,86,FALSE)+VLOOKUP(A33,INPUT_RANGE,83,FALSE))/AS33,2)</f>
    </oc>
    <nc r="BM33">
      <f>ROUND((VLOOKUP(A33,INPUT_RANGE,86,FALSE)+VLOOKUP(A33,INPUT_RANGE,83,FALSE))/AS33,2)</f>
    </nc>
  </rcc>
  <rcc rId="1633" sId="5">
    <oc r="M34">
      <f xml:space="preserve"> TEXT(AW34,".000") &amp; " ba"</f>
    </oc>
    <nc r="M34">
      <f xml:space="preserve"> TEXT(AW34,".000") &amp; " BA"</f>
    </nc>
  </rcc>
  <rcc rId="1634" sId="5">
    <oc r="N34">
      <f>VLOOKUP(A34,INPUT_RANGE,58,FALSE) &amp; " rbi"</f>
    </oc>
    <nc r="N34">
      <f>VLOOKUP(A34,INPUT_RANGE,58,FALSE) &amp; " RBI"</f>
    </nc>
  </rcc>
  <rcc rId="1635" sId="5">
    <oc r="O34">
      <f>VLOOKUP(A34,INPUT_RANGE,60,FALSE) &amp; " bb"</f>
    </oc>
    <nc r="O34">
      <f>VLOOKUP(A34,INPUT_RANGE,60,FALSE) &amp; " BB"</f>
    </nc>
  </rcc>
  <rcc rId="1636" sId="5">
    <oc r="P34">
      <f>VLOOKUP(A34,INPUT_RANGE,61,FALSE) &amp; " k"</f>
    </oc>
    <nc r="P34">
      <f>VLOOKUP(A34,INPUT_RANGE,61,FALSE) &amp; " K"</f>
    </nc>
  </rcc>
  <rcc rId="1637" sId="5">
    <oc r="Q34">
      <f>VLOOKUP(A34,INPUT_RANGE,64,FALSE) &amp; " sb"</f>
    </oc>
    <nc r="Q34">
      <f>VLOOKUP(A34,INPUT_RANGE,64,FALSE) &amp; " SB"</f>
    </nc>
  </rcc>
  <rcc rId="1638" sId="5">
    <oc r="R34">
      <f>VLOOKUP(A34,INPUT_RANGE,55,FALSE) &amp; " 2b"</f>
    </oc>
    <nc r="R34">
      <f>VLOOKUP(A34,INPUT_RANGE,55,FALSE) &amp; " 2B"</f>
    </nc>
  </rcc>
  <rcc rId="1639" sId="5">
    <oc r="S34">
      <f>VLOOKUP(A34,INPUT_RANGE,56,FALSE) &amp; " 3b"</f>
    </oc>
    <nc r="S34">
      <f>VLOOKUP(A34,INPUT_RANGE,56,FALSE) &amp; " 3B"</f>
    </nc>
  </rcc>
  <rcc rId="1640" sId="5">
    <oc r="T34">
      <f>VLOOKUP(A34,INPUT_RANGE,57,FALSE) &amp; " hr"</f>
    </oc>
    <nc r="T34">
      <f>VLOOKUP(A34,INPUT_RANGE,57,FALSE) &amp; " HR"</f>
    </nc>
  </rcc>
  <rcc rId="1641" sId="5">
    <oc r="U34">
      <f>VLOOKUP(A34,INPUT_RANGE,53,FALSE) &amp; " r"</f>
    </oc>
    <nc r="U34">
      <f>VLOOKUP(A34,INPUT_RANGE,53,FALSE) &amp; " R"</f>
    </nc>
  </rcc>
  <rcc rId="1642" sId="5">
    <oc r="V34">
      <f>TEXT(AX34, ".000") &amp; " obp"</f>
    </oc>
    <nc r="V34">
      <f>TEXT(AX34, ".000") &amp; " OBP"</f>
    </nc>
  </rcc>
  <rcc rId="1643" sId="5">
    <oc r="X34">
      <f>VLOOKUP(A34,INPUT_RANGE,77,FALSE)&amp;" games"</f>
    </oc>
    <nc r="X34">
      <f>VLOOKUP(A34,INPUT_RANGE,77,FALSE)&amp;" games"</f>
    </nc>
  </rcc>
  <rcc rId="1644" sId="5">
    <oc r="Y34">
      <f>VLOOKUP(A34,INPUT_RANGE,78,FALSE) &amp; " starts"</f>
    </oc>
    <nc r="Y34">
      <f>VLOOKUP(A34,INPUT_RANGE,78,FALSE) &amp; " starts"</f>
    </nc>
  </rcc>
  <rcc rId="1645" sId="5">
    <oc r="Z34">
      <f>VLOOKUP(A34,INPUT_RANGE,82,FALSE) &amp; " ip"</f>
    </oc>
    <nc r="Z34">
      <f>VLOOKUP(A34,INPUT_RANGE,82,FALSE) &amp; " IP"</f>
    </nc>
  </rcc>
  <rcc rId="1646" sId="5">
    <oc r="AA34">
      <f>TRUNC(VLOOKUP(A34,INPUT_RANGE,82,FALSE)) &amp;  IF(AR34=0.333,"º",IF(AR34=0.666,"»",""))</f>
    </oc>
    <nc r="AA34">
      <f>TRUNC(VLOOKUP(A34,INPUT_RANGE,82,FALSE)) &amp;  IF(AR34=0.333,"º",IF(AR34=0.666,"»",""))</f>
    </nc>
  </rcc>
  <rcc rId="1647" sId="5">
    <oc r="AB34">
      <f>AA34&amp; " ip"</f>
    </oc>
    <nc r="AB34">
      <f>AA34&amp; " IP"</f>
    </nc>
  </rcc>
  <rcc rId="1648" sId="5">
    <oc r="AC34">
      <f>VLOOKUP(A34,INPUT_RANGE,79,FALSE) &amp; " cg"</f>
    </oc>
    <nc r="AC34">
      <f>VLOOKUP(A34,INPUT_RANGE,79,FALSE) &amp; " CG"</f>
    </nc>
  </rcc>
  <rcc rId="1649" sId="5">
    <oc r="AD34">
      <f>VLOOKUP(A34,INPUT_RANGE,80,FALSE) &amp; " sho"</f>
    </oc>
    <nc r="AD34">
      <f>VLOOKUP(A34,INPUT_RANGE,80,FALSE) &amp; " SHO"</f>
    </nc>
  </rcc>
  <rcc rId="1650" sId="5">
    <oc r="AE34">
      <f>VLOOKUP(A34,INPUT_RANGE,75,FALSE) &amp; " win"</f>
    </oc>
    <nc r="AE34">
      <f>VLOOKUP(A34,INPUT_RANGE,75,FALSE) &amp; " Win"</f>
    </nc>
  </rcc>
  <rcc rId="1651" sId="5">
    <oc r="AF34">
      <f>VLOOKUP(A34,INPUT_RANGE,76,FALSE) &amp; " loss"</f>
    </oc>
    <nc r="AF34">
      <f>VLOOKUP(A34,INPUT_RANGE,76,FALSE) &amp; " Loss"</f>
    </nc>
  </rcc>
  <rcc rId="1652" sId="5">
    <oc r="AG34">
      <f>VLOOKUP(A34,INPUT_RANGE,75,FALSE) &amp; "-" &amp; VLOOKUP(A34,INPUT_RANGE,76,FALSE) &amp; " w-l"</f>
    </oc>
    <nc r="AG34">
      <f>VLOOKUP(A34,INPUT_RANGE,75,FALSE) &amp; "-" &amp; VLOOKUP(A34,INPUT_RANGE,76,FALSE) &amp; " W-L"</f>
    </nc>
  </rcc>
  <rcc rId="1653" sId="5">
    <oc r="AH34">
      <f>VLOOKUP(A34,INPUT_RANGE,81,FALSE)&amp; " saves"</f>
    </oc>
    <nc r="AH34">
      <f>VLOOKUP(A34,INPUT_RANGE,81,FALSE)&amp; " Saves"</f>
    </nc>
  </rcc>
  <rcc rId="1654" sId="5">
    <oc r="AI34">
      <f>VLOOKUP(A34,INPUT_RANGE,83,FALSE) &amp; " h"</f>
    </oc>
    <nc r="AI34">
      <f>VLOOKUP(A34,INPUT_RANGE,83,FALSE) &amp; " H"</f>
    </nc>
  </rcc>
  <rcc rId="1655" sId="5">
    <oc r="AJ34">
      <f>VLOOKUP(A34,INPUT_RANGE,84,FALSE) &amp; " r"</f>
    </oc>
    <nc r="AJ34">
      <f>VLOOKUP(A34,INPUT_RANGE,84,FALSE) &amp; " R"</f>
    </nc>
  </rcc>
  <rcc rId="1656" sId="5">
    <oc r="AK34">
      <f>VLOOKUP(A34,INPUT_RANGE,85,FALSE) &amp;" er"</f>
    </oc>
    <nc r="AK34">
      <f>VLOOKUP(A34,INPUT_RANGE,85,FALSE) &amp;" ER"</f>
    </nc>
  </rcc>
  <rcc rId="1657" sId="5">
    <oc r="AL34">
      <f>VLOOKUP(A34,INPUT_RANGE,88,FALSE) &amp;" hr"</f>
    </oc>
    <nc r="AL34">
      <f>VLOOKUP(A34,INPUT_RANGE,88,FALSE) &amp;" HR"</f>
    </nc>
  </rcc>
  <rcc rId="1658" sId="5">
    <oc r="AM34">
      <f>VLOOKUP(A34,INPUT_RANGE,87,FALSE) &amp; " k"</f>
    </oc>
    <nc r="AM34">
      <f>VLOOKUP(A34,INPUT_RANGE,87,FALSE) &amp; " K"</f>
    </nc>
  </rcc>
  <rcc rId="1659" sId="5">
    <oc r="AN34">
      <f>VLOOKUP(A34,INPUT_RANGE,86,FALSE) &amp; " bb"</f>
    </oc>
    <nc r="AN34">
      <f>VLOOKUP(A34,INPUT_RANGE,86,FALSE) &amp; " BB"</f>
    </nc>
  </rcc>
  <rcc rId="1660" sId="5">
    <oc r="AO34">
      <f>TEXT(AU34,"0.00") &amp; " era"</f>
    </oc>
    <nc r="AO34">
      <f>TEXT(AU34,"0.00") &amp; " ERA"</f>
    </nc>
  </rcc>
  <rcc rId="1661" sId="5">
    <oc r="AP34">
      <f>TEXT(AT34,"0.00") &amp; " whip"</f>
    </oc>
    <nc r="AP34">
      <f>TEXT(AT34,"0.00") &amp; " WHIP"</f>
    </nc>
  </rcc>
  <rcc rId="1662" sId="5">
    <oc r="AQ34">
      <f xml:space="preserve"> IF(LEFT(RIGHT((VLOOKUP(A34,INPUT_RANGE,82,FALSE)),2),1)=".",RIGHT(VLOOKUP(A34,INPUT_RANGE,82,FALSE),1), "X")</f>
    </oc>
    <nc r="AQ34">
      <f xml:space="preserve"> IF(LEFT(RIGHT((VLOOKUP(A34,INPUT_RANGE,82,FALSE)),2),1)=".",RIGHT(VLOOKUP(A34,INPUT_RANGE,82,FALSE),1), "X")</f>
    </nc>
  </rcc>
  <rcc rId="1663" sId="5">
    <oc r="AR34">
      <f>IF(AQ34 ="1",0.333,IF(AQ34="2",0.666,0))</f>
    </oc>
    <nc r="AR34">
      <f>IF(AQ34 ="1",0.333,IF(AQ34="2",0.666,0))</f>
    </nc>
  </rcc>
  <rcc rId="1664" sId="5">
    <oc r="AS34">
      <f>VLOOKUP(A34,INPUT_RANGE,82,FALSE)-(AQ34*0.1)+AR34</f>
    </oc>
    <nc r="AS34">
      <f>VLOOKUP(A34,INPUT_RANGE,82,FALSE)-(AQ34*0.1)+AR34</f>
    </nc>
  </rcc>
  <rcc rId="1665" sId="5">
    <oc r="AT34">
      <f>ROUND((VLOOKUP(A34,INPUT_RANGE,86,FALSE)+VLOOKUP(A34,INPUT_RANGE,83,FALSE))/AS34,2)</f>
    </oc>
    <nc r="AT34">
      <f>ROUND((VLOOKUP(A34,INPUT_RANGE,86,FALSE)+VLOOKUP(A34,INPUT_RANGE,83,FALSE))/AS34,2)</f>
    </nc>
  </rcc>
  <rcc rId="1666" sId="5">
    <oc r="AU34">
      <f>ROUND((VLOOKUP(A34,INPUT_RANGE,85,FALSE)/AS34)*('Team Info'!$H$25),2)</f>
    </oc>
    <nc r="AU34">
      <f>ROUND((VLOOKUP(A34,INPUT_RANGE,85,FALSE)/AS34)*('D:\Data\Softball\[ESPN_BASEBALL_AWAY_OLD.xlsx]Team Info'!$H$25),2)</f>
    </nc>
  </rcc>
  <rcc rId="1667" sId="5">
    <oc r="AW34">
      <f>(VLOOKUP(A34,INPUT_RANGE,54,FALSE)/VLOOKUP(A34,INPUT_RANGE,52,FALSE))</f>
    </oc>
    <nc r="AW34">
      <f>(VLOOKUP(A34,INPUT_RANGE,54,FALSE)/VLOOKUP(A34,INPUT_RANGE,52,FALSE))</f>
    </nc>
  </rcc>
  <rcc rId="1668" sId="5">
    <oc r="AX34">
      <f>((VLOOKUP(A34,INPUT_RANGE,54,FALSE)+VLOOKUP(A34,INPUT_RANGE,60,FALSE)+VLOOKUP(A34,INPUT_RANGE,59,FALSE))/(VLOOKUP(A34,INPUT_RANGE,52,FALSE)+VLOOKUP(A34,INPUT_RANGE,60,FALSE)+VLOOKUP(A34,INPUT_RANGE,59,FALSE)+VLOOKUP(A34,INPUT_RANGE,63,FALSE)))</f>
    </oc>
    <nc r="AX34">
      <f>((VLOOKUP(A34,INPUT_RANGE,54,FALSE)+VLOOKUP(A34,INPUT_RANGE,60,FALSE)+VLOOKUP(A34,INPUT_RANGE,59,FALSE))/(VLOOKUP(A34,INPUT_RANGE,52,FALSE)+VLOOKUP(A34,INPUT_RANGE,60,FALSE)+VLOOKUP(A34,INPUT_RANGE,59,FALSE)+VLOOKUP(A34,INPUT_RANGE,63,FALSE)))</f>
    </nc>
  </rcc>
  <rcc rId="1669" sId="5">
    <oc r="AY34">
      <f>(VLOOKUP(A34,INPUT_RANGE,54)+VLOOKUP(A34,INPUT_RANGE,55)+(VLOOKUP(A34,INPUT_RANGE,56)*2)+(VLOOKUP(A34,INPUT_RANGE,57)*3))/(VLOOKUP(A34,INPUT_RANGE,52))</f>
    </oc>
    <nc r="AY34">
      <f>(VLOOKUP(A34,INPUT_RANGE,54)+VLOOKUP(A34,INPUT_RANGE,55)+(VLOOKUP(A34,INPUT_RANGE,56)*2)+(VLOOKUP(A34,INPUT_RANGE,57)*3))/(VLOOKUP(A34,INPUT_RANGE,52))</f>
    </nc>
  </rcc>
  <rcc rId="1670" sId="5">
    <oc r="AZ34">
      <f>AX34+AY34</f>
    </oc>
    <nc r="AZ34">
      <f>AX34+AY34</f>
    </nc>
  </rcc>
  <rcc rId="1671" sId="5">
    <oc r="BA34">
      <f xml:space="preserve"> TEXT(AZ34,".000") &amp; " ops"</f>
    </oc>
    <nc r="BA34">
      <f xml:space="preserve"> TEXT(AZ34,".000") &amp; " OPS"</f>
    </nc>
  </rcc>
  <rcc rId="1672" sId="5">
    <oc r="BB34">
      <f>VLOOKUP(A34,INPUT_RANGE,78,FALSE)</f>
    </oc>
    <nc r="BB34">
      <f>VLOOKUP(A34,INPUT_RANGE,78,FALSE)</f>
    </nc>
  </rcc>
  <rcc rId="1673" sId="5">
    <oc r="BC34">
      <f>VLOOKUP(A34,INPUT_RANGE,77,FALSE)</f>
    </oc>
    <nc r="BC34">
      <f>VLOOKUP(A34,INPUT_RANGE,77,FALSE)</f>
    </nc>
  </rcc>
  <rcc rId="1674" sId="5">
    <oc r="BD34">
      <f>VLOOKUP(A34,INPUT_RANGE,75,FALSE) &amp; "-" &amp; VLOOKUP(A34,INPUT_RANGE,76,FALSE)</f>
    </oc>
    <nc r="BD34">
      <f>VLOOKUP(A34,INPUT_RANGE,75,FALSE) &amp; "-" &amp; VLOOKUP(A34,INPUT_RANGE,76,FALSE)</f>
    </nc>
  </rcc>
  <rcc rId="1675" sId="5">
    <oc r="BE34">
      <f>AU34</f>
    </oc>
    <nc r="BE34">
      <f>AU34</f>
    </nc>
  </rcc>
  <rcc rId="1676" sId="5">
    <oc r="BF34">
      <f>AA34</f>
    </oc>
    <nc r="BF34">
      <f>AA34</f>
    </nc>
  </rcc>
  <rcc rId="1677" sId="5">
    <oc r="BG34">
      <f>VLOOKUP(A34,INPUT_RANGE,86,FALSE)</f>
    </oc>
    <nc r="BG34">
      <f>VLOOKUP(A34,INPUT_RANGE,86,FALSE)</f>
    </nc>
  </rcc>
  <rcc rId="1678" sId="5">
    <oc r="BH34">
      <f>VLOOKUP(A34,INPUT_RANGE,87,FALSE)</f>
    </oc>
    <nc r="BH34">
      <f>VLOOKUP(A34,INPUT_RANGE,87,FALSE)</f>
    </nc>
  </rcc>
  <rcc rId="1679" sId="5">
    <oc r="BI34">
      <f>VLOOKUP(A34,INPUT_RANGE,81,FALSE) &amp; " SAVES"</f>
    </oc>
    <nc r="BI34">
      <f>VLOOKUP(A34,INPUT_RANGE,81,FALSE) &amp; " SAVES"</f>
    </nc>
  </rcc>
  <rcc rId="1680" sId="5">
    <oc r="BJ34">
      <f>VLOOKUP(A34,INPUT_RANGE,81,FALSE)</f>
    </oc>
    <nc r="BJ34">
      <f>VLOOKUP(A34,INPUT_RANGE,81,FALSE)</f>
    </nc>
  </rcc>
  <rcc rId="1681" sId="5">
    <oc r="BK34">
      <f>VLOOKUP(A34,INPUT_RANGE,83,FALSE)</f>
    </oc>
    <nc r="BK34">
      <f>VLOOKUP(A34,INPUT_RANGE,83,FALSE)</f>
    </nc>
  </rcc>
  <rcc rId="1682" sId="5">
    <oc r="BL34">
      <f>VLOOKUP(A34,INPUT_RANGE,87,FALSE) &amp; "/" &amp; VLOOKUP(A34,INPUT_RANGE,86,FALSE)</f>
    </oc>
    <nc r="BL34">
      <f>VLOOKUP(A34,INPUT_RANGE,87,FALSE) &amp; "/" &amp; VLOOKUP(A34,INPUT_RANGE,86,FALSE)</f>
    </nc>
  </rcc>
  <rcc rId="1683" sId="5">
    <oc r="BM34">
      <f>ROUND((VLOOKUP(A34,INPUT_RANGE,86,FALSE)+VLOOKUP(A34,INPUT_RANGE,83,FALSE))/AS34,2)</f>
    </oc>
    <nc r="BM34">
      <f>ROUND((VLOOKUP(A34,INPUT_RANGE,86,FALSE)+VLOOKUP(A34,INPUT_RANGE,83,FALSE))/AS34,2)</f>
    </nc>
  </rcc>
  <rcc rId="1684" sId="5">
    <oc r="M35">
      <f xml:space="preserve"> TEXT(AW35,".000") &amp; " ba"</f>
    </oc>
    <nc r="M35">
      <f xml:space="preserve"> TEXT(AW35,".000") &amp; " BA"</f>
    </nc>
  </rcc>
  <rcc rId="1685" sId="5">
    <oc r="N35">
      <f>VLOOKUP(A35,INPUT_RANGE,58,FALSE) &amp; " rbi"</f>
    </oc>
    <nc r="N35">
      <f>VLOOKUP(A35,INPUT_RANGE,58,FALSE) &amp; " RBI"</f>
    </nc>
  </rcc>
  <rcc rId="1686" sId="5">
    <oc r="O35">
      <f>VLOOKUP(A35,INPUT_RANGE,60,FALSE) &amp; " bb"</f>
    </oc>
    <nc r="O35">
      <f>VLOOKUP(A35,INPUT_RANGE,60,FALSE) &amp; " BB"</f>
    </nc>
  </rcc>
  <rcc rId="1687" sId="5">
    <oc r="P35">
      <f>VLOOKUP(A35,INPUT_RANGE,61,FALSE) &amp; " k"</f>
    </oc>
    <nc r="P35">
      <f>VLOOKUP(A35,INPUT_RANGE,61,FALSE) &amp; " K"</f>
    </nc>
  </rcc>
  <rcc rId="1688" sId="5">
    <oc r="Q35">
      <f>VLOOKUP(A35,INPUT_RANGE,64,FALSE) &amp; " sb"</f>
    </oc>
    <nc r="Q35">
      <f>VLOOKUP(A35,INPUT_RANGE,64,FALSE) &amp; " SB"</f>
    </nc>
  </rcc>
  <rcc rId="1689" sId="5">
    <oc r="R35">
      <f>VLOOKUP(A35,INPUT_RANGE,55,FALSE) &amp; " 2b"</f>
    </oc>
    <nc r="R35">
      <f>VLOOKUP(A35,INPUT_RANGE,55,FALSE) &amp; " 2B"</f>
    </nc>
  </rcc>
  <rcc rId="1690" sId="5">
    <oc r="S35">
      <f>VLOOKUP(A35,INPUT_RANGE,56,FALSE) &amp; " 3b"</f>
    </oc>
    <nc r="S35">
      <f>VLOOKUP(A35,INPUT_RANGE,56,FALSE) &amp; " 3B"</f>
    </nc>
  </rcc>
  <rcc rId="1691" sId="5">
    <oc r="T35">
      <f>VLOOKUP(A35,INPUT_RANGE,57,FALSE) &amp; " hr"</f>
    </oc>
    <nc r="T35">
      <f>VLOOKUP(A35,INPUT_RANGE,57,FALSE) &amp; " HR"</f>
    </nc>
  </rcc>
  <rcc rId="1692" sId="5">
    <oc r="U35">
      <f>VLOOKUP(A35,INPUT_RANGE,53,FALSE) &amp; " r"</f>
    </oc>
    <nc r="U35">
      <f>VLOOKUP(A35,INPUT_RANGE,53,FALSE) &amp; " R"</f>
    </nc>
  </rcc>
  <rcc rId="1693" sId="5">
    <oc r="V35">
      <f>TEXT(AX35, ".000") &amp; " obp"</f>
    </oc>
    <nc r="V35">
      <f>TEXT(AX35, ".000") &amp; " OBP"</f>
    </nc>
  </rcc>
  <rcc rId="1694" sId="5">
    <oc r="X35">
      <f>VLOOKUP(A35,INPUT_RANGE,77,FALSE)&amp;" games"</f>
    </oc>
    <nc r="X35">
      <f>VLOOKUP(A35,INPUT_RANGE,77,FALSE)&amp;" games"</f>
    </nc>
  </rcc>
  <rcc rId="1695" sId="5">
    <oc r="Y35">
      <f>VLOOKUP(A35,INPUT_RANGE,78,FALSE) &amp; " starts"</f>
    </oc>
    <nc r="Y35">
      <f>VLOOKUP(A35,INPUT_RANGE,78,FALSE) &amp; " starts"</f>
    </nc>
  </rcc>
  <rcc rId="1696" sId="5">
    <oc r="Z35">
      <f>VLOOKUP(A35,INPUT_RANGE,82,FALSE) &amp; " ip"</f>
    </oc>
    <nc r="Z35">
      <f>VLOOKUP(A35,INPUT_RANGE,82,FALSE) &amp; " IP"</f>
    </nc>
  </rcc>
  <rcc rId="1697" sId="5">
    <oc r="AA35">
      <f>TRUNC(VLOOKUP(A35,INPUT_RANGE,82,FALSE)) &amp;  IF(AR35=0.333,"º",IF(AR35=0.666,"»",""))</f>
    </oc>
    <nc r="AA35">
      <f>TRUNC(VLOOKUP(A35,INPUT_RANGE,82,FALSE)) &amp;  IF(AR35=0.333,"º",IF(AR35=0.666,"»",""))</f>
    </nc>
  </rcc>
  <rcc rId="1698" sId="5">
    <oc r="AB35">
      <f>AA35&amp; " ip"</f>
    </oc>
    <nc r="AB35">
      <f>AA35&amp; " IP"</f>
    </nc>
  </rcc>
  <rcc rId="1699" sId="5">
    <oc r="AC35">
      <f>VLOOKUP(A35,INPUT_RANGE,79,FALSE) &amp; " cg"</f>
    </oc>
    <nc r="AC35">
      <f>VLOOKUP(A35,INPUT_RANGE,79,FALSE) &amp; " CG"</f>
    </nc>
  </rcc>
  <rcc rId="1700" sId="5">
    <oc r="AD35">
      <f>VLOOKUP(A35,INPUT_RANGE,80,FALSE) &amp; " sho"</f>
    </oc>
    <nc r="AD35">
      <f>VLOOKUP(A35,INPUT_RANGE,80,FALSE) &amp; " SHO"</f>
    </nc>
  </rcc>
  <rcc rId="1701" sId="5">
    <oc r="AE35">
      <f>VLOOKUP(A35,INPUT_RANGE,75,FALSE) &amp; " win"</f>
    </oc>
    <nc r="AE35">
      <f>VLOOKUP(A35,INPUT_RANGE,75,FALSE) &amp; " Win"</f>
    </nc>
  </rcc>
  <rcc rId="1702" sId="5">
    <oc r="AF35">
      <f>VLOOKUP(A35,INPUT_RANGE,76,FALSE) &amp; " loss"</f>
    </oc>
    <nc r="AF35">
      <f>VLOOKUP(A35,INPUT_RANGE,76,FALSE) &amp; " Loss"</f>
    </nc>
  </rcc>
  <rcc rId="1703" sId="5">
    <oc r="AG35">
      <f>VLOOKUP(A35,INPUT_RANGE,75,FALSE) &amp; "-" &amp; VLOOKUP(A35,INPUT_RANGE,76,FALSE) &amp; " w-l"</f>
    </oc>
    <nc r="AG35">
      <f>VLOOKUP(A35,INPUT_RANGE,75,FALSE) &amp; "-" &amp; VLOOKUP(A35,INPUT_RANGE,76,FALSE) &amp; " W-L"</f>
    </nc>
  </rcc>
  <rcc rId="1704" sId="5">
    <oc r="AH35">
      <f>VLOOKUP(A35,INPUT_RANGE,81,FALSE)&amp; " saves"</f>
    </oc>
    <nc r="AH35">
      <f>VLOOKUP(A35,INPUT_RANGE,81,FALSE)&amp; " Saves"</f>
    </nc>
  </rcc>
  <rcc rId="1705" sId="5">
    <oc r="AI35">
      <f>VLOOKUP(A35,INPUT_RANGE,83,FALSE) &amp; " h"</f>
    </oc>
    <nc r="AI35">
      <f>VLOOKUP(A35,INPUT_RANGE,83,FALSE) &amp; " H"</f>
    </nc>
  </rcc>
  <rcc rId="1706" sId="5">
    <oc r="AJ35">
      <f>VLOOKUP(A35,INPUT_RANGE,84,FALSE) &amp; " r"</f>
    </oc>
    <nc r="AJ35">
      <f>VLOOKUP(A35,INPUT_RANGE,84,FALSE) &amp; " R"</f>
    </nc>
  </rcc>
  <rcc rId="1707" sId="5">
    <oc r="AK35">
      <f>VLOOKUP(A35,INPUT_RANGE,85,FALSE) &amp;" er"</f>
    </oc>
    <nc r="AK35">
      <f>VLOOKUP(A35,INPUT_RANGE,85,FALSE) &amp;" ER"</f>
    </nc>
  </rcc>
  <rcc rId="1708" sId="5">
    <oc r="AL35">
      <f>VLOOKUP(A35,INPUT_RANGE,88,FALSE) &amp;" hr"</f>
    </oc>
    <nc r="AL35">
      <f>VLOOKUP(A35,INPUT_RANGE,88,FALSE) &amp;" HR"</f>
    </nc>
  </rcc>
  <rcc rId="1709" sId="5">
    <oc r="AM35">
      <f>VLOOKUP(A35,INPUT_RANGE,87,FALSE) &amp; " k"</f>
    </oc>
    <nc r="AM35">
      <f>VLOOKUP(A35,INPUT_RANGE,87,FALSE) &amp; " K"</f>
    </nc>
  </rcc>
  <rcc rId="1710" sId="5">
    <oc r="AN35">
      <f>VLOOKUP(A35,INPUT_RANGE,86,FALSE) &amp; " bb"</f>
    </oc>
    <nc r="AN35">
      <f>VLOOKUP(A35,INPUT_RANGE,86,FALSE) &amp; " BB"</f>
    </nc>
  </rcc>
  <rcc rId="1711" sId="5">
    <oc r="AO35">
      <f>TEXT(AU35,"0.00") &amp; " era"</f>
    </oc>
    <nc r="AO35">
      <f>TEXT(AU35,"0.00") &amp; " ERA"</f>
    </nc>
  </rcc>
  <rcc rId="1712" sId="5">
    <oc r="AP35">
      <f>TEXT(AT35,"0.00") &amp; " whip"</f>
    </oc>
    <nc r="AP35">
      <f>TEXT(AT35,"0.00") &amp; " WHIP"</f>
    </nc>
  </rcc>
  <rcc rId="1713" sId="5">
    <oc r="AQ35">
      <f xml:space="preserve"> IF(LEFT(RIGHT((VLOOKUP(A35,INPUT_RANGE,82,FALSE)),2),1)=".",RIGHT(VLOOKUP(A35,INPUT_RANGE,82,FALSE),1), "X")</f>
    </oc>
    <nc r="AQ35">
      <f xml:space="preserve"> IF(LEFT(RIGHT((VLOOKUP(A35,INPUT_RANGE,82,FALSE)),2),1)=".",RIGHT(VLOOKUP(A35,INPUT_RANGE,82,FALSE),1), "X")</f>
    </nc>
  </rcc>
  <rcc rId="1714" sId="5">
    <oc r="AR35">
      <f>IF(AQ35 ="1",0.333,IF(AQ35="2",0.666,0))</f>
    </oc>
    <nc r="AR35">
      <f>IF(AQ35 ="1",0.333,IF(AQ35="2",0.666,0))</f>
    </nc>
  </rcc>
  <rcc rId="1715" sId="5">
    <oc r="AS35">
      <f>VLOOKUP(A35,INPUT_RANGE,82,FALSE)-(AQ35*0.1)+AR35</f>
    </oc>
    <nc r="AS35">
      <f>VLOOKUP(A35,INPUT_RANGE,82,FALSE)-(AQ35*0.1)+AR35</f>
    </nc>
  </rcc>
  <rcc rId="1716" sId="5">
    <oc r="AT35">
      <f>ROUND((VLOOKUP(A35,INPUT_RANGE,86,FALSE)+VLOOKUP(A35,INPUT_RANGE,83,FALSE))/AS35,2)</f>
    </oc>
    <nc r="AT35">
      <f>ROUND((VLOOKUP(A35,INPUT_RANGE,86,FALSE)+VLOOKUP(A35,INPUT_RANGE,83,FALSE))/AS35,2)</f>
    </nc>
  </rcc>
  <rcc rId="1717" sId="5">
    <oc r="AU35">
      <f>ROUND((VLOOKUP(A35,INPUT_RANGE,85,FALSE)/AS35)*('Team Info'!$H$25),2)</f>
    </oc>
    <nc r="AU35">
      <f>ROUND((VLOOKUP(A35,INPUT_RANGE,85,FALSE)/AS35)*('D:\Data\Softball\[ESPN_BASEBALL_AWAY_OLD.xlsx]Team Info'!$H$25),2)</f>
    </nc>
  </rcc>
  <rcc rId="1718" sId="5">
    <oc r="AW35">
      <f>(VLOOKUP(A35,INPUT_RANGE,54,FALSE)/VLOOKUP(A35,INPUT_RANGE,52,FALSE))</f>
    </oc>
    <nc r="AW35">
      <f>(VLOOKUP(A35,INPUT_RANGE,54,FALSE)/VLOOKUP(A35,INPUT_RANGE,52,FALSE))</f>
    </nc>
  </rcc>
  <rcc rId="1719" sId="5">
    <oc r="AX35">
      <f>((VLOOKUP(A35,INPUT_RANGE,54,FALSE)+VLOOKUP(A35,INPUT_RANGE,60,FALSE)+VLOOKUP(A35,INPUT_RANGE,59,FALSE))/(VLOOKUP(A35,INPUT_RANGE,52,FALSE)+VLOOKUP(A35,INPUT_RANGE,60,FALSE)+VLOOKUP(A35,INPUT_RANGE,59,FALSE)+VLOOKUP(A35,INPUT_RANGE,63,FALSE)))</f>
    </oc>
    <nc r="AX35">
      <f>((VLOOKUP(A35,INPUT_RANGE,54,FALSE)+VLOOKUP(A35,INPUT_RANGE,60,FALSE)+VLOOKUP(A35,INPUT_RANGE,59,FALSE))/(VLOOKUP(A35,INPUT_RANGE,52,FALSE)+VLOOKUP(A35,INPUT_RANGE,60,FALSE)+VLOOKUP(A35,INPUT_RANGE,59,FALSE)+VLOOKUP(A35,INPUT_RANGE,63,FALSE)))</f>
    </nc>
  </rcc>
  <rcc rId="1720" sId="5">
    <oc r="AY35">
      <f>(VLOOKUP(A35,INPUT_RANGE,54)+VLOOKUP(A35,INPUT_RANGE,55)+(VLOOKUP(A35,INPUT_RANGE,56)*2)+(VLOOKUP(A35,INPUT_RANGE,57)*3))/(VLOOKUP(A35,INPUT_RANGE,52))</f>
    </oc>
    <nc r="AY35">
      <f>(VLOOKUP(A35,INPUT_RANGE,54)+VLOOKUP(A35,INPUT_RANGE,55)+(VLOOKUP(A35,INPUT_RANGE,56)*2)+(VLOOKUP(A35,INPUT_RANGE,57)*3))/(VLOOKUP(A35,INPUT_RANGE,52))</f>
    </nc>
  </rcc>
  <rcc rId="1721" sId="5">
    <oc r="AZ35">
      <f>AX35+AY35</f>
    </oc>
    <nc r="AZ35">
      <f>AX35+AY35</f>
    </nc>
  </rcc>
  <rcc rId="1722" sId="5">
    <oc r="BA35">
      <f xml:space="preserve"> TEXT(AZ35,".000") &amp; " ops"</f>
    </oc>
    <nc r="BA35">
      <f xml:space="preserve"> TEXT(AZ35,".000") &amp; " OPS"</f>
    </nc>
  </rcc>
  <rcc rId="1723" sId="5">
    <oc r="BB35">
      <f>VLOOKUP(A35,INPUT_RANGE,78,FALSE)</f>
    </oc>
    <nc r="BB35">
      <f>VLOOKUP(A35,INPUT_RANGE,78,FALSE)</f>
    </nc>
  </rcc>
  <rcc rId="1724" sId="5">
    <oc r="BC35">
      <f>VLOOKUP(A35,INPUT_RANGE,77,FALSE)</f>
    </oc>
    <nc r="BC35">
      <f>VLOOKUP(A35,INPUT_RANGE,77,FALSE)</f>
    </nc>
  </rcc>
  <rcc rId="1725" sId="5">
    <oc r="BD35">
      <f>VLOOKUP(A35,INPUT_RANGE,75,FALSE) &amp; "-" &amp; VLOOKUP(A35,INPUT_RANGE,76,FALSE)</f>
    </oc>
    <nc r="BD35">
      <f>VLOOKUP(A35,INPUT_RANGE,75,FALSE) &amp; "-" &amp; VLOOKUP(A35,INPUT_RANGE,76,FALSE)</f>
    </nc>
  </rcc>
  <rcc rId="1726" sId="5">
    <oc r="BE35">
      <f>AU35</f>
    </oc>
    <nc r="BE35">
      <f>AU35</f>
    </nc>
  </rcc>
  <rcc rId="1727" sId="5">
    <oc r="BF35">
      <f>AA35</f>
    </oc>
    <nc r="BF35">
      <f>AA35</f>
    </nc>
  </rcc>
  <rcc rId="1728" sId="5">
    <oc r="BG35">
      <f>VLOOKUP(A35,INPUT_RANGE,86,FALSE)</f>
    </oc>
    <nc r="BG35">
      <f>VLOOKUP(A35,INPUT_RANGE,86,FALSE)</f>
    </nc>
  </rcc>
  <rcc rId="1729" sId="5">
    <oc r="BH35">
      <f>VLOOKUP(A35,INPUT_RANGE,87,FALSE)</f>
    </oc>
    <nc r="BH35">
      <f>VLOOKUP(A35,INPUT_RANGE,87,FALSE)</f>
    </nc>
  </rcc>
  <rcc rId="1730" sId="5">
    <oc r="BI35">
      <f>VLOOKUP(A35,INPUT_RANGE,81,FALSE) &amp; " SAVES"</f>
    </oc>
    <nc r="BI35">
      <f>VLOOKUP(A35,INPUT_RANGE,81,FALSE) &amp; " SAVES"</f>
    </nc>
  </rcc>
  <rcc rId="1731" sId="5">
    <oc r="BJ35">
      <f>VLOOKUP(A35,INPUT_RANGE,81,FALSE)</f>
    </oc>
    <nc r="BJ35">
      <f>VLOOKUP(A35,INPUT_RANGE,81,FALSE)</f>
    </nc>
  </rcc>
  <rcc rId="1732" sId="5">
    <oc r="BK35">
      <f>VLOOKUP(A35,INPUT_RANGE,83,FALSE)</f>
    </oc>
    <nc r="BK35">
      <f>VLOOKUP(A35,INPUT_RANGE,83,FALSE)</f>
    </nc>
  </rcc>
  <rcc rId="1733" sId="5">
    <oc r="BL35">
      <f>VLOOKUP(A35,INPUT_RANGE,87,FALSE) &amp; "/" &amp; VLOOKUP(A35,INPUT_RANGE,86,FALSE)</f>
    </oc>
    <nc r="BL35">
      <f>VLOOKUP(A35,INPUT_RANGE,87,FALSE) &amp; "/" &amp; VLOOKUP(A35,INPUT_RANGE,86,FALSE)</f>
    </nc>
  </rcc>
  <rcc rId="1734" sId="5">
    <oc r="BM35">
      <f>ROUND((VLOOKUP(A35,INPUT_RANGE,86,FALSE)+VLOOKUP(A35,INPUT_RANGE,83,FALSE))/AS35,2)</f>
    </oc>
    <nc r="BM35">
      <f>ROUND((VLOOKUP(A35,INPUT_RANGE,86,FALSE)+VLOOKUP(A35,INPUT_RANGE,83,FALSE))/AS35,2)</f>
    </nc>
  </rcc>
  <rcc rId="1735" sId="5">
    <oc r="M36">
      <f xml:space="preserve"> TEXT(AW36,".000") &amp; " ba"</f>
    </oc>
    <nc r="M36">
      <f xml:space="preserve"> TEXT(AW36,".000") &amp; " BA"</f>
    </nc>
  </rcc>
  <rcc rId="1736" sId="5">
    <oc r="N36">
      <f>VLOOKUP(A36,INPUT_RANGE,58,FALSE) &amp; " rbi"</f>
    </oc>
    <nc r="N36">
      <f>VLOOKUP(A36,INPUT_RANGE,58,FALSE) &amp; " RBI"</f>
    </nc>
  </rcc>
  <rcc rId="1737" sId="5">
    <oc r="O36">
      <f>VLOOKUP(A36,INPUT_RANGE,60,FALSE) &amp; " bb"</f>
    </oc>
    <nc r="O36">
      <f>VLOOKUP(A36,INPUT_RANGE,60,FALSE) &amp; " BB"</f>
    </nc>
  </rcc>
  <rcc rId="1738" sId="5">
    <oc r="P36">
      <f>VLOOKUP(A36,INPUT_RANGE,61,FALSE) &amp; " k"</f>
    </oc>
    <nc r="P36">
      <f>VLOOKUP(A36,INPUT_RANGE,61,FALSE) &amp; " K"</f>
    </nc>
  </rcc>
  <rcc rId="1739" sId="5">
    <oc r="Q36">
      <f>VLOOKUP(A36,INPUT_RANGE,64,FALSE) &amp; " sb"</f>
    </oc>
    <nc r="Q36">
      <f>VLOOKUP(A36,INPUT_RANGE,64,FALSE) &amp; " SB"</f>
    </nc>
  </rcc>
  <rcc rId="1740" sId="5">
    <oc r="R36">
      <f>VLOOKUP(A36,INPUT_RANGE,55,FALSE) &amp; " 2b"</f>
    </oc>
    <nc r="R36">
      <f>VLOOKUP(A36,INPUT_RANGE,55,FALSE) &amp; " 2B"</f>
    </nc>
  </rcc>
  <rcc rId="1741" sId="5">
    <oc r="S36">
      <f>VLOOKUP(A36,INPUT_RANGE,56,FALSE) &amp; " 3b"</f>
    </oc>
    <nc r="S36">
      <f>VLOOKUP(A36,INPUT_RANGE,56,FALSE) &amp; " 3B"</f>
    </nc>
  </rcc>
  <rcc rId="1742" sId="5">
    <oc r="T36">
      <f>VLOOKUP(A36,INPUT_RANGE,57,FALSE) &amp; " hr"</f>
    </oc>
    <nc r="T36">
      <f>VLOOKUP(A36,INPUT_RANGE,57,FALSE) &amp; " HR"</f>
    </nc>
  </rcc>
  <rcc rId="1743" sId="5">
    <oc r="U36">
      <f>VLOOKUP(A36,INPUT_RANGE,53,FALSE) &amp; " r"</f>
    </oc>
    <nc r="U36">
      <f>VLOOKUP(A36,INPUT_RANGE,53,FALSE) &amp; " R"</f>
    </nc>
  </rcc>
  <rcc rId="1744" sId="5">
    <oc r="V36">
      <f>TEXT(AX36, ".000") &amp; " obp"</f>
    </oc>
    <nc r="V36">
      <f>TEXT(AX36, ".000") &amp; " OBP"</f>
    </nc>
  </rcc>
  <rcc rId="1745" sId="5">
    <oc r="X36">
      <f>VLOOKUP(A36,INPUT_RANGE,77,FALSE)&amp;" games"</f>
    </oc>
    <nc r="X36">
      <f>VLOOKUP(A36,INPUT_RANGE,77,FALSE)&amp;" games"</f>
    </nc>
  </rcc>
  <rcc rId="1746" sId="5">
    <oc r="Y36">
      <f>VLOOKUP(A36,INPUT_RANGE,78,FALSE) &amp; " starts"</f>
    </oc>
    <nc r="Y36">
      <f>VLOOKUP(A36,INPUT_RANGE,78,FALSE) &amp; " starts"</f>
    </nc>
  </rcc>
  <rcc rId="1747" sId="5">
    <oc r="Z36">
      <f>VLOOKUP(A36,INPUT_RANGE,82,FALSE) &amp; " ip"</f>
    </oc>
    <nc r="Z36">
      <f>VLOOKUP(A36,INPUT_RANGE,82,FALSE) &amp; " IP"</f>
    </nc>
  </rcc>
  <rcc rId="1748" sId="5">
    <oc r="AA36">
      <f>TRUNC(VLOOKUP(A36,INPUT_RANGE,82,FALSE)) &amp;  IF(AR36=0.333,"º",IF(AR36=0.666,"»",""))</f>
    </oc>
    <nc r="AA36">
      <f>TRUNC(VLOOKUP(A36,INPUT_RANGE,82,FALSE)) &amp;  IF(AR36=0.333,"º",IF(AR36=0.666,"»",""))</f>
    </nc>
  </rcc>
  <rcc rId="1749" sId="5">
    <oc r="AB36">
      <f>AA36&amp; " ip"</f>
    </oc>
    <nc r="AB36">
      <f>AA36&amp; " IP"</f>
    </nc>
  </rcc>
  <rcc rId="1750" sId="5">
    <oc r="AC36">
      <f>VLOOKUP(A36,INPUT_RANGE,79,FALSE) &amp; " cg"</f>
    </oc>
    <nc r="AC36">
      <f>VLOOKUP(A36,INPUT_RANGE,79,FALSE) &amp; " CG"</f>
    </nc>
  </rcc>
  <rcc rId="1751" sId="5">
    <oc r="AD36">
      <f>VLOOKUP(A36,INPUT_RANGE,80,FALSE) &amp; " sho"</f>
    </oc>
    <nc r="AD36">
      <f>VLOOKUP(A36,INPUT_RANGE,80,FALSE) &amp; " SHO"</f>
    </nc>
  </rcc>
  <rcc rId="1752" sId="5">
    <oc r="AE36">
      <f>VLOOKUP(A36,INPUT_RANGE,75,FALSE) &amp; " win"</f>
    </oc>
    <nc r="AE36">
      <f>VLOOKUP(A36,INPUT_RANGE,75,FALSE) &amp; " Win"</f>
    </nc>
  </rcc>
  <rcc rId="1753" sId="5">
    <oc r="AF36">
      <f>VLOOKUP(A36,INPUT_RANGE,76,FALSE) &amp; " loss"</f>
    </oc>
    <nc r="AF36">
      <f>VLOOKUP(A36,INPUT_RANGE,76,FALSE) &amp; " Loss"</f>
    </nc>
  </rcc>
  <rcc rId="1754" sId="5">
    <oc r="AG36">
      <f>VLOOKUP(A36,INPUT_RANGE,75,FALSE) &amp; "-" &amp; VLOOKUP(A36,INPUT_RANGE,76,FALSE) &amp; " w-l"</f>
    </oc>
    <nc r="AG36">
      <f>VLOOKUP(A36,INPUT_RANGE,75,FALSE) &amp; "-" &amp; VLOOKUP(A36,INPUT_RANGE,76,FALSE) &amp; " W-L"</f>
    </nc>
  </rcc>
  <rcc rId="1755" sId="5">
    <oc r="AH36">
      <f>VLOOKUP(A36,INPUT_RANGE,81,FALSE)&amp; " saves"</f>
    </oc>
    <nc r="AH36">
      <f>VLOOKUP(A36,INPUT_RANGE,81,FALSE)&amp; " Saves"</f>
    </nc>
  </rcc>
  <rcc rId="1756" sId="5">
    <oc r="AI36">
      <f>VLOOKUP(A36,INPUT_RANGE,83,FALSE) &amp; " h"</f>
    </oc>
    <nc r="AI36">
      <f>VLOOKUP(A36,INPUT_RANGE,83,FALSE) &amp; " H"</f>
    </nc>
  </rcc>
  <rcc rId="1757" sId="5">
    <oc r="AJ36">
      <f>VLOOKUP(A36,INPUT_RANGE,84,FALSE) &amp; " r"</f>
    </oc>
    <nc r="AJ36">
      <f>VLOOKUP(A36,INPUT_RANGE,84,FALSE) &amp; " R"</f>
    </nc>
  </rcc>
  <rcc rId="1758" sId="5">
    <oc r="AK36">
      <f>VLOOKUP(A36,INPUT_RANGE,85,FALSE) &amp;" er"</f>
    </oc>
    <nc r="AK36">
      <f>VLOOKUP(A36,INPUT_RANGE,85,FALSE) &amp;" ER"</f>
    </nc>
  </rcc>
  <rcc rId="1759" sId="5">
    <oc r="AL36">
      <f>VLOOKUP(A36,INPUT_RANGE,88,FALSE) &amp;" hr"</f>
    </oc>
    <nc r="AL36">
      <f>VLOOKUP(A36,INPUT_RANGE,88,FALSE) &amp;" HR"</f>
    </nc>
  </rcc>
  <rcc rId="1760" sId="5">
    <oc r="AM36">
      <f>VLOOKUP(A36,INPUT_RANGE,87,FALSE) &amp; " k"</f>
    </oc>
    <nc r="AM36">
      <f>VLOOKUP(A36,INPUT_RANGE,87,FALSE) &amp; " K"</f>
    </nc>
  </rcc>
  <rcc rId="1761" sId="5">
    <oc r="AN36">
      <f>VLOOKUP(A36,INPUT_RANGE,86,FALSE) &amp; " bb"</f>
    </oc>
    <nc r="AN36">
      <f>VLOOKUP(A36,INPUT_RANGE,86,FALSE) &amp; " BB"</f>
    </nc>
  </rcc>
  <rcc rId="1762" sId="5">
    <oc r="AO36">
      <f>TEXT(AU36,"0.00") &amp; " era"</f>
    </oc>
    <nc r="AO36">
      <f>TEXT(AU36,"0.00") &amp; " ERA"</f>
    </nc>
  </rcc>
  <rcc rId="1763" sId="5">
    <oc r="AP36">
      <f>TEXT(AT36,"0.00") &amp; " whip"</f>
    </oc>
    <nc r="AP36">
      <f>TEXT(AT36,"0.00") &amp; " WHIP"</f>
    </nc>
  </rcc>
  <rcc rId="1764" sId="5">
    <oc r="AQ36">
      <f xml:space="preserve"> IF(LEFT(RIGHT((VLOOKUP(A36,INPUT_RANGE,82,FALSE)),2),1)=".",RIGHT(VLOOKUP(A36,INPUT_RANGE,82,FALSE),1), "X")</f>
    </oc>
    <nc r="AQ36">
      <f xml:space="preserve"> IF(LEFT(RIGHT((VLOOKUP(A36,INPUT_RANGE,82,FALSE)),2),1)=".",RIGHT(VLOOKUP(A36,INPUT_RANGE,82,FALSE),1), "X")</f>
    </nc>
  </rcc>
  <rcc rId="1765" sId="5">
    <oc r="AR36">
      <f>IF(AQ36 ="1",0.333,IF(AQ36="2",0.666,0))</f>
    </oc>
    <nc r="AR36">
      <f>IF(AQ36 ="1",0.333,IF(AQ36="2",0.666,0))</f>
    </nc>
  </rcc>
  <rcc rId="1766" sId="5">
    <oc r="AS36">
      <f>VLOOKUP(A36,INPUT_RANGE,82,FALSE)-(AQ36*0.1)+AR36</f>
    </oc>
    <nc r="AS36">
      <f>VLOOKUP(A36,INPUT_RANGE,82,FALSE)-(AQ36*0.1)+AR36</f>
    </nc>
  </rcc>
  <rcc rId="1767" sId="5">
    <oc r="AT36">
      <f>ROUND((VLOOKUP(A36,INPUT_RANGE,86,FALSE)+VLOOKUP(A36,INPUT_RANGE,83,FALSE))/AS36,2)</f>
    </oc>
    <nc r="AT36">
      <f>ROUND((VLOOKUP(A36,INPUT_RANGE,86,FALSE)+VLOOKUP(A36,INPUT_RANGE,83,FALSE))/AS36,2)</f>
    </nc>
  </rcc>
  <rcc rId="1768" sId="5">
    <oc r="AU36">
      <f>ROUND((VLOOKUP(A36,INPUT_RANGE,85,FALSE)/AS36)*('Team Info'!$H$25),2)</f>
    </oc>
    <nc r="AU36">
      <f>ROUND((VLOOKUP(A36,INPUT_RANGE,85,FALSE)/AS36)*('D:\Data\Softball\[ESPN_BASEBALL_AWAY_OLD.xlsx]Team Info'!$H$25),2)</f>
    </nc>
  </rcc>
  <rcc rId="1769" sId="5">
    <oc r="AW36">
      <f>(VLOOKUP(A36,INPUT_RANGE,54,FALSE)/VLOOKUP(A36,INPUT_RANGE,52,FALSE))</f>
    </oc>
    <nc r="AW36">
      <f>(VLOOKUP(A36,INPUT_RANGE,54,FALSE)/VLOOKUP(A36,INPUT_RANGE,52,FALSE))</f>
    </nc>
  </rcc>
  <rcc rId="1770" sId="5">
    <oc r="AX36">
      <f>((VLOOKUP(A36,INPUT_RANGE,54,FALSE)+VLOOKUP(A36,INPUT_RANGE,60,FALSE)+VLOOKUP(A36,INPUT_RANGE,59,FALSE))/(VLOOKUP(A36,INPUT_RANGE,52,FALSE)+VLOOKUP(A36,INPUT_RANGE,60,FALSE)+VLOOKUP(A36,INPUT_RANGE,59,FALSE)+VLOOKUP(A36,INPUT_RANGE,63,FALSE)))</f>
    </oc>
    <nc r="AX36">
      <f>((VLOOKUP(A36,INPUT_RANGE,54,FALSE)+VLOOKUP(A36,INPUT_RANGE,60,FALSE)+VLOOKUP(A36,INPUT_RANGE,59,FALSE))/(VLOOKUP(A36,INPUT_RANGE,52,FALSE)+VLOOKUP(A36,INPUT_RANGE,60,FALSE)+VLOOKUP(A36,INPUT_RANGE,59,FALSE)+VLOOKUP(A36,INPUT_RANGE,63,FALSE)))</f>
    </nc>
  </rcc>
  <rcc rId="1771" sId="5">
    <oc r="AY36">
      <f>(VLOOKUP(A36,INPUT_RANGE,54)+VLOOKUP(A36,INPUT_RANGE,55)+(VLOOKUP(A36,INPUT_RANGE,56)*2)+(VLOOKUP(A36,INPUT_RANGE,57)*3))/(VLOOKUP(A36,INPUT_RANGE,52))</f>
    </oc>
    <nc r="AY36">
      <f>(VLOOKUP(A36,INPUT_RANGE,54)+VLOOKUP(A36,INPUT_RANGE,55)+(VLOOKUP(A36,INPUT_RANGE,56)*2)+(VLOOKUP(A36,INPUT_RANGE,57)*3))/(VLOOKUP(A36,INPUT_RANGE,52))</f>
    </nc>
  </rcc>
  <rcc rId="1772" sId="5">
    <oc r="AZ36">
      <f>AX36+AY36</f>
    </oc>
    <nc r="AZ36">
      <f>AX36+AY36</f>
    </nc>
  </rcc>
  <rcc rId="1773" sId="5">
    <oc r="BA36">
      <f xml:space="preserve"> TEXT(AZ36,".000") &amp; " ops"</f>
    </oc>
    <nc r="BA36">
      <f xml:space="preserve"> TEXT(AZ36,".000") &amp; " OPS"</f>
    </nc>
  </rcc>
  <rcc rId="1774" sId="5">
    <oc r="BB36">
      <f>VLOOKUP(A36,INPUT_RANGE,78,FALSE)</f>
    </oc>
    <nc r="BB36">
      <f>VLOOKUP(A36,INPUT_RANGE,78,FALSE)</f>
    </nc>
  </rcc>
  <rcc rId="1775" sId="5">
    <oc r="BC36">
      <f>VLOOKUP(A36,INPUT_RANGE,77,FALSE)</f>
    </oc>
    <nc r="BC36">
      <f>VLOOKUP(A36,INPUT_RANGE,77,FALSE)</f>
    </nc>
  </rcc>
  <rcc rId="1776" sId="5">
    <oc r="BD36">
      <f>VLOOKUP(A36,INPUT_RANGE,75,FALSE) &amp; "-" &amp; VLOOKUP(A36,INPUT_RANGE,76,FALSE)</f>
    </oc>
    <nc r="BD36">
      <f>VLOOKUP(A36,INPUT_RANGE,75,FALSE) &amp; "-" &amp; VLOOKUP(A36,INPUT_RANGE,76,FALSE)</f>
    </nc>
  </rcc>
  <rcc rId="1777" sId="5">
    <oc r="BE36">
      <f>AU36</f>
    </oc>
    <nc r="BE36">
      <f>AU36</f>
    </nc>
  </rcc>
  <rcc rId="1778" sId="5">
    <oc r="BF36">
      <f>AA36</f>
    </oc>
    <nc r="BF36">
      <f>AA36</f>
    </nc>
  </rcc>
  <rcc rId="1779" sId="5">
    <oc r="BG36">
      <f>VLOOKUP(A36,INPUT_RANGE,86,FALSE)</f>
    </oc>
    <nc r="BG36">
      <f>VLOOKUP(A36,INPUT_RANGE,86,FALSE)</f>
    </nc>
  </rcc>
  <rcc rId="1780" sId="5">
    <oc r="BH36">
      <f>VLOOKUP(A36,INPUT_RANGE,87,FALSE)</f>
    </oc>
    <nc r="BH36">
      <f>VLOOKUP(A36,INPUT_RANGE,87,FALSE)</f>
    </nc>
  </rcc>
  <rcc rId="1781" sId="5">
    <oc r="BI36">
      <f>VLOOKUP(A36,INPUT_RANGE,81,FALSE) &amp; " SAVES"</f>
    </oc>
    <nc r="BI36">
      <f>VLOOKUP(A36,INPUT_RANGE,81,FALSE) &amp; " SAVES"</f>
    </nc>
  </rcc>
  <rcc rId="1782" sId="5">
    <oc r="BJ36">
      <f>VLOOKUP(A36,INPUT_RANGE,81,FALSE)</f>
    </oc>
    <nc r="BJ36">
      <f>VLOOKUP(A36,INPUT_RANGE,81,FALSE)</f>
    </nc>
  </rcc>
  <rcc rId="1783" sId="5">
    <oc r="BK36">
      <f>VLOOKUP(A36,INPUT_RANGE,83,FALSE)</f>
    </oc>
    <nc r="BK36">
      <f>VLOOKUP(A36,INPUT_RANGE,83,FALSE)</f>
    </nc>
  </rcc>
  <rcc rId="1784" sId="5">
    <oc r="BL36">
      <f>VLOOKUP(A36,INPUT_RANGE,87,FALSE) &amp; "/" &amp; VLOOKUP(A36,INPUT_RANGE,86,FALSE)</f>
    </oc>
    <nc r="BL36">
      <f>VLOOKUP(A36,INPUT_RANGE,87,FALSE) &amp; "/" &amp; VLOOKUP(A36,INPUT_RANGE,86,FALSE)</f>
    </nc>
  </rcc>
  <rcc rId="1785" sId="5">
    <oc r="BM36">
      <f>ROUND((VLOOKUP(A36,INPUT_RANGE,86,FALSE)+VLOOKUP(A36,INPUT_RANGE,83,FALSE))/AS36,2)</f>
    </oc>
    <nc r="BM36">
      <f>ROUND((VLOOKUP(A36,INPUT_RANGE,86,FALSE)+VLOOKUP(A36,INPUT_RANGE,83,FALSE))/AS36,2)</f>
    </nc>
  </rcc>
  <rcc rId="1786" sId="5">
    <oc r="M37">
      <f xml:space="preserve"> TEXT(AW37,".000") &amp; " ba"</f>
    </oc>
    <nc r="M37">
      <f xml:space="preserve"> TEXT(AW37,".000") &amp; " BA"</f>
    </nc>
  </rcc>
  <rcc rId="1787" sId="5">
    <oc r="N37">
      <f>VLOOKUP(A37,INPUT_RANGE,58,FALSE) &amp; " rbi"</f>
    </oc>
    <nc r="N37">
      <f>VLOOKUP(A37,INPUT_RANGE,58,FALSE) &amp; " RBI"</f>
    </nc>
  </rcc>
  <rcc rId="1788" sId="5">
    <oc r="O37">
      <f>VLOOKUP(A37,INPUT_RANGE,60,FALSE) &amp; " bb"</f>
    </oc>
    <nc r="O37">
      <f>VLOOKUP(A37,INPUT_RANGE,60,FALSE) &amp; " BB"</f>
    </nc>
  </rcc>
  <rcc rId="1789" sId="5">
    <oc r="P37">
      <f>VLOOKUP(A37,INPUT_RANGE,61,FALSE) &amp; " k"</f>
    </oc>
    <nc r="P37">
      <f>VLOOKUP(A37,INPUT_RANGE,61,FALSE) &amp; " K"</f>
    </nc>
  </rcc>
  <rcc rId="1790" sId="5">
    <oc r="Q37">
      <f>VLOOKUP(A37,INPUT_RANGE,64,FALSE) &amp; " sb"</f>
    </oc>
    <nc r="Q37">
      <f>VLOOKUP(A37,INPUT_RANGE,64,FALSE) &amp; " SB"</f>
    </nc>
  </rcc>
  <rcc rId="1791" sId="5">
    <oc r="R37">
      <f>VLOOKUP(A37,INPUT_RANGE,55,FALSE) &amp; " 2b"</f>
    </oc>
    <nc r="R37">
      <f>VLOOKUP(A37,INPUT_RANGE,55,FALSE) &amp; " 2B"</f>
    </nc>
  </rcc>
  <rcc rId="1792" sId="5">
    <oc r="S37">
      <f>VLOOKUP(A37,INPUT_RANGE,56,FALSE) &amp; " 3b"</f>
    </oc>
    <nc r="S37">
      <f>VLOOKUP(A37,INPUT_RANGE,56,FALSE) &amp; " 3B"</f>
    </nc>
  </rcc>
  <rcc rId="1793" sId="5">
    <oc r="T37">
      <f>VLOOKUP(A37,INPUT_RANGE,57,FALSE) &amp; " hr"</f>
    </oc>
    <nc r="T37">
      <f>VLOOKUP(A37,INPUT_RANGE,57,FALSE) &amp; " HR"</f>
    </nc>
  </rcc>
  <rcc rId="1794" sId="5">
    <oc r="U37">
      <f>VLOOKUP(A37,INPUT_RANGE,53,FALSE) &amp; " r"</f>
    </oc>
    <nc r="U37">
      <f>VLOOKUP(A37,INPUT_RANGE,53,FALSE) &amp; " R"</f>
    </nc>
  </rcc>
  <rcc rId="1795" sId="5">
    <oc r="V37">
      <f>TEXT(AX37, ".000") &amp; " obp"</f>
    </oc>
    <nc r="V37">
      <f>TEXT(AX37, ".000") &amp; " OBP"</f>
    </nc>
  </rcc>
  <rcc rId="1796" sId="5">
    <oc r="X37">
      <f>VLOOKUP(A37,INPUT_RANGE,77,FALSE)&amp;" games"</f>
    </oc>
    <nc r="X37">
      <f>VLOOKUP(A37,INPUT_RANGE,77,FALSE)&amp;" games"</f>
    </nc>
  </rcc>
  <rcc rId="1797" sId="5">
    <oc r="Y37">
      <f>VLOOKUP(A37,INPUT_RANGE,78,FALSE) &amp; " starts"</f>
    </oc>
    <nc r="Y37">
      <f>VLOOKUP(A37,INPUT_RANGE,78,FALSE) &amp; " starts"</f>
    </nc>
  </rcc>
  <rcc rId="1798" sId="5">
    <oc r="Z37">
      <f>VLOOKUP(A37,INPUT_RANGE,82,FALSE) &amp; " ip"</f>
    </oc>
    <nc r="Z37">
      <f>VLOOKUP(A37,INPUT_RANGE,82,FALSE) &amp; " IP"</f>
    </nc>
  </rcc>
  <rcc rId="1799" sId="5">
    <oc r="AA37">
      <f>TRUNC(VLOOKUP(A37,INPUT_RANGE,82,FALSE)) &amp;  IF(AR37=0.333,"º",IF(AR37=0.666,"»",""))</f>
    </oc>
    <nc r="AA37">
      <f>TRUNC(VLOOKUP(A37,INPUT_RANGE,82,FALSE)) &amp;  IF(AR37=0.333,"º",IF(AR37=0.666,"»",""))</f>
    </nc>
  </rcc>
  <rcc rId="1800" sId="5">
    <oc r="AB37">
      <f>AA37&amp; " ip"</f>
    </oc>
    <nc r="AB37">
      <f>AA37&amp; " IP"</f>
    </nc>
  </rcc>
  <rcc rId="1801" sId="5">
    <oc r="AC37">
      <f>VLOOKUP(A37,INPUT_RANGE,79,FALSE) &amp; " cg"</f>
    </oc>
    <nc r="AC37">
      <f>VLOOKUP(A37,INPUT_RANGE,79,FALSE) &amp; " CG"</f>
    </nc>
  </rcc>
  <rcc rId="1802" sId="5">
    <oc r="AD37">
      <f>VLOOKUP(A37,INPUT_RANGE,80,FALSE) &amp; " sho"</f>
    </oc>
    <nc r="AD37">
      <f>VLOOKUP(A37,INPUT_RANGE,80,FALSE) &amp; " SHO"</f>
    </nc>
  </rcc>
  <rcc rId="1803" sId="5">
    <oc r="AE37">
      <f>VLOOKUP(A37,INPUT_RANGE,75,FALSE) &amp; " win"</f>
    </oc>
    <nc r="AE37">
      <f>VLOOKUP(A37,INPUT_RANGE,75,FALSE) &amp; " Win"</f>
    </nc>
  </rcc>
  <rcc rId="1804" sId="5">
    <oc r="AF37">
      <f>VLOOKUP(A37,INPUT_RANGE,76,FALSE) &amp; " loss"</f>
    </oc>
    <nc r="AF37">
      <f>VLOOKUP(A37,INPUT_RANGE,76,FALSE) &amp; " Loss"</f>
    </nc>
  </rcc>
  <rcc rId="1805" sId="5">
    <oc r="AG37">
      <f>VLOOKUP(A37,INPUT_RANGE,75,FALSE) &amp; "-" &amp; VLOOKUP(A37,INPUT_RANGE,76,FALSE) &amp; " w-l"</f>
    </oc>
    <nc r="AG37">
      <f>VLOOKUP(A37,INPUT_RANGE,75,FALSE) &amp; "-" &amp; VLOOKUP(A37,INPUT_RANGE,76,FALSE) &amp; " W-L"</f>
    </nc>
  </rcc>
  <rcc rId="1806" sId="5">
    <oc r="AH37">
      <f>VLOOKUP(A37,INPUT_RANGE,81,FALSE)&amp; " saves"</f>
    </oc>
    <nc r="AH37">
      <f>VLOOKUP(A37,INPUT_RANGE,81,FALSE)&amp; " Saves"</f>
    </nc>
  </rcc>
  <rcc rId="1807" sId="5">
    <oc r="AI37">
      <f>VLOOKUP(A37,INPUT_RANGE,83,FALSE) &amp; " h"</f>
    </oc>
    <nc r="AI37">
      <f>VLOOKUP(A37,INPUT_RANGE,83,FALSE) &amp; " H"</f>
    </nc>
  </rcc>
  <rcc rId="1808" sId="5">
    <oc r="AJ37">
      <f>VLOOKUP(A37,INPUT_RANGE,84,FALSE) &amp; " r"</f>
    </oc>
    <nc r="AJ37">
      <f>VLOOKUP(A37,INPUT_RANGE,84,FALSE) &amp; " R"</f>
    </nc>
  </rcc>
  <rcc rId="1809" sId="5">
    <oc r="AK37">
      <f>VLOOKUP(A37,INPUT_RANGE,85,FALSE) &amp;" er"</f>
    </oc>
    <nc r="AK37">
      <f>VLOOKUP(A37,INPUT_RANGE,85,FALSE) &amp;" ER"</f>
    </nc>
  </rcc>
  <rcc rId="1810" sId="5">
    <oc r="AL37">
      <f>VLOOKUP(A37,INPUT_RANGE,88,FALSE) &amp;" hr"</f>
    </oc>
    <nc r="AL37">
      <f>VLOOKUP(A37,INPUT_RANGE,88,FALSE) &amp;" HR"</f>
    </nc>
  </rcc>
  <rcc rId="1811" sId="5">
    <oc r="AM37">
      <f>VLOOKUP(A37,INPUT_RANGE,87,FALSE) &amp; " k"</f>
    </oc>
    <nc r="AM37">
      <f>VLOOKUP(A37,INPUT_RANGE,87,FALSE) &amp; " K"</f>
    </nc>
  </rcc>
  <rcc rId="1812" sId="5">
    <oc r="AN37">
      <f>VLOOKUP(A37,INPUT_RANGE,86,FALSE) &amp; " bb"</f>
    </oc>
    <nc r="AN37">
      <f>VLOOKUP(A37,INPUT_RANGE,86,FALSE) &amp; " BB"</f>
    </nc>
  </rcc>
  <rcc rId="1813" sId="5">
    <oc r="AO37">
      <f>TEXT(AU37,"0.00") &amp; " era"</f>
    </oc>
    <nc r="AO37">
      <f>TEXT(AU37,"0.00") &amp; " ERA"</f>
    </nc>
  </rcc>
  <rcc rId="1814" sId="5">
    <oc r="AP37">
      <f>TEXT(AT37,"0.00") &amp; " whip"</f>
    </oc>
    <nc r="AP37">
      <f>TEXT(AT37,"0.00") &amp; " WHIP"</f>
    </nc>
  </rcc>
  <rcc rId="1815" sId="5">
    <oc r="AQ37">
      <f xml:space="preserve"> IF(LEFT(RIGHT((VLOOKUP(A37,INPUT_RANGE,82,FALSE)),2),1)=".",RIGHT(VLOOKUP(A37,INPUT_RANGE,82,FALSE),1), "X")</f>
    </oc>
    <nc r="AQ37">
      <f xml:space="preserve"> IF(LEFT(RIGHT((VLOOKUP(A37,INPUT_RANGE,82,FALSE)),2),1)=".",RIGHT(VLOOKUP(A37,INPUT_RANGE,82,FALSE),1), "X")</f>
    </nc>
  </rcc>
  <rcc rId="1816" sId="5">
    <oc r="AR37">
      <f>IF(AQ37 ="1",0.333,IF(AQ37="2",0.666,0))</f>
    </oc>
    <nc r="AR37">
      <f>IF(AQ37 ="1",0.333,IF(AQ37="2",0.666,0))</f>
    </nc>
  </rcc>
  <rcc rId="1817" sId="5">
    <oc r="AS37">
      <f>VLOOKUP(A37,INPUT_RANGE,82,FALSE)-(AQ37*0.1)+AR37</f>
    </oc>
    <nc r="AS37">
      <f>VLOOKUP(A37,INPUT_RANGE,82,FALSE)-(AQ37*0.1)+AR37</f>
    </nc>
  </rcc>
  <rcc rId="1818" sId="5">
    <oc r="AT37">
      <f>ROUND((VLOOKUP(A37,INPUT_RANGE,86,FALSE)+VLOOKUP(A37,INPUT_RANGE,83,FALSE))/AS37,2)</f>
    </oc>
    <nc r="AT37">
      <f>ROUND((VLOOKUP(A37,INPUT_RANGE,86,FALSE)+VLOOKUP(A37,INPUT_RANGE,83,FALSE))/AS37,2)</f>
    </nc>
  </rcc>
  <rcc rId="1819" sId="5">
    <oc r="AU37">
      <f>ROUND((VLOOKUP(A37,INPUT_RANGE,85,FALSE)/AS37)*('Team Info'!$H$25),2)</f>
    </oc>
    <nc r="AU37">
      <f>ROUND((VLOOKUP(A37,INPUT_RANGE,85,FALSE)/AS37)*('D:\Data\Softball\[ESPN_BASEBALL_AWAY_OLD.xlsx]Team Info'!$H$25),2)</f>
    </nc>
  </rcc>
  <rcc rId="1820" sId="5">
    <oc r="AW37">
      <f>(VLOOKUP(A37,INPUT_RANGE,54,FALSE)/VLOOKUP(A37,INPUT_RANGE,52,FALSE))</f>
    </oc>
    <nc r="AW37">
      <f>(VLOOKUP(A37,INPUT_RANGE,54,FALSE)/VLOOKUP(A37,INPUT_RANGE,52,FALSE))</f>
    </nc>
  </rcc>
  <rcc rId="1821" sId="5">
    <oc r="AX37">
      <f>((VLOOKUP(A37,INPUT_RANGE,54,FALSE)+VLOOKUP(A37,INPUT_RANGE,60,FALSE)+VLOOKUP(A37,INPUT_RANGE,59,FALSE))/(VLOOKUP(A37,INPUT_RANGE,52,FALSE)+VLOOKUP(A37,INPUT_RANGE,60,FALSE)+VLOOKUP(A37,INPUT_RANGE,59,FALSE)+VLOOKUP(A37,INPUT_RANGE,63,FALSE)))</f>
    </oc>
    <nc r="AX37">
      <f>((VLOOKUP(A37,INPUT_RANGE,54,FALSE)+VLOOKUP(A37,INPUT_RANGE,60,FALSE)+VLOOKUP(A37,INPUT_RANGE,59,FALSE))/(VLOOKUP(A37,INPUT_RANGE,52,FALSE)+VLOOKUP(A37,INPUT_RANGE,60,FALSE)+VLOOKUP(A37,INPUT_RANGE,59,FALSE)+VLOOKUP(A37,INPUT_RANGE,63,FALSE)))</f>
    </nc>
  </rcc>
  <rcc rId="1822" sId="5">
    <oc r="AY37">
      <f>(VLOOKUP(A37,INPUT_RANGE,54)+VLOOKUP(A37,INPUT_RANGE,55)+(VLOOKUP(A37,INPUT_RANGE,56)*2)+(VLOOKUP(A37,INPUT_RANGE,57)*3))/(VLOOKUP(A37,INPUT_RANGE,52))</f>
    </oc>
    <nc r="AY37">
      <f>(VLOOKUP(A37,INPUT_RANGE,54)+VLOOKUP(A37,INPUT_RANGE,55)+(VLOOKUP(A37,INPUT_RANGE,56)*2)+(VLOOKUP(A37,INPUT_RANGE,57)*3))/(VLOOKUP(A37,INPUT_RANGE,52))</f>
    </nc>
  </rcc>
  <rcc rId="1823" sId="5">
    <oc r="AZ37">
      <f>AX37+AY37</f>
    </oc>
    <nc r="AZ37">
      <f>AX37+AY37</f>
    </nc>
  </rcc>
  <rcc rId="1824" sId="5">
    <oc r="BA37">
      <f xml:space="preserve"> TEXT(AZ37,".000") &amp; " ops"</f>
    </oc>
    <nc r="BA37">
      <f xml:space="preserve"> TEXT(AZ37,".000") &amp; " OPS"</f>
    </nc>
  </rcc>
  <rcc rId="1825" sId="5">
    <oc r="BB37">
      <f>VLOOKUP(A37,INPUT_RANGE,78,FALSE)</f>
    </oc>
    <nc r="BB37">
      <f>VLOOKUP(A37,INPUT_RANGE,78,FALSE)</f>
    </nc>
  </rcc>
  <rcc rId="1826" sId="5">
    <oc r="BC37">
      <f>VLOOKUP(A37,INPUT_RANGE,77,FALSE)</f>
    </oc>
    <nc r="BC37">
      <f>VLOOKUP(A37,INPUT_RANGE,77,FALSE)</f>
    </nc>
  </rcc>
  <rcc rId="1827" sId="5">
    <oc r="BD37">
      <f>VLOOKUP(A37,INPUT_RANGE,75,FALSE) &amp; "-" &amp; VLOOKUP(A37,INPUT_RANGE,76,FALSE)</f>
    </oc>
    <nc r="BD37">
      <f>VLOOKUP(A37,INPUT_RANGE,75,FALSE) &amp; "-" &amp; VLOOKUP(A37,INPUT_RANGE,76,FALSE)</f>
    </nc>
  </rcc>
  <rcc rId="1828" sId="5">
    <oc r="BE37">
      <f>AU37</f>
    </oc>
    <nc r="BE37">
      <f>AU37</f>
    </nc>
  </rcc>
  <rcc rId="1829" sId="5">
    <oc r="BF37">
      <f>AA37</f>
    </oc>
    <nc r="BF37">
      <f>AA37</f>
    </nc>
  </rcc>
  <rcc rId="1830" sId="5">
    <oc r="BG37">
      <f>VLOOKUP(A37,INPUT_RANGE,86,FALSE)</f>
    </oc>
    <nc r="BG37">
      <f>VLOOKUP(A37,INPUT_RANGE,86,FALSE)</f>
    </nc>
  </rcc>
  <rcc rId="1831" sId="5">
    <oc r="BH37">
      <f>VLOOKUP(A37,INPUT_RANGE,87,FALSE)</f>
    </oc>
    <nc r="BH37">
      <f>VLOOKUP(A37,INPUT_RANGE,87,FALSE)</f>
    </nc>
  </rcc>
  <rcc rId="1832" sId="5">
    <oc r="BI37">
      <f>VLOOKUP(A37,INPUT_RANGE,81,FALSE) &amp; " SAVES"</f>
    </oc>
    <nc r="BI37">
      <f>VLOOKUP(A37,INPUT_RANGE,81,FALSE) &amp; " SAVES"</f>
    </nc>
  </rcc>
  <rcc rId="1833" sId="5">
    <oc r="BJ37">
      <f>VLOOKUP(A37,INPUT_RANGE,81,FALSE)</f>
    </oc>
    <nc r="BJ37">
      <f>VLOOKUP(A37,INPUT_RANGE,81,FALSE)</f>
    </nc>
  </rcc>
  <rcc rId="1834" sId="5">
    <oc r="BK37">
      <f>VLOOKUP(A37,INPUT_RANGE,83,FALSE)</f>
    </oc>
    <nc r="BK37">
      <f>VLOOKUP(A37,INPUT_RANGE,83,FALSE)</f>
    </nc>
  </rcc>
  <rcc rId="1835" sId="5">
    <oc r="BL37">
      <f>VLOOKUP(A37,INPUT_RANGE,87,FALSE) &amp; "/" &amp; VLOOKUP(A37,INPUT_RANGE,86,FALSE)</f>
    </oc>
    <nc r="BL37">
      <f>VLOOKUP(A37,INPUT_RANGE,87,FALSE) &amp; "/" &amp; VLOOKUP(A37,INPUT_RANGE,86,FALSE)</f>
    </nc>
  </rcc>
  <rcc rId="1836" sId="5">
    <oc r="BM37">
      <f>ROUND((VLOOKUP(A37,INPUT_RANGE,86,FALSE)+VLOOKUP(A37,INPUT_RANGE,83,FALSE))/AS37,2)</f>
    </oc>
    <nc r="BM37">
      <f>ROUND((VLOOKUP(A37,INPUT_RANGE,86,FALSE)+VLOOKUP(A37,INPUT_RANGE,83,FALSE))/AS37,2)</f>
    </nc>
  </rcc>
  <rcc rId="1837" sId="5">
    <oc r="M38">
      <f xml:space="preserve"> TEXT(AW38,".000") &amp; " ba"</f>
    </oc>
    <nc r="M38">
      <f xml:space="preserve"> TEXT(AW38,".000") &amp; " BA"</f>
    </nc>
  </rcc>
  <rcc rId="1838" sId="5">
    <oc r="N38">
      <f>VLOOKUP(A38,INPUT_RANGE,58,FALSE) &amp; " rbi"</f>
    </oc>
    <nc r="N38">
      <f>VLOOKUP(A38,INPUT_RANGE,58,FALSE) &amp; " RBI"</f>
    </nc>
  </rcc>
  <rcc rId="1839" sId="5">
    <oc r="O38">
      <f>VLOOKUP(A38,INPUT_RANGE,60,FALSE) &amp; " bb"</f>
    </oc>
    <nc r="O38">
      <f>VLOOKUP(A38,INPUT_RANGE,60,FALSE) &amp; " BB"</f>
    </nc>
  </rcc>
  <rcc rId="1840" sId="5">
    <oc r="P38">
      <f>VLOOKUP(A38,INPUT_RANGE,61,FALSE) &amp; " k"</f>
    </oc>
    <nc r="P38">
      <f>VLOOKUP(A38,INPUT_RANGE,61,FALSE) &amp; " K"</f>
    </nc>
  </rcc>
  <rcc rId="1841" sId="5">
    <oc r="Q38">
      <f>VLOOKUP(A38,INPUT_RANGE,64,FALSE) &amp; " sb"</f>
    </oc>
    <nc r="Q38">
      <f>VLOOKUP(A38,INPUT_RANGE,64,FALSE) &amp; " SB"</f>
    </nc>
  </rcc>
  <rcc rId="1842" sId="5">
    <oc r="R38">
      <f>VLOOKUP(A38,INPUT_RANGE,55,FALSE) &amp; " 2b"</f>
    </oc>
    <nc r="R38">
      <f>VLOOKUP(A38,INPUT_RANGE,55,FALSE) &amp; " 2B"</f>
    </nc>
  </rcc>
  <rcc rId="1843" sId="5">
    <oc r="S38">
      <f>VLOOKUP(A38,INPUT_RANGE,56,FALSE) &amp; " 3b"</f>
    </oc>
    <nc r="S38">
      <f>VLOOKUP(A38,INPUT_RANGE,56,FALSE) &amp; " 3B"</f>
    </nc>
  </rcc>
  <rcc rId="1844" sId="5">
    <oc r="T38">
      <f>VLOOKUP(A38,INPUT_RANGE,57,FALSE) &amp; " hr"</f>
    </oc>
    <nc r="T38">
      <f>VLOOKUP(A38,INPUT_RANGE,57,FALSE) &amp; " HR"</f>
    </nc>
  </rcc>
  <rcc rId="1845" sId="5">
    <oc r="U38">
      <f>VLOOKUP(A38,INPUT_RANGE,53,FALSE) &amp; " r"</f>
    </oc>
    <nc r="U38">
      <f>VLOOKUP(A38,INPUT_RANGE,53,FALSE) &amp; " R"</f>
    </nc>
  </rcc>
  <rcc rId="1846" sId="5">
    <oc r="V38">
      <f>TEXT(AX38, ".000") &amp; " obp"</f>
    </oc>
    <nc r="V38">
      <f>TEXT(AX38, ".000") &amp; " OBP"</f>
    </nc>
  </rcc>
  <rcc rId="1847" sId="5">
    <oc r="X38">
      <f>VLOOKUP(A38,INPUT_RANGE,77,FALSE)&amp;" games"</f>
    </oc>
    <nc r="X38">
      <f>VLOOKUP(A38,INPUT_RANGE,77,FALSE)&amp;" games"</f>
    </nc>
  </rcc>
  <rcc rId="1848" sId="5">
    <oc r="Y38">
      <f>VLOOKUP(A38,INPUT_RANGE,78,FALSE) &amp; " starts"</f>
    </oc>
    <nc r="Y38">
      <f>VLOOKUP(A38,INPUT_RANGE,78,FALSE) &amp; " starts"</f>
    </nc>
  </rcc>
  <rcc rId="1849" sId="5">
    <oc r="Z38">
      <f>VLOOKUP(A38,INPUT_RANGE,82,FALSE) &amp; " ip"</f>
    </oc>
    <nc r="Z38">
      <f>VLOOKUP(A38,INPUT_RANGE,82,FALSE) &amp; " IP"</f>
    </nc>
  </rcc>
  <rcc rId="1850" sId="5">
    <oc r="AA38">
      <f>TRUNC(VLOOKUP(A38,INPUT_RANGE,82,FALSE)) &amp;  IF(AR38=0.333,"º",IF(AR38=0.666,"»",""))</f>
    </oc>
    <nc r="AA38">
      <f>TRUNC(VLOOKUP(A38,INPUT_RANGE,82,FALSE)) &amp;  IF(AR38=0.333,"º",IF(AR38=0.666,"»",""))</f>
    </nc>
  </rcc>
  <rcc rId="1851" sId="5">
    <oc r="AB38">
      <f>AA38&amp; " ip"</f>
    </oc>
    <nc r="AB38">
      <f>AA38&amp; " IP"</f>
    </nc>
  </rcc>
  <rcc rId="1852" sId="5">
    <oc r="AC38">
      <f>VLOOKUP(A38,INPUT_RANGE,79,FALSE) &amp; " cg"</f>
    </oc>
    <nc r="AC38">
      <f>VLOOKUP(A38,INPUT_RANGE,79,FALSE) &amp; " CG"</f>
    </nc>
  </rcc>
  <rcc rId="1853" sId="5">
    <oc r="AD38">
      <f>VLOOKUP(A38,INPUT_RANGE,80,FALSE) &amp; " sho"</f>
    </oc>
    <nc r="AD38">
      <f>VLOOKUP(A38,INPUT_RANGE,80,FALSE) &amp; " SHO"</f>
    </nc>
  </rcc>
  <rcc rId="1854" sId="5">
    <oc r="AE38">
      <f>VLOOKUP(A38,INPUT_RANGE,75,FALSE) &amp; " win"</f>
    </oc>
    <nc r="AE38">
      <f>VLOOKUP(A38,INPUT_RANGE,75,FALSE) &amp; " Win"</f>
    </nc>
  </rcc>
  <rcc rId="1855" sId="5">
    <oc r="AF38">
      <f>VLOOKUP(A38,INPUT_RANGE,76,FALSE) &amp; " loss"</f>
    </oc>
    <nc r="AF38">
      <f>VLOOKUP(A38,INPUT_RANGE,76,FALSE) &amp; " Loss"</f>
    </nc>
  </rcc>
  <rcc rId="1856" sId="5">
    <oc r="AG38">
      <f>VLOOKUP(A38,INPUT_RANGE,75,FALSE) &amp; "-" &amp; VLOOKUP(A38,INPUT_RANGE,76,FALSE) &amp; " w-l"</f>
    </oc>
    <nc r="AG38">
      <f>VLOOKUP(A38,INPUT_RANGE,75,FALSE) &amp; "-" &amp; VLOOKUP(A38,INPUT_RANGE,76,FALSE) &amp; " W-L"</f>
    </nc>
  </rcc>
  <rcc rId="1857" sId="5">
    <oc r="AH38">
      <f>VLOOKUP(A38,INPUT_RANGE,81,FALSE)&amp; " saves"</f>
    </oc>
    <nc r="AH38">
      <f>VLOOKUP(A38,INPUT_RANGE,81,FALSE)&amp; " Saves"</f>
    </nc>
  </rcc>
  <rcc rId="1858" sId="5">
    <oc r="AI38">
      <f>VLOOKUP(A38,INPUT_RANGE,83,FALSE) &amp; " h"</f>
    </oc>
    <nc r="AI38">
      <f>VLOOKUP(A38,INPUT_RANGE,83,FALSE) &amp; " H"</f>
    </nc>
  </rcc>
  <rcc rId="1859" sId="5">
    <oc r="AJ38">
      <f>VLOOKUP(A38,INPUT_RANGE,84,FALSE) &amp; " r"</f>
    </oc>
    <nc r="AJ38">
      <f>VLOOKUP(A38,INPUT_RANGE,84,FALSE) &amp; " R"</f>
    </nc>
  </rcc>
  <rcc rId="1860" sId="5">
    <oc r="AK38">
      <f>VLOOKUP(A38,INPUT_RANGE,85,FALSE) &amp;" er"</f>
    </oc>
    <nc r="AK38">
      <f>VLOOKUP(A38,INPUT_RANGE,85,FALSE) &amp;" ER"</f>
    </nc>
  </rcc>
  <rcc rId="1861" sId="5">
    <oc r="AL38">
      <f>VLOOKUP(A38,INPUT_RANGE,88,FALSE) &amp;" hr"</f>
    </oc>
    <nc r="AL38">
      <f>VLOOKUP(A38,INPUT_RANGE,88,FALSE) &amp;" HR"</f>
    </nc>
  </rcc>
  <rcc rId="1862" sId="5">
    <oc r="AM38">
      <f>VLOOKUP(A38,INPUT_RANGE,87,FALSE) &amp; " k"</f>
    </oc>
    <nc r="AM38">
      <f>VLOOKUP(A38,INPUT_RANGE,87,FALSE) &amp; " K"</f>
    </nc>
  </rcc>
  <rcc rId="1863" sId="5">
    <oc r="AN38">
      <f>VLOOKUP(A38,INPUT_RANGE,86,FALSE) &amp; " bb"</f>
    </oc>
    <nc r="AN38">
      <f>VLOOKUP(A38,INPUT_RANGE,86,FALSE) &amp; " BB"</f>
    </nc>
  </rcc>
  <rcc rId="1864" sId="5">
    <oc r="AO38">
      <f>TEXT(AU38,"0.00") &amp; " era"</f>
    </oc>
    <nc r="AO38">
      <f>TEXT(AU38,"0.00") &amp; " ERA"</f>
    </nc>
  </rcc>
  <rcc rId="1865" sId="5">
    <oc r="AP38">
      <f>TEXT(AT38,"0.00") &amp; " whip"</f>
    </oc>
    <nc r="AP38">
      <f>TEXT(AT38,"0.00") &amp; " WHIP"</f>
    </nc>
  </rcc>
  <rcc rId="1866" sId="5">
    <oc r="AQ38">
      <f xml:space="preserve"> IF(LEFT(RIGHT((VLOOKUP(A38,INPUT_RANGE,82,FALSE)),2),1)=".",RIGHT(VLOOKUP(A38,INPUT_RANGE,82,FALSE),1), "X")</f>
    </oc>
    <nc r="AQ38">
      <f xml:space="preserve"> IF(LEFT(RIGHT((VLOOKUP(A38,INPUT_RANGE,82,FALSE)),2),1)=".",RIGHT(VLOOKUP(A38,INPUT_RANGE,82,FALSE),1), "X")</f>
    </nc>
  </rcc>
  <rcc rId="1867" sId="5">
    <oc r="AR38">
      <f>IF(AQ38 ="1",0.333,IF(AQ38="2",0.666,0))</f>
    </oc>
    <nc r="AR38">
      <f>IF(AQ38 ="1",0.333,IF(AQ38="2",0.666,0))</f>
    </nc>
  </rcc>
  <rcc rId="1868" sId="5">
    <oc r="AS38">
      <f>VLOOKUP(A38,INPUT_RANGE,82,FALSE)-(AQ38*0.1)+AR38</f>
    </oc>
    <nc r="AS38">
      <f>VLOOKUP(A38,INPUT_RANGE,82,FALSE)-(AQ38*0.1)+AR38</f>
    </nc>
  </rcc>
  <rcc rId="1869" sId="5">
    <oc r="AT38">
      <f>ROUND((VLOOKUP(A38,INPUT_RANGE,86,FALSE)+VLOOKUP(A38,INPUT_RANGE,83,FALSE))/AS38,2)</f>
    </oc>
    <nc r="AT38">
      <f>ROUND((VLOOKUP(A38,INPUT_RANGE,86,FALSE)+VLOOKUP(A38,INPUT_RANGE,83,FALSE))/AS38,2)</f>
    </nc>
  </rcc>
  <rcc rId="1870" sId="5">
    <oc r="AU38">
      <f>ROUND((VLOOKUP(A38,INPUT_RANGE,85,FALSE)/AS38)*('Team Info'!$H$25),2)</f>
    </oc>
    <nc r="AU38">
      <f>ROUND((VLOOKUP(A38,INPUT_RANGE,85,FALSE)/AS38)*('D:\Data\Softball\[ESPN_BASEBALL_AWAY_OLD.xlsx]Team Info'!$H$25),2)</f>
    </nc>
  </rcc>
  <rcc rId="1871" sId="5">
    <oc r="AW38">
      <f>(VLOOKUP(A38,INPUT_RANGE,54,FALSE)/VLOOKUP(A38,INPUT_RANGE,52,FALSE))</f>
    </oc>
    <nc r="AW38">
      <f>(VLOOKUP(A38,INPUT_RANGE,54,FALSE)/VLOOKUP(A38,INPUT_RANGE,52,FALSE))</f>
    </nc>
  </rcc>
  <rcc rId="1872" sId="5">
    <oc r="AX38">
      <f>((VLOOKUP(A38,INPUT_RANGE,54,FALSE)+VLOOKUP(A38,INPUT_RANGE,60,FALSE)+VLOOKUP(A38,INPUT_RANGE,59,FALSE))/(VLOOKUP(A38,INPUT_RANGE,52,FALSE)+VLOOKUP(A38,INPUT_RANGE,60,FALSE)+VLOOKUP(A38,INPUT_RANGE,59,FALSE)+VLOOKUP(A38,INPUT_RANGE,63,FALSE)))</f>
    </oc>
    <nc r="AX38">
      <f>((VLOOKUP(A38,INPUT_RANGE,54,FALSE)+VLOOKUP(A38,INPUT_RANGE,60,FALSE)+VLOOKUP(A38,INPUT_RANGE,59,FALSE))/(VLOOKUP(A38,INPUT_RANGE,52,FALSE)+VLOOKUP(A38,INPUT_RANGE,60,FALSE)+VLOOKUP(A38,INPUT_RANGE,59,FALSE)+VLOOKUP(A38,INPUT_RANGE,63,FALSE)))</f>
    </nc>
  </rcc>
  <rcc rId="1873" sId="5">
    <oc r="AY38">
      <f>(VLOOKUP(A38,INPUT_RANGE,54)+VLOOKUP(A38,INPUT_RANGE,55)+(VLOOKUP(A38,INPUT_RANGE,56)*2)+(VLOOKUP(A38,INPUT_RANGE,57)*3))/(VLOOKUP(A38,INPUT_RANGE,52))</f>
    </oc>
    <nc r="AY38">
      <f>(VLOOKUP(A38,INPUT_RANGE,54)+VLOOKUP(A38,INPUT_RANGE,55)+(VLOOKUP(A38,INPUT_RANGE,56)*2)+(VLOOKUP(A38,INPUT_RANGE,57)*3))/(VLOOKUP(A38,INPUT_RANGE,52))</f>
    </nc>
  </rcc>
  <rcc rId="1874" sId="5">
    <oc r="AZ38">
      <f>AX38+AY38</f>
    </oc>
    <nc r="AZ38">
      <f>AX38+AY38</f>
    </nc>
  </rcc>
  <rcc rId="1875" sId="5">
    <oc r="BA38">
      <f xml:space="preserve"> TEXT(AZ38,".000") &amp; " ops"</f>
    </oc>
    <nc r="BA38">
      <f xml:space="preserve"> TEXT(AZ38,".000") &amp; " OPS"</f>
    </nc>
  </rcc>
  <rcc rId="1876" sId="5">
    <oc r="BB38">
      <f>VLOOKUP(A38,INPUT_RANGE,78,FALSE)</f>
    </oc>
    <nc r="BB38">
      <f>VLOOKUP(A38,INPUT_RANGE,78,FALSE)</f>
    </nc>
  </rcc>
  <rcc rId="1877" sId="5">
    <oc r="BC38">
      <f>VLOOKUP(A38,INPUT_RANGE,77,FALSE)</f>
    </oc>
    <nc r="BC38">
      <f>VLOOKUP(A38,INPUT_RANGE,77,FALSE)</f>
    </nc>
  </rcc>
  <rcc rId="1878" sId="5">
    <oc r="BD38">
      <f>VLOOKUP(A38,INPUT_RANGE,75,FALSE) &amp; "-" &amp; VLOOKUP(A38,INPUT_RANGE,76,FALSE)</f>
    </oc>
    <nc r="BD38">
      <f>VLOOKUP(A38,INPUT_RANGE,75,FALSE) &amp; "-" &amp; VLOOKUP(A38,INPUT_RANGE,76,FALSE)</f>
    </nc>
  </rcc>
  <rcc rId="1879" sId="5">
    <oc r="BE38">
      <f>AU38</f>
    </oc>
    <nc r="BE38">
      <f>AU38</f>
    </nc>
  </rcc>
  <rcc rId="1880" sId="5">
    <oc r="BF38">
      <f>AA38</f>
    </oc>
    <nc r="BF38">
      <f>AA38</f>
    </nc>
  </rcc>
  <rcc rId="1881" sId="5">
    <oc r="BG38">
      <f>VLOOKUP(A38,INPUT_RANGE,86,FALSE)</f>
    </oc>
    <nc r="BG38">
      <f>VLOOKUP(A38,INPUT_RANGE,86,FALSE)</f>
    </nc>
  </rcc>
  <rcc rId="1882" sId="5">
    <oc r="BH38">
      <f>VLOOKUP(A38,INPUT_RANGE,87,FALSE)</f>
    </oc>
    <nc r="BH38">
      <f>VLOOKUP(A38,INPUT_RANGE,87,FALSE)</f>
    </nc>
  </rcc>
  <rcc rId="1883" sId="5">
    <oc r="BI38">
      <f>VLOOKUP(A38,INPUT_RANGE,81,FALSE) &amp; " SAVES"</f>
    </oc>
    <nc r="BI38">
      <f>VLOOKUP(A38,INPUT_RANGE,81,FALSE) &amp; " SAVES"</f>
    </nc>
  </rcc>
  <rcc rId="1884" sId="5">
    <oc r="BJ38">
      <f>VLOOKUP(A38,INPUT_RANGE,81,FALSE)</f>
    </oc>
    <nc r="BJ38">
      <f>VLOOKUP(A38,INPUT_RANGE,81,FALSE)</f>
    </nc>
  </rcc>
  <rcc rId="1885" sId="5">
    <oc r="BK38">
      <f>VLOOKUP(A38,INPUT_RANGE,83,FALSE)</f>
    </oc>
    <nc r="BK38">
      <f>VLOOKUP(A38,INPUT_RANGE,83,FALSE)</f>
    </nc>
  </rcc>
  <rcc rId="1886" sId="5">
    <oc r="BL38">
      <f>VLOOKUP(A38,INPUT_RANGE,87,FALSE) &amp; "/" &amp; VLOOKUP(A38,INPUT_RANGE,86,FALSE)</f>
    </oc>
    <nc r="BL38">
      <f>VLOOKUP(A38,INPUT_RANGE,87,FALSE) &amp; "/" &amp; VLOOKUP(A38,INPUT_RANGE,86,FALSE)</f>
    </nc>
  </rcc>
  <rcc rId="1887" sId="5">
    <oc r="BM38">
      <f>ROUND((VLOOKUP(A38,INPUT_RANGE,86,FALSE)+VLOOKUP(A38,INPUT_RANGE,83,FALSE))/AS38,2)</f>
    </oc>
    <nc r="BM38">
      <f>ROUND((VLOOKUP(A38,INPUT_RANGE,86,FALSE)+VLOOKUP(A38,INPUT_RANGE,83,FALSE))/AS38,2)</f>
    </nc>
  </rcc>
  <rcc rId="1888" sId="5">
    <oc r="M39">
      <f xml:space="preserve"> TEXT(AW39,".000") &amp; " ba"</f>
    </oc>
    <nc r="M39">
      <f xml:space="preserve"> TEXT(AW39,".000") &amp; " BA"</f>
    </nc>
  </rcc>
  <rcc rId="1889" sId="5">
    <oc r="N39">
      <f>VLOOKUP(A39,INPUT_RANGE,58,FALSE) &amp; " rbi"</f>
    </oc>
    <nc r="N39">
      <f>VLOOKUP(A39,INPUT_RANGE,58,FALSE) &amp; " RBI"</f>
    </nc>
  </rcc>
  <rcc rId="1890" sId="5">
    <oc r="O39">
      <f>VLOOKUP(A39,INPUT_RANGE,60,FALSE) &amp; " bb"</f>
    </oc>
    <nc r="O39">
      <f>VLOOKUP(A39,INPUT_RANGE,60,FALSE) &amp; " BB"</f>
    </nc>
  </rcc>
  <rcc rId="1891" sId="5">
    <oc r="P39">
      <f>VLOOKUP(A39,INPUT_RANGE,61,FALSE) &amp; " k"</f>
    </oc>
    <nc r="P39">
      <f>VLOOKUP(A39,INPUT_RANGE,61,FALSE) &amp; " K"</f>
    </nc>
  </rcc>
  <rcc rId="1892" sId="5">
    <oc r="Q39">
      <f>VLOOKUP(A39,INPUT_RANGE,64,FALSE) &amp; " sb"</f>
    </oc>
    <nc r="Q39">
      <f>VLOOKUP(A39,INPUT_RANGE,64,FALSE) &amp; " SB"</f>
    </nc>
  </rcc>
  <rcc rId="1893" sId="5">
    <oc r="R39">
      <f>VLOOKUP(A39,INPUT_RANGE,55,FALSE) &amp; " 2b"</f>
    </oc>
    <nc r="R39">
      <f>VLOOKUP(A39,INPUT_RANGE,55,FALSE) &amp; " 2B"</f>
    </nc>
  </rcc>
  <rcc rId="1894" sId="5">
    <oc r="S39">
      <f>VLOOKUP(A39,INPUT_RANGE,56,FALSE) &amp; " 3b"</f>
    </oc>
    <nc r="S39">
      <f>VLOOKUP(A39,INPUT_RANGE,56,FALSE) &amp; " 3B"</f>
    </nc>
  </rcc>
  <rcc rId="1895" sId="5">
    <oc r="T39">
      <f>VLOOKUP(A39,INPUT_RANGE,57,FALSE) &amp; " hr"</f>
    </oc>
    <nc r="T39">
      <f>VLOOKUP(A39,INPUT_RANGE,57,FALSE) &amp; " HR"</f>
    </nc>
  </rcc>
  <rcc rId="1896" sId="5">
    <oc r="U39">
      <f>VLOOKUP(A39,INPUT_RANGE,53,FALSE) &amp; " r"</f>
    </oc>
    <nc r="U39">
      <f>VLOOKUP(A39,INPUT_RANGE,53,FALSE) &amp; " R"</f>
    </nc>
  </rcc>
  <rcc rId="1897" sId="5">
    <oc r="V39">
      <f>TEXT(AX39, ".000") &amp; " obp"</f>
    </oc>
    <nc r="V39">
      <f>TEXT(AX39, ".000") &amp; " OBP"</f>
    </nc>
  </rcc>
  <rcc rId="1898" sId="5">
    <oc r="X39">
      <f>VLOOKUP(A39,INPUT_RANGE,77,FALSE)&amp;" games"</f>
    </oc>
    <nc r="X39">
      <f>VLOOKUP(A39,INPUT_RANGE,77,FALSE)&amp;" games"</f>
    </nc>
  </rcc>
  <rcc rId="1899" sId="5">
    <oc r="Y39">
      <f>VLOOKUP(A39,INPUT_RANGE,78,FALSE) &amp; " starts"</f>
    </oc>
    <nc r="Y39">
      <f>VLOOKUP(A39,INPUT_RANGE,78,FALSE) &amp; " starts"</f>
    </nc>
  </rcc>
  <rcc rId="1900" sId="5">
    <oc r="Z39">
      <f>VLOOKUP(A39,INPUT_RANGE,82,FALSE) &amp; " ip"</f>
    </oc>
    <nc r="Z39">
      <f>VLOOKUP(A39,INPUT_RANGE,82,FALSE) &amp; " IP"</f>
    </nc>
  </rcc>
  <rcc rId="1901" sId="5">
    <oc r="AA39">
      <f>TRUNC(VLOOKUP(A39,INPUT_RANGE,82,FALSE)) &amp;  IF(AR39=0.333,"º",IF(AR39=0.666,"»",""))</f>
    </oc>
    <nc r="AA39">
      <f>TRUNC(VLOOKUP(A39,INPUT_RANGE,82,FALSE)) &amp;  IF(AR39=0.333,"º",IF(AR39=0.666,"»",""))</f>
    </nc>
  </rcc>
  <rcc rId="1902" sId="5">
    <oc r="AB39">
      <f>AA39&amp; " ip"</f>
    </oc>
    <nc r="AB39">
      <f>AA39&amp; " IP"</f>
    </nc>
  </rcc>
  <rcc rId="1903" sId="5">
    <oc r="AC39">
      <f>VLOOKUP(A39,INPUT_RANGE,79,FALSE) &amp; " cg"</f>
    </oc>
    <nc r="AC39">
      <f>VLOOKUP(A39,INPUT_RANGE,79,FALSE) &amp; " CG"</f>
    </nc>
  </rcc>
  <rcc rId="1904" sId="5">
    <oc r="AD39">
      <f>VLOOKUP(A39,INPUT_RANGE,80,FALSE) &amp; " sho"</f>
    </oc>
    <nc r="AD39">
      <f>VLOOKUP(A39,INPUT_RANGE,80,FALSE) &amp; " SHO"</f>
    </nc>
  </rcc>
  <rcc rId="1905" sId="5">
    <oc r="AE39">
      <f>VLOOKUP(A39,INPUT_RANGE,75,FALSE) &amp; " win"</f>
    </oc>
    <nc r="AE39">
      <f>VLOOKUP(A39,INPUT_RANGE,75,FALSE) &amp; " Win"</f>
    </nc>
  </rcc>
  <rcc rId="1906" sId="5">
    <oc r="AF39">
      <f>VLOOKUP(A39,INPUT_RANGE,76,FALSE) &amp; " loss"</f>
    </oc>
    <nc r="AF39">
      <f>VLOOKUP(A39,INPUT_RANGE,76,FALSE) &amp; " Loss"</f>
    </nc>
  </rcc>
  <rcc rId="1907" sId="5">
    <oc r="AG39">
      <f>VLOOKUP(A39,INPUT_RANGE,75,FALSE) &amp; "-" &amp; VLOOKUP(A39,INPUT_RANGE,76,FALSE) &amp; " w-l"</f>
    </oc>
    <nc r="AG39">
      <f>VLOOKUP(A39,INPUT_RANGE,75,FALSE) &amp; "-" &amp; VLOOKUP(A39,INPUT_RANGE,76,FALSE) &amp; " W-L"</f>
    </nc>
  </rcc>
  <rcc rId="1908" sId="5">
    <oc r="AH39">
      <f>VLOOKUP(A39,INPUT_RANGE,81,FALSE)&amp; " saves"</f>
    </oc>
    <nc r="AH39">
      <f>VLOOKUP(A39,INPUT_RANGE,81,FALSE)&amp; " Saves"</f>
    </nc>
  </rcc>
  <rcc rId="1909" sId="5">
    <oc r="AI39">
      <f>VLOOKUP(A39,INPUT_RANGE,83,FALSE) &amp; " h"</f>
    </oc>
    <nc r="AI39">
      <f>VLOOKUP(A39,INPUT_RANGE,83,FALSE) &amp; " H"</f>
    </nc>
  </rcc>
  <rcc rId="1910" sId="5">
    <oc r="AJ39">
      <f>VLOOKUP(A39,INPUT_RANGE,84,FALSE) &amp; " r"</f>
    </oc>
    <nc r="AJ39">
      <f>VLOOKUP(A39,INPUT_RANGE,84,FALSE) &amp; " R"</f>
    </nc>
  </rcc>
  <rcc rId="1911" sId="5">
    <oc r="AK39">
      <f>VLOOKUP(A39,INPUT_RANGE,85,FALSE) &amp;" er"</f>
    </oc>
    <nc r="AK39">
      <f>VLOOKUP(A39,INPUT_RANGE,85,FALSE) &amp;" ER"</f>
    </nc>
  </rcc>
  <rcc rId="1912" sId="5">
    <oc r="AL39">
      <f>VLOOKUP(A39,INPUT_RANGE,88,FALSE) &amp;" hr"</f>
    </oc>
    <nc r="AL39">
      <f>VLOOKUP(A39,INPUT_RANGE,88,FALSE) &amp;" HR"</f>
    </nc>
  </rcc>
  <rcc rId="1913" sId="5">
    <oc r="AM39">
      <f>VLOOKUP(A39,INPUT_RANGE,87,FALSE) &amp; " k"</f>
    </oc>
    <nc r="AM39">
      <f>VLOOKUP(A39,INPUT_RANGE,87,FALSE) &amp; " K"</f>
    </nc>
  </rcc>
  <rcc rId="1914" sId="5">
    <oc r="AN39">
      <f>VLOOKUP(A39,INPUT_RANGE,86,FALSE) &amp; " bb"</f>
    </oc>
    <nc r="AN39">
      <f>VLOOKUP(A39,INPUT_RANGE,86,FALSE) &amp; " BB"</f>
    </nc>
  </rcc>
  <rcc rId="1915" sId="5">
    <oc r="AO39">
      <f>TEXT(AU39,"0.00") &amp; " era"</f>
    </oc>
    <nc r="AO39">
      <f>TEXT(AU39,"0.00") &amp; " ERA"</f>
    </nc>
  </rcc>
  <rcc rId="1916" sId="5">
    <oc r="AP39">
      <f>TEXT(AT39,"0.00") &amp; " whip"</f>
    </oc>
    <nc r="AP39">
      <f>TEXT(AT39,"0.00") &amp; " WHIP"</f>
    </nc>
  </rcc>
  <rcc rId="1917" sId="5">
    <oc r="AQ39">
      <f xml:space="preserve"> IF(LEFT(RIGHT((VLOOKUP(A39,INPUT_RANGE,82,FALSE)),2),1)=".",RIGHT(VLOOKUP(A39,INPUT_RANGE,82,FALSE),1), "X")</f>
    </oc>
    <nc r="AQ39">
      <f xml:space="preserve"> IF(LEFT(RIGHT((VLOOKUP(A39,INPUT_RANGE,82,FALSE)),2),1)=".",RIGHT(VLOOKUP(A39,INPUT_RANGE,82,FALSE),1), "X")</f>
    </nc>
  </rcc>
  <rcc rId="1918" sId="5">
    <oc r="AR39">
      <f>IF(AQ39 ="1",0.333,IF(AQ39="2",0.666,0))</f>
    </oc>
    <nc r="AR39">
      <f>IF(AQ39 ="1",0.333,IF(AQ39="2",0.666,0))</f>
    </nc>
  </rcc>
  <rcc rId="1919" sId="5">
    <oc r="AS39">
      <f>VLOOKUP(A39,INPUT_RANGE,82,FALSE)-(AQ39*0.1)+AR39</f>
    </oc>
    <nc r="AS39">
      <f>VLOOKUP(A39,INPUT_RANGE,82,FALSE)-(AQ39*0.1)+AR39</f>
    </nc>
  </rcc>
  <rcc rId="1920" sId="5">
    <oc r="AT39">
      <f>ROUND((VLOOKUP(A39,INPUT_RANGE,86,FALSE)+VLOOKUP(A39,INPUT_RANGE,83,FALSE))/AS39,2)</f>
    </oc>
    <nc r="AT39">
      <f>ROUND((VLOOKUP(A39,INPUT_RANGE,86,FALSE)+VLOOKUP(A39,INPUT_RANGE,83,FALSE))/AS39,2)</f>
    </nc>
  </rcc>
  <rcc rId="1921" sId="5">
    <oc r="AU39">
      <f>ROUND((VLOOKUP(A39,INPUT_RANGE,85,FALSE)/AS39)*('Team Info'!$H$25),2)</f>
    </oc>
    <nc r="AU39">
      <f>ROUND((VLOOKUP(A39,INPUT_RANGE,85,FALSE)/AS39)*('D:\Data\Softball\[ESPN_BASEBALL_AWAY_OLD.xlsx]Team Info'!$H$25),2)</f>
    </nc>
  </rcc>
  <rcc rId="1922" sId="5">
    <oc r="AW39">
      <f>(VLOOKUP(A39,INPUT_RANGE,54,FALSE)/VLOOKUP(A39,INPUT_RANGE,52,FALSE))</f>
    </oc>
    <nc r="AW39">
      <f>(VLOOKUP(A39,INPUT_RANGE,54,FALSE)/VLOOKUP(A39,INPUT_RANGE,52,FALSE))</f>
    </nc>
  </rcc>
  <rcc rId="1923" sId="5">
    <oc r="AX39">
      <f>((VLOOKUP(A39,INPUT_RANGE,54,FALSE)+VLOOKUP(A39,INPUT_RANGE,60,FALSE)+VLOOKUP(A39,INPUT_RANGE,59,FALSE))/(VLOOKUP(A39,INPUT_RANGE,52,FALSE)+VLOOKUP(A39,INPUT_RANGE,60,FALSE)+VLOOKUP(A39,INPUT_RANGE,59,FALSE)+VLOOKUP(A39,INPUT_RANGE,63,FALSE)))</f>
    </oc>
    <nc r="AX39">
      <f>((VLOOKUP(A39,INPUT_RANGE,54,FALSE)+VLOOKUP(A39,INPUT_RANGE,60,FALSE)+VLOOKUP(A39,INPUT_RANGE,59,FALSE))/(VLOOKUP(A39,INPUT_RANGE,52,FALSE)+VLOOKUP(A39,INPUT_RANGE,60,FALSE)+VLOOKUP(A39,INPUT_RANGE,59,FALSE)+VLOOKUP(A39,INPUT_RANGE,63,FALSE)))</f>
    </nc>
  </rcc>
  <rcc rId="1924" sId="5">
    <oc r="AY39">
      <f>(VLOOKUP(A39,INPUT_RANGE,54)+VLOOKUP(A39,INPUT_RANGE,55)+(VLOOKUP(A39,INPUT_RANGE,56)*2)+(VLOOKUP(A39,INPUT_RANGE,57)*3))/(VLOOKUP(A39,INPUT_RANGE,52))</f>
    </oc>
    <nc r="AY39">
      <f>(VLOOKUP(A39,INPUT_RANGE,54)+VLOOKUP(A39,INPUT_RANGE,55)+(VLOOKUP(A39,INPUT_RANGE,56)*2)+(VLOOKUP(A39,INPUT_RANGE,57)*3))/(VLOOKUP(A39,INPUT_RANGE,52))</f>
    </nc>
  </rcc>
  <rcc rId="1925" sId="5">
    <oc r="AZ39">
      <f>AX39+AY39</f>
    </oc>
    <nc r="AZ39">
      <f>AX39+AY39</f>
    </nc>
  </rcc>
  <rcc rId="1926" sId="5">
    <oc r="BA39">
      <f xml:space="preserve"> TEXT(AZ39,".000") &amp; " ops"</f>
    </oc>
    <nc r="BA39">
      <f xml:space="preserve"> TEXT(AZ39,".000") &amp; " OPS"</f>
    </nc>
  </rcc>
  <rcc rId="1927" sId="5">
    <oc r="BB39">
      <f>VLOOKUP(A39,INPUT_RANGE,78,FALSE)</f>
    </oc>
    <nc r="BB39">
      <f>VLOOKUP(A39,INPUT_RANGE,78,FALSE)</f>
    </nc>
  </rcc>
  <rcc rId="1928" sId="5">
    <oc r="BC39">
      <f>VLOOKUP(A39,INPUT_RANGE,77,FALSE)</f>
    </oc>
    <nc r="BC39">
      <f>VLOOKUP(A39,INPUT_RANGE,77,FALSE)</f>
    </nc>
  </rcc>
  <rcc rId="1929" sId="5">
    <oc r="BD39">
      <f>VLOOKUP(A39,INPUT_RANGE,75,FALSE) &amp; "-" &amp; VLOOKUP(A39,INPUT_RANGE,76,FALSE)</f>
    </oc>
    <nc r="BD39">
      <f>VLOOKUP(A39,INPUT_RANGE,75,FALSE) &amp; "-" &amp; VLOOKUP(A39,INPUT_RANGE,76,FALSE)</f>
    </nc>
  </rcc>
  <rcc rId="1930" sId="5">
    <oc r="BE39">
      <f>AU39</f>
    </oc>
    <nc r="BE39">
      <f>AU39</f>
    </nc>
  </rcc>
  <rcc rId="1931" sId="5">
    <oc r="BF39">
      <f>AA39</f>
    </oc>
    <nc r="BF39">
      <f>AA39</f>
    </nc>
  </rcc>
  <rcc rId="1932" sId="5">
    <oc r="BG39">
      <f>VLOOKUP(A39,INPUT_RANGE,86,FALSE)</f>
    </oc>
    <nc r="BG39">
      <f>VLOOKUP(A39,INPUT_RANGE,86,FALSE)</f>
    </nc>
  </rcc>
  <rcc rId="1933" sId="5">
    <oc r="BH39">
      <f>VLOOKUP(A39,INPUT_RANGE,87,FALSE)</f>
    </oc>
    <nc r="BH39">
      <f>VLOOKUP(A39,INPUT_RANGE,87,FALSE)</f>
    </nc>
  </rcc>
  <rcc rId="1934" sId="5">
    <oc r="BI39">
      <f>VLOOKUP(A39,INPUT_RANGE,81,FALSE) &amp; " SAVES"</f>
    </oc>
    <nc r="BI39">
      <f>VLOOKUP(A39,INPUT_RANGE,81,FALSE) &amp; " SAVES"</f>
    </nc>
  </rcc>
  <rcc rId="1935" sId="5">
    <oc r="BJ39">
      <f>VLOOKUP(A39,INPUT_RANGE,81,FALSE)</f>
    </oc>
    <nc r="BJ39">
      <f>VLOOKUP(A39,INPUT_RANGE,81,FALSE)</f>
    </nc>
  </rcc>
  <rcc rId="1936" sId="5">
    <oc r="BK39">
      <f>VLOOKUP(A39,INPUT_RANGE,83,FALSE)</f>
    </oc>
    <nc r="BK39">
      <f>VLOOKUP(A39,INPUT_RANGE,83,FALSE)</f>
    </nc>
  </rcc>
  <rcc rId="1937" sId="5">
    <oc r="BL39">
      <f>VLOOKUP(A39,INPUT_RANGE,87,FALSE) &amp; "/" &amp; VLOOKUP(A39,INPUT_RANGE,86,FALSE)</f>
    </oc>
    <nc r="BL39">
      <f>VLOOKUP(A39,INPUT_RANGE,87,FALSE) &amp; "/" &amp; VLOOKUP(A39,INPUT_RANGE,86,FALSE)</f>
    </nc>
  </rcc>
  <rcc rId="1938" sId="5">
    <oc r="BM39">
      <f>ROUND((VLOOKUP(A39,INPUT_RANGE,86,FALSE)+VLOOKUP(A39,INPUT_RANGE,83,FALSE))/AS39,2)</f>
    </oc>
    <nc r="BM39">
      <f>ROUND((VLOOKUP(A39,INPUT_RANGE,86,FALSE)+VLOOKUP(A39,INPUT_RANGE,83,FALSE))/AS39,2)</f>
    </nc>
  </rcc>
  <rcc rId="1939" sId="5">
    <oc r="M40">
      <f xml:space="preserve"> TEXT(AW40,".000") &amp; " ba"</f>
    </oc>
    <nc r="M40">
      <f xml:space="preserve"> TEXT(AW40,".000") &amp; " BA"</f>
    </nc>
  </rcc>
  <rcc rId="1940" sId="5">
    <oc r="N40">
      <f>VLOOKUP(A40,INPUT_RANGE,58,FALSE) &amp; " rbi"</f>
    </oc>
    <nc r="N40">
      <f>VLOOKUP(A40,INPUT_RANGE,58,FALSE) &amp; " RBI"</f>
    </nc>
  </rcc>
  <rcc rId="1941" sId="5">
    <oc r="O40">
      <f>VLOOKUP(A40,INPUT_RANGE,60,FALSE) &amp; " bb"</f>
    </oc>
    <nc r="O40">
      <f>VLOOKUP(A40,INPUT_RANGE,60,FALSE) &amp; " BB"</f>
    </nc>
  </rcc>
  <rcc rId="1942" sId="5">
    <oc r="P40">
      <f>VLOOKUP(A40,INPUT_RANGE,61,FALSE) &amp; " k"</f>
    </oc>
    <nc r="P40">
      <f>VLOOKUP(A40,INPUT_RANGE,61,FALSE) &amp; " K"</f>
    </nc>
  </rcc>
  <rcc rId="1943" sId="5">
    <oc r="Q40">
      <f>VLOOKUP(A40,INPUT_RANGE,64,FALSE) &amp; " sb"</f>
    </oc>
    <nc r="Q40">
      <f>VLOOKUP(A40,INPUT_RANGE,64,FALSE) &amp; " SB"</f>
    </nc>
  </rcc>
  <rcc rId="1944" sId="5">
    <oc r="R40">
      <f>VLOOKUP(A40,INPUT_RANGE,55,FALSE) &amp; " 2b"</f>
    </oc>
    <nc r="R40">
      <f>VLOOKUP(A40,INPUT_RANGE,55,FALSE) &amp; " 2B"</f>
    </nc>
  </rcc>
  <rcc rId="1945" sId="5">
    <oc r="S40">
      <f>VLOOKUP(A40,INPUT_RANGE,56,FALSE) &amp; " 3b"</f>
    </oc>
    <nc r="S40">
      <f>VLOOKUP(A40,INPUT_RANGE,56,FALSE) &amp; " 3B"</f>
    </nc>
  </rcc>
  <rcc rId="1946" sId="5">
    <oc r="T40">
      <f>VLOOKUP(A40,INPUT_RANGE,57,FALSE) &amp; " hr"</f>
    </oc>
    <nc r="T40">
      <f>VLOOKUP(A40,INPUT_RANGE,57,FALSE) &amp; " HR"</f>
    </nc>
  </rcc>
  <rcc rId="1947" sId="5">
    <oc r="U40">
      <f>VLOOKUP(A40,INPUT_RANGE,53,FALSE) &amp; " r"</f>
    </oc>
    <nc r="U40">
      <f>VLOOKUP(A40,INPUT_RANGE,53,FALSE) &amp; " R"</f>
    </nc>
  </rcc>
  <rcc rId="1948" sId="5">
    <oc r="V40">
      <f>TEXT(AX40, ".000") &amp; " obp"</f>
    </oc>
    <nc r="V40">
      <f>TEXT(AX40, ".000") &amp; " OBP"</f>
    </nc>
  </rcc>
  <rcc rId="1949" sId="5">
    <oc r="X40">
      <f>VLOOKUP(A40,INPUT_RANGE,77,FALSE)&amp;" games"</f>
    </oc>
    <nc r="X40">
      <f>VLOOKUP(A40,INPUT_RANGE,77,FALSE)&amp;" games"</f>
    </nc>
  </rcc>
  <rcc rId="1950" sId="5">
    <oc r="Y40">
      <f>VLOOKUP(A40,INPUT_RANGE,78,FALSE) &amp; " starts"</f>
    </oc>
    <nc r="Y40">
      <f>VLOOKUP(A40,INPUT_RANGE,78,FALSE) &amp; " starts"</f>
    </nc>
  </rcc>
  <rcc rId="1951" sId="5">
    <oc r="Z40">
      <f>VLOOKUP(A40,INPUT_RANGE,82,FALSE) &amp; " ip"</f>
    </oc>
    <nc r="Z40">
      <f>VLOOKUP(A40,INPUT_RANGE,82,FALSE) &amp; " IP"</f>
    </nc>
  </rcc>
  <rcc rId="1952" sId="5">
    <oc r="AA40">
      <f>TRUNC(VLOOKUP(A40,INPUT_RANGE,82,FALSE)) &amp;  IF(AR40=0.333,"º",IF(AR40=0.666,"»",""))</f>
    </oc>
    <nc r="AA40">
      <f>TRUNC(VLOOKUP(A40,INPUT_RANGE,82,FALSE)) &amp;  IF(AR40=0.333,"º",IF(AR40=0.666,"»",""))</f>
    </nc>
  </rcc>
  <rcc rId="1953" sId="5">
    <oc r="AB40">
      <f>AA40&amp; " ip"</f>
    </oc>
    <nc r="AB40">
      <f>AA40&amp; " IP"</f>
    </nc>
  </rcc>
  <rcc rId="1954" sId="5">
    <oc r="AC40">
      <f>VLOOKUP(A40,INPUT_RANGE,79,FALSE) &amp; " cg"</f>
    </oc>
    <nc r="AC40">
      <f>VLOOKUP(A40,INPUT_RANGE,79,FALSE) &amp; " CG"</f>
    </nc>
  </rcc>
  <rcc rId="1955" sId="5">
    <oc r="AD40">
      <f>VLOOKUP(A40,INPUT_RANGE,80,FALSE) &amp; " sho"</f>
    </oc>
    <nc r="AD40">
      <f>VLOOKUP(A40,INPUT_RANGE,80,FALSE) &amp; " SHO"</f>
    </nc>
  </rcc>
  <rcc rId="1956" sId="5">
    <oc r="AE40">
      <f>VLOOKUP(A40,INPUT_RANGE,75,FALSE) &amp; " win"</f>
    </oc>
    <nc r="AE40">
      <f>VLOOKUP(A40,INPUT_RANGE,75,FALSE) &amp; " Win"</f>
    </nc>
  </rcc>
  <rcc rId="1957" sId="5">
    <oc r="AF40">
      <f>VLOOKUP(A40,INPUT_RANGE,76,FALSE) &amp; " loss"</f>
    </oc>
    <nc r="AF40">
      <f>VLOOKUP(A40,INPUT_RANGE,76,FALSE) &amp; " Loss"</f>
    </nc>
  </rcc>
  <rcc rId="1958" sId="5">
    <oc r="AG40">
      <f>VLOOKUP(A40,INPUT_RANGE,75,FALSE) &amp; "-" &amp; VLOOKUP(A40,INPUT_RANGE,76,FALSE) &amp; " w-l"</f>
    </oc>
    <nc r="AG40">
      <f>VLOOKUP(A40,INPUT_RANGE,75,FALSE) &amp; "-" &amp; VLOOKUP(A40,INPUT_RANGE,76,FALSE) &amp; " W-L"</f>
    </nc>
  </rcc>
  <rcc rId="1959" sId="5">
    <oc r="AH40">
      <f>VLOOKUP(A40,INPUT_RANGE,81,FALSE)&amp; " saves"</f>
    </oc>
    <nc r="AH40">
      <f>VLOOKUP(A40,INPUT_RANGE,81,FALSE)&amp; " Saves"</f>
    </nc>
  </rcc>
  <rcc rId="1960" sId="5">
    <oc r="AI40">
      <f>VLOOKUP(A40,INPUT_RANGE,83,FALSE) &amp; " h"</f>
    </oc>
    <nc r="AI40">
      <f>VLOOKUP(A40,INPUT_RANGE,83,FALSE) &amp; " H"</f>
    </nc>
  </rcc>
  <rcc rId="1961" sId="5">
    <oc r="AJ40">
      <f>VLOOKUP(A40,INPUT_RANGE,84,FALSE) &amp; " r"</f>
    </oc>
    <nc r="AJ40">
      <f>VLOOKUP(A40,INPUT_RANGE,84,FALSE) &amp; " R"</f>
    </nc>
  </rcc>
  <rcc rId="1962" sId="5">
    <oc r="AK40">
      <f>VLOOKUP(A40,INPUT_RANGE,85,FALSE) &amp;" er"</f>
    </oc>
    <nc r="AK40">
      <f>VLOOKUP(A40,INPUT_RANGE,85,FALSE) &amp;" ER"</f>
    </nc>
  </rcc>
  <rcc rId="1963" sId="5">
    <oc r="AL40">
      <f>VLOOKUP(A40,INPUT_RANGE,88,FALSE) &amp;" hr"</f>
    </oc>
    <nc r="AL40">
      <f>VLOOKUP(A40,INPUT_RANGE,88,FALSE) &amp;" HR"</f>
    </nc>
  </rcc>
  <rcc rId="1964" sId="5">
    <oc r="AM40">
      <f>VLOOKUP(A40,INPUT_RANGE,87,FALSE) &amp; " k"</f>
    </oc>
    <nc r="AM40">
      <f>VLOOKUP(A40,INPUT_RANGE,87,FALSE) &amp; " K"</f>
    </nc>
  </rcc>
  <rcc rId="1965" sId="5">
    <oc r="AN40">
      <f>VLOOKUP(A40,INPUT_RANGE,86,FALSE) &amp; " bb"</f>
    </oc>
    <nc r="AN40">
      <f>VLOOKUP(A40,INPUT_RANGE,86,FALSE) &amp; " BB"</f>
    </nc>
  </rcc>
  <rcc rId="1966" sId="5">
    <oc r="AO40">
      <f>TEXT(AU40,"0.00") &amp; " era"</f>
    </oc>
    <nc r="AO40">
      <f>TEXT(AU40,"0.00") &amp; " ERA"</f>
    </nc>
  </rcc>
  <rcc rId="1967" sId="5">
    <oc r="AP40">
      <f>TEXT(AT40,"0.00") &amp; " whip"</f>
    </oc>
    <nc r="AP40">
      <f>TEXT(AT40,"0.00") &amp; " WHIP"</f>
    </nc>
  </rcc>
  <rcc rId="1968" sId="5">
    <oc r="AQ40">
      <f xml:space="preserve"> IF(LEFT(RIGHT((VLOOKUP(A40,INPUT_RANGE,82,FALSE)),2),1)=".",RIGHT(VLOOKUP(A40,INPUT_RANGE,82,FALSE),1), "X")</f>
    </oc>
    <nc r="AQ40">
      <f xml:space="preserve"> IF(LEFT(RIGHT((VLOOKUP(A40,INPUT_RANGE,82,FALSE)),2),1)=".",RIGHT(VLOOKUP(A40,INPUT_RANGE,82,FALSE),1), "X")</f>
    </nc>
  </rcc>
  <rcc rId="1969" sId="5">
    <oc r="AR40">
      <f>IF(AQ40 ="1",0.333,IF(AQ40="2",0.666,0))</f>
    </oc>
    <nc r="AR40">
      <f>IF(AQ40 ="1",0.333,IF(AQ40="2",0.666,0))</f>
    </nc>
  </rcc>
  <rcc rId="1970" sId="5">
    <oc r="AS40">
      <f>VLOOKUP(A40,INPUT_RANGE,82,FALSE)-(AQ40*0.1)+AR40</f>
    </oc>
    <nc r="AS40">
      <f>VLOOKUP(A40,INPUT_RANGE,82,FALSE)-(AQ40*0.1)+AR40</f>
    </nc>
  </rcc>
  <rcc rId="1971" sId="5">
    <oc r="AT40">
      <f>ROUND((VLOOKUP(A40,INPUT_RANGE,86,FALSE)+VLOOKUP(A40,INPUT_RANGE,83,FALSE))/AS40,2)</f>
    </oc>
    <nc r="AT40">
      <f>ROUND((VLOOKUP(A40,INPUT_RANGE,86,FALSE)+VLOOKUP(A40,INPUT_RANGE,83,FALSE))/AS40,2)</f>
    </nc>
  </rcc>
  <rcc rId="1972" sId="5">
    <oc r="AU40">
      <f>ROUND((VLOOKUP(A40,INPUT_RANGE,85,FALSE)/AS40)*('Team Info'!$H$25),2)</f>
    </oc>
    <nc r="AU40">
      <f>ROUND((VLOOKUP(A40,INPUT_RANGE,85,FALSE)/AS40)*('D:\Data\Softball\[ESPN_BASEBALL_AWAY_OLD.xlsx]Team Info'!$H$25),2)</f>
    </nc>
  </rcc>
  <rcc rId="1973" sId="5">
    <oc r="AW40">
      <f>(VLOOKUP(A40,INPUT_RANGE,54,FALSE)/VLOOKUP(A40,INPUT_RANGE,52,FALSE))</f>
    </oc>
    <nc r="AW40">
      <f>(VLOOKUP(A40,INPUT_RANGE,54,FALSE)/VLOOKUP(A40,INPUT_RANGE,52,FALSE))</f>
    </nc>
  </rcc>
  <rcc rId="1974" sId="5">
    <oc r="AX40">
      <f>((VLOOKUP(A40,INPUT_RANGE,54,FALSE)+VLOOKUP(A40,INPUT_RANGE,60,FALSE)+VLOOKUP(A40,INPUT_RANGE,59,FALSE))/(VLOOKUP(A40,INPUT_RANGE,52,FALSE)+VLOOKUP(A40,INPUT_RANGE,60,FALSE)+VLOOKUP(A40,INPUT_RANGE,59,FALSE)+VLOOKUP(A40,INPUT_RANGE,63,FALSE)))</f>
    </oc>
    <nc r="AX40">
      <f>((VLOOKUP(A40,INPUT_RANGE,54,FALSE)+VLOOKUP(A40,INPUT_RANGE,60,FALSE)+VLOOKUP(A40,INPUT_RANGE,59,FALSE))/(VLOOKUP(A40,INPUT_RANGE,52,FALSE)+VLOOKUP(A40,INPUT_RANGE,60,FALSE)+VLOOKUP(A40,INPUT_RANGE,59,FALSE)+VLOOKUP(A40,INPUT_RANGE,63,FALSE)))</f>
    </nc>
  </rcc>
  <rcc rId="1975" sId="5">
    <oc r="AY40">
      <f>(VLOOKUP(A40,INPUT_RANGE,54)+VLOOKUP(A40,INPUT_RANGE,55)+(VLOOKUP(A40,INPUT_RANGE,56)*2)+(VLOOKUP(A40,INPUT_RANGE,57)*3))/(VLOOKUP(A40,INPUT_RANGE,52))</f>
    </oc>
    <nc r="AY40">
      <f>(VLOOKUP(A40,INPUT_RANGE,54)+VLOOKUP(A40,INPUT_RANGE,55)+(VLOOKUP(A40,INPUT_RANGE,56)*2)+(VLOOKUP(A40,INPUT_RANGE,57)*3))/(VLOOKUP(A40,INPUT_RANGE,52))</f>
    </nc>
  </rcc>
  <rcc rId="1976" sId="5">
    <oc r="AZ40">
      <f>AX40+AY40</f>
    </oc>
    <nc r="AZ40">
      <f>AX40+AY40</f>
    </nc>
  </rcc>
  <rcc rId="1977" sId="5">
    <oc r="BA40">
      <f xml:space="preserve"> TEXT(AZ40,".000") &amp; " ops"</f>
    </oc>
    <nc r="BA40">
      <f xml:space="preserve"> TEXT(AZ40,".000") &amp; " OPS"</f>
    </nc>
  </rcc>
  <rcc rId="1978" sId="5">
    <oc r="BB40">
      <f>VLOOKUP(A40,INPUT_RANGE,78,FALSE)</f>
    </oc>
    <nc r="BB40">
      <f>VLOOKUP(A40,INPUT_RANGE,78,FALSE)</f>
    </nc>
  </rcc>
  <rcc rId="1979" sId="5">
    <oc r="BC40">
      <f>VLOOKUP(A40,INPUT_RANGE,77,FALSE)</f>
    </oc>
    <nc r="BC40">
      <f>VLOOKUP(A40,INPUT_RANGE,77,FALSE)</f>
    </nc>
  </rcc>
  <rcc rId="1980" sId="5">
    <oc r="BD40">
      <f>VLOOKUP(A40,INPUT_RANGE,75,FALSE) &amp; "-" &amp; VLOOKUP(A40,INPUT_RANGE,76,FALSE)</f>
    </oc>
    <nc r="BD40">
      <f>VLOOKUP(A40,INPUT_RANGE,75,FALSE) &amp; "-" &amp; VLOOKUP(A40,INPUT_RANGE,76,FALSE)</f>
    </nc>
  </rcc>
  <rcc rId="1981" sId="5">
    <oc r="BE40">
      <f>AU40</f>
    </oc>
    <nc r="BE40">
      <f>AU40</f>
    </nc>
  </rcc>
  <rcc rId="1982" sId="5">
    <oc r="BF40">
      <f>AA40</f>
    </oc>
    <nc r="BF40">
      <f>AA40</f>
    </nc>
  </rcc>
  <rcc rId="1983" sId="5">
    <oc r="BG40">
      <f>VLOOKUP(A40,INPUT_RANGE,86,FALSE)</f>
    </oc>
    <nc r="BG40">
      <f>VLOOKUP(A40,INPUT_RANGE,86,FALSE)</f>
    </nc>
  </rcc>
  <rcc rId="1984" sId="5">
    <oc r="BH40">
      <f>VLOOKUP(A40,INPUT_RANGE,87,FALSE)</f>
    </oc>
    <nc r="BH40">
      <f>VLOOKUP(A40,INPUT_RANGE,87,FALSE)</f>
    </nc>
  </rcc>
  <rcc rId="1985" sId="5">
    <oc r="BI40">
      <f>VLOOKUP(A40,INPUT_RANGE,81,FALSE) &amp; " SAVES"</f>
    </oc>
    <nc r="BI40">
      <f>VLOOKUP(A40,INPUT_RANGE,81,FALSE) &amp; " SAVES"</f>
    </nc>
  </rcc>
  <rcc rId="1986" sId="5">
    <oc r="BJ40">
      <f>VLOOKUP(A40,INPUT_RANGE,81,FALSE)</f>
    </oc>
    <nc r="BJ40">
      <f>VLOOKUP(A40,INPUT_RANGE,81,FALSE)</f>
    </nc>
  </rcc>
  <rcc rId="1987" sId="5">
    <oc r="BK40">
      <f>VLOOKUP(A40,INPUT_RANGE,83,FALSE)</f>
    </oc>
    <nc r="BK40">
      <f>VLOOKUP(A40,INPUT_RANGE,83,FALSE)</f>
    </nc>
  </rcc>
  <rcc rId="1988" sId="5">
    <oc r="BL40">
      <f>VLOOKUP(A40,INPUT_RANGE,87,FALSE) &amp; "/" &amp; VLOOKUP(A40,INPUT_RANGE,86,FALSE)</f>
    </oc>
    <nc r="BL40">
      <f>VLOOKUP(A40,INPUT_RANGE,87,FALSE) &amp; "/" &amp; VLOOKUP(A40,INPUT_RANGE,86,FALSE)</f>
    </nc>
  </rcc>
  <rcc rId="1989" sId="5">
    <oc r="BM40">
      <f>ROUND((VLOOKUP(A40,INPUT_RANGE,86,FALSE)+VLOOKUP(A40,INPUT_RANGE,83,FALSE))/AS40,2)</f>
    </oc>
    <nc r="BM40">
      <f>ROUND((VLOOKUP(A40,INPUT_RANGE,86,FALSE)+VLOOKUP(A40,INPUT_RANGE,83,FALSE))/AS40,2)</f>
    </nc>
  </rcc>
  <rcc rId="1990" sId="5">
    <oc r="M41">
      <f xml:space="preserve"> TEXT(AW41,".000") &amp; " ba"</f>
    </oc>
    <nc r="M41">
      <f xml:space="preserve"> TEXT(AW41,".000") &amp; " BA"</f>
    </nc>
  </rcc>
  <rcc rId="1991" sId="5">
    <oc r="N41">
      <f>VLOOKUP(A41,INPUT_RANGE,58,FALSE) &amp; " rbi"</f>
    </oc>
    <nc r="N41">
      <f>VLOOKUP(A41,INPUT_RANGE,58,FALSE) &amp; " RBI"</f>
    </nc>
  </rcc>
  <rcc rId="1992" sId="5">
    <oc r="O41">
      <f>VLOOKUP(A41,INPUT_RANGE,60,FALSE) &amp; " bb"</f>
    </oc>
    <nc r="O41">
      <f>VLOOKUP(A41,INPUT_RANGE,60,FALSE) &amp; " BB"</f>
    </nc>
  </rcc>
  <rcc rId="1993" sId="5">
    <oc r="P41">
      <f>VLOOKUP(A41,INPUT_RANGE,61,FALSE) &amp; " k"</f>
    </oc>
    <nc r="P41">
      <f>VLOOKUP(A41,INPUT_RANGE,61,FALSE) &amp; " K"</f>
    </nc>
  </rcc>
  <rcc rId="1994" sId="5">
    <oc r="Q41">
      <f>VLOOKUP(A41,INPUT_RANGE,64,FALSE) &amp; " sb"</f>
    </oc>
    <nc r="Q41">
      <f>VLOOKUP(A41,INPUT_RANGE,64,FALSE) &amp; " SB"</f>
    </nc>
  </rcc>
  <rcc rId="1995" sId="5">
    <oc r="R41">
      <f>VLOOKUP(A41,INPUT_RANGE,55,FALSE) &amp; " 2b"</f>
    </oc>
    <nc r="R41">
      <f>VLOOKUP(A41,INPUT_RANGE,55,FALSE) &amp; " 2B"</f>
    </nc>
  </rcc>
  <rcc rId="1996" sId="5">
    <oc r="S41">
      <f>VLOOKUP(A41,INPUT_RANGE,56,FALSE) &amp; " 3b"</f>
    </oc>
    <nc r="S41">
      <f>VLOOKUP(A41,INPUT_RANGE,56,FALSE) &amp; " 3B"</f>
    </nc>
  </rcc>
  <rcc rId="1997" sId="5">
    <oc r="T41">
      <f>VLOOKUP(A41,INPUT_RANGE,57,FALSE) &amp; " hr"</f>
    </oc>
    <nc r="T41">
      <f>VLOOKUP(A41,INPUT_RANGE,57,FALSE) &amp; " HR"</f>
    </nc>
  </rcc>
  <rcc rId="1998" sId="5">
    <oc r="U41">
      <f>VLOOKUP(A41,INPUT_RANGE,53,FALSE) &amp; " r"</f>
    </oc>
    <nc r="U41">
      <f>VLOOKUP(A41,INPUT_RANGE,53,FALSE) &amp; " R"</f>
    </nc>
  </rcc>
  <rcc rId="1999" sId="5">
    <oc r="V41">
      <f>TEXT(AX41, ".000") &amp; " obp"</f>
    </oc>
    <nc r="V41">
      <f>TEXT(AX41, ".000") &amp; " OBP"</f>
    </nc>
  </rcc>
  <rcc rId="2000" sId="5">
    <oc r="X41">
      <f>VLOOKUP(A41,INPUT_RANGE,77,FALSE)&amp;" games"</f>
    </oc>
    <nc r="X41">
      <f>VLOOKUP(A41,INPUT_RANGE,77,FALSE)&amp;" games"</f>
    </nc>
  </rcc>
  <rcc rId="2001" sId="5">
    <oc r="Y41">
      <f>VLOOKUP(A41,INPUT_RANGE,78,FALSE) &amp; " starts"</f>
    </oc>
    <nc r="Y41">
      <f>VLOOKUP(A41,INPUT_RANGE,78,FALSE) &amp; " starts"</f>
    </nc>
  </rcc>
  <rcc rId="2002" sId="5">
    <oc r="Z41">
      <f>VLOOKUP(A41,INPUT_RANGE,82,FALSE) &amp; " ip"</f>
    </oc>
    <nc r="Z41">
      <f>VLOOKUP(A41,INPUT_RANGE,82,FALSE) &amp; " IP"</f>
    </nc>
  </rcc>
  <rcc rId="2003" sId="5">
    <oc r="AA41">
      <f>TRUNC(VLOOKUP(A41,INPUT_RANGE,82,FALSE)) &amp;  IF(AR41=0.333,"º",IF(AR41=0.666,"»",""))</f>
    </oc>
    <nc r="AA41">
      <f>TRUNC(VLOOKUP(A41,INPUT_RANGE,82,FALSE)) &amp;  IF(AR41=0.333,"º",IF(AR41=0.666,"»",""))</f>
    </nc>
  </rcc>
  <rcc rId="2004" sId="5">
    <oc r="AB41">
      <f>AA41&amp; " ip"</f>
    </oc>
    <nc r="AB41">
      <f>AA41&amp; " IP"</f>
    </nc>
  </rcc>
  <rcc rId="2005" sId="5">
    <oc r="AC41">
      <f>VLOOKUP(A41,INPUT_RANGE,79,FALSE) &amp; " cg"</f>
    </oc>
    <nc r="AC41">
      <f>VLOOKUP(A41,INPUT_RANGE,79,FALSE) &amp; " CG"</f>
    </nc>
  </rcc>
  <rcc rId="2006" sId="5">
    <oc r="AD41">
      <f>VLOOKUP(A41,INPUT_RANGE,80,FALSE) &amp; " sho"</f>
    </oc>
    <nc r="AD41">
      <f>VLOOKUP(A41,INPUT_RANGE,80,FALSE) &amp; " SHO"</f>
    </nc>
  </rcc>
  <rcc rId="2007" sId="5">
    <oc r="AE41">
      <f>VLOOKUP(A41,INPUT_RANGE,75,FALSE) &amp; " win"</f>
    </oc>
    <nc r="AE41">
      <f>VLOOKUP(A41,INPUT_RANGE,75,FALSE) &amp; " Win"</f>
    </nc>
  </rcc>
  <rcc rId="2008" sId="5">
    <oc r="AF41">
      <f>VLOOKUP(A41,INPUT_RANGE,76,FALSE) &amp; " loss"</f>
    </oc>
    <nc r="AF41">
      <f>VLOOKUP(A41,INPUT_RANGE,76,FALSE) &amp; " Loss"</f>
    </nc>
  </rcc>
  <rcc rId="2009" sId="5">
    <oc r="AG41">
      <f>VLOOKUP(A41,INPUT_RANGE,75,FALSE) &amp; "-" &amp; VLOOKUP(A41,INPUT_RANGE,76,FALSE) &amp; " w-l"</f>
    </oc>
    <nc r="AG41">
      <f>VLOOKUP(A41,INPUT_RANGE,75,FALSE) &amp; "-" &amp; VLOOKUP(A41,INPUT_RANGE,76,FALSE) &amp; " W-L"</f>
    </nc>
  </rcc>
  <rcc rId="2010" sId="5">
    <oc r="AH41">
      <f>VLOOKUP(A41,INPUT_RANGE,81,FALSE)&amp; " saves"</f>
    </oc>
    <nc r="AH41">
      <f>VLOOKUP(A41,INPUT_RANGE,81,FALSE)&amp; " Saves"</f>
    </nc>
  </rcc>
  <rcc rId="2011" sId="5">
    <oc r="AI41">
      <f>VLOOKUP(A41,INPUT_RANGE,83,FALSE) &amp; " h"</f>
    </oc>
    <nc r="AI41">
      <f>VLOOKUP(A41,INPUT_RANGE,83,FALSE) &amp; " H"</f>
    </nc>
  </rcc>
  <rcc rId="2012" sId="5">
    <oc r="AJ41">
      <f>VLOOKUP(A41,INPUT_RANGE,84,FALSE) &amp; " r"</f>
    </oc>
    <nc r="AJ41">
      <f>VLOOKUP(A41,INPUT_RANGE,84,FALSE) &amp; " R"</f>
    </nc>
  </rcc>
  <rcc rId="2013" sId="5">
    <oc r="AK41">
      <f>VLOOKUP(A41,INPUT_RANGE,85,FALSE) &amp;" er"</f>
    </oc>
    <nc r="AK41">
      <f>VLOOKUP(A41,INPUT_RANGE,85,FALSE) &amp;" ER"</f>
    </nc>
  </rcc>
  <rcc rId="2014" sId="5">
    <oc r="AL41">
      <f>VLOOKUP(A41,INPUT_RANGE,88,FALSE) &amp;" hr"</f>
    </oc>
    <nc r="AL41">
      <f>VLOOKUP(A41,INPUT_RANGE,88,FALSE) &amp;" HR"</f>
    </nc>
  </rcc>
  <rcc rId="2015" sId="5">
    <oc r="AM41">
      <f>VLOOKUP(A41,INPUT_RANGE,87,FALSE) &amp; " k"</f>
    </oc>
    <nc r="AM41">
      <f>VLOOKUP(A41,INPUT_RANGE,87,FALSE) &amp; " K"</f>
    </nc>
  </rcc>
  <rcc rId="2016" sId="5">
    <oc r="AN41">
      <f>VLOOKUP(A41,INPUT_RANGE,86,FALSE) &amp; " bb"</f>
    </oc>
    <nc r="AN41">
      <f>VLOOKUP(A41,INPUT_RANGE,86,FALSE) &amp; " BB"</f>
    </nc>
  </rcc>
  <rcc rId="2017" sId="5">
    <oc r="AO41">
      <f>TEXT(AU41,"0.00") &amp; " era"</f>
    </oc>
    <nc r="AO41">
      <f>TEXT(AU41,"0.00") &amp; " ERA"</f>
    </nc>
  </rcc>
  <rcc rId="2018" sId="5">
    <oc r="AP41">
      <f>TEXT(AT41,"0.00") &amp; " whip"</f>
    </oc>
    <nc r="AP41">
      <f>TEXT(AT41,"0.00") &amp; " WHIP"</f>
    </nc>
  </rcc>
  <rcc rId="2019" sId="5">
    <oc r="AQ41">
      <f xml:space="preserve"> IF(LEFT(RIGHT((VLOOKUP(A41,INPUT_RANGE,82,FALSE)),2),1)=".",RIGHT(VLOOKUP(A41,INPUT_RANGE,82,FALSE),1), "X")</f>
    </oc>
    <nc r="AQ41">
      <f xml:space="preserve"> IF(LEFT(RIGHT((VLOOKUP(A41,INPUT_RANGE,82,FALSE)),2),1)=".",RIGHT(VLOOKUP(A41,INPUT_RANGE,82,FALSE),1), "X")</f>
    </nc>
  </rcc>
  <rcc rId="2020" sId="5">
    <oc r="AR41">
      <f>IF(AQ41 ="1",0.333,IF(AQ41="2",0.666,0))</f>
    </oc>
    <nc r="AR41">
      <f>IF(AQ41 ="1",0.333,IF(AQ41="2",0.666,0))</f>
    </nc>
  </rcc>
  <rcc rId="2021" sId="5">
    <oc r="AS41">
      <f>VLOOKUP(A41,INPUT_RANGE,82,FALSE)-(AQ41*0.1)+AR41</f>
    </oc>
    <nc r="AS41">
      <f>VLOOKUP(A41,INPUT_RANGE,82,FALSE)-(AQ41*0.1)+AR41</f>
    </nc>
  </rcc>
  <rcc rId="2022" sId="5">
    <oc r="AT41">
      <f>ROUND((VLOOKUP(A41,INPUT_RANGE,86,FALSE)+VLOOKUP(A41,INPUT_RANGE,83,FALSE))/AS41,2)</f>
    </oc>
    <nc r="AT41">
      <f>ROUND((VLOOKUP(A41,INPUT_RANGE,86,FALSE)+VLOOKUP(A41,INPUT_RANGE,83,FALSE))/AS41,2)</f>
    </nc>
  </rcc>
  <rcc rId="2023" sId="5">
    <oc r="AU41">
      <f>ROUND((VLOOKUP(A41,INPUT_RANGE,85,FALSE)/AS41)*('Team Info'!$H$25),2)</f>
    </oc>
    <nc r="AU41">
      <f>ROUND((VLOOKUP(A41,INPUT_RANGE,85,FALSE)/AS41)*('D:\Data\Softball\[ESPN_BASEBALL_AWAY_OLD.xlsx]Team Info'!$H$25),2)</f>
    </nc>
  </rcc>
  <rcc rId="2024" sId="5">
    <oc r="AW41">
      <f>(VLOOKUP(A41,INPUT_RANGE,54,FALSE)/VLOOKUP(A41,INPUT_RANGE,52,FALSE))</f>
    </oc>
    <nc r="AW41">
      <f>(VLOOKUP(A41,INPUT_RANGE,54,FALSE)/VLOOKUP(A41,INPUT_RANGE,52,FALSE))</f>
    </nc>
  </rcc>
  <rcc rId="2025" sId="5">
    <oc r="AX41">
      <f>((VLOOKUP(A41,INPUT_RANGE,54,FALSE)+VLOOKUP(A41,INPUT_RANGE,60,FALSE)+VLOOKUP(A41,INPUT_RANGE,59,FALSE))/(VLOOKUP(A41,INPUT_RANGE,52,FALSE)+VLOOKUP(A41,INPUT_RANGE,60,FALSE)+VLOOKUP(A41,INPUT_RANGE,59,FALSE)+VLOOKUP(A41,INPUT_RANGE,63,FALSE)))</f>
    </oc>
    <nc r="AX41">
      <f>((VLOOKUP(A41,INPUT_RANGE,54,FALSE)+VLOOKUP(A41,INPUT_RANGE,60,FALSE)+VLOOKUP(A41,INPUT_RANGE,59,FALSE))/(VLOOKUP(A41,INPUT_RANGE,52,FALSE)+VLOOKUP(A41,INPUT_RANGE,60,FALSE)+VLOOKUP(A41,INPUT_RANGE,59,FALSE)+VLOOKUP(A41,INPUT_RANGE,63,FALSE)))</f>
    </nc>
  </rcc>
  <rcc rId="2026" sId="5">
    <oc r="AY41">
      <f>(VLOOKUP(A41,INPUT_RANGE,54)+VLOOKUP(A41,INPUT_RANGE,55)+(VLOOKUP(A41,INPUT_RANGE,56)*2)+(VLOOKUP(A41,INPUT_RANGE,57)*3))/(VLOOKUP(A41,INPUT_RANGE,52))</f>
    </oc>
    <nc r="AY41">
      <f>(VLOOKUP(A41,INPUT_RANGE,54)+VLOOKUP(A41,INPUT_RANGE,55)+(VLOOKUP(A41,INPUT_RANGE,56)*2)+(VLOOKUP(A41,INPUT_RANGE,57)*3))/(VLOOKUP(A41,INPUT_RANGE,52))</f>
    </nc>
  </rcc>
  <rcc rId="2027" sId="5">
    <oc r="AZ41">
      <f>AX41+AY41</f>
    </oc>
    <nc r="AZ41">
      <f>AX41+AY41</f>
    </nc>
  </rcc>
  <rcc rId="2028" sId="5">
    <oc r="BA41">
      <f xml:space="preserve"> TEXT(AZ41,".000") &amp; " ops"</f>
    </oc>
    <nc r="BA41">
      <f xml:space="preserve"> TEXT(AZ41,".000") &amp; " OPS"</f>
    </nc>
  </rcc>
  <rcc rId="2029" sId="5">
    <oc r="BB41">
      <f>VLOOKUP(A41,INPUT_RANGE,78,FALSE)</f>
    </oc>
    <nc r="BB41">
      <f>VLOOKUP(A41,INPUT_RANGE,78,FALSE)</f>
    </nc>
  </rcc>
  <rcc rId="2030" sId="5">
    <oc r="BC41">
      <f>VLOOKUP(A41,INPUT_RANGE,77,FALSE)</f>
    </oc>
    <nc r="BC41">
      <f>VLOOKUP(A41,INPUT_RANGE,77,FALSE)</f>
    </nc>
  </rcc>
  <rcc rId="2031" sId="5">
    <oc r="BD41">
      <f>VLOOKUP(A41,INPUT_RANGE,75,FALSE) &amp; "-" &amp; VLOOKUP(A41,INPUT_RANGE,76,FALSE)</f>
    </oc>
    <nc r="BD41">
      <f>VLOOKUP(A41,INPUT_RANGE,75,FALSE) &amp; "-" &amp; VLOOKUP(A41,INPUT_RANGE,76,FALSE)</f>
    </nc>
  </rcc>
  <rcc rId="2032" sId="5">
    <oc r="BE41">
      <f>AU41</f>
    </oc>
    <nc r="BE41">
      <f>AU41</f>
    </nc>
  </rcc>
  <rcc rId="2033" sId="5">
    <oc r="BF41">
      <f>AA41</f>
    </oc>
    <nc r="BF41">
      <f>AA41</f>
    </nc>
  </rcc>
  <rcc rId="2034" sId="5">
    <oc r="BG41">
      <f>VLOOKUP(A41,INPUT_RANGE,86,FALSE)</f>
    </oc>
    <nc r="BG41">
      <f>VLOOKUP(A41,INPUT_RANGE,86,FALSE)</f>
    </nc>
  </rcc>
  <rcc rId="2035" sId="5">
    <oc r="BH41">
      <f>VLOOKUP(A41,INPUT_RANGE,87,FALSE)</f>
    </oc>
    <nc r="BH41">
      <f>VLOOKUP(A41,INPUT_RANGE,87,FALSE)</f>
    </nc>
  </rcc>
  <rcc rId="2036" sId="5">
    <oc r="BI41">
      <f>VLOOKUP(A41,INPUT_RANGE,81,FALSE) &amp; " SAVES"</f>
    </oc>
    <nc r="BI41">
      <f>VLOOKUP(A41,INPUT_RANGE,81,FALSE) &amp; " SAVES"</f>
    </nc>
  </rcc>
  <rcc rId="2037" sId="5">
    <oc r="BJ41">
      <f>VLOOKUP(A41,INPUT_RANGE,81,FALSE)</f>
    </oc>
    <nc r="BJ41">
      <f>VLOOKUP(A41,INPUT_RANGE,81,FALSE)</f>
    </nc>
  </rcc>
  <rcc rId="2038" sId="5">
    <oc r="BK41">
      <f>VLOOKUP(A41,INPUT_RANGE,83,FALSE)</f>
    </oc>
    <nc r="BK41">
      <f>VLOOKUP(A41,INPUT_RANGE,83,FALSE)</f>
    </nc>
  </rcc>
  <rcc rId="2039" sId="5">
    <oc r="BL41">
      <f>VLOOKUP(A41,INPUT_RANGE,87,FALSE) &amp; "/" &amp; VLOOKUP(A41,INPUT_RANGE,86,FALSE)</f>
    </oc>
    <nc r="BL41">
      <f>VLOOKUP(A41,INPUT_RANGE,87,FALSE) &amp; "/" &amp; VLOOKUP(A41,INPUT_RANGE,86,FALSE)</f>
    </nc>
  </rcc>
  <rcc rId="2040" sId="5">
    <oc r="BM41">
      <f>ROUND((VLOOKUP(A41,INPUT_RANGE,86,FALSE)+VLOOKUP(A41,INPUT_RANGE,83,FALSE))/AS41,2)</f>
    </oc>
    <nc r="BM41">
      <f>ROUND((VLOOKUP(A41,INPUT_RANGE,86,FALSE)+VLOOKUP(A41,INPUT_RANGE,83,FALSE))/AS41,2)</f>
    </nc>
  </rcc>
  <rcc rId="2041" sId="5">
    <oc r="M42">
      <f xml:space="preserve"> TEXT(AW42,".000") &amp; " ba"</f>
    </oc>
    <nc r="M42">
      <f xml:space="preserve"> TEXT(AW42,".000") &amp; " BA"</f>
    </nc>
  </rcc>
  <rcc rId="2042" sId="5">
    <oc r="N42">
      <f>VLOOKUP(A42,INPUT_RANGE,58,FALSE) &amp; " rbi"</f>
    </oc>
    <nc r="N42">
      <f>VLOOKUP(A42,INPUT_RANGE,58,FALSE) &amp; " RBI"</f>
    </nc>
  </rcc>
  <rcc rId="2043" sId="5">
    <oc r="O42">
      <f>VLOOKUP(A42,INPUT_RANGE,60,FALSE) &amp; " bb"</f>
    </oc>
    <nc r="O42">
      <f>VLOOKUP(A42,INPUT_RANGE,60,FALSE) &amp; " BB"</f>
    </nc>
  </rcc>
  <rcc rId="2044" sId="5">
    <oc r="P42">
      <f>VLOOKUP(A42,INPUT_RANGE,61,FALSE) &amp; " k"</f>
    </oc>
    <nc r="P42">
      <f>VLOOKUP(A42,INPUT_RANGE,61,FALSE) &amp; " K"</f>
    </nc>
  </rcc>
  <rcc rId="2045" sId="5">
    <oc r="Q42">
      <f>VLOOKUP(A42,INPUT_RANGE,64,FALSE) &amp; " sb"</f>
    </oc>
    <nc r="Q42">
      <f>VLOOKUP(A42,INPUT_RANGE,64,FALSE) &amp; " SB"</f>
    </nc>
  </rcc>
  <rcc rId="2046" sId="5">
    <oc r="R42">
      <f>VLOOKUP(A42,INPUT_RANGE,55,FALSE) &amp; " 2b"</f>
    </oc>
    <nc r="R42">
      <f>VLOOKUP(A42,INPUT_RANGE,55,FALSE) &amp; " 2B"</f>
    </nc>
  </rcc>
  <rcc rId="2047" sId="5">
    <oc r="S42">
      <f>VLOOKUP(A42,INPUT_RANGE,56,FALSE) &amp; " 3b"</f>
    </oc>
    <nc r="S42">
      <f>VLOOKUP(A42,INPUT_RANGE,56,FALSE) &amp; " 3B"</f>
    </nc>
  </rcc>
  <rcc rId="2048" sId="5">
    <oc r="T42">
      <f>VLOOKUP(A42,INPUT_RANGE,57,FALSE) &amp; " hr"</f>
    </oc>
    <nc r="T42">
      <f>VLOOKUP(A42,INPUT_RANGE,57,FALSE) &amp; " HR"</f>
    </nc>
  </rcc>
  <rcc rId="2049" sId="5">
    <oc r="U42">
      <f>VLOOKUP(A42,INPUT_RANGE,53,FALSE) &amp; " r"</f>
    </oc>
    <nc r="U42">
      <f>VLOOKUP(A42,INPUT_RANGE,53,FALSE) &amp; " R"</f>
    </nc>
  </rcc>
  <rcc rId="2050" sId="5">
    <oc r="V42">
      <f>TEXT(AX42, ".000") &amp; " obp"</f>
    </oc>
    <nc r="V42">
      <f>TEXT(AX42, ".000") &amp; " OBP"</f>
    </nc>
  </rcc>
  <rcc rId="2051" sId="5">
    <oc r="X42">
      <f>VLOOKUP(A42,INPUT_RANGE,77,FALSE)&amp;" games"</f>
    </oc>
    <nc r="X42">
      <f>VLOOKUP(A42,INPUT_RANGE,77,FALSE)&amp;" games"</f>
    </nc>
  </rcc>
  <rcc rId="2052" sId="5">
    <oc r="Y42">
      <f>VLOOKUP(A42,INPUT_RANGE,78,FALSE) &amp; " starts"</f>
    </oc>
    <nc r="Y42">
      <f>VLOOKUP(A42,INPUT_RANGE,78,FALSE) &amp; " starts"</f>
    </nc>
  </rcc>
  <rcc rId="2053" sId="5">
    <oc r="Z42">
      <f>VLOOKUP(A42,INPUT_RANGE,82,FALSE) &amp; " ip"</f>
    </oc>
    <nc r="Z42">
      <f>VLOOKUP(A42,INPUT_RANGE,82,FALSE) &amp; " IP"</f>
    </nc>
  </rcc>
  <rcc rId="2054" sId="5">
    <oc r="AA42">
      <f>TRUNC(VLOOKUP(A42,INPUT_RANGE,82,FALSE)) &amp;  IF(AR42=0.333,"º",IF(AR42=0.666,"»",""))</f>
    </oc>
    <nc r="AA42">
      <f>TRUNC(VLOOKUP(A42,INPUT_RANGE,82,FALSE)) &amp;  IF(AR42=0.333,"º",IF(AR42=0.666,"»",""))</f>
    </nc>
  </rcc>
  <rcc rId="2055" sId="5">
    <oc r="AB42">
      <f>AA42&amp; " ip"</f>
    </oc>
    <nc r="AB42">
      <f>AA42&amp; " IP"</f>
    </nc>
  </rcc>
  <rcc rId="2056" sId="5">
    <oc r="AC42">
      <f>VLOOKUP(A42,INPUT_RANGE,79,FALSE) &amp; " cg"</f>
    </oc>
    <nc r="AC42">
      <f>VLOOKUP(A42,INPUT_RANGE,79,FALSE) &amp; " CG"</f>
    </nc>
  </rcc>
  <rcc rId="2057" sId="5">
    <oc r="AD42">
      <f>VLOOKUP(A42,INPUT_RANGE,80,FALSE) &amp; " sho"</f>
    </oc>
    <nc r="AD42">
      <f>VLOOKUP(A42,INPUT_RANGE,80,FALSE) &amp; " SHO"</f>
    </nc>
  </rcc>
  <rcc rId="2058" sId="5">
    <oc r="AE42">
      <f>VLOOKUP(A42,INPUT_RANGE,75,FALSE) &amp; " win"</f>
    </oc>
    <nc r="AE42">
      <f>VLOOKUP(A42,INPUT_RANGE,75,FALSE) &amp; " Win"</f>
    </nc>
  </rcc>
  <rcc rId="2059" sId="5">
    <oc r="AF42">
      <f>VLOOKUP(A42,INPUT_RANGE,76,FALSE) &amp; " loss"</f>
    </oc>
    <nc r="AF42">
      <f>VLOOKUP(A42,INPUT_RANGE,76,FALSE) &amp; " Loss"</f>
    </nc>
  </rcc>
  <rcc rId="2060" sId="5">
    <oc r="AG42">
      <f>VLOOKUP(A42,INPUT_RANGE,75,FALSE) &amp; "-" &amp; VLOOKUP(A42,INPUT_RANGE,76,FALSE) &amp; " w-l"</f>
    </oc>
    <nc r="AG42">
      <f>VLOOKUP(A42,INPUT_RANGE,75,FALSE) &amp; "-" &amp; VLOOKUP(A42,INPUT_RANGE,76,FALSE) &amp; " W-L"</f>
    </nc>
  </rcc>
  <rcc rId="2061" sId="5">
    <oc r="AH42">
      <f>VLOOKUP(A42,INPUT_RANGE,81,FALSE)&amp; " saves"</f>
    </oc>
    <nc r="AH42">
      <f>VLOOKUP(A42,INPUT_RANGE,81,FALSE)&amp; " Saves"</f>
    </nc>
  </rcc>
  <rcc rId="2062" sId="5">
    <oc r="AI42">
      <f>VLOOKUP(A42,INPUT_RANGE,83,FALSE) &amp; " h"</f>
    </oc>
    <nc r="AI42">
      <f>VLOOKUP(A42,INPUT_RANGE,83,FALSE) &amp; " H"</f>
    </nc>
  </rcc>
  <rcc rId="2063" sId="5">
    <oc r="AJ42">
      <f>VLOOKUP(A42,INPUT_RANGE,84,FALSE) &amp; " r"</f>
    </oc>
    <nc r="AJ42">
      <f>VLOOKUP(A42,INPUT_RANGE,84,FALSE) &amp; " R"</f>
    </nc>
  </rcc>
  <rcc rId="2064" sId="5">
    <oc r="AK42">
      <f>VLOOKUP(A42,INPUT_RANGE,85,FALSE) &amp;" er"</f>
    </oc>
    <nc r="AK42">
      <f>VLOOKUP(A42,INPUT_RANGE,85,FALSE) &amp;" ER"</f>
    </nc>
  </rcc>
  <rcc rId="2065" sId="5">
    <oc r="AL42">
      <f>VLOOKUP(A42,INPUT_RANGE,88,FALSE) &amp;" hr"</f>
    </oc>
    <nc r="AL42">
      <f>VLOOKUP(A42,INPUT_RANGE,88,FALSE) &amp;" HR"</f>
    </nc>
  </rcc>
  <rcc rId="2066" sId="5">
    <oc r="AM42">
      <f>VLOOKUP(A42,INPUT_RANGE,87,FALSE) &amp; " k"</f>
    </oc>
    <nc r="AM42">
      <f>VLOOKUP(A42,INPUT_RANGE,87,FALSE) &amp; " K"</f>
    </nc>
  </rcc>
  <rcc rId="2067" sId="5">
    <oc r="AN42">
      <f>VLOOKUP(A42,INPUT_RANGE,86,FALSE) &amp; " bb"</f>
    </oc>
    <nc r="AN42">
      <f>VLOOKUP(A42,INPUT_RANGE,86,FALSE) &amp; " BB"</f>
    </nc>
  </rcc>
  <rcc rId="2068" sId="5">
    <oc r="AO42">
      <f>TEXT(AU42,"0.00") &amp; " era"</f>
    </oc>
    <nc r="AO42">
      <f>TEXT(AU42,"0.00") &amp; " ERA"</f>
    </nc>
  </rcc>
  <rcc rId="2069" sId="5">
    <oc r="AP42">
      <f>TEXT(AT42,"0.00") &amp; " whip"</f>
    </oc>
    <nc r="AP42">
      <f>TEXT(AT42,"0.00") &amp; " WHIP"</f>
    </nc>
  </rcc>
  <rcc rId="2070" sId="5">
    <oc r="AQ42">
      <f xml:space="preserve"> IF(LEFT(RIGHT((VLOOKUP(A42,INPUT_RANGE,82,FALSE)),2),1)=".",RIGHT(VLOOKUP(A42,INPUT_RANGE,82,FALSE),1), "X")</f>
    </oc>
    <nc r="AQ42">
      <f xml:space="preserve"> IF(LEFT(RIGHT((VLOOKUP(A42,INPUT_RANGE,82,FALSE)),2),1)=".",RIGHT(VLOOKUP(A42,INPUT_RANGE,82,FALSE),1), "X")</f>
    </nc>
  </rcc>
  <rcc rId="2071" sId="5">
    <oc r="AR42">
      <f>IF(AQ42 ="1",0.333,IF(AQ42="2",0.666,0))</f>
    </oc>
    <nc r="AR42">
      <f>IF(AQ42 ="1",0.333,IF(AQ42="2",0.666,0))</f>
    </nc>
  </rcc>
  <rcc rId="2072" sId="5">
    <oc r="AS42">
      <f>VLOOKUP(A42,INPUT_RANGE,82,FALSE)-(AQ42*0.1)+AR42</f>
    </oc>
    <nc r="AS42">
      <f>VLOOKUP(A42,INPUT_RANGE,82,FALSE)-(AQ42*0.1)+AR42</f>
    </nc>
  </rcc>
  <rcc rId="2073" sId="5">
    <oc r="AT42">
      <f>ROUND((VLOOKUP(A42,INPUT_RANGE,86,FALSE)+VLOOKUP(A42,INPUT_RANGE,83,FALSE))/AS42,2)</f>
    </oc>
    <nc r="AT42">
      <f>ROUND((VLOOKUP(A42,INPUT_RANGE,86,FALSE)+VLOOKUP(A42,INPUT_RANGE,83,FALSE))/AS42,2)</f>
    </nc>
  </rcc>
  <rcc rId="2074" sId="5">
    <oc r="AU42">
      <f>ROUND((VLOOKUP(A42,INPUT_RANGE,85,FALSE)/AS42)*('Team Info'!$H$25),2)</f>
    </oc>
    <nc r="AU42">
      <f>ROUND((VLOOKUP(A42,INPUT_RANGE,85,FALSE)/AS42)*('D:\Data\Softball\[ESPN_BASEBALL_AWAY_OLD.xlsx]Team Info'!$H$25),2)</f>
    </nc>
  </rcc>
  <rcc rId="2075" sId="5">
    <oc r="AW42">
      <f>(VLOOKUP(A42,INPUT_RANGE,54,FALSE)/VLOOKUP(A42,INPUT_RANGE,52,FALSE))</f>
    </oc>
    <nc r="AW42">
      <f>(VLOOKUP(A42,INPUT_RANGE,54,FALSE)/VLOOKUP(A42,INPUT_RANGE,52,FALSE))</f>
    </nc>
  </rcc>
  <rcc rId="2076" sId="5">
    <oc r="AX42">
      <f>((VLOOKUP(A42,INPUT_RANGE,54,FALSE)+VLOOKUP(A42,INPUT_RANGE,60,FALSE)+VLOOKUP(A42,INPUT_RANGE,59,FALSE))/(VLOOKUP(A42,INPUT_RANGE,52,FALSE)+VLOOKUP(A42,INPUT_RANGE,60,FALSE)+VLOOKUP(A42,INPUT_RANGE,59,FALSE)+VLOOKUP(A42,INPUT_RANGE,63,FALSE)))</f>
    </oc>
    <nc r="AX42">
      <f>((VLOOKUP(A42,INPUT_RANGE,54,FALSE)+VLOOKUP(A42,INPUT_RANGE,60,FALSE)+VLOOKUP(A42,INPUT_RANGE,59,FALSE))/(VLOOKUP(A42,INPUT_RANGE,52,FALSE)+VLOOKUP(A42,INPUT_RANGE,60,FALSE)+VLOOKUP(A42,INPUT_RANGE,59,FALSE)+VLOOKUP(A42,INPUT_RANGE,63,FALSE)))</f>
    </nc>
  </rcc>
  <rcc rId="2077" sId="5">
    <oc r="AY42">
      <f>(VLOOKUP(A42,INPUT_RANGE,54)+VLOOKUP(A42,INPUT_RANGE,55)+(VLOOKUP(A42,INPUT_RANGE,56)*2)+(VLOOKUP(A42,INPUT_RANGE,57)*3))/(VLOOKUP(A42,INPUT_RANGE,52))</f>
    </oc>
    <nc r="AY42">
      <f>(VLOOKUP(A42,INPUT_RANGE,54)+VLOOKUP(A42,INPUT_RANGE,55)+(VLOOKUP(A42,INPUT_RANGE,56)*2)+(VLOOKUP(A42,INPUT_RANGE,57)*3))/(VLOOKUP(A42,INPUT_RANGE,52))</f>
    </nc>
  </rcc>
  <rcc rId="2078" sId="5">
    <oc r="AZ42">
      <f>AX42+AY42</f>
    </oc>
    <nc r="AZ42">
      <f>AX42+AY42</f>
    </nc>
  </rcc>
  <rcc rId="2079" sId="5">
    <oc r="BA42">
      <f xml:space="preserve"> TEXT(AZ42,".000") &amp; " ops"</f>
    </oc>
    <nc r="BA42">
      <f xml:space="preserve"> TEXT(AZ42,".000") &amp; " OPS"</f>
    </nc>
  </rcc>
  <rcc rId="2080" sId="5">
    <oc r="BB42">
      <f>VLOOKUP(A42,INPUT_RANGE,78,FALSE)</f>
    </oc>
    <nc r="BB42">
      <f>VLOOKUP(A42,INPUT_RANGE,78,FALSE)</f>
    </nc>
  </rcc>
  <rcc rId="2081" sId="5">
    <oc r="BC42">
      <f>VLOOKUP(A42,INPUT_RANGE,77,FALSE)</f>
    </oc>
    <nc r="BC42">
      <f>VLOOKUP(A42,INPUT_RANGE,77,FALSE)</f>
    </nc>
  </rcc>
  <rcc rId="2082" sId="5">
    <oc r="BD42">
      <f>VLOOKUP(A42,INPUT_RANGE,75,FALSE) &amp; "-" &amp; VLOOKUP(A42,INPUT_RANGE,76,FALSE)</f>
    </oc>
    <nc r="BD42">
      <f>VLOOKUP(A42,INPUT_RANGE,75,FALSE) &amp; "-" &amp; VLOOKUP(A42,INPUT_RANGE,76,FALSE)</f>
    </nc>
  </rcc>
  <rcc rId="2083" sId="5">
    <oc r="BE42">
      <f>AU42</f>
    </oc>
    <nc r="BE42">
      <f>AU42</f>
    </nc>
  </rcc>
  <rcc rId="2084" sId="5">
    <oc r="BF42">
      <f>AA42</f>
    </oc>
    <nc r="BF42">
      <f>AA42</f>
    </nc>
  </rcc>
  <rcc rId="2085" sId="5">
    <oc r="BG42">
      <f>VLOOKUP(A42,INPUT_RANGE,86,FALSE)</f>
    </oc>
    <nc r="BG42">
      <f>VLOOKUP(A42,INPUT_RANGE,86,FALSE)</f>
    </nc>
  </rcc>
  <rcc rId="2086" sId="5">
    <oc r="BH42">
      <f>VLOOKUP(A42,INPUT_RANGE,87,FALSE)</f>
    </oc>
    <nc r="BH42">
      <f>VLOOKUP(A42,INPUT_RANGE,87,FALSE)</f>
    </nc>
  </rcc>
  <rcc rId="2087" sId="5">
    <oc r="BI42">
      <f>VLOOKUP(A42,INPUT_RANGE,81,FALSE) &amp; " SAVES"</f>
    </oc>
    <nc r="BI42">
      <f>VLOOKUP(A42,INPUT_RANGE,81,FALSE) &amp; " SAVES"</f>
    </nc>
  </rcc>
  <rcc rId="2088" sId="5">
    <oc r="BJ42">
      <f>VLOOKUP(A42,INPUT_RANGE,81,FALSE)</f>
    </oc>
    <nc r="BJ42">
      <f>VLOOKUP(A42,INPUT_RANGE,81,FALSE)</f>
    </nc>
  </rcc>
  <rcc rId="2089" sId="5">
    <oc r="BK42">
      <f>VLOOKUP(A42,INPUT_RANGE,83,FALSE)</f>
    </oc>
    <nc r="BK42">
      <f>VLOOKUP(A42,INPUT_RANGE,83,FALSE)</f>
    </nc>
  </rcc>
  <rcc rId="2090" sId="5">
    <oc r="BL42">
      <f>VLOOKUP(A42,INPUT_RANGE,87,FALSE) &amp; "/" &amp; VLOOKUP(A42,INPUT_RANGE,86,FALSE)</f>
    </oc>
    <nc r="BL42">
      <f>VLOOKUP(A42,INPUT_RANGE,87,FALSE) &amp; "/" &amp; VLOOKUP(A42,INPUT_RANGE,86,FALSE)</f>
    </nc>
  </rcc>
  <rcc rId="2091" sId="5">
    <oc r="BM42">
      <f>ROUND((VLOOKUP(A42,INPUT_RANGE,86,FALSE)+VLOOKUP(A42,INPUT_RANGE,83,FALSE))/AS42,2)</f>
    </oc>
    <nc r="BM42">
      <f>ROUND((VLOOKUP(A42,INPUT_RANGE,86,FALSE)+VLOOKUP(A42,INPUT_RANGE,83,FALSE))/AS42,2)</f>
    </nc>
  </rcc>
  <rcc rId="2092" sId="5">
    <oc r="M43">
      <f xml:space="preserve"> TEXT(AW43,".000") &amp; " ba"</f>
    </oc>
    <nc r="M43">
      <f xml:space="preserve"> TEXT(AW43,".000") &amp; " BA"</f>
    </nc>
  </rcc>
  <rcc rId="2093" sId="5">
    <oc r="N43">
      <f>VLOOKUP(A43,INPUT_RANGE,58,FALSE) &amp; " rbi"</f>
    </oc>
    <nc r="N43">
      <f>VLOOKUP(A43,INPUT_RANGE,58,FALSE) &amp; " RBI"</f>
    </nc>
  </rcc>
  <rcc rId="2094" sId="5">
    <oc r="O43">
      <f>VLOOKUP(A43,INPUT_RANGE,60,FALSE) &amp; " bb"</f>
    </oc>
    <nc r="O43">
      <f>VLOOKUP(A43,INPUT_RANGE,60,FALSE) &amp; " BB"</f>
    </nc>
  </rcc>
  <rcc rId="2095" sId="5">
    <oc r="P43">
      <f>VLOOKUP(A43,INPUT_RANGE,61,FALSE) &amp; " k"</f>
    </oc>
    <nc r="P43">
      <f>VLOOKUP(A43,INPUT_RANGE,61,FALSE) &amp; " K"</f>
    </nc>
  </rcc>
  <rcc rId="2096" sId="5">
    <oc r="Q43">
      <f>VLOOKUP(A43,INPUT_RANGE,64,FALSE) &amp; " sb"</f>
    </oc>
    <nc r="Q43">
      <f>VLOOKUP(A43,INPUT_RANGE,64,FALSE) &amp; " SB"</f>
    </nc>
  </rcc>
  <rcc rId="2097" sId="5">
    <oc r="R43">
      <f>VLOOKUP(A43,INPUT_RANGE,55,FALSE) &amp; " 2b"</f>
    </oc>
    <nc r="R43">
      <f>VLOOKUP(A43,INPUT_RANGE,55,FALSE) &amp; " 2B"</f>
    </nc>
  </rcc>
  <rcc rId="2098" sId="5">
    <oc r="S43">
      <f>VLOOKUP(A43,INPUT_RANGE,56,FALSE) &amp; " 3b"</f>
    </oc>
    <nc r="S43">
      <f>VLOOKUP(A43,INPUT_RANGE,56,FALSE) &amp; " 3B"</f>
    </nc>
  </rcc>
  <rcc rId="2099" sId="5">
    <oc r="T43">
      <f>VLOOKUP(A43,INPUT_RANGE,57,FALSE) &amp; " hr"</f>
    </oc>
    <nc r="T43">
      <f>VLOOKUP(A43,INPUT_RANGE,57,FALSE) &amp; " HR"</f>
    </nc>
  </rcc>
  <rcc rId="2100" sId="5">
    <oc r="U43">
      <f>VLOOKUP(A43,INPUT_RANGE,53,FALSE) &amp; " r"</f>
    </oc>
    <nc r="U43">
      <f>VLOOKUP(A43,INPUT_RANGE,53,FALSE) &amp; " R"</f>
    </nc>
  </rcc>
  <rcc rId="2101" sId="5">
    <oc r="V43">
      <f>TEXT(AX43, ".000") &amp; " obp"</f>
    </oc>
    <nc r="V43">
      <f>TEXT(AX43, ".000") &amp; " OBP"</f>
    </nc>
  </rcc>
  <rcc rId="2102" sId="5">
    <oc r="X43">
      <f>VLOOKUP(A43,INPUT_RANGE,77,FALSE)&amp;" games"</f>
    </oc>
    <nc r="X43">
      <f>VLOOKUP(A43,INPUT_RANGE,77,FALSE)&amp;" games"</f>
    </nc>
  </rcc>
  <rcc rId="2103" sId="5">
    <oc r="Y43">
      <f>VLOOKUP(A43,INPUT_RANGE,78,FALSE) &amp; " starts"</f>
    </oc>
    <nc r="Y43">
      <f>VLOOKUP(A43,INPUT_RANGE,78,FALSE) &amp; " starts"</f>
    </nc>
  </rcc>
  <rcc rId="2104" sId="5">
    <oc r="Z43">
      <f>VLOOKUP(A43,INPUT_RANGE,82,FALSE) &amp; " ip"</f>
    </oc>
    <nc r="Z43">
      <f>VLOOKUP(A43,INPUT_RANGE,82,FALSE) &amp; " IP"</f>
    </nc>
  </rcc>
  <rcc rId="2105" sId="5">
    <oc r="AA43">
      <f>TRUNC(VLOOKUP(A43,INPUT_RANGE,82,FALSE)) &amp;  IF(AR43=0.333,"º",IF(AR43=0.666,"»",""))</f>
    </oc>
    <nc r="AA43">
      <f>TRUNC(VLOOKUP(A43,INPUT_RANGE,82,FALSE)) &amp;  IF(AR43=0.333,"º",IF(AR43=0.666,"»",""))</f>
    </nc>
  </rcc>
  <rcc rId="2106" sId="5">
    <oc r="AB43">
      <f>AA43&amp; " ip"</f>
    </oc>
    <nc r="AB43">
      <f>AA43&amp; " IP"</f>
    </nc>
  </rcc>
  <rcc rId="2107" sId="5">
    <oc r="AC43">
      <f>VLOOKUP(A43,INPUT_RANGE,79,FALSE) &amp; " cg"</f>
    </oc>
    <nc r="AC43">
      <f>VLOOKUP(A43,INPUT_RANGE,79,FALSE) &amp; " CG"</f>
    </nc>
  </rcc>
  <rcc rId="2108" sId="5">
    <oc r="AD43">
      <f>VLOOKUP(A43,INPUT_RANGE,80,FALSE) &amp; " sho"</f>
    </oc>
    <nc r="AD43">
      <f>VLOOKUP(A43,INPUT_RANGE,80,FALSE) &amp; " SHO"</f>
    </nc>
  </rcc>
  <rcc rId="2109" sId="5">
    <oc r="AE43">
      <f>VLOOKUP(A43,INPUT_RANGE,75,FALSE) &amp; " win"</f>
    </oc>
    <nc r="AE43">
      <f>VLOOKUP(A43,INPUT_RANGE,75,FALSE) &amp; " Win"</f>
    </nc>
  </rcc>
  <rcc rId="2110" sId="5">
    <oc r="AF43">
      <f>VLOOKUP(A43,INPUT_RANGE,76,FALSE) &amp; " loss"</f>
    </oc>
    <nc r="AF43">
      <f>VLOOKUP(A43,INPUT_RANGE,76,FALSE) &amp; " Loss"</f>
    </nc>
  </rcc>
  <rcc rId="2111" sId="5">
    <oc r="AG43">
      <f>VLOOKUP(A43,INPUT_RANGE,75,FALSE) &amp; "-" &amp; VLOOKUP(A43,INPUT_RANGE,76,FALSE) &amp; " w-l"</f>
    </oc>
    <nc r="AG43">
      <f>VLOOKUP(A43,INPUT_RANGE,75,FALSE) &amp; "-" &amp; VLOOKUP(A43,INPUT_RANGE,76,FALSE) &amp; " W-L"</f>
    </nc>
  </rcc>
  <rcc rId="2112" sId="5">
    <oc r="AH43">
      <f>VLOOKUP(A43,INPUT_RANGE,81,FALSE)&amp; " saves"</f>
    </oc>
    <nc r="AH43">
      <f>VLOOKUP(A43,INPUT_RANGE,81,FALSE)&amp; " Saves"</f>
    </nc>
  </rcc>
  <rcc rId="2113" sId="5">
    <oc r="AI43">
      <f>VLOOKUP(A43,INPUT_RANGE,83,FALSE) &amp; " h"</f>
    </oc>
    <nc r="AI43">
      <f>VLOOKUP(A43,INPUT_RANGE,83,FALSE) &amp; " H"</f>
    </nc>
  </rcc>
  <rcc rId="2114" sId="5">
    <oc r="AJ43">
      <f>VLOOKUP(A43,INPUT_RANGE,84,FALSE) &amp; " r"</f>
    </oc>
    <nc r="AJ43">
      <f>VLOOKUP(A43,INPUT_RANGE,84,FALSE) &amp; " R"</f>
    </nc>
  </rcc>
  <rcc rId="2115" sId="5">
    <oc r="AK43">
      <f>VLOOKUP(A43,INPUT_RANGE,85,FALSE) &amp;" er"</f>
    </oc>
    <nc r="AK43">
      <f>VLOOKUP(A43,INPUT_RANGE,85,FALSE) &amp;" ER"</f>
    </nc>
  </rcc>
  <rcc rId="2116" sId="5">
    <oc r="AL43">
      <f>VLOOKUP(A43,INPUT_RANGE,88,FALSE) &amp;" hr"</f>
    </oc>
    <nc r="AL43">
      <f>VLOOKUP(A43,INPUT_RANGE,88,FALSE) &amp;" HR"</f>
    </nc>
  </rcc>
  <rcc rId="2117" sId="5">
    <oc r="AM43">
      <f>VLOOKUP(A43,INPUT_RANGE,87,FALSE) &amp; " k"</f>
    </oc>
    <nc r="AM43">
      <f>VLOOKUP(A43,INPUT_RANGE,87,FALSE) &amp; " K"</f>
    </nc>
  </rcc>
  <rcc rId="2118" sId="5">
    <oc r="AN43">
      <f>VLOOKUP(A43,INPUT_RANGE,86,FALSE) &amp; " bb"</f>
    </oc>
    <nc r="AN43">
      <f>VLOOKUP(A43,INPUT_RANGE,86,FALSE) &amp; " BB"</f>
    </nc>
  </rcc>
  <rcc rId="2119" sId="5">
    <oc r="AO43">
      <f>TEXT(AU43,"0.00") &amp; " era"</f>
    </oc>
    <nc r="AO43">
      <f>TEXT(AU43,"0.00") &amp; " ERA"</f>
    </nc>
  </rcc>
  <rcc rId="2120" sId="5">
    <oc r="AP43">
      <f>TEXT(AT43,"0.00") &amp; " whip"</f>
    </oc>
    <nc r="AP43">
      <f>TEXT(AT43,"0.00") &amp; " WHIP"</f>
    </nc>
  </rcc>
  <rcc rId="2121" sId="5">
    <oc r="AQ43">
      <f xml:space="preserve"> IF(LEFT(RIGHT((VLOOKUP(A43,INPUT_RANGE,82,FALSE)),2),1)=".",RIGHT(VLOOKUP(A43,INPUT_RANGE,82,FALSE),1), "X")</f>
    </oc>
    <nc r="AQ43">
      <f xml:space="preserve"> IF(LEFT(RIGHT((VLOOKUP(A43,INPUT_RANGE,82,FALSE)),2),1)=".",RIGHT(VLOOKUP(A43,INPUT_RANGE,82,FALSE),1), "X")</f>
    </nc>
  </rcc>
  <rcc rId="2122" sId="5">
    <oc r="AR43">
      <f>IF(AQ43 ="1",0.333,IF(AQ43="2",0.666,0))</f>
    </oc>
    <nc r="AR43">
      <f>IF(AQ43 ="1",0.333,IF(AQ43="2",0.666,0))</f>
    </nc>
  </rcc>
  <rcc rId="2123" sId="5">
    <oc r="AS43">
      <f>VLOOKUP(A43,INPUT_RANGE,82,FALSE)-(AQ43*0.1)+AR43</f>
    </oc>
    <nc r="AS43">
      <f>VLOOKUP(A43,INPUT_RANGE,82,FALSE)-(AQ43*0.1)+AR43</f>
    </nc>
  </rcc>
  <rcc rId="2124" sId="5">
    <oc r="AT43">
      <f>ROUND((VLOOKUP(A43,INPUT_RANGE,86,FALSE)+VLOOKUP(A43,INPUT_RANGE,83,FALSE))/AS43,2)</f>
    </oc>
    <nc r="AT43">
      <f>ROUND((VLOOKUP(A43,INPUT_RANGE,86,FALSE)+VLOOKUP(A43,INPUT_RANGE,83,FALSE))/AS43,2)</f>
    </nc>
  </rcc>
  <rcc rId="2125" sId="5">
    <oc r="AU43">
      <f>ROUND((VLOOKUP(A43,INPUT_RANGE,85,FALSE)/AS43)*('Team Info'!$H$25),2)</f>
    </oc>
    <nc r="AU43">
      <f>ROUND((VLOOKUP(A43,INPUT_RANGE,85,FALSE)/AS43)*('D:\Data\Softball\[ESPN_BASEBALL_AWAY_OLD.xlsx]Team Info'!$H$25),2)</f>
    </nc>
  </rcc>
  <rcc rId="2126" sId="5">
    <oc r="AW43">
      <f>(VLOOKUP(A43,INPUT_RANGE,54,FALSE)/VLOOKUP(A43,INPUT_RANGE,52,FALSE))</f>
    </oc>
    <nc r="AW43">
      <f>(VLOOKUP(A43,INPUT_RANGE,54,FALSE)/VLOOKUP(A43,INPUT_RANGE,52,FALSE))</f>
    </nc>
  </rcc>
  <rcc rId="2127" sId="5">
    <oc r="AX43">
      <f>((VLOOKUP(A43,INPUT_RANGE,54,FALSE)+VLOOKUP(A43,INPUT_RANGE,60,FALSE)+VLOOKUP(A43,INPUT_RANGE,59,FALSE))/(VLOOKUP(A43,INPUT_RANGE,52,FALSE)+VLOOKUP(A43,INPUT_RANGE,60,FALSE)+VLOOKUP(A43,INPUT_RANGE,59,FALSE)+VLOOKUP(A43,INPUT_RANGE,63,FALSE)))</f>
    </oc>
    <nc r="AX43">
      <f>((VLOOKUP(A43,INPUT_RANGE,54,FALSE)+VLOOKUP(A43,INPUT_RANGE,60,FALSE)+VLOOKUP(A43,INPUT_RANGE,59,FALSE))/(VLOOKUP(A43,INPUT_RANGE,52,FALSE)+VLOOKUP(A43,INPUT_RANGE,60,FALSE)+VLOOKUP(A43,INPUT_RANGE,59,FALSE)+VLOOKUP(A43,INPUT_RANGE,63,FALSE)))</f>
    </nc>
  </rcc>
  <rcc rId="2128" sId="5">
    <oc r="AY43">
      <f>(VLOOKUP(A43,INPUT_RANGE,54)+VLOOKUP(A43,INPUT_RANGE,55)+(VLOOKUP(A43,INPUT_RANGE,56)*2)+(VLOOKUP(A43,INPUT_RANGE,57)*3))/(VLOOKUP(A43,INPUT_RANGE,52))</f>
    </oc>
    <nc r="AY43">
      <f>(VLOOKUP(A43,INPUT_RANGE,54)+VLOOKUP(A43,INPUT_RANGE,55)+(VLOOKUP(A43,INPUT_RANGE,56)*2)+(VLOOKUP(A43,INPUT_RANGE,57)*3))/(VLOOKUP(A43,INPUT_RANGE,52))</f>
    </nc>
  </rcc>
  <rcc rId="2129" sId="5">
    <oc r="AZ43">
      <f>AX43+AY43</f>
    </oc>
    <nc r="AZ43">
      <f>AX43+AY43</f>
    </nc>
  </rcc>
  <rcc rId="2130" sId="5">
    <oc r="BA43">
      <f xml:space="preserve"> TEXT(AZ43,".000") &amp; " ops"</f>
    </oc>
    <nc r="BA43">
      <f xml:space="preserve"> TEXT(AZ43,".000") &amp; " OPS"</f>
    </nc>
  </rcc>
  <rcc rId="2131" sId="5">
    <oc r="BB43">
      <f>VLOOKUP(A43,INPUT_RANGE,78,FALSE)</f>
    </oc>
    <nc r="BB43">
      <f>VLOOKUP(A43,INPUT_RANGE,78,FALSE)</f>
    </nc>
  </rcc>
  <rcc rId="2132" sId="5">
    <oc r="BC43">
      <f>VLOOKUP(A43,INPUT_RANGE,77,FALSE)</f>
    </oc>
    <nc r="BC43">
      <f>VLOOKUP(A43,INPUT_RANGE,77,FALSE)</f>
    </nc>
  </rcc>
  <rcc rId="2133" sId="5">
    <oc r="BD43">
      <f>VLOOKUP(A43,INPUT_RANGE,75,FALSE) &amp; "-" &amp; VLOOKUP(A43,INPUT_RANGE,76,FALSE)</f>
    </oc>
    <nc r="BD43">
      <f>VLOOKUP(A43,INPUT_RANGE,75,FALSE) &amp; "-" &amp; VLOOKUP(A43,INPUT_RANGE,76,FALSE)</f>
    </nc>
  </rcc>
  <rcc rId="2134" sId="5">
    <oc r="BE43">
      <f>AU43</f>
    </oc>
    <nc r="BE43">
      <f>AU43</f>
    </nc>
  </rcc>
  <rcc rId="2135" sId="5">
    <oc r="BF43">
      <f>AA43</f>
    </oc>
    <nc r="BF43">
      <f>AA43</f>
    </nc>
  </rcc>
  <rcc rId="2136" sId="5">
    <oc r="BG43">
      <f>VLOOKUP(A43,INPUT_RANGE,86,FALSE)</f>
    </oc>
    <nc r="BG43">
      <f>VLOOKUP(A43,INPUT_RANGE,86,FALSE)</f>
    </nc>
  </rcc>
  <rcc rId="2137" sId="5">
    <oc r="BH43">
      <f>VLOOKUP(A43,INPUT_RANGE,87,FALSE)</f>
    </oc>
    <nc r="BH43">
      <f>VLOOKUP(A43,INPUT_RANGE,87,FALSE)</f>
    </nc>
  </rcc>
  <rcc rId="2138" sId="5">
    <oc r="BI43">
      <f>VLOOKUP(A43,INPUT_RANGE,81,FALSE) &amp; " SAVES"</f>
    </oc>
    <nc r="BI43">
      <f>VLOOKUP(A43,INPUT_RANGE,81,FALSE) &amp; " SAVES"</f>
    </nc>
  </rcc>
  <rcc rId="2139" sId="5">
    <oc r="BJ43">
      <f>VLOOKUP(A43,INPUT_RANGE,81,FALSE)</f>
    </oc>
    <nc r="BJ43">
      <f>VLOOKUP(A43,INPUT_RANGE,81,FALSE)</f>
    </nc>
  </rcc>
  <rcc rId="2140" sId="5">
    <oc r="BK43">
      <f>VLOOKUP(A43,INPUT_RANGE,83,FALSE)</f>
    </oc>
    <nc r="BK43">
      <f>VLOOKUP(A43,INPUT_RANGE,83,FALSE)</f>
    </nc>
  </rcc>
  <rcc rId="2141" sId="5">
    <oc r="BL43">
      <f>VLOOKUP(A43,INPUT_RANGE,87,FALSE) &amp; "/" &amp; VLOOKUP(A43,INPUT_RANGE,86,FALSE)</f>
    </oc>
    <nc r="BL43">
      <f>VLOOKUP(A43,INPUT_RANGE,87,FALSE) &amp; "/" &amp; VLOOKUP(A43,INPUT_RANGE,86,FALSE)</f>
    </nc>
  </rcc>
  <rcc rId="2142" sId="5">
    <oc r="BM43">
      <f>ROUND((VLOOKUP(A43,INPUT_RANGE,86,FALSE)+VLOOKUP(A43,INPUT_RANGE,83,FALSE))/AS43,2)</f>
    </oc>
    <nc r="BM43">
      <f>ROUND((VLOOKUP(A43,INPUT_RANGE,86,FALSE)+VLOOKUP(A43,INPUT_RANGE,83,FALSE))/AS43,2)</f>
    </nc>
  </rcc>
  <rcc rId="2143" sId="5">
    <oc r="M44">
      <f xml:space="preserve"> TEXT(AW44,".000") &amp; " ba"</f>
    </oc>
    <nc r="M44">
      <f xml:space="preserve"> TEXT(AW44,".000") &amp; " BA"</f>
    </nc>
  </rcc>
  <rcc rId="2144" sId="5">
    <oc r="N44">
      <f>VLOOKUP(A44,INPUT_RANGE,58,FALSE) &amp; " rbi"</f>
    </oc>
    <nc r="N44">
      <f>VLOOKUP(A44,INPUT_RANGE,58,FALSE) &amp; " RBI"</f>
    </nc>
  </rcc>
  <rcc rId="2145" sId="5">
    <oc r="O44">
      <f>VLOOKUP(A44,INPUT_RANGE,60,FALSE) &amp; " bb"</f>
    </oc>
    <nc r="O44">
      <f>VLOOKUP(A44,INPUT_RANGE,60,FALSE) &amp; " BB"</f>
    </nc>
  </rcc>
  <rcc rId="2146" sId="5">
    <oc r="P44">
      <f>VLOOKUP(A44,INPUT_RANGE,61,FALSE) &amp; " k"</f>
    </oc>
    <nc r="P44">
      <f>VLOOKUP(A44,INPUT_RANGE,61,FALSE) &amp; " K"</f>
    </nc>
  </rcc>
  <rcc rId="2147" sId="5">
    <oc r="Q44">
      <f>VLOOKUP(A44,INPUT_RANGE,64,FALSE) &amp; " sb"</f>
    </oc>
    <nc r="Q44">
      <f>VLOOKUP(A44,INPUT_RANGE,64,FALSE) &amp; " SB"</f>
    </nc>
  </rcc>
  <rcc rId="2148" sId="5">
    <oc r="R44">
      <f>VLOOKUP(A44,INPUT_RANGE,55,FALSE) &amp; " 2b"</f>
    </oc>
    <nc r="R44">
      <f>VLOOKUP(A44,INPUT_RANGE,55,FALSE) &amp; " 2B"</f>
    </nc>
  </rcc>
  <rcc rId="2149" sId="5">
    <oc r="S44">
      <f>VLOOKUP(A44,INPUT_RANGE,56,FALSE) &amp; " 3b"</f>
    </oc>
    <nc r="S44">
      <f>VLOOKUP(A44,INPUT_RANGE,56,FALSE) &amp; " 3B"</f>
    </nc>
  </rcc>
  <rcc rId="2150" sId="5">
    <oc r="T44">
      <f>VLOOKUP(A44,INPUT_RANGE,57,FALSE) &amp; " hr"</f>
    </oc>
    <nc r="T44">
      <f>VLOOKUP(A44,INPUT_RANGE,57,FALSE) &amp; " HR"</f>
    </nc>
  </rcc>
  <rcc rId="2151" sId="5">
    <oc r="U44">
      <f>VLOOKUP(A44,INPUT_RANGE,53,FALSE) &amp; " r"</f>
    </oc>
    <nc r="U44">
      <f>VLOOKUP(A44,INPUT_RANGE,53,FALSE) &amp; " R"</f>
    </nc>
  </rcc>
  <rcc rId="2152" sId="5">
    <oc r="V44">
      <f>TEXT(AX44, ".000") &amp; " obp"</f>
    </oc>
    <nc r="V44">
      <f>TEXT(AX44, ".000") &amp; " OBP"</f>
    </nc>
  </rcc>
  <rcc rId="2153" sId="5">
    <oc r="X44">
      <f>VLOOKUP(A44,INPUT_RANGE,77,FALSE)&amp;" games"</f>
    </oc>
    <nc r="X44">
      <f>VLOOKUP(A44,INPUT_RANGE,77,FALSE)&amp;" games"</f>
    </nc>
  </rcc>
  <rcc rId="2154" sId="5">
    <oc r="Y44">
      <f>VLOOKUP(A44,INPUT_RANGE,78,FALSE) &amp; " starts"</f>
    </oc>
    <nc r="Y44">
      <f>VLOOKUP(A44,INPUT_RANGE,78,FALSE) &amp; " starts"</f>
    </nc>
  </rcc>
  <rcc rId="2155" sId="5">
    <oc r="Z44">
      <f>VLOOKUP(A44,INPUT_RANGE,82,FALSE) &amp; " ip"</f>
    </oc>
    <nc r="Z44">
      <f>VLOOKUP(A44,INPUT_RANGE,82,FALSE) &amp; " IP"</f>
    </nc>
  </rcc>
  <rcc rId="2156" sId="5">
    <oc r="AA44">
      <f>TRUNC(VLOOKUP(A44,INPUT_RANGE,82,FALSE)) &amp;  IF(AR44=0.333,"º",IF(AR44=0.666,"»",""))</f>
    </oc>
    <nc r="AA44">
      <f>TRUNC(VLOOKUP(A44,INPUT_RANGE,82,FALSE)) &amp;  IF(AR44=0.333,"º",IF(AR44=0.666,"»",""))</f>
    </nc>
  </rcc>
  <rcc rId="2157" sId="5">
    <oc r="AB44">
      <f>AA44&amp; " ip"</f>
    </oc>
    <nc r="AB44">
      <f>AA44&amp; " IP"</f>
    </nc>
  </rcc>
  <rcc rId="2158" sId="5">
    <oc r="AC44">
      <f>VLOOKUP(A44,INPUT_RANGE,79,FALSE) &amp; " cg"</f>
    </oc>
    <nc r="AC44">
      <f>VLOOKUP(A44,INPUT_RANGE,79,FALSE) &amp; " CG"</f>
    </nc>
  </rcc>
  <rcc rId="2159" sId="5">
    <oc r="AD44">
      <f>VLOOKUP(A44,INPUT_RANGE,80,FALSE) &amp; " sho"</f>
    </oc>
    <nc r="AD44">
      <f>VLOOKUP(A44,INPUT_RANGE,80,FALSE) &amp; " SHO"</f>
    </nc>
  </rcc>
  <rcc rId="2160" sId="5">
    <oc r="AE44">
      <f>VLOOKUP(A44,INPUT_RANGE,75,FALSE) &amp; " win"</f>
    </oc>
    <nc r="AE44">
      <f>VLOOKUP(A44,INPUT_RANGE,75,FALSE) &amp; " Win"</f>
    </nc>
  </rcc>
  <rcc rId="2161" sId="5">
    <oc r="AF44">
      <f>VLOOKUP(A44,INPUT_RANGE,76,FALSE) &amp; " loss"</f>
    </oc>
    <nc r="AF44">
      <f>VLOOKUP(A44,INPUT_RANGE,76,FALSE) &amp; " Loss"</f>
    </nc>
  </rcc>
  <rcc rId="2162" sId="5">
    <oc r="AG44">
      <f>VLOOKUP(A44,INPUT_RANGE,75,FALSE) &amp; "-" &amp; VLOOKUP(A44,INPUT_RANGE,76,FALSE) &amp; " w-l"</f>
    </oc>
    <nc r="AG44">
      <f>VLOOKUP(A44,INPUT_RANGE,75,FALSE) &amp; "-" &amp; VLOOKUP(A44,INPUT_RANGE,76,FALSE) &amp; " W-L"</f>
    </nc>
  </rcc>
  <rcc rId="2163" sId="5">
    <oc r="AH44">
      <f>VLOOKUP(A44,INPUT_RANGE,81,FALSE)&amp; " saves"</f>
    </oc>
    <nc r="AH44">
      <f>VLOOKUP(A44,INPUT_RANGE,81,FALSE)&amp; " Saves"</f>
    </nc>
  </rcc>
  <rcc rId="2164" sId="5">
    <oc r="AI44">
      <f>VLOOKUP(A44,INPUT_RANGE,83,FALSE) &amp; " h"</f>
    </oc>
    <nc r="AI44">
      <f>VLOOKUP(A44,INPUT_RANGE,83,FALSE) &amp; " H"</f>
    </nc>
  </rcc>
  <rcc rId="2165" sId="5">
    <oc r="AJ44">
      <f>VLOOKUP(A44,INPUT_RANGE,84,FALSE) &amp; " r"</f>
    </oc>
    <nc r="AJ44">
      <f>VLOOKUP(A44,INPUT_RANGE,84,FALSE) &amp; " R"</f>
    </nc>
  </rcc>
  <rcc rId="2166" sId="5">
    <oc r="AK44">
      <f>VLOOKUP(A44,INPUT_RANGE,85,FALSE) &amp;" er"</f>
    </oc>
    <nc r="AK44">
      <f>VLOOKUP(A44,INPUT_RANGE,85,FALSE) &amp;" ER"</f>
    </nc>
  </rcc>
  <rcc rId="2167" sId="5">
    <oc r="AL44">
      <f>VLOOKUP(A44,INPUT_RANGE,88,FALSE) &amp;" hr"</f>
    </oc>
    <nc r="AL44">
      <f>VLOOKUP(A44,INPUT_RANGE,88,FALSE) &amp;" HR"</f>
    </nc>
  </rcc>
  <rcc rId="2168" sId="5">
    <oc r="AM44">
      <f>VLOOKUP(A44,INPUT_RANGE,87,FALSE) &amp; " k"</f>
    </oc>
    <nc r="AM44">
      <f>VLOOKUP(A44,INPUT_RANGE,87,FALSE) &amp; " K"</f>
    </nc>
  </rcc>
  <rcc rId="2169" sId="5">
    <oc r="AN44">
      <f>VLOOKUP(A44,INPUT_RANGE,86,FALSE) &amp; " bb"</f>
    </oc>
    <nc r="AN44">
      <f>VLOOKUP(A44,INPUT_RANGE,86,FALSE) &amp; " BB"</f>
    </nc>
  </rcc>
  <rcc rId="2170" sId="5">
    <oc r="AO44">
      <f>TEXT(AU44,"0.00") &amp; " era"</f>
    </oc>
    <nc r="AO44">
      <f>TEXT(AU44,"0.00") &amp; " ERA"</f>
    </nc>
  </rcc>
  <rcc rId="2171" sId="5">
    <oc r="AP44">
      <f>TEXT(AT44,"0.00") &amp; " whip"</f>
    </oc>
    <nc r="AP44">
      <f>TEXT(AT44,"0.00") &amp; " WHIP"</f>
    </nc>
  </rcc>
  <rcc rId="2172" sId="5">
    <oc r="AQ44">
      <f xml:space="preserve"> IF(LEFT(RIGHT((VLOOKUP(A44,INPUT_RANGE,82,FALSE)),2),1)=".",RIGHT(VLOOKUP(A44,INPUT_RANGE,82,FALSE),1), "X")</f>
    </oc>
    <nc r="AQ44">
      <f xml:space="preserve"> IF(LEFT(RIGHT((VLOOKUP(A44,INPUT_RANGE,82,FALSE)),2),1)=".",RIGHT(VLOOKUP(A44,INPUT_RANGE,82,FALSE),1), "X")</f>
    </nc>
  </rcc>
  <rcc rId="2173" sId="5">
    <oc r="AR44">
      <f>IF(AQ44 ="1",0.333,IF(AQ44="2",0.666,0))</f>
    </oc>
    <nc r="AR44">
      <f>IF(AQ44 ="1",0.333,IF(AQ44="2",0.666,0))</f>
    </nc>
  </rcc>
  <rcc rId="2174" sId="5">
    <oc r="AS44">
      <f>VLOOKUP(A44,INPUT_RANGE,82,FALSE)-(AQ44*0.1)+AR44</f>
    </oc>
    <nc r="AS44">
      <f>VLOOKUP(A44,INPUT_RANGE,82,FALSE)-(AQ44*0.1)+AR44</f>
    </nc>
  </rcc>
  <rcc rId="2175" sId="5">
    <oc r="AT44">
      <f>ROUND((VLOOKUP(A44,INPUT_RANGE,86,FALSE)+VLOOKUP(A44,INPUT_RANGE,83,FALSE))/AS44,2)</f>
    </oc>
    <nc r="AT44">
      <f>ROUND((VLOOKUP(A44,INPUT_RANGE,86,FALSE)+VLOOKUP(A44,INPUT_RANGE,83,FALSE))/AS44,2)</f>
    </nc>
  </rcc>
  <rcc rId="2176" sId="5">
    <oc r="AU44">
      <f>ROUND((VLOOKUP(A44,INPUT_RANGE,85,FALSE)/AS44)*('Team Info'!$H$25),2)</f>
    </oc>
    <nc r="AU44">
      <f>ROUND((VLOOKUP(A44,INPUT_RANGE,85,FALSE)/AS44)*('D:\Data\Softball\[ESPN_BASEBALL_AWAY_OLD.xlsx]Team Info'!$H$25),2)</f>
    </nc>
  </rcc>
  <rcc rId="2177" sId="5">
    <oc r="AW44">
      <f>(VLOOKUP(A44,INPUT_RANGE,54,FALSE)/VLOOKUP(A44,INPUT_RANGE,52,FALSE))</f>
    </oc>
    <nc r="AW44">
      <f>(VLOOKUP(A44,INPUT_RANGE,54,FALSE)/VLOOKUP(A44,INPUT_RANGE,52,FALSE))</f>
    </nc>
  </rcc>
  <rcc rId="2178" sId="5">
    <oc r="AX44">
      <f>((VLOOKUP(A44,INPUT_RANGE,54,FALSE)+VLOOKUP(A44,INPUT_RANGE,60,FALSE)+VLOOKUP(A44,INPUT_RANGE,59,FALSE))/(VLOOKUP(A44,INPUT_RANGE,52,FALSE)+VLOOKUP(A44,INPUT_RANGE,60,FALSE)+VLOOKUP(A44,INPUT_RANGE,59,FALSE)+VLOOKUP(A44,INPUT_RANGE,63,FALSE)))</f>
    </oc>
    <nc r="AX44">
      <f>((VLOOKUP(A44,INPUT_RANGE,54,FALSE)+VLOOKUP(A44,INPUT_RANGE,60,FALSE)+VLOOKUP(A44,INPUT_RANGE,59,FALSE))/(VLOOKUP(A44,INPUT_RANGE,52,FALSE)+VLOOKUP(A44,INPUT_RANGE,60,FALSE)+VLOOKUP(A44,INPUT_RANGE,59,FALSE)+VLOOKUP(A44,INPUT_RANGE,63,FALSE)))</f>
    </nc>
  </rcc>
  <rcc rId="2179" sId="5">
    <oc r="AY44">
      <f>(VLOOKUP(A44,INPUT_RANGE,54)+VLOOKUP(A44,INPUT_RANGE,55)+(VLOOKUP(A44,INPUT_RANGE,56)*2)+(VLOOKUP(A44,INPUT_RANGE,57)*3))/(VLOOKUP(A44,INPUT_RANGE,52))</f>
    </oc>
    <nc r="AY44">
      <f>(VLOOKUP(A44,INPUT_RANGE,54)+VLOOKUP(A44,INPUT_RANGE,55)+(VLOOKUP(A44,INPUT_RANGE,56)*2)+(VLOOKUP(A44,INPUT_RANGE,57)*3))/(VLOOKUP(A44,INPUT_RANGE,52))</f>
    </nc>
  </rcc>
  <rcc rId="2180" sId="5">
    <oc r="AZ44">
      <f>AX44+AY44</f>
    </oc>
    <nc r="AZ44">
      <f>AX44+AY44</f>
    </nc>
  </rcc>
  <rcc rId="2181" sId="5">
    <oc r="BA44">
      <f xml:space="preserve"> TEXT(AZ44,".000") &amp; " ops"</f>
    </oc>
    <nc r="BA44">
      <f xml:space="preserve"> TEXT(AZ44,".000") &amp; " OPS"</f>
    </nc>
  </rcc>
  <rcc rId="2182" sId="5">
    <oc r="BB44">
      <f>VLOOKUP(A44,INPUT_RANGE,78,FALSE)</f>
    </oc>
    <nc r="BB44">
      <f>VLOOKUP(A44,INPUT_RANGE,78,FALSE)</f>
    </nc>
  </rcc>
  <rcc rId="2183" sId="5">
    <oc r="BC44">
      <f>VLOOKUP(A44,INPUT_RANGE,77,FALSE)</f>
    </oc>
    <nc r="BC44">
      <f>VLOOKUP(A44,INPUT_RANGE,77,FALSE)</f>
    </nc>
  </rcc>
  <rcc rId="2184" sId="5">
    <oc r="BD44">
      <f>VLOOKUP(A44,INPUT_RANGE,75,FALSE) &amp; "-" &amp; VLOOKUP(A44,INPUT_RANGE,76,FALSE)</f>
    </oc>
    <nc r="BD44">
      <f>VLOOKUP(A44,INPUT_RANGE,75,FALSE) &amp; "-" &amp; VLOOKUP(A44,INPUT_RANGE,76,FALSE)</f>
    </nc>
  </rcc>
  <rcc rId="2185" sId="5">
    <oc r="BE44">
      <f>AU44</f>
    </oc>
    <nc r="BE44">
      <f>AU44</f>
    </nc>
  </rcc>
  <rcc rId="2186" sId="5">
    <oc r="BF44">
      <f>AA44</f>
    </oc>
    <nc r="BF44">
      <f>AA44</f>
    </nc>
  </rcc>
  <rcc rId="2187" sId="5">
    <oc r="BG44">
      <f>VLOOKUP(A44,INPUT_RANGE,86,FALSE)</f>
    </oc>
    <nc r="BG44">
      <f>VLOOKUP(A44,INPUT_RANGE,86,FALSE)</f>
    </nc>
  </rcc>
  <rcc rId="2188" sId="5">
    <oc r="BH44">
      <f>VLOOKUP(A44,INPUT_RANGE,87,FALSE)</f>
    </oc>
    <nc r="BH44">
      <f>VLOOKUP(A44,INPUT_RANGE,87,FALSE)</f>
    </nc>
  </rcc>
  <rcc rId="2189" sId="5">
    <oc r="BI44">
      <f>VLOOKUP(A44,INPUT_RANGE,81,FALSE) &amp; " SAVES"</f>
    </oc>
    <nc r="BI44">
      <f>VLOOKUP(A44,INPUT_RANGE,81,FALSE) &amp; " SAVES"</f>
    </nc>
  </rcc>
  <rcc rId="2190" sId="5">
    <oc r="BJ44">
      <f>VLOOKUP(A44,INPUT_RANGE,81,FALSE)</f>
    </oc>
    <nc r="BJ44">
      <f>VLOOKUP(A44,INPUT_RANGE,81,FALSE)</f>
    </nc>
  </rcc>
  <rcc rId="2191" sId="5">
    <oc r="BK44">
      <f>VLOOKUP(A44,INPUT_RANGE,83,FALSE)</f>
    </oc>
    <nc r="BK44">
      <f>VLOOKUP(A44,INPUT_RANGE,83,FALSE)</f>
    </nc>
  </rcc>
  <rcc rId="2192" sId="5">
    <oc r="BL44">
      <f>VLOOKUP(A44,INPUT_RANGE,87,FALSE) &amp; "/" &amp; VLOOKUP(A44,INPUT_RANGE,86,FALSE)</f>
    </oc>
    <nc r="BL44">
      <f>VLOOKUP(A44,INPUT_RANGE,87,FALSE) &amp; "/" &amp; VLOOKUP(A44,INPUT_RANGE,86,FALSE)</f>
    </nc>
  </rcc>
  <rcc rId="2193" sId="5">
    <oc r="BM44">
      <f>ROUND((VLOOKUP(A44,INPUT_RANGE,86,FALSE)+VLOOKUP(A44,INPUT_RANGE,83,FALSE))/AS44,2)</f>
    </oc>
    <nc r="BM44">
      <f>ROUND((VLOOKUP(A44,INPUT_RANGE,86,FALSE)+VLOOKUP(A44,INPUT_RANGE,83,FALSE))/AS44,2)</f>
    </nc>
  </rcc>
  <rcc rId="2194" sId="5">
    <oc r="M45">
      <f xml:space="preserve"> TEXT(AW45,".000") &amp; " ba"</f>
    </oc>
    <nc r="M45">
      <f xml:space="preserve"> TEXT(AW45,".000") &amp; " BA"</f>
    </nc>
  </rcc>
  <rcc rId="2195" sId="5">
    <oc r="N45">
      <f>VLOOKUP(A45,INPUT_RANGE,58,FALSE) &amp; " rbi"</f>
    </oc>
    <nc r="N45">
      <f>VLOOKUP(A45,INPUT_RANGE,58,FALSE) &amp; " RBI"</f>
    </nc>
  </rcc>
  <rcc rId="2196" sId="5">
    <oc r="O45">
      <f>VLOOKUP(A45,INPUT_RANGE,60,FALSE) &amp; " bb"</f>
    </oc>
    <nc r="O45">
      <f>VLOOKUP(A45,INPUT_RANGE,60,FALSE) &amp; " BB"</f>
    </nc>
  </rcc>
  <rcc rId="2197" sId="5">
    <oc r="P45">
      <f>VLOOKUP(A45,INPUT_RANGE,61,FALSE) &amp; " k"</f>
    </oc>
    <nc r="P45">
      <f>VLOOKUP(A45,INPUT_RANGE,61,FALSE) &amp; " K"</f>
    </nc>
  </rcc>
  <rcc rId="2198" sId="5">
    <oc r="Q45">
      <f>VLOOKUP(A45,INPUT_RANGE,64,FALSE) &amp; " sb"</f>
    </oc>
    <nc r="Q45">
      <f>VLOOKUP(A45,INPUT_RANGE,64,FALSE) &amp; " SB"</f>
    </nc>
  </rcc>
  <rcc rId="2199" sId="5">
    <oc r="R45">
      <f>VLOOKUP(A45,INPUT_RANGE,55,FALSE) &amp; " 2b"</f>
    </oc>
    <nc r="R45">
      <f>VLOOKUP(A45,INPUT_RANGE,55,FALSE) &amp; " 2B"</f>
    </nc>
  </rcc>
  <rcc rId="2200" sId="5">
    <oc r="S45">
      <f>VLOOKUP(A45,INPUT_RANGE,56,FALSE) &amp; " 3b"</f>
    </oc>
    <nc r="S45">
      <f>VLOOKUP(A45,INPUT_RANGE,56,FALSE) &amp; " 3B"</f>
    </nc>
  </rcc>
  <rcc rId="2201" sId="5">
    <oc r="T45">
      <f>VLOOKUP(A45,INPUT_RANGE,57,FALSE) &amp; " hr"</f>
    </oc>
    <nc r="T45">
      <f>VLOOKUP(A45,INPUT_RANGE,57,FALSE) &amp; " HR"</f>
    </nc>
  </rcc>
  <rcc rId="2202" sId="5">
    <oc r="U45">
      <f>VLOOKUP(A45,INPUT_RANGE,53,FALSE) &amp; " r"</f>
    </oc>
    <nc r="U45">
      <f>VLOOKUP(A45,INPUT_RANGE,53,FALSE) &amp; " R"</f>
    </nc>
  </rcc>
  <rcc rId="2203" sId="5">
    <oc r="V45">
      <f>TEXT(AX45, ".000") &amp; " obp"</f>
    </oc>
    <nc r="V45">
      <f>TEXT(AX45, ".000") &amp; " OBP"</f>
    </nc>
  </rcc>
  <rcc rId="2204" sId="5">
    <oc r="X45">
      <f>VLOOKUP(A45,INPUT_RANGE,77,FALSE)&amp;" games"</f>
    </oc>
    <nc r="X45">
      <f>VLOOKUP(A45,INPUT_RANGE,77,FALSE)&amp;" games"</f>
    </nc>
  </rcc>
  <rcc rId="2205" sId="5">
    <oc r="Y45">
      <f>VLOOKUP(A45,INPUT_RANGE,78,FALSE) &amp; " starts"</f>
    </oc>
    <nc r="Y45">
      <f>VLOOKUP(A45,INPUT_RANGE,78,FALSE) &amp; " starts"</f>
    </nc>
  </rcc>
  <rcc rId="2206" sId="5">
    <oc r="Z45">
      <f>VLOOKUP(A45,INPUT_RANGE,82,FALSE) &amp; " ip"</f>
    </oc>
    <nc r="Z45">
      <f>VLOOKUP(A45,INPUT_RANGE,82,FALSE) &amp; " IP"</f>
    </nc>
  </rcc>
  <rcc rId="2207" sId="5">
    <oc r="AA45">
      <f>TRUNC(VLOOKUP(A45,INPUT_RANGE,82,FALSE)) &amp;  IF(AR45=0.333,"º",IF(AR45=0.666,"»",""))</f>
    </oc>
    <nc r="AA45">
      <f>TRUNC(VLOOKUP(A45,INPUT_RANGE,82,FALSE)) &amp;  IF(AR45=0.333,"º",IF(AR45=0.666,"»",""))</f>
    </nc>
  </rcc>
  <rcc rId="2208" sId="5">
    <oc r="AB45">
      <f>AA45&amp; " ip"</f>
    </oc>
    <nc r="AB45">
      <f>AA45&amp; " IP"</f>
    </nc>
  </rcc>
  <rcc rId="2209" sId="5">
    <oc r="AC45">
      <f>VLOOKUP(A45,INPUT_RANGE,79,FALSE) &amp; " cg"</f>
    </oc>
    <nc r="AC45">
      <f>VLOOKUP(A45,INPUT_RANGE,79,FALSE) &amp; " CG"</f>
    </nc>
  </rcc>
  <rcc rId="2210" sId="5">
    <oc r="AD45">
      <f>VLOOKUP(A45,INPUT_RANGE,80,FALSE) &amp; " sho"</f>
    </oc>
    <nc r="AD45">
      <f>VLOOKUP(A45,INPUT_RANGE,80,FALSE) &amp; " SHO"</f>
    </nc>
  </rcc>
  <rcc rId="2211" sId="5">
    <oc r="AE45">
      <f>VLOOKUP(A45,INPUT_RANGE,75,FALSE) &amp; " win"</f>
    </oc>
    <nc r="AE45">
      <f>VLOOKUP(A45,INPUT_RANGE,75,FALSE) &amp; " Win"</f>
    </nc>
  </rcc>
  <rcc rId="2212" sId="5">
    <oc r="AF45">
      <f>VLOOKUP(A45,INPUT_RANGE,76,FALSE) &amp; " loss"</f>
    </oc>
    <nc r="AF45">
      <f>VLOOKUP(A45,INPUT_RANGE,76,FALSE) &amp; " Loss"</f>
    </nc>
  </rcc>
  <rcc rId="2213" sId="5">
    <oc r="AG45">
      <f>VLOOKUP(A45,INPUT_RANGE,75,FALSE) &amp; "-" &amp; VLOOKUP(A45,INPUT_RANGE,76,FALSE) &amp; " w-l"</f>
    </oc>
    <nc r="AG45">
      <f>VLOOKUP(A45,INPUT_RANGE,75,FALSE) &amp; "-" &amp; VLOOKUP(A45,INPUT_RANGE,76,FALSE) &amp; " W-L"</f>
    </nc>
  </rcc>
  <rcc rId="2214" sId="5">
    <oc r="AH45">
      <f>VLOOKUP(A45,INPUT_RANGE,81,FALSE)&amp; " saves"</f>
    </oc>
    <nc r="AH45">
      <f>VLOOKUP(A45,INPUT_RANGE,81,FALSE)&amp; " Saves"</f>
    </nc>
  </rcc>
  <rcc rId="2215" sId="5">
    <oc r="AI45">
      <f>VLOOKUP(A45,INPUT_RANGE,83,FALSE) &amp; " h"</f>
    </oc>
    <nc r="AI45">
      <f>VLOOKUP(A45,INPUT_RANGE,83,FALSE) &amp; " H"</f>
    </nc>
  </rcc>
  <rcc rId="2216" sId="5">
    <oc r="AJ45">
      <f>VLOOKUP(A45,INPUT_RANGE,84,FALSE) &amp; " r"</f>
    </oc>
    <nc r="AJ45">
      <f>VLOOKUP(A45,INPUT_RANGE,84,FALSE) &amp; " R"</f>
    </nc>
  </rcc>
  <rcc rId="2217" sId="5">
    <oc r="AK45">
      <f>VLOOKUP(A45,INPUT_RANGE,85,FALSE) &amp;" er"</f>
    </oc>
    <nc r="AK45">
      <f>VLOOKUP(A45,INPUT_RANGE,85,FALSE) &amp;" ER"</f>
    </nc>
  </rcc>
  <rcc rId="2218" sId="5">
    <oc r="AL45">
      <f>VLOOKUP(A45,INPUT_RANGE,88,FALSE) &amp;" hr"</f>
    </oc>
    <nc r="AL45">
      <f>VLOOKUP(A45,INPUT_RANGE,88,FALSE) &amp;" HR"</f>
    </nc>
  </rcc>
  <rcc rId="2219" sId="5">
    <oc r="AM45">
      <f>VLOOKUP(A45,INPUT_RANGE,87,FALSE) &amp; " k"</f>
    </oc>
    <nc r="AM45">
      <f>VLOOKUP(A45,INPUT_RANGE,87,FALSE) &amp; " K"</f>
    </nc>
  </rcc>
  <rcc rId="2220" sId="5">
    <oc r="AN45">
      <f>VLOOKUP(A45,INPUT_RANGE,86,FALSE) &amp; " bb"</f>
    </oc>
    <nc r="AN45">
      <f>VLOOKUP(A45,INPUT_RANGE,86,FALSE) &amp; " BB"</f>
    </nc>
  </rcc>
  <rcc rId="2221" sId="5">
    <oc r="AO45">
      <f>TEXT(AU45,"0.00") &amp; " era"</f>
    </oc>
    <nc r="AO45">
      <f>TEXT(AU45,"0.00") &amp; " ERA"</f>
    </nc>
  </rcc>
  <rcc rId="2222" sId="5">
    <oc r="AP45">
      <f>TEXT(AT45,"0.00") &amp; " whip"</f>
    </oc>
    <nc r="AP45">
      <f>TEXT(AT45,"0.00") &amp; " WHIP"</f>
    </nc>
  </rcc>
  <rcc rId="2223" sId="5">
    <oc r="AQ45">
      <f xml:space="preserve"> IF(LEFT(RIGHT((VLOOKUP(A45,INPUT_RANGE,82,FALSE)),2),1)=".",RIGHT(VLOOKUP(A45,INPUT_RANGE,82,FALSE),1), "X")</f>
    </oc>
    <nc r="AQ45">
      <f xml:space="preserve"> IF(LEFT(RIGHT((VLOOKUP(A45,INPUT_RANGE,82,FALSE)),2),1)=".",RIGHT(VLOOKUP(A45,INPUT_RANGE,82,FALSE),1), "X")</f>
    </nc>
  </rcc>
  <rcc rId="2224" sId="5">
    <oc r="AR45">
      <f>IF(AQ45 ="1",0.333,IF(AQ45="2",0.666,0))</f>
    </oc>
    <nc r="AR45">
      <f>IF(AQ45 ="1",0.333,IF(AQ45="2",0.666,0))</f>
    </nc>
  </rcc>
  <rcc rId="2225" sId="5">
    <oc r="AS45">
      <f>VLOOKUP(A45,INPUT_RANGE,82,FALSE)-(AQ45*0.1)+AR45</f>
    </oc>
    <nc r="AS45">
      <f>VLOOKUP(A45,INPUT_RANGE,82,FALSE)-(AQ45*0.1)+AR45</f>
    </nc>
  </rcc>
  <rcc rId="2226" sId="5">
    <oc r="AT45">
      <f>ROUND((VLOOKUP(A45,INPUT_RANGE,86,FALSE)+VLOOKUP(A45,INPUT_RANGE,83,FALSE))/AS45,2)</f>
    </oc>
    <nc r="AT45">
      <f>ROUND((VLOOKUP(A45,INPUT_RANGE,86,FALSE)+VLOOKUP(A45,INPUT_RANGE,83,FALSE))/AS45,2)</f>
    </nc>
  </rcc>
  <rcc rId="2227" sId="5">
    <oc r="AU45">
      <f>ROUND((VLOOKUP(A45,INPUT_RANGE,85,FALSE)/AS45)*('Team Info'!$H$25),2)</f>
    </oc>
    <nc r="AU45">
      <f>ROUND((VLOOKUP(A45,INPUT_RANGE,85,FALSE)/AS45)*('D:\Data\Softball\[ESPN_BASEBALL_AWAY_OLD.xlsx]Team Info'!$H$25),2)</f>
    </nc>
  </rcc>
  <rcc rId="2228" sId="5">
    <oc r="AW45">
      <f>(VLOOKUP(A45,INPUT_RANGE,54,FALSE)/VLOOKUP(A45,INPUT_RANGE,52,FALSE))</f>
    </oc>
    <nc r="AW45">
      <f>(VLOOKUP(A45,INPUT_RANGE,54,FALSE)/VLOOKUP(A45,INPUT_RANGE,52,FALSE))</f>
    </nc>
  </rcc>
  <rcc rId="2229" sId="5">
    <oc r="AX45">
      <f>((VLOOKUP(A45,INPUT_RANGE,54,FALSE)+VLOOKUP(A45,INPUT_RANGE,60,FALSE)+VLOOKUP(A45,INPUT_RANGE,59,FALSE))/(VLOOKUP(A45,INPUT_RANGE,52,FALSE)+VLOOKUP(A45,INPUT_RANGE,60,FALSE)+VLOOKUP(A45,INPUT_RANGE,59,FALSE)+VLOOKUP(A45,INPUT_RANGE,63,FALSE)))</f>
    </oc>
    <nc r="AX45">
      <f>((VLOOKUP(A45,INPUT_RANGE,54,FALSE)+VLOOKUP(A45,INPUT_RANGE,60,FALSE)+VLOOKUP(A45,INPUT_RANGE,59,FALSE))/(VLOOKUP(A45,INPUT_RANGE,52,FALSE)+VLOOKUP(A45,INPUT_RANGE,60,FALSE)+VLOOKUP(A45,INPUT_RANGE,59,FALSE)+VLOOKUP(A45,INPUT_RANGE,63,FALSE)))</f>
    </nc>
  </rcc>
  <rcc rId="2230" sId="5">
    <oc r="AY45">
      <f>(VLOOKUP(A45,INPUT_RANGE,54)+VLOOKUP(A45,INPUT_RANGE,55)+(VLOOKUP(A45,INPUT_RANGE,56)*2)+(VLOOKUP(A45,INPUT_RANGE,57)*3))/(VLOOKUP(A45,INPUT_RANGE,52))</f>
    </oc>
    <nc r="AY45">
      <f>(VLOOKUP(A45,INPUT_RANGE,54)+VLOOKUP(A45,INPUT_RANGE,55)+(VLOOKUP(A45,INPUT_RANGE,56)*2)+(VLOOKUP(A45,INPUT_RANGE,57)*3))/(VLOOKUP(A45,INPUT_RANGE,52))</f>
    </nc>
  </rcc>
  <rcc rId="2231" sId="5">
    <oc r="AZ45">
      <f>AX45+AY45</f>
    </oc>
    <nc r="AZ45">
      <f>AX45+AY45</f>
    </nc>
  </rcc>
  <rcc rId="2232" sId="5">
    <oc r="BA45">
      <f xml:space="preserve"> TEXT(AZ45,".000") &amp; " ops"</f>
    </oc>
    <nc r="BA45">
      <f xml:space="preserve"> TEXT(AZ45,".000") &amp; " OPS"</f>
    </nc>
  </rcc>
  <rcc rId="2233" sId="5">
    <oc r="BB45">
      <f>VLOOKUP(A45,INPUT_RANGE,78,FALSE)</f>
    </oc>
    <nc r="BB45">
      <f>VLOOKUP(A45,INPUT_RANGE,78,FALSE)</f>
    </nc>
  </rcc>
  <rcc rId="2234" sId="5">
    <oc r="BC45">
      <f>VLOOKUP(A45,INPUT_RANGE,77,FALSE)</f>
    </oc>
    <nc r="BC45">
      <f>VLOOKUP(A45,INPUT_RANGE,77,FALSE)</f>
    </nc>
  </rcc>
  <rcc rId="2235" sId="5">
    <oc r="BD45">
      <f>VLOOKUP(A45,INPUT_RANGE,75,FALSE) &amp; "-" &amp; VLOOKUP(A45,INPUT_RANGE,76,FALSE)</f>
    </oc>
    <nc r="BD45">
      <f>VLOOKUP(A45,INPUT_RANGE,75,FALSE) &amp; "-" &amp; VLOOKUP(A45,INPUT_RANGE,76,FALSE)</f>
    </nc>
  </rcc>
  <rcc rId="2236" sId="5">
    <oc r="BE45">
      <f>AU45</f>
    </oc>
    <nc r="BE45">
      <f>AU45</f>
    </nc>
  </rcc>
  <rcc rId="2237" sId="5">
    <oc r="BF45">
      <f>AA45</f>
    </oc>
    <nc r="BF45">
      <f>AA45</f>
    </nc>
  </rcc>
  <rcc rId="2238" sId="5">
    <oc r="BG45">
      <f>VLOOKUP(A45,INPUT_RANGE,86,FALSE)</f>
    </oc>
    <nc r="BG45">
      <f>VLOOKUP(A45,INPUT_RANGE,86,FALSE)</f>
    </nc>
  </rcc>
  <rcc rId="2239" sId="5">
    <oc r="BH45">
      <f>VLOOKUP(A45,INPUT_RANGE,87,FALSE)</f>
    </oc>
    <nc r="BH45">
      <f>VLOOKUP(A45,INPUT_RANGE,87,FALSE)</f>
    </nc>
  </rcc>
  <rcc rId="2240" sId="5">
    <oc r="BI45">
      <f>VLOOKUP(A45,INPUT_RANGE,81,FALSE) &amp; " SAVES"</f>
    </oc>
    <nc r="BI45">
      <f>VLOOKUP(A45,INPUT_RANGE,81,FALSE) &amp; " SAVES"</f>
    </nc>
  </rcc>
  <rcc rId="2241" sId="5">
    <oc r="BJ45">
      <f>VLOOKUP(A45,INPUT_RANGE,81,FALSE)</f>
    </oc>
    <nc r="BJ45">
      <f>VLOOKUP(A45,INPUT_RANGE,81,FALSE)</f>
    </nc>
  </rcc>
  <rcc rId="2242" sId="5">
    <oc r="BK45">
      <f>VLOOKUP(A45,INPUT_RANGE,83,FALSE)</f>
    </oc>
    <nc r="BK45">
      <f>VLOOKUP(A45,INPUT_RANGE,83,FALSE)</f>
    </nc>
  </rcc>
  <rcc rId="2243" sId="5">
    <oc r="BL45">
      <f>VLOOKUP(A45,INPUT_RANGE,87,FALSE) &amp; "/" &amp; VLOOKUP(A45,INPUT_RANGE,86,FALSE)</f>
    </oc>
    <nc r="BL45">
      <f>VLOOKUP(A45,INPUT_RANGE,87,FALSE) &amp; "/" &amp; VLOOKUP(A45,INPUT_RANGE,86,FALSE)</f>
    </nc>
  </rcc>
  <rcc rId="2244" sId="5">
    <oc r="BM45">
      <f>ROUND((VLOOKUP(A45,INPUT_RANGE,86,FALSE)+VLOOKUP(A45,INPUT_RANGE,83,FALSE))/AS45,2)</f>
    </oc>
    <nc r="BM45">
      <f>ROUND((VLOOKUP(A45,INPUT_RANGE,86,FALSE)+VLOOKUP(A45,INPUT_RANGE,83,FALSE))/AS45,2)</f>
    </nc>
  </rcc>
  <rcc rId="2245" sId="5">
    <oc r="M46">
      <f xml:space="preserve"> TEXT(AW46,".000") &amp; " ba"</f>
    </oc>
    <nc r="M46">
      <f xml:space="preserve"> TEXT(AW46,".000") &amp; " BA"</f>
    </nc>
  </rcc>
  <rcc rId="2246" sId="5">
    <oc r="N46">
      <f>VLOOKUP(A46,INPUT_RANGE,58,FALSE) &amp; " rbi"</f>
    </oc>
    <nc r="N46">
      <f>VLOOKUP(A46,INPUT_RANGE,58,FALSE) &amp; " RBI"</f>
    </nc>
  </rcc>
  <rcc rId="2247" sId="5">
    <oc r="O46">
      <f>VLOOKUP(A46,INPUT_RANGE,60,FALSE) &amp; " bb"</f>
    </oc>
    <nc r="O46">
      <f>VLOOKUP(A46,INPUT_RANGE,60,FALSE) &amp; " BB"</f>
    </nc>
  </rcc>
  <rcc rId="2248" sId="5">
    <oc r="P46">
      <f>VLOOKUP(A46,INPUT_RANGE,61,FALSE) &amp; " k"</f>
    </oc>
    <nc r="P46">
      <f>VLOOKUP(A46,INPUT_RANGE,61,FALSE) &amp; " K"</f>
    </nc>
  </rcc>
  <rcc rId="2249" sId="5">
    <oc r="Q46">
      <f>VLOOKUP(A46,INPUT_RANGE,64,FALSE) &amp; " sb"</f>
    </oc>
    <nc r="Q46">
      <f>VLOOKUP(A46,INPUT_RANGE,64,FALSE) &amp; " SB"</f>
    </nc>
  </rcc>
  <rcc rId="2250" sId="5">
    <oc r="R46">
      <f>VLOOKUP(A46,INPUT_RANGE,55,FALSE) &amp; " 2b"</f>
    </oc>
    <nc r="R46">
      <f>VLOOKUP(A46,INPUT_RANGE,55,FALSE) &amp; " 2B"</f>
    </nc>
  </rcc>
  <rcc rId="2251" sId="5">
    <oc r="S46">
      <f>VLOOKUP(A46,INPUT_RANGE,56,FALSE) &amp; " 3b"</f>
    </oc>
    <nc r="S46">
      <f>VLOOKUP(A46,INPUT_RANGE,56,FALSE) &amp; " 3B"</f>
    </nc>
  </rcc>
  <rcc rId="2252" sId="5">
    <oc r="T46">
      <f>VLOOKUP(A46,INPUT_RANGE,57,FALSE) &amp; " hr"</f>
    </oc>
    <nc r="T46">
      <f>VLOOKUP(A46,INPUT_RANGE,57,FALSE) &amp; " HR"</f>
    </nc>
  </rcc>
  <rcc rId="2253" sId="5">
    <oc r="U46">
      <f>VLOOKUP(A46,INPUT_RANGE,53,FALSE) &amp; " r"</f>
    </oc>
    <nc r="U46">
      <f>VLOOKUP(A46,INPUT_RANGE,53,FALSE) &amp; " R"</f>
    </nc>
  </rcc>
  <rcc rId="2254" sId="5">
    <oc r="V46">
      <f>TEXT(AX46, ".000") &amp; " obp"</f>
    </oc>
    <nc r="V46">
      <f>TEXT(AX46, ".000") &amp; " OBP"</f>
    </nc>
  </rcc>
  <rcc rId="2255" sId="5">
    <oc r="X46">
      <f>VLOOKUP(A46,INPUT_RANGE,77,FALSE)&amp;" games"</f>
    </oc>
    <nc r="X46">
      <f>VLOOKUP(A46,INPUT_RANGE,77,FALSE)&amp;" games"</f>
    </nc>
  </rcc>
  <rcc rId="2256" sId="5">
    <oc r="Y46">
      <f>VLOOKUP(A46,INPUT_RANGE,78,FALSE) &amp; " starts"</f>
    </oc>
    <nc r="Y46">
      <f>VLOOKUP(A46,INPUT_RANGE,78,FALSE) &amp; " starts"</f>
    </nc>
  </rcc>
  <rcc rId="2257" sId="5">
    <oc r="Z46">
      <f>VLOOKUP(A46,INPUT_RANGE,82,FALSE) &amp; " ip"</f>
    </oc>
    <nc r="Z46">
      <f>VLOOKUP(A46,INPUT_RANGE,82,FALSE) &amp; " IP"</f>
    </nc>
  </rcc>
  <rcc rId="2258" sId="5">
    <oc r="AA46">
      <f>TRUNC(VLOOKUP(A46,INPUT_RANGE,82,FALSE)) &amp;  IF(AR46=0.333,"º",IF(AR46=0.666,"»",""))</f>
    </oc>
    <nc r="AA46">
      <f>TRUNC(VLOOKUP(A46,INPUT_RANGE,82,FALSE)) &amp;  IF(AR46=0.333,"º",IF(AR46=0.666,"»",""))</f>
    </nc>
  </rcc>
  <rcc rId="2259" sId="5">
    <oc r="AB46">
      <f>AA46&amp; " ip"</f>
    </oc>
    <nc r="AB46">
      <f>AA46&amp; " IP"</f>
    </nc>
  </rcc>
  <rcc rId="2260" sId="5">
    <oc r="AC46">
      <f>VLOOKUP(A46,INPUT_RANGE,79,FALSE) &amp; " cg"</f>
    </oc>
    <nc r="AC46">
      <f>VLOOKUP(A46,INPUT_RANGE,79,FALSE) &amp; " CG"</f>
    </nc>
  </rcc>
  <rcc rId="2261" sId="5">
    <oc r="AD46">
      <f>VLOOKUP(A46,INPUT_RANGE,80,FALSE) &amp; " sho"</f>
    </oc>
    <nc r="AD46">
      <f>VLOOKUP(A46,INPUT_RANGE,80,FALSE) &amp; " SHO"</f>
    </nc>
  </rcc>
  <rcc rId="2262" sId="5">
    <oc r="AE46">
      <f>VLOOKUP(A46,INPUT_RANGE,75,FALSE) &amp; " win"</f>
    </oc>
    <nc r="AE46">
      <f>VLOOKUP(A46,INPUT_RANGE,75,FALSE) &amp; " Win"</f>
    </nc>
  </rcc>
  <rcc rId="2263" sId="5">
    <oc r="AF46">
      <f>VLOOKUP(A46,INPUT_RANGE,76,FALSE) &amp; " loss"</f>
    </oc>
    <nc r="AF46">
      <f>VLOOKUP(A46,INPUT_RANGE,76,FALSE) &amp; " Loss"</f>
    </nc>
  </rcc>
  <rcc rId="2264" sId="5">
    <oc r="AG46">
      <f>VLOOKUP(A46,INPUT_RANGE,75,FALSE) &amp; "-" &amp; VLOOKUP(A46,INPUT_RANGE,76,FALSE) &amp; " w-l"</f>
    </oc>
    <nc r="AG46">
      <f>VLOOKUP(A46,INPUT_RANGE,75,FALSE) &amp; "-" &amp; VLOOKUP(A46,INPUT_RANGE,76,FALSE) &amp; " W-L"</f>
    </nc>
  </rcc>
  <rcc rId="2265" sId="5">
    <oc r="AH46">
      <f>VLOOKUP(A46,INPUT_RANGE,81,FALSE)&amp; " saves"</f>
    </oc>
    <nc r="AH46">
      <f>VLOOKUP(A46,INPUT_RANGE,81,FALSE)&amp; " Saves"</f>
    </nc>
  </rcc>
  <rcc rId="2266" sId="5">
    <oc r="AI46">
      <f>VLOOKUP(A46,INPUT_RANGE,83,FALSE) &amp; " h"</f>
    </oc>
    <nc r="AI46">
      <f>VLOOKUP(A46,INPUT_RANGE,83,FALSE) &amp; " H"</f>
    </nc>
  </rcc>
  <rcc rId="2267" sId="5">
    <oc r="AJ46">
      <f>VLOOKUP(A46,INPUT_RANGE,84,FALSE) &amp; " r"</f>
    </oc>
    <nc r="AJ46">
      <f>VLOOKUP(A46,INPUT_RANGE,84,FALSE) &amp; " R"</f>
    </nc>
  </rcc>
  <rcc rId="2268" sId="5">
    <oc r="AK46">
      <f>VLOOKUP(A46,INPUT_RANGE,85,FALSE) &amp;" er"</f>
    </oc>
    <nc r="AK46">
      <f>VLOOKUP(A46,INPUT_RANGE,85,FALSE) &amp;" ER"</f>
    </nc>
  </rcc>
  <rcc rId="2269" sId="5">
    <oc r="AL46">
      <f>VLOOKUP(A46,INPUT_RANGE,88,FALSE) &amp;" hr"</f>
    </oc>
    <nc r="AL46">
      <f>VLOOKUP(A46,INPUT_RANGE,88,FALSE) &amp;" HR"</f>
    </nc>
  </rcc>
  <rcc rId="2270" sId="5">
    <oc r="AM46">
      <f>VLOOKUP(A46,INPUT_RANGE,87,FALSE) &amp; " k"</f>
    </oc>
    <nc r="AM46">
      <f>VLOOKUP(A46,INPUT_RANGE,87,FALSE) &amp; " K"</f>
    </nc>
  </rcc>
  <rcc rId="2271" sId="5">
    <oc r="AN46">
      <f>VLOOKUP(A46,INPUT_RANGE,86,FALSE) &amp; " bb"</f>
    </oc>
    <nc r="AN46">
      <f>VLOOKUP(A46,INPUT_RANGE,86,FALSE) &amp; " BB"</f>
    </nc>
  </rcc>
  <rcc rId="2272" sId="5">
    <oc r="AO46">
      <f>TEXT(AU46,"0.00") &amp; " era"</f>
    </oc>
    <nc r="AO46">
      <f>TEXT(AU46,"0.00") &amp; " ERA"</f>
    </nc>
  </rcc>
  <rcc rId="2273" sId="5">
    <oc r="AP46">
      <f>TEXT(AT46,"0.00") &amp; " whip"</f>
    </oc>
    <nc r="AP46">
      <f>TEXT(AT46,"0.00") &amp; " WHIP"</f>
    </nc>
  </rcc>
  <rcc rId="2274" sId="5">
    <oc r="AQ46">
      <f xml:space="preserve"> IF(LEFT(RIGHT((VLOOKUP(A46,INPUT_RANGE,82,FALSE)),2),1)=".",RIGHT(VLOOKUP(A46,INPUT_RANGE,82,FALSE),1), "X")</f>
    </oc>
    <nc r="AQ46">
      <f xml:space="preserve"> IF(LEFT(RIGHT((VLOOKUP(A46,INPUT_RANGE,82,FALSE)),2),1)=".",RIGHT(VLOOKUP(A46,INPUT_RANGE,82,FALSE),1), "X")</f>
    </nc>
  </rcc>
  <rcc rId="2275" sId="5">
    <oc r="AR46">
      <f>IF(AQ46 ="1",0.333,IF(AQ46="2",0.666,0))</f>
    </oc>
    <nc r="AR46">
      <f>IF(AQ46 ="1",0.333,IF(AQ46="2",0.666,0))</f>
    </nc>
  </rcc>
  <rcc rId="2276" sId="5">
    <oc r="AS46">
      <f>VLOOKUP(A46,INPUT_RANGE,82,FALSE)-(AQ46*0.1)+AR46</f>
    </oc>
    <nc r="AS46">
      <f>VLOOKUP(A46,INPUT_RANGE,82,FALSE)-(AQ46*0.1)+AR46</f>
    </nc>
  </rcc>
  <rcc rId="2277" sId="5">
    <oc r="AT46">
      <f>ROUND((VLOOKUP(A46,INPUT_RANGE,86,FALSE)+VLOOKUP(A46,INPUT_RANGE,83,FALSE))/AS46,2)</f>
    </oc>
    <nc r="AT46">
      <f>ROUND((VLOOKUP(A46,INPUT_RANGE,86,FALSE)+VLOOKUP(A46,INPUT_RANGE,83,FALSE))/AS46,2)</f>
    </nc>
  </rcc>
  <rcc rId="2278" sId="5">
    <oc r="AU46">
      <f>ROUND((VLOOKUP(A46,INPUT_RANGE,85,FALSE)/AS46)*('Team Info'!$H$25),2)</f>
    </oc>
    <nc r="AU46">
      <f>ROUND((VLOOKUP(A46,INPUT_RANGE,85,FALSE)/AS46)*('D:\Data\Softball\[ESPN_BASEBALL_AWAY_OLD.xlsx]Team Info'!$H$25),2)</f>
    </nc>
  </rcc>
  <rcc rId="2279" sId="5">
    <oc r="AW46">
      <f>(VLOOKUP(A46,INPUT_RANGE,54,FALSE)/VLOOKUP(A46,INPUT_RANGE,52,FALSE))</f>
    </oc>
    <nc r="AW46">
      <f>(VLOOKUP(A46,INPUT_RANGE,54,FALSE)/VLOOKUP(A46,INPUT_RANGE,52,FALSE))</f>
    </nc>
  </rcc>
  <rcc rId="2280" sId="5">
    <oc r="AX46">
      <f>((VLOOKUP(A46,INPUT_RANGE,54,FALSE)+VLOOKUP(A46,INPUT_RANGE,60,FALSE)+VLOOKUP(A46,INPUT_RANGE,59,FALSE))/(VLOOKUP(A46,INPUT_RANGE,52,FALSE)+VLOOKUP(A46,INPUT_RANGE,60,FALSE)+VLOOKUP(A46,INPUT_RANGE,59,FALSE)+VLOOKUP(A46,INPUT_RANGE,63,FALSE)))</f>
    </oc>
    <nc r="AX46">
      <f>((VLOOKUP(A46,INPUT_RANGE,54,FALSE)+VLOOKUP(A46,INPUT_RANGE,60,FALSE)+VLOOKUP(A46,INPUT_RANGE,59,FALSE))/(VLOOKUP(A46,INPUT_RANGE,52,FALSE)+VLOOKUP(A46,INPUT_RANGE,60,FALSE)+VLOOKUP(A46,INPUT_RANGE,59,FALSE)+VLOOKUP(A46,INPUT_RANGE,63,FALSE)))</f>
    </nc>
  </rcc>
  <rcc rId="2281" sId="5">
    <oc r="AY46">
      <f>(VLOOKUP(A46,INPUT_RANGE,54)+VLOOKUP(A46,INPUT_RANGE,55)+(VLOOKUP(A46,INPUT_RANGE,56)*2)+(VLOOKUP(A46,INPUT_RANGE,57)*3))/(VLOOKUP(A46,INPUT_RANGE,52))</f>
    </oc>
    <nc r="AY46">
      <f>(VLOOKUP(A46,INPUT_RANGE,54)+VLOOKUP(A46,INPUT_RANGE,55)+(VLOOKUP(A46,INPUT_RANGE,56)*2)+(VLOOKUP(A46,INPUT_RANGE,57)*3))/(VLOOKUP(A46,INPUT_RANGE,52))</f>
    </nc>
  </rcc>
  <rcc rId="2282" sId="5">
    <oc r="AZ46">
      <f>AX46+AY46</f>
    </oc>
    <nc r="AZ46">
      <f>AX46+AY46</f>
    </nc>
  </rcc>
  <rcc rId="2283" sId="5">
    <oc r="BA46">
      <f xml:space="preserve"> TEXT(AZ46,".000") &amp; " ops"</f>
    </oc>
    <nc r="BA46">
      <f xml:space="preserve"> TEXT(AZ46,".000") &amp; " OPS"</f>
    </nc>
  </rcc>
  <rcc rId="2284" sId="5">
    <oc r="BB46">
      <f>VLOOKUP(A46,INPUT_RANGE,78,FALSE)</f>
    </oc>
    <nc r="BB46">
      <f>VLOOKUP(A46,INPUT_RANGE,78,FALSE)</f>
    </nc>
  </rcc>
  <rcc rId="2285" sId="5">
    <oc r="BC46">
      <f>VLOOKUP(A46,INPUT_RANGE,77,FALSE)</f>
    </oc>
    <nc r="BC46">
      <f>VLOOKUP(A46,INPUT_RANGE,77,FALSE)</f>
    </nc>
  </rcc>
  <rcc rId="2286" sId="5">
    <oc r="BD46">
      <f>VLOOKUP(A46,INPUT_RANGE,75,FALSE) &amp; "-" &amp; VLOOKUP(A46,INPUT_RANGE,76,FALSE)</f>
    </oc>
    <nc r="BD46">
      <f>VLOOKUP(A46,INPUT_RANGE,75,FALSE) &amp; "-" &amp; VLOOKUP(A46,INPUT_RANGE,76,FALSE)</f>
    </nc>
  </rcc>
  <rcc rId="2287" sId="5">
    <oc r="BE46">
      <f>AU46</f>
    </oc>
    <nc r="BE46">
      <f>AU46</f>
    </nc>
  </rcc>
  <rcc rId="2288" sId="5">
    <oc r="BF46">
      <f>AA46</f>
    </oc>
    <nc r="BF46">
      <f>AA46</f>
    </nc>
  </rcc>
  <rcc rId="2289" sId="5">
    <oc r="BG46">
      <f>VLOOKUP(A46,INPUT_RANGE,86,FALSE)</f>
    </oc>
    <nc r="BG46">
      <f>VLOOKUP(A46,INPUT_RANGE,86,FALSE)</f>
    </nc>
  </rcc>
  <rcc rId="2290" sId="5">
    <oc r="BH46">
      <f>VLOOKUP(A46,INPUT_RANGE,87,FALSE)</f>
    </oc>
    <nc r="BH46">
      <f>VLOOKUP(A46,INPUT_RANGE,87,FALSE)</f>
    </nc>
  </rcc>
  <rcc rId="2291" sId="5">
    <oc r="BI46">
      <f>VLOOKUP(A46,INPUT_RANGE,81,FALSE) &amp; " SAVES"</f>
    </oc>
    <nc r="BI46">
      <f>VLOOKUP(A46,INPUT_RANGE,81,FALSE) &amp; " SAVES"</f>
    </nc>
  </rcc>
  <rcc rId="2292" sId="5">
    <oc r="BJ46">
      <f>VLOOKUP(A46,INPUT_RANGE,81,FALSE)</f>
    </oc>
    <nc r="BJ46">
      <f>VLOOKUP(A46,INPUT_RANGE,81,FALSE)</f>
    </nc>
  </rcc>
  <rcc rId="2293" sId="5">
    <oc r="BK46">
      <f>VLOOKUP(A46,INPUT_RANGE,83,FALSE)</f>
    </oc>
    <nc r="BK46">
      <f>VLOOKUP(A46,INPUT_RANGE,83,FALSE)</f>
    </nc>
  </rcc>
  <rcc rId="2294" sId="5">
    <oc r="BL46">
      <f>VLOOKUP(A46,INPUT_RANGE,87,FALSE) &amp; "/" &amp; VLOOKUP(A46,INPUT_RANGE,86,FALSE)</f>
    </oc>
    <nc r="BL46">
      <f>VLOOKUP(A46,INPUT_RANGE,87,FALSE) &amp; "/" &amp; VLOOKUP(A46,INPUT_RANGE,86,FALSE)</f>
    </nc>
  </rcc>
  <rcc rId="2295" sId="5">
    <oc r="BM46">
      <f>ROUND((VLOOKUP(A46,INPUT_RANGE,86,FALSE)+VLOOKUP(A46,INPUT_RANGE,83,FALSE))/AS46,2)</f>
    </oc>
    <nc r="BM46">
      <f>ROUND((VLOOKUP(A46,INPUT_RANGE,86,FALSE)+VLOOKUP(A46,INPUT_RANGE,83,FALSE))/AS46,2)</f>
    </nc>
  </rcc>
  <rcc rId="2296" sId="5">
    <oc r="M47">
      <f xml:space="preserve"> TEXT(AW47,".000") &amp; " ba"</f>
    </oc>
    <nc r="M47">
      <f xml:space="preserve"> TEXT(AW47,".000") &amp; " BA"</f>
    </nc>
  </rcc>
  <rcc rId="2297" sId="5">
    <oc r="N47">
      <f>VLOOKUP(A47,INPUT_RANGE,58,FALSE) &amp; " rbi"</f>
    </oc>
    <nc r="N47">
      <f>VLOOKUP(A47,INPUT_RANGE,58,FALSE) &amp; " RBI"</f>
    </nc>
  </rcc>
  <rcc rId="2298" sId="5">
    <oc r="O47">
      <f>VLOOKUP(A47,INPUT_RANGE,60,FALSE) &amp; " bb"</f>
    </oc>
    <nc r="O47">
      <f>VLOOKUP(A47,INPUT_RANGE,60,FALSE) &amp; " BB"</f>
    </nc>
  </rcc>
  <rcc rId="2299" sId="5">
    <oc r="P47">
      <f>VLOOKUP(A47,INPUT_RANGE,61,FALSE) &amp; " k"</f>
    </oc>
    <nc r="P47">
      <f>VLOOKUP(A47,INPUT_RANGE,61,FALSE) &amp; " K"</f>
    </nc>
  </rcc>
  <rcc rId="2300" sId="5">
    <oc r="Q47">
      <f>VLOOKUP(A47,INPUT_RANGE,64,FALSE) &amp; " sb"</f>
    </oc>
    <nc r="Q47">
      <f>VLOOKUP(A47,INPUT_RANGE,64,FALSE) &amp; " SB"</f>
    </nc>
  </rcc>
  <rcc rId="2301" sId="5">
    <oc r="R47">
      <f>VLOOKUP(A47,INPUT_RANGE,55,FALSE) &amp; " 2b"</f>
    </oc>
    <nc r="R47">
      <f>VLOOKUP(A47,INPUT_RANGE,55,FALSE) &amp; " 2B"</f>
    </nc>
  </rcc>
  <rcc rId="2302" sId="5">
    <oc r="S47">
      <f>VLOOKUP(A47,INPUT_RANGE,56,FALSE) &amp; " 3b"</f>
    </oc>
    <nc r="S47">
      <f>VLOOKUP(A47,INPUT_RANGE,56,FALSE) &amp; " 3B"</f>
    </nc>
  </rcc>
  <rcc rId="2303" sId="5">
    <oc r="T47">
      <f>VLOOKUP(A47,INPUT_RANGE,57,FALSE) &amp; " hr"</f>
    </oc>
    <nc r="T47">
      <f>VLOOKUP(A47,INPUT_RANGE,57,FALSE) &amp; " HR"</f>
    </nc>
  </rcc>
  <rcc rId="2304" sId="5">
    <oc r="U47">
      <f>VLOOKUP(A47,INPUT_RANGE,53,FALSE) &amp; " r"</f>
    </oc>
    <nc r="U47">
      <f>VLOOKUP(A47,INPUT_RANGE,53,FALSE) &amp; " R"</f>
    </nc>
  </rcc>
  <rcc rId="2305" sId="5">
    <oc r="V47">
      <f>TEXT(AX47, ".000") &amp; " obp"</f>
    </oc>
    <nc r="V47">
      <f>TEXT(AX47, ".000") &amp; " OBP"</f>
    </nc>
  </rcc>
  <rcc rId="2306" sId="5">
    <oc r="X47">
      <f>VLOOKUP(A47,INPUT_RANGE,77,FALSE)&amp;" games"</f>
    </oc>
    <nc r="X47">
      <f>VLOOKUP(A47,INPUT_RANGE,77,FALSE)&amp;" games"</f>
    </nc>
  </rcc>
  <rcc rId="2307" sId="5">
    <oc r="Y47">
      <f>VLOOKUP(A47,INPUT_RANGE,78,FALSE) &amp; " starts"</f>
    </oc>
    <nc r="Y47">
      <f>VLOOKUP(A47,INPUT_RANGE,78,FALSE) &amp; " starts"</f>
    </nc>
  </rcc>
  <rcc rId="2308" sId="5">
    <oc r="Z47">
      <f>VLOOKUP(A47,INPUT_RANGE,82,FALSE) &amp; " ip"</f>
    </oc>
    <nc r="Z47">
      <f>VLOOKUP(A47,INPUT_RANGE,82,FALSE) &amp; " IP"</f>
    </nc>
  </rcc>
  <rcc rId="2309" sId="5">
    <oc r="AA47">
      <f>TRUNC(VLOOKUP(A47,INPUT_RANGE,82,FALSE)) &amp;  IF(AR47=0.333,"º",IF(AR47=0.666,"»",""))</f>
    </oc>
    <nc r="AA47">
      <f>TRUNC(VLOOKUP(A47,INPUT_RANGE,82,FALSE)) &amp;  IF(AR47=0.333,"º",IF(AR47=0.666,"»",""))</f>
    </nc>
  </rcc>
  <rcc rId="2310" sId="5">
    <oc r="AB47">
      <f>AA47&amp; " ip"</f>
    </oc>
    <nc r="AB47">
      <f>AA47&amp; " IP"</f>
    </nc>
  </rcc>
  <rcc rId="2311" sId="5">
    <oc r="AC47">
      <f>VLOOKUP(A47,INPUT_RANGE,79,FALSE) &amp; " cg"</f>
    </oc>
    <nc r="AC47">
      <f>VLOOKUP(A47,INPUT_RANGE,79,FALSE) &amp; " CG"</f>
    </nc>
  </rcc>
  <rcc rId="2312" sId="5">
    <oc r="AD47">
      <f>VLOOKUP(A47,INPUT_RANGE,80,FALSE) &amp; " sho"</f>
    </oc>
    <nc r="AD47">
      <f>VLOOKUP(A47,INPUT_RANGE,80,FALSE) &amp; " SHO"</f>
    </nc>
  </rcc>
  <rcc rId="2313" sId="5">
    <oc r="AE47">
      <f>VLOOKUP(A47,INPUT_RANGE,75,FALSE) &amp; " win"</f>
    </oc>
    <nc r="AE47">
      <f>VLOOKUP(A47,INPUT_RANGE,75,FALSE) &amp; " Win"</f>
    </nc>
  </rcc>
  <rcc rId="2314" sId="5">
    <oc r="AF47">
      <f>VLOOKUP(A47,INPUT_RANGE,76,FALSE) &amp; " loss"</f>
    </oc>
    <nc r="AF47">
      <f>VLOOKUP(A47,INPUT_RANGE,76,FALSE) &amp; " Loss"</f>
    </nc>
  </rcc>
  <rcc rId="2315" sId="5">
    <oc r="AG47">
      <f>VLOOKUP(A47,INPUT_RANGE,75,FALSE) &amp; "-" &amp; VLOOKUP(A47,INPUT_RANGE,76,FALSE) &amp; " w-l"</f>
    </oc>
    <nc r="AG47">
      <f>VLOOKUP(A47,INPUT_RANGE,75,FALSE) &amp; "-" &amp; VLOOKUP(A47,INPUT_RANGE,76,FALSE) &amp; " W-L"</f>
    </nc>
  </rcc>
  <rcc rId="2316" sId="5">
    <oc r="AH47">
      <f>VLOOKUP(A47,INPUT_RANGE,81,FALSE)&amp; " saves"</f>
    </oc>
    <nc r="AH47">
      <f>VLOOKUP(A47,INPUT_RANGE,81,FALSE)&amp; " Saves"</f>
    </nc>
  </rcc>
  <rcc rId="2317" sId="5">
    <oc r="AI47">
      <f>VLOOKUP(A47,INPUT_RANGE,83,FALSE) &amp; " h"</f>
    </oc>
    <nc r="AI47">
      <f>VLOOKUP(A47,INPUT_RANGE,83,FALSE) &amp; " H"</f>
    </nc>
  </rcc>
  <rcc rId="2318" sId="5">
    <oc r="AJ47">
      <f>VLOOKUP(A47,INPUT_RANGE,84,FALSE) &amp; " r"</f>
    </oc>
    <nc r="AJ47">
      <f>VLOOKUP(A47,INPUT_RANGE,84,FALSE) &amp; " R"</f>
    </nc>
  </rcc>
  <rcc rId="2319" sId="5">
    <oc r="AK47">
      <f>VLOOKUP(A47,INPUT_RANGE,85,FALSE) &amp;" er"</f>
    </oc>
    <nc r="AK47">
      <f>VLOOKUP(A47,INPUT_RANGE,85,FALSE) &amp;" ER"</f>
    </nc>
  </rcc>
  <rcc rId="2320" sId="5">
    <oc r="AL47">
      <f>VLOOKUP(A47,INPUT_RANGE,88,FALSE) &amp;" hr"</f>
    </oc>
    <nc r="AL47">
      <f>VLOOKUP(A47,INPUT_RANGE,88,FALSE) &amp;" HR"</f>
    </nc>
  </rcc>
  <rcc rId="2321" sId="5">
    <oc r="AM47">
      <f>VLOOKUP(A47,INPUT_RANGE,87,FALSE) &amp; " k"</f>
    </oc>
    <nc r="AM47">
      <f>VLOOKUP(A47,INPUT_RANGE,87,FALSE) &amp; " K"</f>
    </nc>
  </rcc>
  <rcc rId="2322" sId="5">
    <oc r="AN47">
      <f>VLOOKUP(A47,INPUT_RANGE,86,FALSE) &amp; " bb"</f>
    </oc>
    <nc r="AN47">
      <f>VLOOKUP(A47,INPUT_RANGE,86,FALSE) &amp; " BB"</f>
    </nc>
  </rcc>
  <rcc rId="2323" sId="5">
    <oc r="AO47">
      <f>TEXT(AU47,"0.00") &amp; " era"</f>
    </oc>
    <nc r="AO47">
      <f>TEXT(AU47,"0.00") &amp; " ERA"</f>
    </nc>
  </rcc>
  <rcc rId="2324" sId="5">
    <oc r="AP47">
      <f>TEXT(AT47,"0.00") &amp; " whip"</f>
    </oc>
    <nc r="AP47">
      <f>TEXT(AT47,"0.00") &amp; " WHIP"</f>
    </nc>
  </rcc>
  <rcc rId="2325" sId="5">
    <oc r="AQ47">
      <f xml:space="preserve"> IF(LEFT(RIGHT((VLOOKUP(A47,INPUT_RANGE,82,FALSE)),2),1)=".",RIGHT(VLOOKUP(A47,INPUT_RANGE,82,FALSE),1), "X")</f>
    </oc>
    <nc r="AQ47">
      <f xml:space="preserve"> IF(LEFT(RIGHT((VLOOKUP(A47,INPUT_RANGE,82,FALSE)),2),1)=".",RIGHT(VLOOKUP(A47,INPUT_RANGE,82,FALSE),1), "X")</f>
    </nc>
  </rcc>
  <rcc rId="2326" sId="5">
    <oc r="AR47">
      <f>IF(AQ47 ="1",0.333,IF(AQ47="2",0.666,0))</f>
    </oc>
    <nc r="AR47">
      <f>IF(AQ47 ="1",0.333,IF(AQ47="2",0.666,0))</f>
    </nc>
  </rcc>
  <rcc rId="2327" sId="5">
    <oc r="AS47">
      <f>VLOOKUP(A47,INPUT_RANGE,82,FALSE)-(AQ47*0.1)+AR47</f>
    </oc>
    <nc r="AS47">
      <f>VLOOKUP(A47,INPUT_RANGE,82,FALSE)-(AQ47*0.1)+AR47</f>
    </nc>
  </rcc>
  <rcc rId="2328" sId="5">
    <oc r="AT47">
      <f>ROUND((VLOOKUP(A47,INPUT_RANGE,86,FALSE)+VLOOKUP(A47,INPUT_RANGE,83,FALSE))/AS47,2)</f>
    </oc>
    <nc r="AT47">
      <f>ROUND((VLOOKUP(A47,INPUT_RANGE,86,FALSE)+VLOOKUP(A47,INPUT_RANGE,83,FALSE))/AS47,2)</f>
    </nc>
  </rcc>
  <rcc rId="2329" sId="5">
    <oc r="AU47">
      <f>ROUND((VLOOKUP(A47,INPUT_RANGE,85,FALSE)/AS47)*('Team Info'!$H$25),2)</f>
    </oc>
    <nc r="AU47">
      <f>ROUND((VLOOKUP(A47,INPUT_RANGE,85,FALSE)/AS47)*('D:\Data\Softball\[ESPN_BASEBALL_AWAY_OLD.xlsx]Team Info'!$H$25),2)</f>
    </nc>
  </rcc>
  <rcc rId="2330" sId="5">
    <oc r="AW47">
      <f>(VLOOKUP(A47,INPUT_RANGE,54,FALSE)/VLOOKUP(A47,INPUT_RANGE,52,FALSE))</f>
    </oc>
    <nc r="AW47">
      <f>(VLOOKUP(A47,INPUT_RANGE,54,FALSE)/VLOOKUP(A47,INPUT_RANGE,52,FALSE))</f>
    </nc>
  </rcc>
  <rcc rId="2331" sId="5">
    <oc r="AX47">
      <f>((VLOOKUP(A47,INPUT_RANGE,54,FALSE)+VLOOKUP(A47,INPUT_RANGE,60,FALSE)+VLOOKUP(A47,INPUT_RANGE,59,FALSE))/(VLOOKUP(A47,INPUT_RANGE,52,FALSE)+VLOOKUP(A47,INPUT_RANGE,60,FALSE)+VLOOKUP(A47,INPUT_RANGE,59,FALSE)+VLOOKUP(A47,INPUT_RANGE,63,FALSE)))</f>
    </oc>
    <nc r="AX47">
      <f>((VLOOKUP(A47,INPUT_RANGE,54,FALSE)+VLOOKUP(A47,INPUT_RANGE,60,FALSE)+VLOOKUP(A47,INPUT_RANGE,59,FALSE))/(VLOOKUP(A47,INPUT_RANGE,52,FALSE)+VLOOKUP(A47,INPUT_RANGE,60,FALSE)+VLOOKUP(A47,INPUT_RANGE,59,FALSE)+VLOOKUP(A47,INPUT_RANGE,63,FALSE)))</f>
    </nc>
  </rcc>
  <rcc rId="2332" sId="5">
    <oc r="AY47">
      <f>(VLOOKUP(A47,INPUT_RANGE,54)+VLOOKUP(A47,INPUT_RANGE,55)+(VLOOKUP(A47,INPUT_RANGE,56)*2)+(VLOOKUP(A47,INPUT_RANGE,57)*3))/(VLOOKUP(A47,INPUT_RANGE,52))</f>
    </oc>
    <nc r="AY47">
      <f>(VLOOKUP(A47,INPUT_RANGE,54)+VLOOKUP(A47,INPUT_RANGE,55)+(VLOOKUP(A47,INPUT_RANGE,56)*2)+(VLOOKUP(A47,INPUT_RANGE,57)*3))/(VLOOKUP(A47,INPUT_RANGE,52))</f>
    </nc>
  </rcc>
  <rcc rId="2333" sId="5">
    <oc r="AZ47">
      <f>AX47+AY47</f>
    </oc>
    <nc r="AZ47">
      <f>AX47+AY47</f>
    </nc>
  </rcc>
  <rcc rId="2334" sId="5">
    <oc r="BA47">
      <f xml:space="preserve"> TEXT(AZ47,".000") &amp; " ops"</f>
    </oc>
    <nc r="BA47">
      <f xml:space="preserve"> TEXT(AZ47,".000") &amp; " OPS"</f>
    </nc>
  </rcc>
  <rcc rId="2335" sId="5">
    <oc r="BB47">
      <f>VLOOKUP(A47,INPUT_RANGE,78,FALSE)</f>
    </oc>
    <nc r="BB47">
      <f>VLOOKUP(A47,INPUT_RANGE,78,FALSE)</f>
    </nc>
  </rcc>
  <rcc rId="2336" sId="5">
    <oc r="BC47">
      <f>VLOOKUP(A47,INPUT_RANGE,77,FALSE)</f>
    </oc>
    <nc r="BC47">
      <f>VLOOKUP(A47,INPUT_RANGE,77,FALSE)</f>
    </nc>
  </rcc>
  <rcc rId="2337" sId="5">
    <oc r="BD47">
      <f>VLOOKUP(A47,INPUT_RANGE,75,FALSE) &amp; "-" &amp; VLOOKUP(A47,INPUT_RANGE,76,FALSE)</f>
    </oc>
    <nc r="BD47">
      <f>VLOOKUP(A47,INPUT_RANGE,75,FALSE) &amp; "-" &amp; VLOOKUP(A47,INPUT_RANGE,76,FALSE)</f>
    </nc>
  </rcc>
  <rcc rId="2338" sId="5">
    <oc r="BE47">
      <f>AU47</f>
    </oc>
    <nc r="BE47">
      <f>AU47</f>
    </nc>
  </rcc>
  <rcc rId="2339" sId="5">
    <oc r="BF47">
      <f>AA47</f>
    </oc>
    <nc r="BF47">
      <f>AA47</f>
    </nc>
  </rcc>
  <rcc rId="2340" sId="5">
    <oc r="BG47">
      <f>VLOOKUP(A47,INPUT_RANGE,86,FALSE)</f>
    </oc>
    <nc r="BG47">
      <f>VLOOKUP(A47,INPUT_RANGE,86,FALSE)</f>
    </nc>
  </rcc>
  <rcc rId="2341" sId="5">
    <oc r="BH47">
      <f>VLOOKUP(A47,INPUT_RANGE,87,FALSE)</f>
    </oc>
    <nc r="BH47">
      <f>VLOOKUP(A47,INPUT_RANGE,87,FALSE)</f>
    </nc>
  </rcc>
  <rcc rId="2342" sId="5">
    <oc r="BI47">
      <f>VLOOKUP(A47,INPUT_RANGE,81,FALSE) &amp; " SAVES"</f>
    </oc>
    <nc r="BI47">
      <f>VLOOKUP(A47,INPUT_RANGE,81,FALSE) &amp; " SAVES"</f>
    </nc>
  </rcc>
  <rcc rId="2343" sId="5">
    <oc r="BJ47">
      <f>VLOOKUP(A47,INPUT_RANGE,81,FALSE)</f>
    </oc>
    <nc r="BJ47">
      <f>VLOOKUP(A47,INPUT_RANGE,81,FALSE)</f>
    </nc>
  </rcc>
  <rcc rId="2344" sId="5">
    <oc r="BK47">
      <f>VLOOKUP(A47,INPUT_RANGE,83,FALSE)</f>
    </oc>
    <nc r="BK47">
      <f>VLOOKUP(A47,INPUT_RANGE,83,FALSE)</f>
    </nc>
  </rcc>
  <rcc rId="2345" sId="5">
    <oc r="BL47">
      <f>VLOOKUP(A47,INPUT_RANGE,87,FALSE) &amp; "/" &amp; VLOOKUP(A47,INPUT_RANGE,86,FALSE)</f>
    </oc>
    <nc r="BL47">
      <f>VLOOKUP(A47,INPUT_RANGE,87,FALSE) &amp; "/" &amp; VLOOKUP(A47,INPUT_RANGE,86,FALSE)</f>
    </nc>
  </rcc>
  <rcc rId="2346" sId="5">
    <oc r="BM47">
      <f>ROUND((VLOOKUP(A47,INPUT_RANGE,86,FALSE)+VLOOKUP(A47,INPUT_RANGE,83,FALSE))/AS47,2)</f>
    </oc>
    <nc r="BM47">
      <f>ROUND((VLOOKUP(A47,INPUT_RANGE,86,FALSE)+VLOOKUP(A47,INPUT_RANGE,83,FALSE))/AS47,2)</f>
    </nc>
  </rcc>
  <rcc rId="2347" sId="5">
    <oc r="M48">
      <f xml:space="preserve"> TEXT(AW48,".000") &amp; " ba"</f>
    </oc>
    <nc r="M48">
      <f xml:space="preserve"> TEXT(AW48,".000") &amp; " BA"</f>
    </nc>
  </rcc>
  <rcc rId="2348" sId="5">
    <oc r="N48">
      <f>VLOOKUP(A48,INPUT_RANGE,58,FALSE) &amp; " rbi"</f>
    </oc>
    <nc r="N48">
      <f>VLOOKUP(A48,INPUT_RANGE,58,FALSE) &amp; " RBI"</f>
    </nc>
  </rcc>
  <rcc rId="2349" sId="5">
    <oc r="O48">
      <f>VLOOKUP(A48,INPUT_RANGE,60,FALSE) &amp; " bb"</f>
    </oc>
    <nc r="O48">
      <f>VLOOKUP(A48,INPUT_RANGE,60,FALSE) &amp; " BB"</f>
    </nc>
  </rcc>
  <rcc rId="2350" sId="5">
    <oc r="P48">
      <f>VLOOKUP(A48,INPUT_RANGE,61,FALSE) &amp; " k"</f>
    </oc>
    <nc r="P48">
      <f>VLOOKUP(A48,INPUT_RANGE,61,FALSE) &amp; " K"</f>
    </nc>
  </rcc>
  <rcc rId="2351" sId="5">
    <oc r="Q48">
      <f>VLOOKUP(A48,INPUT_RANGE,64,FALSE) &amp; " sb"</f>
    </oc>
    <nc r="Q48">
      <f>VLOOKUP(A48,INPUT_RANGE,64,FALSE) &amp; " SB"</f>
    </nc>
  </rcc>
  <rcc rId="2352" sId="5">
    <oc r="R48">
      <f>VLOOKUP(A48,INPUT_RANGE,55,FALSE) &amp; " 2b"</f>
    </oc>
    <nc r="R48">
      <f>VLOOKUP(A48,INPUT_RANGE,55,FALSE) &amp; " 2B"</f>
    </nc>
  </rcc>
  <rcc rId="2353" sId="5">
    <oc r="S48">
      <f>VLOOKUP(A48,INPUT_RANGE,56,FALSE) &amp; " 3b"</f>
    </oc>
    <nc r="S48">
      <f>VLOOKUP(A48,INPUT_RANGE,56,FALSE) &amp; " 3B"</f>
    </nc>
  </rcc>
  <rcc rId="2354" sId="5">
    <oc r="T48">
      <f>VLOOKUP(A48,INPUT_RANGE,57,FALSE) &amp; " hr"</f>
    </oc>
    <nc r="T48">
      <f>VLOOKUP(A48,INPUT_RANGE,57,FALSE) &amp; " HR"</f>
    </nc>
  </rcc>
  <rcc rId="2355" sId="5">
    <oc r="U48">
      <f>VLOOKUP(A48,INPUT_RANGE,53,FALSE) &amp; " r"</f>
    </oc>
    <nc r="U48">
      <f>VLOOKUP(A48,INPUT_RANGE,53,FALSE) &amp; " R"</f>
    </nc>
  </rcc>
  <rcc rId="2356" sId="5">
    <oc r="V48">
      <f>TEXT(AX48, ".000") &amp; " obp"</f>
    </oc>
    <nc r="V48">
      <f>TEXT(AX48, ".000") &amp; " OBP"</f>
    </nc>
  </rcc>
  <rcc rId="2357" sId="5">
    <oc r="X48">
      <f>VLOOKUP(A48,INPUT_RANGE,77,FALSE)&amp;" games"</f>
    </oc>
    <nc r="X48">
      <f>VLOOKUP(A48,INPUT_RANGE,77,FALSE)&amp;" games"</f>
    </nc>
  </rcc>
  <rcc rId="2358" sId="5">
    <oc r="Y48">
      <f>VLOOKUP(A48,INPUT_RANGE,78,FALSE) &amp; " starts"</f>
    </oc>
    <nc r="Y48">
      <f>VLOOKUP(A48,INPUT_RANGE,78,FALSE) &amp; " starts"</f>
    </nc>
  </rcc>
  <rcc rId="2359" sId="5">
    <oc r="Z48">
      <f>VLOOKUP(A48,INPUT_RANGE,82,FALSE) &amp; " ip"</f>
    </oc>
    <nc r="Z48">
      <f>VLOOKUP(A48,INPUT_RANGE,82,FALSE) &amp; " IP"</f>
    </nc>
  </rcc>
  <rcc rId="2360" sId="5">
    <oc r="AA48">
      <f>TRUNC(VLOOKUP(A48,INPUT_RANGE,82,FALSE)) &amp;  IF(AR48=0.333,"º",IF(AR48=0.666,"»",""))</f>
    </oc>
    <nc r="AA48">
      <f>TRUNC(VLOOKUP(A48,INPUT_RANGE,82,FALSE)) &amp;  IF(AR48=0.333,"º",IF(AR48=0.666,"»",""))</f>
    </nc>
  </rcc>
  <rcc rId="2361" sId="5">
    <oc r="AB48">
      <f>AA48&amp; " ip"</f>
    </oc>
    <nc r="AB48">
      <f>AA48&amp; " IP"</f>
    </nc>
  </rcc>
  <rcc rId="2362" sId="5">
    <oc r="AC48">
      <f>VLOOKUP(A48,INPUT_RANGE,79,FALSE) &amp; " cg"</f>
    </oc>
    <nc r="AC48">
      <f>VLOOKUP(A48,INPUT_RANGE,79,FALSE) &amp; " CG"</f>
    </nc>
  </rcc>
  <rcc rId="2363" sId="5">
    <oc r="AD48">
      <f>VLOOKUP(A48,INPUT_RANGE,80,FALSE) &amp; " sho"</f>
    </oc>
    <nc r="AD48">
      <f>VLOOKUP(A48,INPUT_RANGE,80,FALSE) &amp; " SHO"</f>
    </nc>
  </rcc>
  <rcc rId="2364" sId="5">
    <oc r="AE48">
      <f>VLOOKUP(A48,INPUT_RANGE,75,FALSE) &amp; " win"</f>
    </oc>
    <nc r="AE48">
      <f>VLOOKUP(A48,INPUT_RANGE,75,FALSE) &amp; " Win"</f>
    </nc>
  </rcc>
  <rcc rId="2365" sId="5">
    <oc r="AF48">
      <f>VLOOKUP(A48,INPUT_RANGE,76,FALSE) &amp; " loss"</f>
    </oc>
    <nc r="AF48">
      <f>VLOOKUP(A48,INPUT_RANGE,76,FALSE) &amp; " Loss"</f>
    </nc>
  </rcc>
  <rcc rId="2366" sId="5">
    <oc r="AG48">
      <f>VLOOKUP(A48,INPUT_RANGE,75,FALSE) &amp; "-" &amp; VLOOKUP(A48,INPUT_RANGE,76,FALSE) &amp; " w-l"</f>
    </oc>
    <nc r="AG48">
      <f>VLOOKUP(A48,INPUT_RANGE,75,FALSE) &amp; "-" &amp; VLOOKUP(A48,INPUT_RANGE,76,FALSE) &amp; " W-L"</f>
    </nc>
  </rcc>
  <rcc rId="2367" sId="5">
    <oc r="AH48">
      <f>VLOOKUP(A48,INPUT_RANGE,81,FALSE)&amp; " saves"</f>
    </oc>
    <nc r="AH48">
      <f>VLOOKUP(A48,INPUT_RANGE,81,FALSE)&amp; " Saves"</f>
    </nc>
  </rcc>
  <rcc rId="2368" sId="5">
    <oc r="AI48">
      <f>VLOOKUP(A48,INPUT_RANGE,83,FALSE) &amp; " h"</f>
    </oc>
    <nc r="AI48">
      <f>VLOOKUP(A48,INPUT_RANGE,83,FALSE) &amp; " H"</f>
    </nc>
  </rcc>
  <rcc rId="2369" sId="5">
    <oc r="AJ48">
      <f>VLOOKUP(A48,INPUT_RANGE,84,FALSE) &amp; " r"</f>
    </oc>
    <nc r="AJ48">
      <f>VLOOKUP(A48,INPUT_RANGE,84,FALSE) &amp; " R"</f>
    </nc>
  </rcc>
  <rcc rId="2370" sId="5">
    <oc r="AK48">
      <f>VLOOKUP(A48,INPUT_RANGE,85,FALSE) &amp;" er"</f>
    </oc>
    <nc r="AK48">
      <f>VLOOKUP(A48,INPUT_RANGE,85,FALSE) &amp;" ER"</f>
    </nc>
  </rcc>
  <rcc rId="2371" sId="5">
    <oc r="AL48">
      <f>VLOOKUP(A48,INPUT_RANGE,88,FALSE) &amp;" hr"</f>
    </oc>
    <nc r="AL48">
      <f>VLOOKUP(A48,INPUT_RANGE,88,FALSE) &amp;" HR"</f>
    </nc>
  </rcc>
  <rcc rId="2372" sId="5">
    <oc r="AM48">
      <f>VLOOKUP(A48,INPUT_RANGE,87,FALSE) &amp; " k"</f>
    </oc>
    <nc r="AM48">
      <f>VLOOKUP(A48,INPUT_RANGE,87,FALSE) &amp; " K"</f>
    </nc>
  </rcc>
  <rcc rId="2373" sId="5">
    <oc r="AN48">
      <f>VLOOKUP(A48,INPUT_RANGE,86,FALSE) &amp; " bb"</f>
    </oc>
    <nc r="AN48">
      <f>VLOOKUP(A48,INPUT_RANGE,86,FALSE) &amp; " BB"</f>
    </nc>
  </rcc>
  <rcc rId="2374" sId="5">
    <oc r="AO48">
      <f>TEXT(AU48,"0.00") &amp; " era"</f>
    </oc>
    <nc r="AO48">
      <f>TEXT(AU48,"0.00") &amp; " ERA"</f>
    </nc>
  </rcc>
  <rcc rId="2375" sId="5">
    <oc r="AP48">
      <f>TEXT(AT48,"0.00") &amp; " whip"</f>
    </oc>
    <nc r="AP48">
      <f>TEXT(AT48,"0.00") &amp; " WHIP"</f>
    </nc>
  </rcc>
  <rcc rId="2376" sId="5">
    <oc r="AQ48">
      <f xml:space="preserve"> IF(LEFT(RIGHT((VLOOKUP(A48,INPUT_RANGE,82,FALSE)),2),1)=".",RIGHT(VLOOKUP(A48,INPUT_RANGE,82,FALSE),1), "X")</f>
    </oc>
    <nc r="AQ48">
      <f xml:space="preserve"> IF(LEFT(RIGHT((VLOOKUP(A48,INPUT_RANGE,82,FALSE)),2),1)=".",RIGHT(VLOOKUP(A48,INPUT_RANGE,82,FALSE),1), "X")</f>
    </nc>
  </rcc>
  <rcc rId="2377" sId="5">
    <oc r="AR48">
      <f>IF(AQ48 ="1",0.333,IF(AQ48="2",0.666,0))</f>
    </oc>
    <nc r="AR48">
      <f>IF(AQ48 ="1",0.333,IF(AQ48="2",0.666,0))</f>
    </nc>
  </rcc>
  <rcc rId="2378" sId="5">
    <oc r="AS48">
      <f>VLOOKUP(A48,INPUT_RANGE,82,FALSE)-(AQ48*0.1)+AR48</f>
    </oc>
    <nc r="AS48">
      <f>VLOOKUP(A48,INPUT_RANGE,82,FALSE)-(AQ48*0.1)+AR48</f>
    </nc>
  </rcc>
  <rcc rId="2379" sId="5">
    <oc r="AT48">
      <f>ROUND((VLOOKUP(A48,INPUT_RANGE,86,FALSE)+VLOOKUP(A48,INPUT_RANGE,83,FALSE))/AS48,2)</f>
    </oc>
    <nc r="AT48">
      <f>ROUND((VLOOKUP(A48,INPUT_RANGE,86,FALSE)+VLOOKUP(A48,INPUT_RANGE,83,FALSE))/AS48,2)</f>
    </nc>
  </rcc>
  <rcc rId="2380" sId="5">
    <oc r="AU48">
      <f>ROUND((VLOOKUP(A48,INPUT_RANGE,85,FALSE)/AS48)*('Team Info'!$H$25),2)</f>
    </oc>
    <nc r="AU48">
      <f>ROUND((VLOOKUP(A48,INPUT_RANGE,85,FALSE)/AS48)*('D:\Data\Softball\[ESPN_BASEBALL_AWAY_OLD.xlsx]Team Info'!$H$25),2)</f>
    </nc>
  </rcc>
  <rcc rId="2381" sId="5">
    <oc r="AW48">
      <f>(VLOOKUP(A48,INPUT_RANGE,54,FALSE)/VLOOKUP(A48,INPUT_RANGE,52,FALSE))</f>
    </oc>
    <nc r="AW48">
      <f>(VLOOKUP(A48,INPUT_RANGE,54,FALSE)/VLOOKUP(A48,INPUT_RANGE,52,FALSE))</f>
    </nc>
  </rcc>
  <rcc rId="2382" sId="5">
    <oc r="AX48">
      <f>((VLOOKUP(A48,INPUT_RANGE,54,FALSE)+VLOOKUP(A48,INPUT_RANGE,60,FALSE)+VLOOKUP(A48,INPUT_RANGE,59,FALSE))/(VLOOKUP(A48,INPUT_RANGE,52,FALSE)+VLOOKUP(A48,INPUT_RANGE,60,FALSE)+VLOOKUP(A48,INPUT_RANGE,59,FALSE)+VLOOKUP(A48,INPUT_RANGE,63,FALSE)))</f>
    </oc>
    <nc r="AX48">
      <f>((VLOOKUP(A48,INPUT_RANGE,54,FALSE)+VLOOKUP(A48,INPUT_RANGE,60,FALSE)+VLOOKUP(A48,INPUT_RANGE,59,FALSE))/(VLOOKUP(A48,INPUT_RANGE,52,FALSE)+VLOOKUP(A48,INPUT_RANGE,60,FALSE)+VLOOKUP(A48,INPUT_RANGE,59,FALSE)+VLOOKUP(A48,INPUT_RANGE,63,FALSE)))</f>
    </nc>
  </rcc>
  <rcc rId="2383" sId="5">
    <oc r="AY48">
      <f>(VLOOKUP(A48,INPUT_RANGE,54)+VLOOKUP(A48,INPUT_RANGE,55)+(VLOOKUP(A48,INPUT_RANGE,56)*2)+(VLOOKUP(A48,INPUT_RANGE,57)*3))/(VLOOKUP(A48,INPUT_RANGE,52))</f>
    </oc>
    <nc r="AY48">
      <f>(VLOOKUP(A48,INPUT_RANGE,54)+VLOOKUP(A48,INPUT_RANGE,55)+(VLOOKUP(A48,INPUT_RANGE,56)*2)+(VLOOKUP(A48,INPUT_RANGE,57)*3))/(VLOOKUP(A48,INPUT_RANGE,52))</f>
    </nc>
  </rcc>
  <rcc rId="2384" sId="5">
    <oc r="AZ48">
      <f>AX48+AY48</f>
    </oc>
    <nc r="AZ48">
      <f>AX48+AY48</f>
    </nc>
  </rcc>
  <rcc rId="2385" sId="5">
    <oc r="BA48">
      <f xml:space="preserve"> TEXT(AZ48,".000") &amp; " ops"</f>
    </oc>
    <nc r="BA48">
      <f xml:space="preserve"> TEXT(AZ48,".000") &amp; " OPS"</f>
    </nc>
  </rcc>
  <rcc rId="2386" sId="5">
    <oc r="BB48">
      <f>VLOOKUP(A48,INPUT_RANGE,78,FALSE)</f>
    </oc>
    <nc r="BB48">
      <f>VLOOKUP(A48,INPUT_RANGE,78,FALSE)</f>
    </nc>
  </rcc>
  <rcc rId="2387" sId="5">
    <oc r="BC48">
      <f>VLOOKUP(A48,INPUT_RANGE,77,FALSE)</f>
    </oc>
    <nc r="BC48">
      <f>VLOOKUP(A48,INPUT_RANGE,77,FALSE)</f>
    </nc>
  </rcc>
  <rcc rId="2388" sId="5">
    <oc r="BD48">
      <f>VLOOKUP(A48,INPUT_RANGE,75,FALSE) &amp; "-" &amp; VLOOKUP(A48,INPUT_RANGE,76,FALSE)</f>
    </oc>
    <nc r="BD48">
      <f>VLOOKUP(A48,INPUT_RANGE,75,FALSE) &amp; "-" &amp; VLOOKUP(A48,INPUT_RANGE,76,FALSE)</f>
    </nc>
  </rcc>
  <rcc rId="2389" sId="5">
    <oc r="BE48">
      <f>AU48</f>
    </oc>
    <nc r="BE48">
      <f>AU48</f>
    </nc>
  </rcc>
  <rcc rId="2390" sId="5">
    <oc r="BF48">
      <f>AA48</f>
    </oc>
    <nc r="BF48">
      <f>AA48</f>
    </nc>
  </rcc>
  <rcc rId="2391" sId="5">
    <oc r="BG48">
      <f>VLOOKUP(A48,INPUT_RANGE,86,FALSE)</f>
    </oc>
    <nc r="BG48">
      <f>VLOOKUP(A48,INPUT_RANGE,86,FALSE)</f>
    </nc>
  </rcc>
  <rcc rId="2392" sId="5">
    <oc r="BH48">
      <f>VLOOKUP(A48,INPUT_RANGE,87,FALSE)</f>
    </oc>
    <nc r="BH48">
      <f>VLOOKUP(A48,INPUT_RANGE,87,FALSE)</f>
    </nc>
  </rcc>
  <rcc rId="2393" sId="5">
    <oc r="BI48">
      <f>VLOOKUP(A48,INPUT_RANGE,81,FALSE) &amp; " SAVES"</f>
    </oc>
    <nc r="BI48">
      <f>VLOOKUP(A48,INPUT_RANGE,81,FALSE) &amp; " SAVES"</f>
    </nc>
  </rcc>
  <rcc rId="2394" sId="5">
    <oc r="BJ48">
      <f>VLOOKUP(A48,INPUT_RANGE,81,FALSE)</f>
    </oc>
    <nc r="BJ48">
      <f>VLOOKUP(A48,INPUT_RANGE,81,FALSE)</f>
    </nc>
  </rcc>
  <rcc rId="2395" sId="5">
    <oc r="BK48">
      <f>VLOOKUP(A48,INPUT_RANGE,83,FALSE)</f>
    </oc>
    <nc r="BK48">
      <f>VLOOKUP(A48,INPUT_RANGE,83,FALSE)</f>
    </nc>
  </rcc>
  <rcc rId="2396" sId="5">
    <oc r="BL48">
      <f>VLOOKUP(A48,INPUT_RANGE,87,FALSE) &amp; "/" &amp; VLOOKUP(A48,INPUT_RANGE,86,FALSE)</f>
    </oc>
    <nc r="BL48">
      <f>VLOOKUP(A48,INPUT_RANGE,87,FALSE) &amp; "/" &amp; VLOOKUP(A48,INPUT_RANGE,86,FALSE)</f>
    </nc>
  </rcc>
  <rcc rId="2397" sId="5">
    <oc r="BM48">
      <f>ROUND((VLOOKUP(A48,INPUT_RANGE,86,FALSE)+VLOOKUP(A48,INPUT_RANGE,83,FALSE))/AS48,2)</f>
    </oc>
    <nc r="BM48">
      <f>ROUND((VLOOKUP(A48,INPUT_RANGE,86,FALSE)+VLOOKUP(A48,INPUT_RANGE,83,FALSE))/AS48,2)</f>
    </nc>
  </rcc>
  <rcc rId="2398" sId="5">
    <oc r="M49">
      <f xml:space="preserve"> TEXT(AW49,".000") &amp; " ba"</f>
    </oc>
    <nc r="M49">
      <f xml:space="preserve"> TEXT(AW49,".000") &amp; " BA"</f>
    </nc>
  </rcc>
  <rcc rId="2399" sId="5">
    <oc r="N49">
      <f>VLOOKUP(A49,INPUT_RANGE,58,FALSE) &amp; " rbi"</f>
    </oc>
    <nc r="N49">
      <f>VLOOKUP(A49,INPUT_RANGE,58,FALSE) &amp; " RBI"</f>
    </nc>
  </rcc>
  <rcc rId="2400" sId="5">
    <oc r="O49">
      <f>VLOOKUP(A49,INPUT_RANGE,60,FALSE) &amp; " bb"</f>
    </oc>
    <nc r="O49">
      <f>VLOOKUP(A49,INPUT_RANGE,60,FALSE) &amp; " BB"</f>
    </nc>
  </rcc>
  <rcc rId="2401" sId="5">
    <oc r="P49">
      <f>VLOOKUP(A49,INPUT_RANGE,61,FALSE) &amp; " k"</f>
    </oc>
    <nc r="P49">
      <f>VLOOKUP(A49,INPUT_RANGE,61,FALSE) &amp; " K"</f>
    </nc>
  </rcc>
  <rcc rId="2402" sId="5">
    <oc r="Q49">
      <f>VLOOKUP(A49,INPUT_RANGE,64,FALSE) &amp; " sb"</f>
    </oc>
    <nc r="Q49">
      <f>VLOOKUP(A49,INPUT_RANGE,64,FALSE) &amp; " SB"</f>
    </nc>
  </rcc>
  <rcc rId="2403" sId="5">
    <oc r="R49">
      <f>VLOOKUP(A49,INPUT_RANGE,55,FALSE) &amp; " 2b"</f>
    </oc>
    <nc r="R49">
      <f>VLOOKUP(A49,INPUT_RANGE,55,FALSE) &amp; " 2B"</f>
    </nc>
  </rcc>
  <rcc rId="2404" sId="5">
    <oc r="S49">
      <f>VLOOKUP(A49,INPUT_RANGE,56,FALSE) &amp; " 3b"</f>
    </oc>
    <nc r="S49">
      <f>VLOOKUP(A49,INPUT_RANGE,56,FALSE) &amp; " 3B"</f>
    </nc>
  </rcc>
  <rcc rId="2405" sId="5">
    <oc r="T49">
      <f>VLOOKUP(A49,INPUT_RANGE,57,FALSE) &amp; " hr"</f>
    </oc>
    <nc r="T49">
      <f>VLOOKUP(A49,INPUT_RANGE,57,FALSE) &amp; " HR"</f>
    </nc>
  </rcc>
  <rcc rId="2406" sId="5">
    <oc r="U49">
      <f>VLOOKUP(A49,INPUT_RANGE,53,FALSE) &amp; " r"</f>
    </oc>
    <nc r="U49">
      <f>VLOOKUP(A49,INPUT_RANGE,53,FALSE) &amp; " R"</f>
    </nc>
  </rcc>
  <rcc rId="2407" sId="5">
    <oc r="V49">
      <f>TEXT(AX49, ".000") &amp; " obp"</f>
    </oc>
    <nc r="V49">
      <f>TEXT(AX49, ".000") &amp; " OBP"</f>
    </nc>
  </rcc>
  <rcc rId="2408" sId="5">
    <oc r="X49">
      <f>VLOOKUP(A49,INPUT_RANGE,77,FALSE)&amp;" games"</f>
    </oc>
    <nc r="X49">
      <f>VLOOKUP(A49,INPUT_RANGE,77,FALSE)&amp;" games"</f>
    </nc>
  </rcc>
  <rcc rId="2409" sId="5">
    <oc r="Y49">
      <f>VLOOKUP(A49,INPUT_RANGE,78,FALSE) &amp; " starts"</f>
    </oc>
    <nc r="Y49">
      <f>VLOOKUP(A49,INPUT_RANGE,78,FALSE) &amp; " starts"</f>
    </nc>
  </rcc>
  <rcc rId="2410" sId="5">
    <oc r="Z49">
      <f>VLOOKUP(A49,INPUT_RANGE,82,FALSE) &amp; " ip"</f>
    </oc>
    <nc r="Z49">
      <f>VLOOKUP(A49,INPUT_RANGE,82,FALSE) &amp; " IP"</f>
    </nc>
  </rcc>
  <rcc rId="2411" sId="5">
    <oc r="AA49">
      <f>TRUNC(VLOOKUP(A49,INPUT_RANGE,82,FALSE)) &amp;  IF(AR49=0.333,"º",IF(AR49=0.666,"»",""))</f>
    </oc>
    <nc r="AA49">
      <f>TRUNC(VLOOKUP(A49,INPUT_RANGE,82,FALSE)) &amp;  IF(AR49=0.333,"º",IF(AR49=0.666,"»",""))</f>
    </nc>
  </rcc>
  <rcc rId="2412" sId="5">
    <oc r="AB49">
      <f>AA49&amp; " ip"</f>
    </oc>
    <nc r="AB49">
      <f>AA49&amp; " IP"</f>
    </nc>
  </rcc>
  <rcc rId="2413" sId="5">
    <oc r="AC49">
      <f>VLOOKUP(A49,INPUT_RANGE,79,FALSE) &amp; " cg"</f>
    </oc>
    <nc r="AC49">
      <f>VLOOKUP(A49,INPUT_RANGE,79,FALSE) &amp; " CG"</f>
    </nc>
  </rcc>
  <rcc rId="2414" sId="5">
    <oc r="AD49">
      <f>VLOOKUP(A49,INPUT_RANGE,80,FALSE) &amp; " sho"</f>
    </oc>
    <nc r="AD49">
      <f>VLOOKUP(A49,INPUT_RANGE,80,FALSE) &amp; " SHO"</f>
    </nc>
  </rcc>
  <rcc rId="2415" sId="5">
    <oc r="AE49">
      <f>VLOOKUP(A49,INPUT_RANGE,75,FALSE) &amp; " win"</f>
    </oc>
    <nc r="AE49">
      <f>VLOOKUP(A49,INPUT_RANGE,75,FALSE) &amp; " Win"</f>
    </nc>
  </rcc>
  <rcc rId="2416" sId="5">
    <oc r="AF49">
      <f>VLOOKUP(A49,INPUT_RANGE,76,FALSE) &amp; " loss"</f>
    </oc>
    <nc r="AF49">
      <f>VLOOKUP(A49,INPUT_RANGE,76,FALSE) &amp; " Loss"</f>
    </nc>
  </rcc>
  <rcc rId="2417" sId="5">
    <oc r="AG49">
      <f>VLOOKUP(A49,INPUT_RANGE,75,FALSE) &amp; "-" &amp; VLOOKUP(A49,INPUT_RANGE,76,FALSE) &amp; " w-l"</f>
    </oc>
    <nc r="AG49">
      <f>VLOOKUP(A49,INPUT_RANGE,75,FALSE) &amp; "-" &amp; VLOOKUP(A49,INPUT_RANGE,76,FALSE) &amp; " W-L"</f>
    </nc>
  </rcc>
  <rcc rId="2418" sId="5">
    <oc r="AH49">
      <f>VLOOKUP(A49,INPUT_RANGE,81,FALSE)&amp; " saves"</f>
    </oc>
    <nc r="AH49">
      <f>VLOOKUP(A49,INPUT_RANGE,81,FALSE)&amp; " Saves"</f>
    </nc>
  </rcc>
  <rcc rId="2419" sId="5">
    <oc r="AI49">
      <f>VLOOKUP(A49,INPUT_RANGE,83,FALSE) &amp; " h"</f>
    </oc>
    <nc r="AI49">
      <f>VLOOKUP(A49,INPUT_RANGE,83,FALSE) &amp; " H"</f>
    </nc>
  </rcc>
  <rcc rId="2420" sId="5">
    <oc r="AJ49">
      <f>VLOOKUP(A49,INPUT_RANGE,84,FALSE) &amp; " r"</f>
    </oc>
    <nc r="AJ49">
      <f>VLOOKUP(A49,INPUT_RANGE,84,FALSE) &amp; " R"</f>
    </nc>
  </rcc>
  <rcc rId="2421" sId="5">
    <oc r="AK49">
      <f>VLOOKUP(A49,INPUT_RANGE,85,FALSE) &amp;" er"</f>
    </oc>
    <nc r="AK49">
      <f>VLOOKUP(A49,INPUT_RANGE,85,FALSE) &amp;" ER"</f>
    </nc>
  </rcc>
  <rcc rId="2422" sId="5">
    <oc r="AL49">
      <f>VLOOKUP(A49,INPUT_RANGE,88,FALSE) &amp;" hr"</f>
    </oc>
    <nc r="AL49">
      <f>VLOOKUP(A49,INPUT_RANGE,88,FALSE) &amp;" HR"</f>
    </nc>
  </rcc>
  <rcc rId="2423" sId="5">
    <oc r="AM49">
      <f>VLOOKUP(A49,INPUT_RANGE,87,FALSE) &amp; " k"</f>
    </oc>
    <nc r="AM49">
      <f>VLOOKUP(A49,INPUT_RANGE,87,FALSE) &amp; " K"</f>
    </nc>
  </rcc>
  <rcc rId="2424" sId="5">
    <oc r="AN49">
      <f>VLOOKUP(A49,INPUT_RANGE,86,FALSE) &amp; " bb"</f>
    </oc>
    <nc r="AN49">
      <f>VLOOKUP(A49,INPUT_RANGE,86,FALSE) &amp; " BB"</f>
    </nc>
  </rcc>
  <rcc rId="2425" sId="5">
    <oc r="AO49">
      <f>TEXT(AU49,"0.00") &amp; " era"</f>
    </oc>
    <nc r="AO49">
      <f>TEXT(AU49,"0.00") &amp; " ERA"</f>
    </nc>
  </rcc>
  <rcc rId="2426" sId="5">
    <oc r="AP49">
      <f>TEXT(AT49,"0.00") &amp; " whip"</f>
    </oc>
    <nc r="AP49">
      <f>TEXT(AT49,"0.00") &amp; " WHIP"</f>
    </nc>
  </rcc>
  <rcc rId="2427" sId="5">
    <oc r="AQ49">
      <f xml:space="preserve"> IF(LEFT(RIGHT((VLOOKUP(A49,INPUT_RANGE,82,FALSE)),2),1)=".",RIGHT(VLOOKUP(A49,INPUT_RANGE,82,FALSE),1), "X")</f>
    </oc>
    <nc r="AQ49">
      <f xml:space="preserve"> IF(LEFT(RIGHT((VLOOKUP(A49,INPUT_RANGE,82,FALSE)),2),1)=".",RIGHT(VLOOKUP(A49,INPUT_RANGE,82,FALSE),1), "X")</f>
    </nc>
  </rcc>
  <rcc rId="2428" sId="5">
    <oc r="AR49">
      <f>IF(AQ49 ="1",0.333,IF(AQ49="2",0.666,0))</f>
    </oc>
    <nc r="AR49">
      <f>IF(AQ49 ="1",0.333,IF(AQ49="2",0.666,0))</f>
    </nc>
  </rcc>
  <rcc rId="2429" sId="5">
    <oc r="AS49">
      <f>VLOOKUP(A49,INPUT_RANGE,82,FALSE)-(AQ49*0.1)+AR49</f>
    </oc>
    <nc r="AS49">
      <f>VLOOKUP(A49,INPUT_RANGE,82,FALSE)-(AQ49*0.1)+AR49</f>
    </nc>
  </rcc>
  <rcc rId="2430" sId="5">
    <oc r="AT49">
      <f>ROUND((VLOOKUP(A49,INPUT_RANGE,86,FALSE)+VLOOKUP(A49,INPUT_RANGE,83,FALSE))/AS49,2)</f>
    </oc>
    <nc r="AT49">
      <f>ROUND((VLOOKUP(A49,INPUT_RANGE,86,FALSE)+VLOOKUP(A49,INPUT_RANGE,83,FALSE))/AS49,2)</f>
    </nc>
  </rcc>
  <rcc rId="2431" sId="5">
    <oc r="AU49">
      <f>ROUND((VLOOKUP(A49,INPUT_RANGE,85,FALSE)/AS49)*('Team Info'!$H$25),2)</f>
    </oc>
    <nc r="AU49">
      <f>ROUND((VLOOKUP(A49,INPUT_RANGE,85,FALSE)/AS49)*('D:\Data\Softball\[ESPN_BASEBALL_AWAY_OLD.xlsx]Team Info'!$H$25),2)</f>
    </nc>
  </rcc>
  <rcc rId="2432" sId="5">
    <oc r="AW49">
      <f>(VLOOKUP(A49,INPUT_RANGE,54,FALSE)/VLOOKUP(A49,INPUT_RANGE,52,FALSE))</f>
    </oc>
    <nc r="AW49">
      <f>(VLOOKUP(A49,INPUT_RANGE,54,FALSE)/VLOOKUP(A49,INPUT_RANGE,52,FALSE))</f>
    </nc>
  </rcc>
  <rcc rId="2433" sId="5">
    <oc r="AX49">
      <f>((VLOOKUP(A49,INPUT_RANGE,54,FALSE)+VLOOKUP(A49,INPUT_RANGE,60,FALSE)+VLOOKUP(A49,INPUT_RANGE,59,FALSE))/(VLOOKUP(A49,INPUT_RANGE,52,FALSE)+VLOOKUP(A49,INPUT_RANGE,60,FALSE)+VLOOKUP(A49,INPUT_RANGE,59,FALSE)+VLOOKUP(A49,INPUT_RANGE,63,FALSE)))</f>
    </oc>
    <nc r="AX49">
      <f>((VLOOKUP(A49,INPUT_RANGE,54,FALSE)+VLOOKUP(A49,INPUT_RANGE,60,FALSE)+VLOOKUP(A49,INPUT_RANGE,59,FALSE))/(VLOOKUP(A49,INPUT_RANGE,52,FALSE)+VLOOKUP(A49,INPUT_RANGE,60,FALSE)+VLOOKUP(A49,INPUT_RANGE,59,FALSE)+VLOOKUP(A49,INPUT_RANGE,63,FALSE)))</f>
    </nc>
  </rcc>
  <rcc rId="2434" sId="5">
    <oc r="AY49">
      <f>(VLOOKUP(A49,INPUT_RANGE,54)+VLOOKUP(A49,INPUT_RANGE,55)+(VLOOKUP(A49,INPUT_RANGE,56)*2)+(VLOOKUP(A49,INPUT_RANGE,57)*3))/(VLOOKUP(A49,INPUT_RANGE,52))</f>
    </oc>
    <nc r="AY49">
      <f>(VLOOKUP(A49,INPUT_RANGE,54)+VLOOKUP(A49,INPUT_RANGE,55)+(VLOOKUP(A49,INPUT_RANGE,56)*2)+(VLOOKUP(A49,INPUT_RANGE,57)*3))/(VLOOKUP(A49,INPUT_RANGE,52))</f>
    </nc>
  </rcc>
  <rcc rId="2435" sId="5">
    <oc r="AZ49">
      <f>AX49+AY49</f>
    </oc>
    <nc r="AZ49">
      <f>AX49+AY49</f>
    </nc>
  </rcc>
  <rcc rId="2436" sId="5">
    <oc r="BA49">
      <f xml:space="preserve"> TEXT(AZ49,".000") &amp; " ops"</f>
    </oc>
    <nc r="BA49">
      <f xml:space="preserve"> TEXT(AZ49,".000") &amp; " OPS"</f>
    </nc>
  </rcc>
  <rcc rId="2437" sId="5">
    <oc r="BB49">
      <f>VLOOKUP(A49,INPUT_RANGE,78,FALSE)</f>
    </oc>
    <nc r="BB49">
      <f>VLOOKUP(A49,INPUT_RANGE,78,FALSE)</f>
    </nc>
  </rcc>
  <rcc rId="2438" sId="5">
    <oc r="BC49">
      <f>VLOOKUP(A49,INPUT_RANGE,77,FALSE)</f>
    </oc>
    <nc r="BC49">
      <f>VLOOKUP(A49,INPUT_RANGE,77,FALSE)</f>
    </nc>
  </rcc>
  <rcc rId="2439" sId="5">
    <oc r="BD49">
      <f>VLOOKUP(A49,INPUT_RANGE,75,FALSE) &amp; "-" &amp; VLOOKUP(A49,INPUT_RANGE,76,FALSE)</f>
    </oc>
    <nc r="BD49">
      <f>VLOOKUP(A49,INPUT_RANGE,75,FALSE) &amp; "-" &amp; VLOOKUP(A49,INPUT_RANGE,76,FALSE)</f>
    </nc>
  </rcc>
  <rcc rId="2440" sId="5">
    <oc r="BE49">
      <f>AU49</f>
    </oc>
    <nc r="BE49">
      <f>AU49</f>
    </nc>
  </rcc>
  <rcc rId="2441" sId="5">
    <oc r="BF49">
      <f>AA49</f>
    </oc>
    <nc r="BF49">
      <f>AA49</f>
    </nc>
  </rcc>
  <rcc rId="2442" sId="5">
    <oc r="BG49">
      <f>VLOOKUP(A49,INPUT_RANGE,86,FALSE)</f>
    </oc>
    <nc r="BG49">
      <f>VLOOKUP(A49,INPUT_RANGE,86,FALSE)</f>
    </nc>
  </rcc>
  <rcc rId="2443" sId="5">
    <oc r="BH49">
      <f>VLOOKUP(A49,INPUT_RANGE,87,FALSE)</f>
    </oc>
    <nc r="BH49">
      <f>VLOOKUP(A49,INPUT_RANGE,87,FALSE)</f>
    </nc>
  </rcc>
  <rcc rId="2444" sId="5">
    <oc r="BI49">
      <f>VLOOKUP(A49,INPUT_RANGE,81,FALSE) &amp; " SAVES"</f>
    </oc>
    <nc r="BI49">
      <f>VLOOKUP(A49,INPUT_RANGE,81,FALSE) &amp; " SAVES"</f>
    </nc>
  </rcc>
  <rcc rId="2445" sId="5">
    <oc r="BJ49">
      <f>VLOOKUP(A49,INPUT_RANGE,81,FALSE)</f>
    </oc>
    <nc r="BJ49">
      <f>VLOOKUP(A49,INPUT_RANGE,81,FALSE)</f>
    </nc>
  </rcc>
  <rcc rId="2446" sId="5">
    <oc r="BK49">
      <f>VLOOKUP(A49,INPUT_RANGE,83,FALSE)</f>
    </oc>
    <nc r="BK49">
      <f>VLOOKUP(A49,INPUT_RANGE,83,FALSE)</f>
    </nc>
  </rcc>
  <rcc rId="2447" sId="5">
    <oc r="BL49">
      <f>VLOOKUP(A49,INPUT_RANGE,87,FALSE) &amp; "/" &amp; VLOOKUP(A49,INPUT_RANGE,86,FALSE)</f>
    </oc>
    <nc r="BL49">
      <f>VLOOKUP(A49,INPUT_RANGE,87,FALSE) &amp; "/" &amp; VLOOKUP(A49,INPUT_RANGE,86,FALSE)</f>
    </nc>
  </rcc>
  <rcc rId="2448" sId="5">
    <oc r="BM49">
      <f>ROUND((VLOOKUP(A49,INPUT_RANGE,86,FALSE)+VLOOKUP(A49,INPUT_RANGE,83,FALSE))/AS49,2)</f>
    </oc>
    <nc r="BM49">
      <f>ROUND((VLOOKUP(A49,INPUT_RANGE,86,FALSE)+VLOOKUP(A49,INPUT_RANGE,83,FALSE))/AS49,2)</f>
    </nc>
  </rcc>
  <rcc rId="2449" sId="5">
    <oc r="M50">
      <f xml:space="preserve"> TEXT(AW50,".000") &amp; " ba"</f>
    </oc>
    <nc r="M50">
      <f xml:space="preserve"> TEXT(AW50,".000") &amp; " BA"</f>
    </nc>
  </rcc>
  <rcc rId="2450" sId="5">
    <oc r="N50">
      <f>VLOOKUP(A50,INPUT_RANGE,58,FALSE) &amp; " rbi"</f>
    </oc>
    <nc r="N50">
      <f>VLOOKUP(A50,INPUT_RANGE,58,FALSE) &amp; " RBI"</f>
    </nc>
  </rcc>
  <rcc rId="2451" sId="5">
    <oc r="O50">
      <f>VLOOKUP(A50,INPUT_RANGE,60,FALSE) &amp; " bb"</f>
    </oc>
    <nc r="O50">
      <f>VLOOKUP(A50,INPUT_RANGE,60,FALSE) &amp; " BB"</f>
    </nc>
  </rcc>
  <rcc rId="2452" sId="5">
    <oc r="P50">
      <f>VLOOKUP(A50,INPUT_RANGE,61,FALSE) &amp; " k"</f>
    </oc>
    <nc r="P50">
      <f>VLOOKUP(A50,INPUT_RANGE,61,FALSE) &amp; " K"</f>
    </nc>
  </rcc>
  <rcc rId="2453" sId="5">
    <oc r="Q50">
      <f>VLOOKUP(A50,INPUT_RANGE,64,FALSE) &amp; " sb"</f>
    </oc>
    <nc r="Q50">
      <f>VLOOKUP(A50,INPUT_RANGE,64,FALSE) &amp; " SB"</f>
    </nc>
  </rcc>
  <rcc rId="2454" sId="5">
    <oc r="R50">
      <f>VLOOKUP(A50,INPUT_RANGE,55,FALSE) &amp; " 2b"</f>
    </oc>
    <nc r="R50">
      <f>VLOOKUP(A50,INPUT_RANGE,55,FALSE) &amp; " 2B"</f>
    </nc>
  </rcc>
  <rcc rId="2455" sId="5">
    <oc r="S50">
      <f>VLOOKUP(A50,INPUT_RANGE,56,FALSE) &amp; " 3b"</f>
    </oc>
    <nc r="S50">
      <f>VLOOKUP(A50,INPUT_RANGE,56,FALSE) &amp; " 3B"</f>
    </nc>
  </rcc>
  <rcc rId="2456" sId="5">
    <oc r="T50">
      <f>VLOOKUP(A50,INPUT_RANGE,57,FALSE) &amp; " hr"</f>
    </oc>
    <nc r="T50">
      <f>VLOOKUP(A50,INPUT_RANGE,57,FALSE) &amp; " HR"</f>
    </nc>
  </rcc>
  <rcc rId="2457" sId="5">
    <oc r="U50">
      <f>VLOOKUP(A50,INPUT_RANGE,53,FALSE) &amp; " r"</f>
    </oc>
    <nc r="U50">
      <f>VLOOKUP(A50,INPUT_RANGE,53,FALSE) &amp; " R"</f>
    </nc>
  </rcc>
  <rcc rId="2458" sId="5">
    <oc r="V50">
      <f>TEXT(AX50, ".000") &amp; " obp"</f>
    </oc>
    <nc r="V50">
      <f>TEXT(AX50, ".000") &amp; " OBP"</f>
    </nc>
  </rcc>
  <rcc rId="2459" sId="5">
    <oc r="X50">
      <f>VLOOKUP(A50,INPUT_RANGE,77,FALSE)&amp;" games"</f>
    </oc>
    <nc r="X50">
      <f>VLOOKUP(A50,INPUT_RANGE,77,FALSE)&amp;" games"</f>
    </nc>
  </rcc>
  <rcc rId="2460" sId="5">
    <oc r="Y50">
      <f>VLOOKUP(A50,INPUT_RANGE,78,FALSE) &amp; " starts"</f>
    </oc>
    <nc r="Y50">
      <f>VLOOKUP(A50,INPUT_RANGE,78,FALSE) &amp; " starts"</f>
    </nc>
  </rcc>
  <rcc rId="2461" sId="5">
    <oc r="Z50">
      <f>VLOOKUP(A50,INPUT_RANGE,82,FALSE) &amp; " ip"</f>
    </oc>
    <nc r="Z50">
      <f>VLOOKUP(A50,INPUT_RANGE,82,FALSE) &amp; " IP"</f>
    </nc>
  </rcc>
  <rcc rId="2462" sId="5">
    <oc r="AA50">
      <f>TRUNC(VLOOKUP(A50,INPUT_RANGE,82,FALSE)) &amp;  IF(AR50=0.333,"º",IF(AR50=0.666,"»",""))</f>
    </oc>
    <nc r="AA50">
      <f>TRUNC(VLOOKUP(A50,INPUT_RANGE,82,FALSE)) &amp;  IF(AR50=0.333,"º",IF(AR50=0.666,"»",""))</f>
    </nc>
  </rcc>
  <rcc rId="2463" sId="5">
    <oc r="AB50">
      <f>AA50&amp; " ip"</f>
    </oc>
    <nc r="AB50">
      <f>AA50&amp; " IP"</f>
    </nc>
  </rcc>
  <rcc rId="2464" sId="5">
    <oc r="AC50">
      <f>VLOOKUP(A50,INPUT_RANGE,79,FALSE) &amp; " cg"</f>
    </oc>
    <nc r="AC50">
      <f>VLOOKUP(A50,INPUT_RANGE,79,FALSE) &amp; " CG"</f>
    </nc>
  </rcc>
  <rcc rId="2465" sId="5">
    <oc r="AD50">
      <f>VLOOKUP(A50,INPUT_RANGE,80,FALSE) &amp; " sho"</f>
    </oc>
    <nc r="AD50">
      <f>VLOOKUP(A50,INPUT_RANGE,80,FALSE) &amp; " SHO"</f>
    </nc>
  </rcc>
  <rcc rId="2466" sId="5">
    <oc r="AE50">
      <f>VLOOKUP(A50,INPUT_RANGE,75,FALSE) &amp; " win"</f>
    </oc>
    <nc r="AE50">
      <f>VLOOKUP(A50,INPUT_RANGE,75,FALSE) &amp; " Win"</f>
    </nc>
  </rcc>
  <rcc rId="2467" sId="5">
    <oc r="AF50">
      <f>VLOOKUP(A50,INPUT_RANGE,76,FALSE) &amp; " loss"</f>
    </oc>
    <nc r="AF50">
      <f>VLOOKUP(A50,INPUT_RANGE,76,FALSE) &amp; " Loss"</f>
    </nc>
  </rcc>
  <rcc rId="2468" sId="5">
    <oc r="AG50">
      <f>VLOOKUP(A50,INPUT_RANGE,75,FALSE) &amp; "-" &amp; VLOOKUP(A50,INPUT_RANGE,76,FALSE) &amp; " w-l"</f>
    </oc>
    <nc r="AG50">
      <f>VLOOKUP(A50,INPUT_RANGE,75,FALSE) &amp; "-" &amp; VLOOKUP(A50,INPUT_RANGE,76,FALSE) &amp; " W-L"</f>
    </nc>
  </rcc>
  <rcc rId="2469" sId="5">
    <oc r="AH50">
      <f>VLOOKUP(A50,INPUT_RANGE,81,FALSE)&amp; " saves"</f>
    </oc>
    <nc r="AH50">
      <f>VLOOKUP(A50,INPUT_RANGE,81,FALSE)&amp; " Saves"</f>
    </nc>
  </rcc>
  <rcc rId="2470" sId="5">
    <oc r="AI50">
      <f>VLOOKUP(A50,INPUT_RANGE,83,FALSE) &amp; " h"</f>
    </oc>
    <nc r="AI50">
      <f>VLOOKUP(A50,INPUT_RANGE,83,FALSE) &amp; " H"</f>
    </nc>
  </rcc>
  <rcc rId="2471" sId="5">
    <oc r="AJ50">
      <f>VLOOKUP(A50,INPUT_RANGE,84,FALSE) &amp; " r"</f>
    </oc>
    <nc r="AJ50">
      <f>VLOOKUP(A50,INPUT_RANGE,84,FALSE) &amp; " R"</f>
    </nc>
  </rcc>
  <rcc rId="2472" sId="5">
    <oc r="AK50">
      <f>VLOOKUP(A50,INPUT_RANGE,85,FALSE) &amp;" er"</f>
    </oc>
    <nc r="AK50">
      <f>VLOOKUP(A50,INPUT_RANGE,85,FALSE) &amp;" ER"</f>
    </nc>
  </rcc>
  <rcc rId="2473" sId="5">
    <oc r="AL50">
      <f>VLOOKUP(A50,INPUT_RANGE,88,FALSE) &amp;" hr"</f>
    </oc>
    <nc r="AL50">
      <f>VLOOKUP(A50,INPUT_RANGE,88,FALSE) &amp;" HR"</f>
    </nc>
  </rcc>
  <rcc rId="2474" sId="5">
    <oc r="AM50">
      <f>VLOOKUP(A50,INPUT_RANGE,87,FALSE) &amp; " k"</f>
    </oc>
    <nc r="AM50">
      <f>VLOOKUP(A50,INPUT_RANGE,87,FALSE) &amp; " K"</f>
    </nc>
  </rcc>
  <rcc rId="2475" sId="5">
    <oc r="AN50">
      <f>VLOOKUP(A50,INPUT_RANGE,86,FALSE) &amp; " bb"</f>
    </oc>
    <nc r="AN50">
      <f>VLOOKUP(A50,INPUT_RANGE,86,FALSE) &amp; " BB"</f>
    </nc>
  </rcc>
  <rcc rId="2476" sId="5">
    <oc r="AO50">
      <f>TEXT(AU50,"0.00") &amp; " era"</f>
    </oc>
    <nc r="AO50">
      <f>TEXT(AU50,"0.00") &amp; " ERA"</f>
    </nc>
  </rcc>
  <rcc rId="2477" sId="5">
    <oc r="AP50">
      <f>TEXT(AT50,"0.00") &amp; " whip"</f>
    </oc>
    <nc r="AP50">
      <f>TEXT(AT50,"0.00") &amp; " WHIP"</f>
    </nc>
  </rcc>
  <rcc rId="2478" sId="5">
    <oc r="AQ50">
      <f xml:space="preserve"> IF(LEFT(RIGHT((VLOOKUP(A50,INPUT_RANGE,82,FALSE)),2),1)=".",RIGHT(VLOOKUP(A50,INPUT_RANGE,82,FALSE),1), "X")</f>
    </oc>
    <nc r="AQ50">
      <f xml:space="preserve"> IF(LEFT(RIGHT((VLOOKUP(A50,INPUT_RANGE,82,FALSE)),2),1)=".",RIGHT(VLOOKUP(A50,INPUT_RANGE,82,FALSE),1), "X")</f>
    </nc>
  </rcc>
  <rcc rId="2479" sId="5">
    <oc r="AR50">
      <f>IF(AQ50 ="1",0.333,IF(AQ50="2",0.666,0))</f>
    </oc>
    <nc r="AR50">
      <f>IF(AQ50 ="1",0.333,IF(AQ50="2",0.666,0))</f>
    </nc>
  </rcc>
  <rcc rId="2480" sId="5">
    <oc r="AS50">
      <f>VLOOKUP(A50,INPUT_RANGE,82,FALSE)-(AQ50*0.1)+AR50</f>
    </oc>
    <nc r="AS50">
      <f>VLOOKUP(A50,INPUT_RANGE,82,FALSE)-(AQ50*0.1)+AR50</f>
    </nc>
  </rcc>
  <rcc rId="2481" sId="5">
    <oc r="AT50">
      <f>ROUND((VLOOKUP(A50,INPUT_RANGE,86,FALSE)+VLOOKUP(A50,INPUT_RANGE,83,FALSE))/AS50,2)</f>
    </oc>
    <nc r="AT50">
      <f>ROUND((VLOOKUP(A50,INPUT_RANGE,86,FALSE)+VLOOKUP(A50,INPUT_RANGE,83,FALSE))/AS50,2)</f>
    </nc>
  </rcc>
  <rcc rId="2482" sId="5">
    <oc r="AU50">
      <f>ROUND((VLOOKUP(A50,INPUT_RANGE,85,FALSE)/AS50)*('Team Info'!$H$25),2)</f>
    </oc>
    <nc r="AU50">
      <f>ROUND((VLOOKUP(A50,INPUT_RANGE,85,FALSE)/AS50)*('D:\Data\Softball\[ESPN_BASEBALL_AWAY_OLD.xlsx]Team Info'!$H$25),2)</f>
    </nc>
  </rcc>
  <rcc rId="2483" sId="5">
    <oc r="AW50">
      <f>(VLOOKUP(A50,INPUT_RANGE,54,FALSE)/VLOOKUP(A50,INPUT_RANGE,52,FALSE))</f>
    </oc>
    <nc r="AW50">
      <f>(VLOOKUP(A50,INPUT_RANGE,54,FALSE)/VLOOKUP(A50,INPUT_RANGE,52,FALSE))</f>
    </nc>
  </rcc>
  <rcc rId="2484" sId="5">
    <oc r="AX50">
      <f>((VLOOKUP(A50,INPUT_RANGE,54,FALSE)+VLOOKUP(A50,INPUT_RANGE,60,FALSE)+VLOOKUP(A50,INPUT_RANGE,59,FALSE))/(VLOOKUP(A50,INPUT_RANGE,52,FALSE)+VLOOKUP(A50,INPUT_RANGE,60,FALSE)+VLOOKUP(A50,INPUT_RANGE,59,FALSE)+VLOOKUP(A50,INPUT_RANGE,63,FALSE)))</f>
    </oc>
    <nc r="AX50">
      <f>((VLOOKUP(A50,INPUT_RANGE,54,FALSE)+VLOOKUP(A50,INPUT_RANGE,60,FALSE)+VLOOKUP(A50,INPUT_RANGE,59,FALSE))/(VLOOKUP(A50,INPUT_RANGE,52,FALSE)+VLOOKUP(A50,INPUT_RANGE,60,FALSE)+VLOOKUP(A50,INPUT_RANGE,59,FALSE)+VLOOKUP(A50,INPUT_RANGE,63,FALSE)))</f>
    </nc>
  </rcc>
  <rcc rId="2485" sId="5">
    <oc r="AY50">
      <f>(VLOOKUP(A50,INPUT_RANGE,54)+VLOOKUP(A50,INPUT_RANGE,55)+(VLOOKUP(A50,INPUT_RANGE,56)*2)+(VLOOKUP(A50,INPUT_RANGE,57)*3))/(VLOOKUP(A50,INPUT_RANGE,52))</f>
    </oc>
    <nc r="AY50">
      <f>(VLOOKUP(A50,INPUT_RANGE,54)+VLOOKUP(A50,INPUT_RANGE,55)+(VLOOKUP(A50,INPUT_RANGE,56)*2)+(VLOOKUP(A50,INPUT_RANGE,57)*3))/(VLOOKUP(A50,INPUT_RANGE,52))</f>
    </nc>
  </rcc>
  <rcc rId="2486" sId="5">
    <oc r="AZ50">
      <f>AX50+AY50</f>
    </oc>
    <nc r="AZ50">
      <f>AX50+AY50</f>
    </nc>
  </rcc>
  <rcc rId="2487" sId="5">
    <oc r="BA50">
      <f xml:space="preserve"> TEXT(AZ50,".000") &amp; " ops"</f>
    </oc>
    <nc r="BA50">
      <f xml:space="preserve"> TEXT(AZ50,".000") &amp; " OPS"</f>
    </nc>
  </rcc>
  <rcc rId="2488" sId="5">
    <oc r="BB50">
      <f>VLOOKUP(A50,INPUT_RANGE,78,FALSE)</f>
    </oc>
    <nc r="BB50">
      <f>VLOOKUP(A50,INPUT_RANGE,78,FALSE)</f>
    </nc>
  </rcc>
  <rcc rId="2489" sId="5">
    <oc r="BC50">
      <f>VLOOKUP(A50,INPUT_RANGE,77,FALSE)</f>
    </oc>
    <nc r="BC50">
      <f>VLOOKUP(A50,INPUT_RANGE,77,FALSE)</f>
    </nc>
  </rcc>
  <rcc rId="2490" sId="5">
    <oc r="BD50">
      <f>VLOOKUP(A50,INPUT_RANGE,75,FALSE) &amp; "-" &amp; VLOOKUP(A50,INPUT_RANGE,76,FALSE)</f>
    </oc>
    <nc r="BD50">
      <f>VLOOKUP(A50,INPUT_RANGE,75,FALSE) &amp; "-" &amp; VLOOKUP(A50,INPUT_RANGE,76,FALSE)</f>
    </nc>
  </rcc>
  <rcc rId="2491" sId="5">
    <oc r="BE50">
      <f>AU50</f>
    </oc>
    <nc r="BE50">
      <f>AU50</f>
    </nc>
  </rcc>
  <rcc rId="2492" sId="5">
    <oc r="BF50">
      <f>AA50</f>
    </oc>
    <nc r="BF50">
      <f>AA50</f>
    </nc>
  </rcc>
  <rcc rId="2493" sId="5">
    <oc r="BG50">
      <f>VLOOKUP(A50,INPUT_RANGE,86,FALSE)</f>
    </oc>
    <nc r="BG50">
      <f>VLOOKUP(A50,INPUT_RANGE,86,FALSE)</f>
    </nc>
  </rcc>
  <rcc rId="2494" sId="5">
    <oc r="BH50">
      <f>VLOOKUP(A50,INPUT_RANGE,87,FALSE)</f>
    </oc>
    <nc r="BH50">
      <f>VLOOKUP(A50,INPUT_RANGE,87,FALSE)</f>
    </nc>
  </rcc>
  <rcc rId="2495" sId="5">
    <oc r="BI50">
      <f>VLOOKUP(A50,INPUT_RANGE,81,FALSE) &amp; " SAVES"</f>
    </oc>
    <nc r="BI50">
      <f>VLOOKUP(A50,INPUT_RANGE,81,FALSE) &amp; " SAVES"</f>
    </nc>
  </rcc>
  <rcc rId="2496" sId="5">
    <oc r="BJ50">
      <f>VLOOKUP(A50,INPUT_RANGE,81,FALSE)</f>
    </oc>
    <nc r="BJ50">
      <f>VLOOKUP(A50,INPUT_RANGE,81,FALSE)</f>
    </nc>
  </rcc>
  <rcc rId="2497" sId="5">
    <oc r="BK50">
      <f>VLOOKUP(A50,INPUT_RANGE,83,FALSE)</f>
    </oc>
    <nc r="BK50">
      <f>VLOOKUP(A50,INPUT_RANGE,83,FALSE)</f>
    </nc>
  </rcc>
  <rcc rId="2498" sId="5">
    <oc r="BL50">
      <f>VLOOKUP(A50,INPUT_RANGE,87,FALSE) &amp; "/" &amp; VLOOKUP(A50,INPUT_RANGE,86,FALSE)</f>
    </oc>
    <nc r="BL50">
      <f>VLOOKUP(A50,INPUT_RANGE,87,FALSE) &amp; "/" &amp; VLOOKUP(A50,INPUT_RANGE,86,FALSE)</f>
    </nc>
  </rcc>
  <rcc rId="2499" sId="5">
    <oc r="BM50">
      <f>ROUND((VLOOKUP(A50,INPUT_RANGE,86,FALSE)+VLOOKUP(A50,INPUT_RANGE,83,FALSE))/AS50,2)</f>
    </oc>
    <nc r="BM50">
      <f>ROUND((VLOOKUP(A50,INPUT_RANGE,86,FALSE)+VLOOKUP(A50,INPUT_RANGE,83,FALSE))/AS50,2)</f>
    </nc>
  </rcc>
  <rcc rId="2500" sId="5">
    <oc r="M51">
      <f xml:space="preserve"> TEXT(AW51,".000") &amp; " ba"</f>
    </oc>
    <nc r="M51">
      <f xml:space="preserve"> TEXT(AW51,".000") &amp; " BA"</f>
    </nc>
  </rcc>
  <rcc rId="2501" sId="5">
    <oc r="N51">
      <f>VLOOKUP(A51,INPUT_RANGE,58,FALSE) &amp; " rbi"</f>
    </oc>
    <nc r="N51">
      <f>VLOOKUP(A51,INPUT_RANGE,58,FALSE) &amp; " RBI"</f>
    </nc>
  </rcc>
  <rcc rId="2502" sId="5">
    <oc r="O51">
      <f>VLOOKUP(A51,INPUT_RANGE,60,FALSE) &amp; " bb"</f>
    </oc>
    <nc r="O51">
      <f>VLOOKUP(A51,INPUT_RANGE,60,FALSE) &amp; " BB"</f>
    </nc>
  </rcc>
  <rcc rId="2503" sId="5">
    <oc r="P51">
      <f>VLOOKUP(A51,INPUT_RANGE,61,FALSE) &amp; " k"</f>
    </oc>
    <nc r="P51">
      <f>VLOOKUP(A51,INPUT_RANGE,61,FALSE) &amp; " K"</f>
    </nc>
  </rcc>
  <rcc rId="2504" sId="5">
    <oc r="Q51">
      <f>VLOOKUP(A51,INPUT_RANGE,64,FALSE) &amp; " sb"</f>
    </oc>
    <nc r="Q51">
      <f>VLOOKUP(A51,INPUT_RANGE,64,FALSE) &amp; " SB"</f>
    </nc>
  </rcc>
  <rcc rId="2505" sId="5">
    <oc r="R51">
      <f>VLOOKUP(A51,INPUT_RANGE,55,FALSE) &amp; " 2b"</f>
    </oc>
    <nc r="R51">
      <f>VLOOKUP(A51,INPUT_RANGE,55,FALSE) &amp; " 2B"</f>
    </nc>
  </rcc>
  <rcc rId="2506" sId="5">
    <oc r="S51">
      <f>VLOOKUP(A51,INPUT_RANGE,56,FALSE) &amp; " 3b"</f>
    </oc>
    <nc r="S51">
      <f>VLOOKUP(A51,INPUT_RANGE,56,FALSE) &amp; " 3B"</f>
    </nc>
  </rcc>
  <rcc rId="2507" sId="5">
    <oc r="T51">
      <f>VLOOKUP(A51,INPUT_RANGE,57,FALSE) &amp; " hr"</f>
    </oc>
    <nc r="T51">
      <f>VLOOKUP(A51,INPUT_RANGE,57,FALSE) &amp; " HR"</f>
    </nc>
  </rcc>
  <rcc rId="2508" sId="5">
    <oc r="U51">
      <f>VLOOKUP(A51,INPUT_RANGE,53,FALSE) &amp; " r"</f>
    </oc>
    <nc r="U51">
      <f>VLOOKUP(A51,INPUT_RANGE,53,FALSE) &amp; " R"</f>
    </nc>
  </rcc>
  <rcc rId="2509" sId="5">
    <oc r="V51">
      <f>TEXT(AX51, ".000") &amp; " obp"</f>
    </oc>
    <nc r="V51">
      <f>TEXT(AX51, ".000") &amp; " OBP"</f>
    </nc>
  </rcc>
  <rcc rId="2510" sId="5">
    <oc r="X51">
      <f>VLOOKUP(A51,INPUT_RANGE,77,FALSE)&amp;" games"</f>
    </oc>
    <nc r="X51">
      <f>VLOOKUP(A51,INPUT_RANGE,77,FALSE)&amp;" games"</f>
    </nc>
  </rcc>
  <rcc rId="2511" sId="5">
    <oc r="Y51">
      <f>VLOOKUP(A51,INPUT_RANGE,78,FALSE) &amp; " starts"</f>
    </oc>
    <nc r="Y51">
      <f>VLOOKUP(A51,INPUT_RANGE,78,FALSE) &amp; " starts"</f>
    </nc>
  </rcc>
  <rcc rId="2512" sId="5">
    <oc r="Z51">
      <f>VLOOKUP(A51,INPUT_RANGE,82,FALSE) &amp; " ip"</f>
    </oc>
    <nc r="Z51">
      <f>VLOOKUP(A51,INPUT_RANGE,82,FALSE) &amp; " IP"</f>
    </nc>
  </rcc>
  <rcc rId="2513" sId="5">
    <oc r="AA51">
      <f>TRUNC(VLOOKUP(A51,INPUT_RANGE,82,FALSE)) &amp;  IF(AR51=0.333,"º",IF(AR51=0.666,"»",""))</f>
    </oc>
    <nc r="AA51">
      <f>TRUNC(VLOOKUP(A51,INPUT_RANGE,82,FALSE)) &amp;  IF(AR51=0.333,"º",IF(AR51=0.666,"»",""))</f>
    </nc>
  </rcc>
  <rcc rId="2514" sId="5">
    <oc r="AB51">
      <f>AA51&amp; " ip"</f>
    </oc>
    <nc r="AB51">
      <f>AA51&amp; " IP"</f>
    </nc>
  </rcc>
  <rcc rId="2515" sId="5">
    <oc r="AC51">
      <f>VLOOKUP(A51,INPUT_RANGE,79,FALSE) &amp; " cg"</f>
    </oc>
    <nc r="AC51">
      <f>VLOOKUP(A51,INPUT_RANGE,79,FALSE) &amp; " CG"</f>
    </nc>
  </rcc>
  <rcc rId="2516" sId="5">
    <oc r="AD51">
      <f>VLOOKUP(A51,INPUT_RANGE,80,FALSE) &amp; " sho"</f>
    </oc>
    <nc r="AD51">
      <f>VLOOKUP(A51,INPUT_RANGE,80,FALSE) &amp; " SHO"</f>
    </nc>
  </rcc>
  <rcc rId="2517" sId="5">
    <oc r="AE51">
      <f>VLOOKUP(A51,INPUT_RANGE,75,FALSE) &amp; " win"</f>
    </oc>
    <nc r="AE51">
      <f>VLOOKUP(A51,INPUT_RANGE,75,FALSE) &amp; " Win"</f>
    </nc>
  </rcc>
  <rcc rId="2518" sId="5">
    <oc r="AF51">
      <f>VLOOKUP(A51,INPUT_RANGE,76,FALSE) &amp; " loss"</f>
    </oc>
    <nc r="AF51">
      <f>VLOOKUP(A51,INPUT_RANGE,76,FALSE) &amp; " Loss"</f>
    </nc>
  </rcc>
  <rcc rId="2519" sId="5">
    <oc r="AG51">
      <f>VLOOKUP(A51,INPUT_RANGE,75,FALSE) &amp; "-" &amp; VLOOKUP(A51,INPUT_RANGE,76,FALSE) &amp; " w-l"</f>
    </oc>
    <nc r="AG51">
      <f>VLOOKUP(A51,INPUT_RANGE,75,FALSE) &amp; "-" &amp; VLOOKUP(A51,INPUT_RANGE,76,FALSE) &amp; " W-L"</f>
    </nc>
  </rcc>
  <rcc rId="2520" sId="5">
    <oc r="AH51">
      <f>VLOOKUP(A51,INPUT_RANGE,81,FALSE)&amp; " saves"</f>
    </oc>
    <nc r="AH51">
      <f>VLOOKUP(A51,INPUT_RANGE,81,FALSE)&amp; " Saves"</f>
    </nc>
  </rcc>
  <rcc rId="2521" sId="5">
    <oc r="AI51">
      <f>VLOOKUP(A51,INPUT_RANGE,83,FALSE) &amp; " h"</f>
    </oc>
    <nc r="AI51">
      <f>VLOOKUP(A51,INPUT_RANGE,83,FALSE) &amp; " H"</f>
    </nc>
  </rcc>
  <rcc rId="2522" sId="5">
    <oc r="AJ51">
      <f>VLOOKUP(A51,INPUT_RANGE,84,FALSE) &amp; " r"</f>
    </oc>
    <nc r="AJ51">
      <f>VLOOKUP(A51,INPUT_RANGE,84,FALSE) &amp; " R"</f>
    </nc>
  </rcc>
  <rcc rId="2523" sId="5">
    <oc r="AK51">
      <f>VLOOKUP(A51,INPUT_RANGE,85,FALSE) &amp;" er"</f>
    </oc>
    <nc r="AK51">
      <f>VLOOKUP(A51,INPUT_RANGE,85,FALSE) &amp;" ER"</f>
    </nc>
  </rcc>
  <rcc rId="2524" sId="5">
    <oc r="AL51">
      <f>VLOOKUP(A51,INPUT_RANGE,88,FALSE) &amp;" hr"</f>
    </oc>
    <nc r="AL51">
      <f>VLOOKUP(A51,INPUT_RANGE,88,FALSE) &amp;" HR"</f>
    </nc>
  </rcc>
  <rcc rId="2525" sId="5">
    <oc r="AM51">
      <f>VLOOKUP(A51,INPUT_RANGE,87,FALSE) &amp; " k"</f>
    </oc>
    <nc r="AM51">
      <f>VLOOKUP(A51,INPUT_RANGE,87,FALSE) &amp; " K"</f>
    </nc>
  </rcc>
  <rcc rId="2526" sId="5">
    <oc r="AN51">
      <f>VLOOKUP(A51,INPUT_RANGE,86,FALSE) &amp; " bb"</f>
    </oc>
    <nc r="AN51">
      <f>VLOOKUP(A51,INPUT_RANGE,86,FALSE) &amp; " BB"</f>
    </nc>
  </rcc>
  <rcc rId="2527" sId="5">
    <oc r="AO51">
      <f>TEXT(AU51,"0.00") &amp; " era"</f>
    </oc>
    <nc r="AO51">
      <f>TEXT(AU51,"0.00") &amp; " ERA"</f>
    </nc>
  </rcc>
  <rcc rId="2528" sId="5">
    <oc r="AP51">
      <f>TEXT(AT51,"0.00") &amp; " whip"</f>
    </oc>
    <nc r="AP51">
      <f>TEXT(AT51,"0.00") &amp; " WHIP"</f>
    </nc>
  </rcc>
  <rcc rId="2529" sId="5">
    <oc r="AQ51">
      <f xml:space="preserve"> IF(LEFT(RIGHT((VLOOKUP(A51,INPUT_RANGE,82,FALSE)),2),1)=".",RIGHT(VLOOKUP(A51,INPUT_RANGE,82,FALSE),1), "X")</f>
    </oc>
    <nc r="AQ51">
      <f xml:space="preserve"> IF(LEFT(RIGHT((VLOOKUP(A51,INPUT_RANGE,82,FALSE)),2),1)=".",RIGHT(VLOOKUP(A51,INPUT_RANGE,82,FALSE),1), "X")</f>
    </nc>
  </rcc>
  <rcc rId="2530" sId="5">
    <oc r="AR51">
      <f>IF(AQ51 ="1",0.333,IF(AQ51="2",0.666,0))</f>
    </oc>
    <nc r="AR51">
      <f>IF(AQ51 ="1",0.333,IF(AQ51="2",0.666,0))</f>
    </nc>
  </rcc>
  <rcc rId="2531" sId="5">
    <oc r="AS51">
      <f>VLOOKUP(A51,INPUT_RANGE,82,FALSE)-(AQ51*0.1)+AR51</f>
    </oc>
    <nc r="AS51">
      <f>VLOOKUP(A51,INPUT_RANGE,82,FALSE)-(AQ51*0.1)+AR51</f>
    </nc>
  </rcc>
  <rcc rId="2532" sId="5">
    <oc r="AT51">
      <f>ROUND((VLOOKUP(A51,INPUT_RANGE,86,FALSE)+VLOOKUP(A51,INPUT_RANGE,83,FALSE))/AS51,2)</f>
    </oc>
    <nc r="AT51">
      <f>ROUND((VLOOKUP(A51,INPUT_RANGE,86,FALSE)+VLOOKUP(A51,INPUT_RANGE,83,FALSE))/AS51,2)</f>
    </nc>
  </rcc>
  <rcc rId="2533" sId="5">
    <oc r="AU51">
      <f>ROUND((VLOOKUP(A51,INPUT_RANGE,85,FALSE)/AS51)*('Team Info'!$H$25),2)</f>
    </oc>
    <nc r="AU51">
      <f>ROUND((VLOOKUP(A51,INPUT_RANGE,85,FALSE)/AS51)*('D:\Data\Softball\[ESPN_BASEBALL_AWAY_OLD.xlsx]Team Info'!$H$25),2)</f>
    </nc>
  </rcc>
  <rcc rId="2534" sId="5">
    <oc r="AW51">
      <f>(VLOOKUP(A51,INPUT_RANGE,54,FALSE)/VLOOKUP(A51,INPUT_RANGE,52,FALSE))</f>
    </oc>
    <nc r="AW51">
      <f>(VLOOKUP(A51,INPUT_RANGE,54,FALSE)/VLOOKUP(A51,INPUT_RANGE,52,FALSE))</f>
    </nc>
  </rcc>
  <rcc rId="2535" sId="5">
    <oc r="AX51">
      <f>((VLOOKUP(A51,INPUT_RANGE,54,FALSE)+VLOOKUP(A51,INPUT_RANGE,60,FALSE)+VLOOKUP(A51,INPUT_RANGE,59,FALSE))/(VLOOKUP(A51,INPUT_RANGE,52,FALSE)+VLOOKUP(A51,INPUT_RANGE,60,FALSE)+VLOOKUP(A51,INPUT_RANGE,59,FALSE)+VLOOKUP(A51,INPUT_RANGE,63,FALSE)))</f>
    </oc>
    <nc r="AX51">
      <f>((VLOOKUP(A51,INPUT_RANGE,54,FALSE)+VLOOKUP(A51,INPUT_RANGE,60,FALSE)+VLOOKUP(A51,INPUT_RANGE,59,FALSE))/(VLOOKUP(A51,INPUT_RANGE,52,FALSE)+VLOOKUP(A51,INPUT_RANGE,60,FALSE)+VLOOKUP(A51,INPUT_RANGE,59,FALSE)+VLOOKUP(A51,INPUT_RANGE,63,FALSE)))</f>
    </nc>
  </rcc>
  <rcc rId="2536" sId="5">
    <oc r="AY51">
      <f>(VLOOKUP(A51,INPUT_RANGE,54)+VLOOKUP(A51,INPUT_RANGE,55)+(VLOOKUP(A51,INPUT_RANGE,56)*2)+(VLOOKUP(A51,INPUT_RANGE,57)*3))/(VLOOKUP(A51,INPUT_RANGE,52))</f>
    </oc>
    <nc r="AY51">
      <f>(VLOOKUP(A51,INPUT_RANGE,54)+VLOOKUP(A51,INPUT_RANGE,55)+(VLOOKUP(A51,INPUT_RANGE,56)*2)+(VLOOKUP(A51,INPUT_RANGE,57)*3))/(VLOOKUP(A51,INPUT_RANGE,52))</f>
    </nc>
  </rcc>
  <rcc rId="2537" sId="5">
    <oc r="AZ51">
      <f>AX51+AY51</f>
    </oc>
    <nc r="AZ51">
      <f>AX51+AY51</f>
    </nc>
  </rcc>
  <rcc rId="2538" sId="5">
    <oc r="BA51">
      <f xml:space="preserve"> TEXT(AZ51,".000") &amp; " ops"</f>
    </oc>
    <nc r="BA51">
      <f xml:space="preserve"> TEXT(AZ51,".000") &amp; " OPS"</f>
    </nc>
  </rcc>
  <rcc rId="2539" sId="5">
    <oc r="BB51">
      <f>VLOOKUP(A51,INPUT_RANGE,78,FALSE)</f>
    </oc>
    <nc r="BB51">
      <f>VLOOKUP(A51,INPUT_RANGE,78,FALSE)</f>
    </nc>
  </rcc>
  <rcc rId="2540" sId="5">
    <oc r="BC51">
      <f>VLOOKUP(A51,INPUT_RANGE,77,FALSE)</f>
    </oc>
    <nc r="BC51">
      <f>VLOOKUP(A51,INPUT_RANGE,77,FALSE)</f>
    </nc>
  </rcc>
  <rcc rId="2541" sId="5">
    <oc r="BD51">
      <f>VLOOKUP(A51,INPUT_RANGE,75,FALSE) &amp; "-" &amp; VLOOKUP(A51,INPUT_RANGE,76,FALSE)</f>
    </oc>
    <nc r="BD51">
      <f>VLOOKUP(A51,INPUT_RANGE,75,FALSE) &amp; "-" &amp; VLOOKUP(A51,INPUT_RANGE,76,FALSE)</f>
    </nc>
  </rcc>
  <rcc rId="2542" sId="5">
    <oc r="BE51">
      <f>AU51</f>
    </oc>
    <nc r="BE51">
      <f>AU51</f>
    </nc>
  </rcc>
  <rcc rId="2543" sId="5">
    <oc r="BF51">
      <f>AA51</f>
    </oc>
    <nc r="BF51">
      <f>AA51</f>
    </nc>
  </rcc>
  <rcc rId="2544" sId="5">
    <oc r="BG51">
      <f>VLOOKUP(A51,INPUT_RANGE,86,FALSE)</f>
    </oc>
    <nc r="BG51">
      <f>VLOOKUP(A51,INPUT_RANGE,86,FALSE)</f>
    </nc>
  </rcc>
  <rcc rId="2545" sId="5">
    <oc r="BH51">
      <f>VLOOKUP(A51,INPUT_RANGE,87,FALSE)</f>
    </oc>
    <nc r="BH51">
      <f>VLOOKUP(A51,INPUT_RANGE,87,FALSE)</f>
    </nc>
  </rcc>
  <rcc rId="2546" sId="5">
    <oc r="BI51">
      <f>VLOOKUP(A51,INPUT_RANGE,81,FALSE) &amp; " SAVES"</f>
    </oc>
    <nc r="BI51">
      <f>VLOOKUP(A51,INPUT_RANGE,81,FALSE) &amp; " SAVES"</f>
    </nc>
  </rcc>
  <rcc rId="2547" sId="5">
    <oc r="BJ51">
      <f>VLOOKUP(A51,INPUT_RANGE,81,FALSE)</f>
    </oc>
    <nc r="BJ51">
      <f>VLOOKUP(A51,INPUT_RANGE,81,FALSE)</f>
    </nc>
  </rcc>
  <rcc rId="2548" sId="5">
    <oc r="BK51">
      <f>VLOOKUP(A51,INPUT_RANGE,83,FALSE)</f>
    </oc>
    <nc r="BK51">
      <f>VLOOKUP(A51,INPUT_RANGE,83,FALSE)</f>
    </nc>
  </rcc>
  <rcc rId="2549" sId="5">
    <oc r="BL51">
      <f>VLOOKUP(A51,INPUT_RANGE,87,FALSE) &amp; "/" &amp; VLOOKUP(A51,INPUT_RANGE,86,FALSE)</f>
    </oc>
    <nc r="BL51">
      <f>VLOOKUP(A51,INPUT_RANGE,87,FALSE) &amp; "/" &amp; VLOOKUP(A51,INPUT_RANGE,86,FALSE)</f>
    </nc>
  </rcc>
  <rcc rId="2550" sId="5">
    <oc r="BM51">
      <f>ROUND((VLOOKUP(A51,INPUT_RANGE,86,FALSE)+VLOOKUP(A51,INPUT_RANGE,83,FALSE))/AS51,2)</f>
    </oc>
    <nc r="BM51">
      <f>ROUND((VLOOKUP(A51,INPUT_RANGE,86,FALSE)+VLOOKUP(A51,INPUT_RANGE,83,FALSE))/AS51,2)</f>
    </nc>
  </rcc>
  <rcc rId="2551" sId="5">
    <oc r="M52">
      <f xml:space="preserve"> TEXT(AW52,".000") &amp; " ba"</f>
    </oc>
    <nc r="M52">
      <f xml:space="preserve"> TEXT(AW52,".000") &amp; " BA"</f>
    </nc>
  </rcc>
  <rcc rId="2552" sId="5">
    <oc r="N52">
      <f>VLOOKUP(A52,INPUT_RANGE,58,FALSE) &amp; " rbi"</f>
    </oc>
    <nc r="N52">
      <f>VLOOKUP(A52,INPUT_RANGE,58,FALSE) &amp; " RBI"</f>
    </nc>
  </rcc>
  <rcc rId="2553" sId="5">
    <oc r="O52">
      <f>VLOOKUP(A52,INPUT_RANGE,60,FALSE) &amp; " bb"</f>
    </oc>
    <nc r="O52">
      <f>VLOOKUP(A52,INPUT_RANGE,60,FALSE) &amp; " BB"</f>
    </nc>
  </rcc>
  <rcc rId="2554" sId="5">
    <oc r="P52">
      <f>VLOOKUP(A52,INPUT_RANGE,61,FALSE) &amp; " k"</f>
    </oc>
    <nc r="P52">
      <f>VLOOKUP(A52,INPUT_RANGE,61,FALSE) &amp; " K"</f>
    </nc>
  </rcc>
  <rcc rId="2555" sId="5">
    <oc r="Q52">
      <f>VLOOKUP(A52,INPUT_RANGE,64,FALSE) &amp; " sb"</f>
    </oc>
    <nc r="Q52">
      <f>VLOOKUP(A52,INPUT_RANGE,64,FALSE) &amp; " SB"</f>
    </nc>
  </rcc>
  <rcc rId="2556" sId="5">
    <oc r="R52">
      <f>VLOOKUP(A52,INPUT_RANGE,55,FALSE) &amp; " 2b"</f>
    </oc>
    <nc r="R52">
      <f>VLOOKUP(A52,INPUT_RANGE,55,FALSE) &amp; " 2B"</f>
    </nc>
  </rcc>
  <rcc rId="2557" sId="5">
    <oc r="S52">
      <f>VLOOKUP(A52,INPUT_RANGE,56,FALSE) &amp; " 3b"</f>
    </oc>
    <nc r="S52">
      <f>VLOOKUP(A52,INPUT_RANGE,56,FALSE) &amp; " 3B"</f>
    </nc>
  </rcc>
  <rcc rId="2558" sId="5">
    <oc r="T52">
      <f>VLOOKUP(A52,INPUT_RANGE,57,FALSE) &amp; " hr"</f>
    </oc>
    <nc r="T52">
      <f>VLOOKUP(A52,INPUT_RANGE,57,FALSE) &amp; " HR"</f>
    </nc>
  </rcc>
  <rcc rId="2559" sId="5">
    <oc r="U52">
      <f>VLOOKUP(A52,INPUT_RANGE,53,FALSE) &amp; " r"</f>
    </oc>
    <nc r="U52">
      <f>VLOOKUP(A52,INPUT_RANGE,53,FALSE) &amp; " R"</f>
    </nc>
  </rcc>
  <rcc rId="2560" sId="5">
    <oc r="V52">
      <f>TEXT(AX52, ".000") &amp; " obp"</f>
    </oc>
    <nc r="V52">
      <f>TEXT(AX52, ".000") &amp; " OBP"</f>
    </nc>
  </rcc>
  <rcc rId="2561" sId="5">
    <oc r="X52">
      <f>VLOOKUP(A52,INPUT_RANGE,77,FALSE)&amp;" games"</f>
    </oc>
    <nc r="X52">
      <f>VLOOKUP(A52,INPUT_RANGE,77,FALSE)&amp;" games"</f>
    </nc>
  </rcc>
  <rcc rId="2562" sId="5">
    <oc r="Y52">
      <f>VLOOKUP(A52,INPUT_RANGE,78,FALSE) &amp; " starts"</f>
    </oc>
    <nc r="Y52">
      <f>VLOOKUP(A52,INPUT_RANGE,78,FALSE) &amp; " starts"</f>
    </nc>
  </rcc>
  <rcc rId="2563" sId="5">
    <oc r="Z52">
      <f>VLOOKUP(A52,INPUT_RANGE,82,FALSE) &amp; " ip"</f>
    </oc>
    <nc r="Z52">
      <f>VLOOKUP(A52,INPUT_RANGE,82,FALSE) &amp; " IP"</f>
    </nc>
  </rcc>
  <rcc rId="2564" sId="5">
    <oc r="AA52">
      <f>TRUNC(VLOOKUP(A52,INPUT_RANGE,82,FALSE)) &amp;  IF(AR52=0.333,"º",IF(AR52=0.666,"»",""))</f>
    </oc>
    <nc r="AA52">
      <f>TRUNC(VLOOKUP(A52,INPUT_RANGE,82,FALSE)) &amp;  IF(AR52=0.333,"º",IF(AR52=0.666,"»",""))</f>
    </nc>
  </rcc>
  <rcc rId="2565" sId="5">
    <oc r="AB52">
      <f>AA52&amp; " ip"</f>
    </oc>
    <nc r="AB52">
      <f>AA52&amp; " IP"</f>
    </nc>
  </rcc>
  <rcc rId="2566" sId="5">
    <oc r="AC52">
      <f>VLOOKUP(A52,INPUT_RANGE,79,FALSE) &amp; " cg"</f>
    </oc>
    <nc r="AC52">
      <f>VLOOKUP(A52,INPUT_RANGE,79,FALSE) &amp; " CG"</f>
    </nc>
  </rcc>
  <rcc rId="2567" sId="5">
    <oc r="AD52">
      <f>VLOOKUP(A52,INPUT_RANGE,80,FALSE) &amp; " sho"</f>
    </oc>
    <nc r="AD52">
      <f>VLOOKUP(A52,INPUT_RANGE,80,FALSE) &amp; " SHO"</f>
    </nc>
  </rcc>
  <rcc rId="2568" sId="5">
    <oc r="AE52">
      <f>VLOOKUP(A52,INPUT_RANGE,75,FALSE) &amp; " win"</f>
    </oc>
    <nc r="AE52">
      <f>VLOOKUP(A52,INPUT_RANGE,75,FALSE) &amp; " Win"</f>
    </nc>
  </rcc>
  <rcc rId="2569" sId="5">
    <oc r="AF52">
      <f>VLOOKUP(A52,INPUT_RANGE,76,FALSE) &amp; " loss"</f>
    </oc>
    <nc r="AF52">
      <f>VLOOKUP(A52,INPUT_RANGE,76,FALSE) &amp; " Loss"</f>
    </nc>
  </rcc>
  <rcc rId="2570" sId="5">
    <oc r="AG52">
      <f>VLOOKUP(A52,INPUT_RANGE,75,FALSE) &amp; "-" &amp; VLOOKUP(A52,INPUT_RANGE,76,FALSE) &amp; " w-l"</f>
    </oc>
    <nc r="AG52">
      <f>VLOOKUP(A52,INPUT_RANGE,75,FALSE) &amp; "-" &amp; VLOOKUP(A52,INPUT_RANGE,76,FALSE) &amp; " W-L"</f>
    </nc>
  </rcc>
  <rcc rId="2571" sId="5">
    <oc r="AH52">
      <f>VLOOKUP(A52,INPUT_RANGE,81,FALSE)&amp; " saves"</f>
    </oc>
    <nc r="AH52">
      <f>VLOOKUP(A52,INPUT_RANGE,81,FALSE)&amp; " Saves"</f>
    </nc>
  </rcc>
  <rcc rId="2572" sId="5">
    <oc r="AI52">
      <f>VLOOKUP(A52,INPUT_RANGE,83,FALSE) &amp; " h"</f>
    </oc>
    <nc r="AI52">
      <f>VLOOKUP(A52,INPUT_RANGE,83,FALSE) &amp; " H"</f>
    </nc>
  </rcc>
  <rcc rId="2573" sId="5">
    <oc r="AJ52">
      <f>VLOOKUP(A52,INPUT_RANGE,84,FALSE) &amp; " r"</f>
    </oc>
    <nc r="AJ52">
      <f>VLOOKUP(A52,INPUT_RANGE,84,FALSE) &amp; " R"</f>
    </nc>
  </rcc>
  <rcc rId="2574" sId="5">
    <oc r="AK52">
      <f>VLOOKUP(A52,INPUT_RANGE,85,FALSE) &amp;" er"</f>
    </oc>
    <nc r="AK52">
      <f>VLOOKUP(A52,INPUT_RANGE,85,FALSE) &amp;" ER"</f>
    </nc>
  </rcc>
  <rcc rId="2575" sId="5">
    <oc r="AL52">
      <f>VLOOKUP(A52,INPUT_RANGE,88,FALSE) &amp;" hr"</f>
    </oc>
    <nc r="AL52">
      <f>VLOOKUP(A52,INPUT_RANGE,88,FALSE) &amp;" HR"</f>
    </nc>
  </rcc>
  <rcc rId="2576" sId="5">
    <oc r="AM52">
      <f>VLOOKUP(A52,INPUT_RANGE,87,FALSE) &amp; " k"</f>
    </oc>
    <nc r="AM52">
      <f>VLOOKUP(A52,INPUT_RANGE,87,FALSE) &amp; " K"</f>
    </nc>
  </rcc>
  <rcc rId="2577" sId="5">
    <oc r="AN52">
      <f>VLOOKUP(A52,INPUT_RANGE,86,FALSE) &amp; " bb"</f>
    </oc>
    <nc r="AN52">
      <f>VLOOKUP(A52,INPUT_RANGE,86,FALSE) &amp; " BB"</f>
    </nc>
  </rcc>
  <rcc rId="2578" sId="5">
    <oc r="AO52">
      <f>TEXT(AU52,"0.00") &amp; " era"</f>
    </oc>
    <nc r="AO52">
      <f>TEXT(AU52,"0.00") &amp; " ERA"</f>
    </nc>
  </rcc>
  <rcc rId="2579" sId="5">
    <oc r="AP52">
      <f>TEXT(AT52,"0.00") &amp; " whip"</f>
    </oc>
    <nc r="AP52">
      <f>TEXT(AT52,"0.00") &amp; " WHIP"</f>
    </nc>
  </rcc>
  <rcc rId="2580" sId="5">
    <oc r="AQ52">
      <f xml:space="preserve"> IF(LEFT(RIGHT((VLOOKUP(A52,INPUT_RANGE,82,FALSE)),2),1)=".",RIGHT(VLOOKUP(A52,INPUT_RANGE,82,FALSE),1), "X")</f>
    </oc>
    <nc r="AQ52">
      <f xml:space="preserve"> IF(LEFT(RIGHT((VLOOKUP(A52,INPUT_RANGE,82,FALSE)),2),1)=".",RIGHT(VLOOKUP(A52,INPUT_RANGE,82,FALSE),1), "X")</f>
    </nc>
  </rcc>
  <rcc rId="2581" sId="5">
    <oc r="AR52">
      <f>IF(AQ52 ="1",0.333,IF(AQ52="2",0.666,0))</f>
    </oc>
    <nc r="AR52">
      <f>IF(AQ52 ="1",0.333,IF(AQ52="2",0.666,0))</f>
    </nc>
  </rcc>
  <rcc rId="2582" sId="5">
    <oc r="AS52">
      <f>VLOOKUP(A52,INPUT_RANGE,82,FALSE)-(AQ52*0.1)+AR52</f>
    </oc>
    <nc r="AS52">
      <f>VLOOKUP(A52,INPUT_RANGE,82,FALSE)-(AQ52*0.1)+AR52</f>
    </nc>
  </rcc>
  <rcc rId="2583" sId="5">
    <oc r="AT52">
      <f>ROUND((VLOOKUP(A52,INPUT_RANGE,86,FALSE)+VLOOKUP(A52,INPUT_RANGE,83,FALSE))/AS52,2)</f>
    </oc>
    <nc r="AT52">
      <f>ROUND((VLOOKUP(A52,INPUT_RANGE,86,FALSE)+VLOOKUP(A52,INPUT_RANGE,83,FALSE))/AS52,2)</f>
    </nc>
  </rcc>
  <rcc rId="2584" sId="5">
    <oc r="AU52">
      <f>ROUND((VLOOKUP(A52,INPUT_RANGE,85,FALSE)/AS52)*('Team Info'!$H$25),2)</f>
    </oc>
    <nc r="AU52">
      <f>ROUND((VLOOKUP(A52,INPUT_RANGE,85,FALSE)/AS52)*('D:\Data\Softball\[ESPN_BASEBALL_AWAY_OLD.xlsx]Team Info'!$H$25),2)</f>
    </nc>
  </rcc>
  <rcc rId="2585" sId="5">
    <oc r="AW52">
      <f>(VLOOKUP(A52,INPUT_RANGE,54,FALSE)/VLOOKUP(A52,INPUT_RANGE,52,FALSE))</f>
    </oc>
    <nc r="AW52">
      <f>(VLOOKUP(A52,INPUT_RANGE,54,FALSE)/VLOOKUP(A52,INPUT_RANGE,52,FALSE))</f>
    </nc>
  </rcc>
  <rcc rId="2586" sId="5">
    <oc r="AX52">
      <f>((VLOOKUP(A52,INPUT_RANGE,54,FALSE)+VLOOKUP(A52,INPUT_RANGE,60,FALSE)+VLOOKUP(A52,INPUT_RANGE,59,FALSE))/(VLOOKUP(A52,INPUT_RANGE,52,FALSE)+VLOOKUP(A52,INPUT_RANGE,60,FALSE)+VLOOKUP(A52,INPUT_RANGE,59,FALSE)+VLOOKUP(A52,INPUT_RANGE,63,FALSE)))</f>
    </oc>
    <nc r="AX52">
      <f>((VLOOKUP(A52,INPUT_RANGE,54,FALSE)+VLOOKUP(A52,INPUT_RANGE,60,FALSE)+VLOOKUP(A52,INPUT_RANGE,59,FALSE))/(VLOOKUP(A52,INPUT_RANGE,52,FALSE)+VLOOKUP(A52,INPUT_RANGE,60,FALSE)+VLOOKUP(A52,INPUT_RANGE,59,FALSE)+VLOOKUP(A52,INPUT_RANGE,63,FALSE)))</f>
    </nc>
  </rcc>
  <rcc rId="2587" sId="5">
    <oc r="AY52">
      <f>(VLOOKUP(A52,INPUT_RANGE,54)+VLOOKUP(A52,INPUT_RANGE,55)+(VLOOKUP(A52,INPUT_RANGE,56)*2)+(VLOOKUP(A52,INPUT_RANGE,57)*3))/(VLOOKUP(A52,INPUT_RANGE,52))</f>
    </oc>
    <nc r="AY52">
      <f>(VLOOKUP(A52,INPUT_RANGE,54)+VLOOKUP(A52,INPUT_RANGE,55)+(VLOOKUP(A52,INPUT_RANGE,56)*2)+(VLOOKUP(A52,INPUT_RANGE,57)*3))/(VLOOKUP(A52,INPUT_RANGE,52))</f>
    </nc>
  </rcc>
  <rcc rId="2588" sId="5">
    <oc r="AZ52">
      <f>AX52+AY52</f>
    </oc>
    <nc r="AZ52">
      <f>AX52+AY52</f>
    </nc>
  </rcc>
  <rcc rId="2589" sId="5">
    <oc r="BA52">
      <f xml:space="preserve"> TEXT(AZ52,".000") &amp; " ops"</f>
    </oc>
    <nc r="BA52">
      <f xml:space="preserve"> TEXT(AZ52,".000") &amp; " OPS"</f>
    </nc>
  </rcc>
  <rcc rId="2590" sId="5">
    <oc r="BB52">
      <f>VLOOKUP(A52,INPUT_RANGE,78,FALSE)</f>
    </oc>
    <nc r="BB52">
      <f>VLOOKUP(A52,INPUT_RANGE,78,FALSE)</f>
    </nc>
  </rcc>
  <rcc rId="2591" sId="5">
    <oc r="BC52">
      <f>VLOOKUP(A52,INPUT_RANGE,77,FALSE)</f>
    </oc>
    <nc r="BC52">
      <f>VLOOKUP(A52,INPUT_RANGE,77,FALSE)</f>
    </nc>
  </rcc>
  <rcc rId="2592" sId="5">
    <oc r="BD52">
      <f>VLOOKUP(A52,INPUT_RANGE,75,FALSE) &amp; "-" &amp; VLOOKUP(A52,INPUT_RANGE,76,FALSE)</f>
    </oc>
    <nc r="BD52">
      <f>VLOOKUP(A52,INPUT_RANGE,75,FALSE) &amp; "-" &amp; VLOOKUP(A52,INPUT_RANGE,76,FALSE)</f>
    </nc>
  </rcc>
  <rcc rId="2593" sId="5">
    <oc r="BE52">
      <f>AU52</f>
    </oc>
    <nc r="BE52">
      <f>AU52</f>
    </nc>
  </rcc>
  <rcc rId="2594" sId="5">
    <oc r="BF52">
      <f>AA52</f>
    </oc>
    <nc r="BF52">
      <f>AA52</f>
    </nc>
  </rcc>
  <rcc rId="2595" sId="5">
    <oc r="BG52">
      <f>VLOOKUP(A52,INPUT_RANGE,86,FALSE)</f>
    </oc>
    <nc r="BG52">
      <f>VLOOKUP(A52,INPUT_RANGE,86,FALSE)</f>
    </nc>
  </rcc>
  <rcc rId="2596" sId="5">
    <oc r="BH52">
      <f>VLOOKUP(A52,INPUT_RANGE,87,FALSE)</f>
    </oc>
    <nc r="BH52">
      <f>VLOOKUP(A52,INPUT_RANGE,87,FALSE)</f>
    </nc>
  </rcc>
  <rcc rId="2597" sId="5">
    <oc r="BI52">
      <f>VLOOKUP(A52,INPUT_RANGE,81,FALSE) &amp; " SAVES"</f>
    </oc>
    <nc r="BI52">
      <f>VLOOKUP(A52,INPUT_RANGE,81,FALSE) &amp; " SAVES"</f>
    </nc>
  </rcc>
  <rcc rId="2598" sId="5">
    <oc r="BJ52">
      <f>VLOOKUP(A52,INPUT_RANGE,81,FALSE)</f>
    </oc>
    <nc r="BJ52">
      <f>VLOOKUP(A52,INPUT_RANGE,81,FALSE)</f>
    </nc>
  </rcc>
  <rcc rId="2599" sId="5">
    <oc r="BK52">
      <f>VLOOKUP(A52,INPUT_RANGE,83,FALSE)</f>
    </oc>
    <nc r="BK52">
      <f>VLOOKUP(A52,INPUT_RANGE,83,FALSE)</f>
    </nc>
  </rcc>
  <rcc rId="2600" sId="5">
    <oc r="BL52">
      <f>VLOOKUP(A52,INPUT_RANGE,87,FALSE) &amp; "/" &amp; VLOOKUP(A52,INPUT_RANGE,86,FALSE)</f>
    </oc>
    <nc r="BL52">
      <f>VLOOKUP(A52,INPUT_RANGE,87,FALSE) &amp; "/" &amp; VLOOKUP(A52,INPUT_RANGE,86,FALSE)</f>
    </nc>
  </rcc>
  <rcc rId="2601" sId="5">
    <oc r="BM52">
      <f>ROUND((VLOOKUP(A52,INPUT_RANGE,86,FALSE)+VLOOKUP(A52,INPUT_RANGE,83,FALSE))/AS52,2)</f>
    </oc>
    <nc r="BM52">
      <f>ROUND((VLOOKUP(A52,INPUT_RANGE,86,FALSE)+VLOOKUP(A52,INPUT_RANGE,83,FALSE))/AS52,2)</f>
    </nc>
  </rcc>
  <rcc rId="2602" sId="5">
    <oc r="M53">
      <f xml:space="preserve"> TEXT(AW53,".000") &amp; " ba"</f>
    </oc>
    <nc r="M53">
      <f xml:space="preserve"> TEXT(AW53,".000") &amp; " BA"</f>
    </nc>
  </rcc>
  <rcc rId="2603" sId="5">
    <oc r="N53">
      <f>VLOOKUP(A53,INPUT_RANGE,58,FALSE) &amp; " rbi"</f>
    </oc>
    <nc r="N53">
      <f>VLOOKUP(A53,INPUT_RANGE,58,FALSE) &amp; " RBI"</f>
    </nc>
  </rcc>
  <rcc rId="2604" sId="5">
    <oc r="O53">
      <f>VLOOKUP(A53,INPUT_RANGE,60,FALSE) &amp; " bb"</f>
    </oc>
    <nc r="O53">
      <f>VLOOKUP(A53,INPUT_RANGE,60,FALSE) &amp; " BB"</f>
    </nc>
  </rcc>
  <rcc rId="2605" sId="5">
    <oc r="P53">
      <f>VLOOKUP(A53,INPUT_RANGE,61,FALSE) &amp; " k"</f>
    </oc>
    <nc r="P53">
      <f>VLOOKUP(A53,INPUT_RANGE,61,FALSE) &amp; " K"</f>
    </nc>
  </rcc>
  <rcc rId="2606" sId="5">
    <oc r="Q53">
      <f>VLOOKUP(A53,INPUT_RANGE,64,FALSE) &amp; " sb"</f>
    </oc>
    <nc r="Q53">
      <f>VLOOKUP(A53,INPUT_RANGE,64,FALSE) &amp; " SB"</f>
    </nc>
  </rcc>
  <rcc rId="2607" sId="5">
    <oc r="R53">
      <f>VLOOKUP(A53,INPUT_RANGE,55,FALSE) &amp; " 2b"</f>
    </oc>
    <nc r="R53">
      <f>VLOOKUP(A53,INPUT_RANGE,55,FALSE) &amp; " 2B"</f>
    </nc>
  </rcc>
  <rcc rId="2608" sId="5">
    <oc r="S53">
      <f>VLOOKUP(A53,INPUT_RANGE,56,FALSE) &amp; " 3b"</f>
    </oc>
    <nc r="S53">
      <f>VLOOKUP(A53,INPUT_RANGE,56,FALSE) &amp; " 3B"</f>
    </nc>
  </rcc>
  <rcc rId="2609" sId="5">
    <oc r="T53">
      <f>VLOOKUP(A53,INPUT_RANGE,57,FALSE) &amp; " hr"</f>
    </oc>
    <nc r="T53">
      <f>VLOOKUP(A53,INPUT_RANGE,57,FALSE) &amp; " HR"</f>
    </nc>
  </rcc>
  <rcc rId="2610" sId="5">
    <oc r="U53">
      <f>VLOOKUP(A53,INPUT_RANGE,53,FALSE) &amp; " r"</f>
    </oc>
    <nc r="U53">
      <f>VLOOKUP(A53,INPUT_RANGE,53,FALSE) &amp; " R"</f>
    </nc>
  </rcc>
  <rcc rId="2611" sId="5">
    <oc r="V53">
      <f>TEXT(AX53, ".000") &amp; " obp"</f>
    </oc>
    <nc r="V53">
      <f>TEXT(AX53, ".000") &amp; " OBP"</f>
    </nc>
  </rcc>
  <rcc rId="2612" sId="5">
    <oc r="X53">
      <f>VLOOKUP(A53,INPUT_RANGE,77,FALSE)&amp;" games"</f>
    </oc>
    <nc r="X53">
      <f>VLOOKUP(A53,INPUT_RANGE,77,FALSE)&amp;" games"</f>
    </nc>
  </rcc>
  <rcc rId="2613" sId="5">
    <oc r="Y53">
      <f>VLOOKUP(A53,INPUT_RANGE,78,FALSE) &amp; " starts"</f>
    </oc>
    <nc r="Y53">
      <f>VLOOKUP(A53,INPUT_RANGE,78,FALSE) &amp; " starts"</f>
    </nc>
  </rcc>
  <rcc rId="2614" sId="5">
    <oc r="Z53">
      <f>VLOOKUP(A53,INPUT_RANGE,82,FALSE) &amp; " ip"</f>
    </oc>
    <nc r="Z53">
      <f>VLOOKUP(A53,INPUT_RANGE,82,FALSE) &amp; " IP"</f>
    </nc>
  </rcc>
  <rcc rId="2615" sId="5">
    <oc r="AA53">
      <f>TRUNC(VLOOKUP(A53,INPUT_RANGE,82,FALSE)) &amp;  IF(AR53=0.333,"º",IF(AR53=0.666,"»",""))</f>
    </oc>
    <nc r="AA53">
      <f>TRUNC(VLOOKUP(A53,INPUT_RANGE,82,FALSE)) &amp;  IF(AR53=0.333,"º",IF(AR53=0.666,"»",""))</f>
    </nc>
  </rcc>
  <rcc rId="2616" sId="5">
    <oc r="AB53">
      <f>AA53&amp; " ip"</f>
    </oc>
    <nc r="AB53">
      <f>AA53&amp; " IP"</f>
    </nc>
  </rcc>
  <rcc rId="2617" sId="5">
    <oc r="AC53">
      <f>VLOOKUP(A53,INPUT_RANGE,79,FALSE) &amp; " cg"</f>
    </oc>
    <nc r="AC53">
      <f>VLOOKUP(A53,INPUT_RANGE,79,FALSE) &amp; " CG"</f>
    </nc>
  </rcc>
  <rcc rId="2618" sId="5">
    <oc r="AD53">
      <f>VLOOKUP(A53,INPUT_RANGE,80,FALSE) &amp; " sho"</f>
    </oc>
    <nc r="AD53">
      <f>VLOOKUP(A53,INPUT_RANGE,80,FALSE) &amp; " SHO"</f>
    </nc>
  </rcc>
  <rcc rId="2619" sId="5">
    <oc r="AE53">
      <f>VLOOKUP(A53,INPUT_RANGE,75,FALSE) &amp; " win"</f>
    </oc>
    <nc r="AE53">
      <f>VLOOKUP(A53,INPUT_RANGE,75,FALSE) &amp; " Win"</f>
    </nc>
  </rcc>
  <rcc rId="2620" sId="5">
    <oc r="AF53">
      <f>VLOOKUP(A53,INPUT_RANGE,76,FALSE) &amp; " loss"</f>
    </oc>
    <nc r="AF53">
      <f>VLOOKUP(A53,INPUT_RANGE,76,FALSE) &amp; " Loss"</f>
    </nc>
  </rcc>
  <rcc rId="2621" sId="5">
    <oc r="AG53">
      <f>VLOOKUP(A53,INPUT_RANGE,75,FALSE) &amp; "-" &amp; VLOOKUP(A53,INPUT_RANGE,76,FALSE) &amp; " w-l"</f>
    </oc>
    <nc r="AG53">
      <f>VLOOKUP(A53,INPUT_RANGE,75,FALSE) &amp; "-" &amp; VLOOKUP(A53,INPUT_RANGE,76,FALSE) &amp; " W-L"</f>
    </nc>
  </rcc>
  <rcc rId="2622" sId="5">
    <oc r="AH53">
      <f>VLOOKUP(A53,INPUT_RANGE,81,FALSE)&amp; " saves"</f>
    </oc>
    <nc r="AH53">
      <f>VLOOKUP(A53,INPUT_RANGE,81,FALSE)&amp; " Saves"</f>
    </nc>
  </rcc>
  <rcc rId="2623" sId="5">
    <oc r="AI53">
      <f>VLOOKUP(A53,INPUT_RANGE,83,FALSE) &amp; " h"</f>
    </oc>
    <nc r="AI53">
      <f>VLOOKUP(A53,INPUT_RANGE,83,FALSE) &amp; " H"</f>
    </nc>
  </rcc>
  <rcc rId="2624" sId="5">
    <oc r="AJ53">
      <f>VLOOKUP(A53,INPUT_RANGE,84,FALSE) &amp; " r"</f>
    </oc>
    <nc r="AJ53">
      <f>VLOOKUP(A53,INPUT_RANGE,84,FALSE) &amp; " R"</f>
    </nc>
  </rcc>
  <rcc rId="2625" sId="5">
    <oc r="AK53">
      <f>VLOOKUP(A53,INPUT_RANGE,85,FALSE) &amp;" er"</f>
    </oc>
    <nc r="AK53">
      <f>VLOOKUP(A53,INPUT_RANGE,85,FALSE) &amp;" ER"</f>
    </nc>
  </rcc>
  <rcc rId="2626" sId="5">
    <oc r="AL53">
      <f>VLOOKUP(A53,INPUT_RANGE,88,FALSE) &amp;" hr"</f>
    </oc>
    <nc r="AL53">
      <f>VLOOKUP(A53,INPUT_RANGE,88,FALSE) &amp;" HR"</f>
    </nc>
  </rcc>
  <rcc rId="2627" sId="5">
    <oc r="AM53">
      <f>VLOOKUP(A53,INPUT_RANGE,87,FALSE) &amp; " k"</f>
    </oc>
    <nc r="AM53">
      <f>VLOOKUP(A53,INPUT_RANGE,87,FALSE) &amp; " K"</f>
    </nc>
  </rcc>
  <rcc rId="2628" sId="5">
    <oc r="AN53">
      <f>VLOOKUP(A53,INPUT_RANGE,86,FALSE) &amp; " bb"</f>
    </oc>
    <nc r="AN53">
      <f>VLOOKUP(A53,INPUT_RANGE,86,FALSE) &amp; " BB"</f>
    </nc>
  </rcc>
  <rcc rId="2629" sId="5">
    <oc r="AO53">
      <f>TEXT(AU53,"0.00") &amp; " era"</f>
    </oc>
    <nc r="AO53">
      <f>TEXT(AU53,"0.00") &amp; " ERA"</f>
    </nc>
  </rcc>
  <rcc rId="2630" sId="5">
    <oc r="AP53">
      <f>TEXT(AT53,"0.00") &amp; " whip"</f>
    </oc>
    <nc r="AP53">
      <f>TEXT(AT53,"0.00") &amp; " WHIP"</f>
    </nc>
  </rcc>
  <rcc rId="2631" sId="5">
    <oc r="AQ53">
      <f xml:space="preserve"> IF(LEFT(RIGHT((VLOOKUP(A53,INPUT_RANGE,82,FALSE)),2),1)=".",RIGHT(VLOOKUP(A53,INPUT_RANGE,82,FALSE),1), "X")</f>
    </oc>
    <nc r="AQ53">
      <f xml:space="preserve"> IF(LEFT(RIGHT((VLOOKUP(A53,INPUT_RANGE,82,FALSE)),2),1)=".",RIGHT(VLOOKUP(A53,INPUT_RANGE,82,FALSE),1), "X")</f>
    </nc>
  </rcc>
  <rcc rId="2632" sId="5">
    <oc r="AR53">
      <f>IF(AQ53 ="1",0.333,IF(AQ53="2",0.666,0))</f>
    </oc>
    <nc r="AR53">
      <f>IF(AQ53 ="1",0.333,IF(AQ53="2",0.666,0))</f>
    </nc>
  </rcc>
  <rcc rId="2633" sId="5">
    <oc r="AS53">
      <f>VLOOKUP(A53,INPUT_RANGE,82,FALSE)-(AQ53*0.1)+AR53</f>
    </oc>
    <nc r="AS53">
      <f>VLOOKUP(A53,INPUT_RANGE,82,FALSE)-(AQ53*0.1)+AR53</f>
    </nc>
  </rcc>
  <rcc rId="2634" sId="5">
    <oc r="AT53">
      <f>ROUND((VLOOKUP(A53,INPUT_RANGE,86,FALSE)+VLOOKUP(A53,INPUT_RANGE,83,FALSE))/AS53,2)</f>
    </oc>
    <nc r="AT53">
      <f>ROUND((VLOOKUP(A53,INPUT_RANGE,86,FALSE)+VLOOKUP(A53,INPUT_RANGE,83,FALSE))/AS53,2)</f>
    </nc>
  </rcc>
  <rcc rId="2635" sId="5">
    <oc r="AU53">
      <f>ROUND((VLOOKUP(A53,INPUT_RANGE,85,FALSE)/AS53)*('Team Info'!$H$25),2)</f>
    </oc>
    <nc r="AU53">
      <f>ROUND((VLOOKUP(A53,INPUT_RANGE,85,FALSE)/AS53)*('D:\Data\Softball\[ESPN_BASEBALL_AWAY_OLD.xlsx]Team Info'!$H$25),2)</f>
    </nc>
  </rcc>
  <rcc rId="2636" sId="5">
    <oc r="AW53">
      <f>(VLOOKUP(A53,INPUT_RANGE,54,FALSE)/VLOOKUP(A53,INPUT_RANGE,52,FALSE))</f>
    </oc>
    <nc r="AW53">
      <f>(VLOOKUP(A53,INPUT_RANGE,54,FALSE)/VLOOKUP(A53,INPUT_RANGE,52,FALSE))</f>
    </nc>
  </rcc>
  <rcc rId="2637" sId="5">
    <oc r="AX53">
      <f>((VLOOKUP(A53,INPUT_RANGE,54,FALSE)+VLOOKUP(A53,INPUT_RANGE,60,FALSE)+VLOOKUP(A53,INPUT_RANGE,59,FALSE))/(VLOOKUP(A53,INPUT_RANGE,52,FALSE)+VLOOKUP(A53,INPUT_RANGE,60,FALSE)+VLOOKUP(A53,INPUT_RANGE,59,FALSE)+VLOOKUP(A53,INPUT_RANGE,63,FALSE)))</f>
    </oc>
    <nc r="AX53">
      <f>((VLOOKUP(A53,INPUT_RANGE,54,FALSE)+VLOOKUP(A53,INPUT_RANGE,60,FALSE)+VLOOKUP(A53,INPUT_RANGE,59,FALSE))/(VLOOKUP(A53,INPUT_RANGE,52,FALSE)+VLOOKUP(A53,INPUT_RANGE,60,FALSE)+VLOOKUP(A53,INPUT_RANGE,59,FALSE)+VLOOKUP(A53,INPUT_RANGE,63,FALSE)))</f>
    </nc>
  </rcc>
  <rcc rId="2638" sId="5">
    <oc r="AY53">
      <f>(VLOOKUP(A53,INPUT_RANGE,54)+VLOOKUP(A53,INPUT_RANGE,55)+(VLOOKUP(A53,INPUT_RANGE,56)*2)+(VLOOKUP(A53,INPUT_RANGE,57)*3))/(VLOOKUP(A53,INPUT_RANGE,52))</f>
    </oc>
    <nc r="AY53">
      <f>(VLOOKUP(A53,INPUT_RANGE,54)+VLOOKUP(A53,INPUT_RANGE,55)+(VLOOKUP(A53,INPUT_RANGE,56)*2)+(VLOOKUP(A53,INPUT_RANGE,57)*3))/(VLOOKUP(A53,INPUT_RANGE,52))</f>
    </nc>
  </rcc>
  <rcc rId="2639" sId="5">
    <oc r="AZ53">
      <f>AX53+AY53</f>
    </oc>
    <nc r="AZ53">
      <f>AX53+AY53</f>
    </nc>
  </rcc>
  <rcc rId="2640" sId="5">
    <oc r="BA53">
      <f xml:space="preserve"> TEXT(AZ53,".000") &amp; " ops"</f>
    </oc>
    <nc r="BA53">
      <f xml:space="preserve"> TEXT(AZ53,".000") &amp; " OPS"</f>
    </nc>
  </rcc>
  <rcc rId="2641" sId="5">
    <oc r="BB53">
      <f>VLOOKUP(A53,INPUT_RANGE,78,FALSE)</f>
    </oc>
    <nc r="BB53">
      <f>VLOOKUP(A53,INPUT_RANGE,78,FALSE)</f>
    </nc>
  </rcc>
  <rcc rId="2642" sId="5">
    <oc r="BC53">
      <f>VLOOKUP(A53,INPUT_RANGE,77,FALSE)</f>
    </oc>
    <nc r="BC53">
      <f>VLOOKUP(A53,INPUT_RANGE,77,FALSE)</f>
    </nc>
  </rcc>
  <rcc rId="2643" sId="5">
    <oc r="BD53">
      <f>VLOOKUP(A53,INPUT_RANGE,75,FALSE) &amp; "-" &amp; VLOOKUP(A53,INPUT_RANGE,76,FALSE)</f>
    </oc>
    <nc r="BD53">
      <f>VLOOKUP(A53,INPUT_RANGE,75,FALSE) &amp; "-" &amp; VLOOKUP(A53,INPUT_RANGE,76,FALSE)</f>
    </nc>
  </rcc>
  <rcc rId="2644" sId="5">
    <oc r="BE53">
      <f>AU53</f>
    </oc>
    <nc r="BE53">
      <f>AU53</f>
    </nc>
  </rcc>
  <rcc rId="2645" sId="5">
    <oc r="BF53">
      <f>AA53</f>
    </oc>
    <nc r="BF53">
      <f>AA53</f>
    </nc>
  </rcc>
  <rcc rId="2646" sId="5">
    <oc r="BG53">
      <f>VLOOKUP(A53,INPUT_RANGE,86,FALSE)</f>
    </oc>
    <nc r="BG53">
      <f>VLOOKUP(A53,INPUT_RANGE,86,FALSE)</f>
    </nc>
  </rcc>
  <rcc rId="2647" sId="5">
    <oc r="BH53">
      <f>VLOOKUP(A53,INPUT_RANGE,87,FALSE)</f>
    </oc>
    <nc r="BH53">
      <f>VLOOKUP(A53,INPUT_RANGE,87,FALSE)</f>
    </nc>
  </rcc>
  <rcc rId="2648" sId="5">
    <oc r="BI53">
      <f>VLOOKUP(A53,INPUT_RANGE,81,FALSE) &amp; " SAVES"</f>
    </oc>
    <nc r="BI53">
      <f>VLOOKUP(A53,INPUT_RANGE,81,FALSE) &amp; " SAVES"</f>
    </nc>
  </rcc>
  <rcc rId="2649" sId="5">
    <oc r="BJ53">
      <f>VLOOKUP(A53,INPUT_RANGE,81,FALSE)</f>
    </oc>
    <nc r="BJ53">
      <f>VLOOKUP(A53,INPUT_RANGE,81,FALSE)</f>
    </nc>
  </rcc>
  <rcc rId="2650" sId="5">
    <oc r="BK53">
      <f>VLOOKUP(A53,INPUT_RANGE,83,FALSE)</f>
    </oc>
    <nc r="BK53">
      <f>VLOOKUP(A53,INPUT_RANGE,83,FALSE)</f>
    </nc>
  </rcc>
  <rcc rId="2651" sId="5">
    <oc r="BL53">
      <f>VLOOKUP(A53,INPUT_RANGE,87,FALSE) &amp; "/" &amp; VLOOKUP(A53,INPUT_RANGE,86,FALSE)</f>
    </oc>
    <nc r="BL53">
      <f>VLOOKUP(A53,INPUT_RANGE,87,FALSE) &amp; "/" &amp; VLOOKUP(A53,INPUT_RANGE,86,FALSE)</f>
    </nc>
  </rcc>
  <rcc rId="2652" sId="5">
    <oc r="BM53">
      <f>ROUND((VLOOKUP(A53,INPUT_RANGE,86,FALSE)+VLOOKUP(A53,INPUT_RANGE,83,FALSE))/AS53,2)</f>
    </oc>
    <nc r="BM53">
      <f>ROUND((VLOOKUP(A53,INPUT_RANGE,86,FALSE)+VLOOKUP(A53,INPUT_RANGE,83,FALSE))/AS53,2)</f>
    </nc>
  </rcc>
  <rcc rId="2653" sId="5">
    <oc r="M54">
      <f xml:space="preserve"> TEXT(AW54,".000") &amp; " ba"</f>
    </oc>
    <nc r="M54">
      <f xml:space="preserve"> TEXT(AW54,".000") &amp; " BA"</f>
    </nc>
  </rcc>
  <rcc rId="2654" sId="5">
    <oc r="N54">
      <f>VLOOKUP(A54,INPUT_RANGE,58,FALSE) &amp; " rbi"</f>
    </oc>
    <nc r="N54">
      <f>VLOOKUP(A54,INPUT_RANGE,58,FALSE) &amp; " RBI"</f>
    </nc>
  </rcc>
  <rcc rId="2655" sId="5">
    <oc r="O54">
      <f>VLOOKUP(A54,INPUT_RANGE,60,FALSE) &amp; " bb"</f>
    </oc>
    <nc r="O54">
      <f>VLOOKUP(A54,INPUT_RANGE,60,FALSE) &amp; " BB"</f>
    </nc>
  </rcc>
  <rcc rId="2656" sId="5">
    <oc r="P54">
      <f>VLOOKUP(A54,INPUT_RANGE,61,FALSE) &amp; " k"</f>
    </oc>
    <nc r="P54">
      <f>VLOOKUP(A54,INPUT_RANGE,61,FALSE) &amp; " K"</f>
    </nc>
  </rcc>
  <rcc rId="2657" sId="5">
    <oc r="Q54">
      <f>VLOOKUP(A54,INPUT_RANGE,64,FALSE) &amp; " sb"</f>
    </oc>
    <nc r="Q54">
      <f>VLOOKUP(A54,INPUT_RANGE,64,FALSE) &amp; " SB"</f>
    </nc>
  </rcc>
  <rcc rId="2658" sId="5">
    <oc r="R54">
      <f>VLOOKUP(A54,INPUT_RANGE,55,FALSE) &amp; " 2b"</f>
    </oc>
    <nc r="R54">
      <f>VLOOKUP(A54,INPUT_RANGE,55,FALSE) &amp; " 2B"</f>
    </nc>
  </rcc>
  <rcc rId="2659" sId="5">
    <oc r="S54">
      <f>VLOOKUP(A54,INPUT_RANGE,56,FALSE) &amp; " 3b"</f>
    </oc>
    <nc r="S54">
      <f>VLOOKUP(A54,INPUT_RANGE,56,FALSE) &amp; " 3B"</f>
    </nc>
  </rcc>
  <rcc rId="2660" sId="5">
    <oc r="T54">
      <f>VLOOKUP(A54,INPUT_RANGE,57,FALSE) &amp; " hr"</f>
    </oc>
    <nc r="T54">
      <f>VLOOKUP(A54,INPUT_RANGE,57,FALSE) &amp; " HR"</f>
    </nc>
  </rcc>
  <rcc rId="2661" sId="5">
    <oc r="U54">
      <f>VLOOKUP(A54,INPUT_RANGE,53,FALSE) &amp; " r"</f>
    </oc>
    <nc r="U54">
      <f>VLOOKUP(A54,INPUT_RANGE,53,FALSE) &amp; " R"</f>
    </nc>
  </rcc>
  <rcc rId="2662" sId="5">
    <oc r="V54">
      <f>TEXT(AX54, ".000") &amp; " obp"</f>
    </oc>
    <nc r="V54">
      <f>TEXT(AX54, ".000") &amp; " OBP"</f>
    </nc>
  </rcc>
  <rcc rId="2663" sId="5">
    <oc r="X54">
      <f>VLOOKUP(A54,INPUT_RANGE,77,FALSE)&amp;" games"</f>
    </oc>
    <nc r="X54">
      <f>VLOOKUP(A54,INPUT_RANGE,77,FALSE)&amp;" games"</f>
    </nc>
  </rcc>
  <rcc rId="2664" sId="5">
    <oc r="Y54">
      <f>VLOOKUP(A54,INPUT_RANGE,78,FALSE) &amp; " starts"</f>
    </oc>
    <nc r="Y54">
      <f>VLOOKUP(A54,INPUT_RANGE,78,FALSE) &amp; " starts"</f>
    </nc>
  </rcc>
  <rcc rId="2665" sId="5">
    <oc r="Z54">
      <f>VLOOKUP(A54,INPUT_RANGE,82,FALSE) &amp; " ip"</f>
    </oc>
    <nc r="Z54">
      <f>VLOOKUP(A54,INPUT_RANGE,82,FALSE) &amp; " IP"</f>
    </nc>
  </rcc>
  <rcc rId="2666" sId="5">
    <oc r="AA54">
      <f>TRUNC(VLOOKUP(A54,INPUT_RANGE,82,FALSE)) &amp;  IF(AR54=0.333,"º",IF(AR54=0.666,"»",""))</f>
    </oc>
    <nc r="AA54">
      <f>TRUNC(VLOOKUP(A54,INPUT_RANGE,82,FALSE)) &amp;  IF(AR54=0.333,"º",IF(AR54=0.666,"»",""))</f>
    </nc>
  </rcc>
  <rcc rId="2667" sId="5">
    <oc r="AB54">
      <f>AA54&amp; " ip"</f>
    </oc>
    <nc r="AB54">
      <f>AA54&amp; " IP"</f>
    </nc>
  </rcc>
  <rcc rId="2668" sId="5">
    <oc r="AC54">
      <f>VLOOKUP(A54,INPUT_RANGE,79,FALSE) &amp; " cg"</f>
    </oc>
    <nc r="AC54">
      <f>VLOOKUP(A54,INPUT_RANGE,79,FALSE) &amp; " CG"</f>
    </nc>
  </rcc>
  <rcc rId="2669" sId="5">
    <oc r="AD54">
      <f>VLOOKUP(A54,INPUT_RANGE,80,FALSE) &amp; " sho"</f>
    </oc>
    <nc r="AD54">
      <f>VLOOKUP(A54,INPUT_RANGE,80,FALSE) &amp; " SHO"</f>
    </nc>
  </rcc>
  <rcc rId="2670" sId="5">
    <oc r="AE54">
      <f>VLOOKUP(A54,INPUT_RANGE,75,FALSE) &amp; " win"</f>
    </oc>
    <nc r="AE54">
      <f>VLOOKUP(A54,INPUT_RANGE,75,FALSE) &amp; " Win"</f>
    </nc>
  </rcc>
  <rcc rId="2671" sId="5">
    <oc r="AF54">
      <f>VLOOKUP(A54,INPUT_RANGE,76,FALSE) &amp; " loss"</f>
    </oc>
    <nc r="AF54">
      <f>VLOOKUP(A54,INPUT_RANGE,76,FALSE) &amp; " Loss"</f>
    </nc>
  </rcc>
  <rcc rId="2672" sId="5">
    <oc r="AG54">
      <f>VLOOKUP(A54,INPUT_RANGE,75,FALSE) &amp; "-" &amp; VLOOKUP(A54,INPUT_RANGE,76,FALSE) &amp; " w-l"</f>
    </oc>
    <nc r="AG54">
      <f>VLOOKUP(A54,INPUT_RANGE,75,FALSE) &amp; "-" &amp; VLOOKUP(A54,INPUT_RANGE,76,FALSE) &amp; " W-L"</f>
    </nc>
  </rcc>
  <rcc rId="2673" sId="5">
    <oc r="AH54">
      <f>VLOOKUP(A54,INPUT_RANGE,81,FALSE)&amp; " saves"</f>
    </oc>
    <nc r="AH54">
      <f>VLOOKUP(A54,INPUT_RANGE,81,FALSE)&amp; " Saves"</f>
    </nc>
  </rcc>
  <rcc rId="2674" sId="5">
    <oc r="AI54">
      <f>VLOOKUP(A54,INPUT_RANGE,83,FALSE) &amp; " h"</f>
    </oc>
    <nc r="AI54">
      <f>VLOOKUP(A54,INPUT_RANGE,83,FALSE) &amp; " H"</f>
    </nc>
  </rcc>
  <rcc rId="2675" sId="5">
    <oc r="AJ54">
      <f>VLOOKUP(A54,INPUT_RANGE,84,FALSE) &amp; " r"</f>
    </oc>
    <nc r="AJ54">
      <f>VLOOKUP(A54,INPUT_RANGE,84,FALSE) &amp; " R"</f>
    </nc>
  </rcc>
  <rcc rId="2676" sId="5">
    <oc r="AK54">
      <f>VLOOKUP(A54,INPUT_RANGE,85,FALSE) &amp;" er"</f>
    </oc>
    <nc r="AK54">
      <f>VLOOKUP(A54,INPUT_RANGE,85,FALSE) &amp;" ER"</f>
    </nc>
  </rcc>
  <rcc rId="2677" sId="5">
    <oc r="AL54">
      <f>VLOOKUP(A54,INPUT_RANGE,88,FALSE) &amp;" hr"</f>
    </oc>
    <nc r="AL54">
      <f>VLOOKUP(A54,INPUT_RANGE,88,FALSE) &amp;" HR"</f>
    </nc>
  </rcc>
  <rcc rId="2678" sId="5">
    <oc r="AM54">
      <f>VLOOKUP(A54,INPUT_RANGE,87,FALSE) &amp; " k"</f>
    </oc>
    <nc r="AM54">
      <f>VLOOKUP(A54,INPUT_RANGE,87,FALSE) &amp; " K"</f>
    </nc>
  </rcc>
  <rcc rId="2679" sId="5">
    <oc r="AN54">
      <f>VLOOKUP(A54,INPUT_RANGE,86,FALSE) &amp; " bb"</f>
    </oc>
    <nc r="AN54">
      <f>VLOOKUP(A54,INPUT_RANGE,86,FALSE) &amp; " BB"</f>
    </nc>
  </rcc>
  <rcc rId="2680" sId="5">
    <oc r="AO54">
      <f>TEXT(AU54,"0.00") &amp; " era"</f>
    </oc>
    <nc r="AO54">
      <f>TEXT(AU54,"0.00") &amp; " ERA"</f>
    </nc>
  </rcc>
  <rcc rId="2681" sId="5">
    <oc r="AP54">
      <f>TEXT(AT54,"0.00") &amp; " whip"</f>
    </oc>
    <nc r="AP54">
      <f>TEXT(AT54,"0.00") &amp; " WHIP"</f>
    </nc>
  </rcc>
  <rcc rId="2682" sId="5">
    <oc r="AQ54">
      <f xml:space="preserve"> IF(LEFT(RIGHT((VLOOKUP(A54,INPUT_RANGE,82,FALSE)),2),1)=".",RIGHT(VLOOKUP(A54,INPUT_RANGE,82,FALSE),1), "X")</f>
    </oc>
    <nc r="AQ54">
      <f xml:space="preserve"> IF(LEFT(RIGHT((VLOOKUP(A54,INPUT_RANGE,82,FALSE)),2),1)=".",RIGHT(VLOOKUP(A54,INPUT_RANGE,82,FALSE),1), "X")</f>
    </nc>
  </rcc>
  <rcc rId="2683" sId="5">
    <oc r="AR54">
      <f>IF(AQ54 ="1",0.333,IF(AQ54="2",0.666,0))</f>
    </oc>
    <nc r="AR54">
      <f>IF(AQ54 ="1",0.333,IF(AQ54="2",0.666,0))</f>
    </nc>
  </rcc>
  <rcc rId="2684" sId="5">
    <oc r="AS54">
      <f>VLOOKUP(A54,INPUT_RANGE,82,FALSE)-(AQ54*0.1)+AR54</f>
    </oc>
    <nc r="AS54">
      <f>VLOOKUP(A54,INPUT_RANGE,82,FALSE)-(AQ54*0.1)+AR54</f>
    </nc>
  </rcc>
  <rcc rId="2685" sId="5">
    <oc r="AT54">
      <f>ROUND((VLOOKUP(A54,INPUT_RANGE,86,FALSE)+VLOOKUP(A54,INPUT_RANGE,83,FALSE))/AS54,2)</f>
    </oc>
    <nc r="AT54">
      <f>ROUND((VLOOKUP(A54,INPUT_RANGE,86,FALSE)+VLOOKUP(A54,INPUT_RANGE,83,FALSE))/AS54,2)</f>
    </nc>
  </rcc>
  <rcc rId="2686" sId="5">
    <oc r="AU54">
      <f>ROUND((VLOOKUP(A54,INPUT_RANGE,85,FALSE)/AS54)*('Team Info'!$H$25),2)</f>
    </oc>
    <nc r="AU54">
      <f>ROUND((VLOOKUP(A54,INPUT_RANGE,85,FALSE)/AS54)*('D:\Data\Softball\[ESPN_BASEBALL_AWAY_OLD.xlsx]Team Info'!$H$25),2)</f>
    </nc>
  </rcc>
  <rcc rId="2687" sId="5">
    <oc r="AW54">
      <f>(VLOOKUP(A54,INPUT_RANGE,54,FALSE)/VLOOKUP(A54,INPUT_RANGE,52,FALSE))</f>
    </oc>
    <nc r="AW54">
      <f>(VLOOKUP(A54,INPUT_RANGE,54,FALSE)/VLOOKUP(A54,INPUT_RANGE,52,FALSE))</f>
    </nc>
  </rcc>
  <rcc rId="2688" sId="5">
    <oc r="AX54">
      <f>((VLOOKUP(A54,INPUT_RANGE,54,FALSE)+VLOOKUP(A54,INPUT_RANGE,60,FALSE)+VLOOKUP(A54,INPUT_RANGE,59,FALSE))/(VLOOKUP(A54,INPUT_RANGE,52,FALSE)+VLOOKUP(A54,INPUT_RANGE,60,FALSE)+VLOOKUP(A54,INPUT_RANGE,59,FALSE)+VLOOKUP(A54,INPUT_RANGE,63,FALSE)))</f>
    </oc>
    <nc r="AX54">
      <f>((VLOOKUP(A54,INPUT_RANGE,54,FALSE)+VLOOKUP(A54,INPUT_RANGE,60,FALSE)+VLOOKUP(A54,INPUT_RANGE,59,FALSE))/(VLOOKUP(A54,INPUT_RANGE,52,FALSE)+VLOOKUP(A54,INPUT_RANGE,60,FALSE)+VLOOKUP(A54,INPUT_RANGE,59,FALSE)+VLOOKUP(A54,INPUT_RANGE,63,FALSE)))</f>
    </nc>
  </rcc>
  <rcc rId="2689" sId="5">
    <oc r="AY54">
      <f>(VLOOKUP(A54,INPUT_RANGE,54)+VLOOKUP(A54,INPUT_RANGE,55)+(VLOOKUP(A54,INPUT_RANGE,56)*2)+(VLOOKUP(A54,INPUT_RANGE,57)*3))/(VLOOKUP(A54,INPUT_RANGE,52))</f>
    </oc>
    <nc r="AY54">
      <f>(VLOOKUP(A54,INPUT_RANGE,54)+VLOOKUP(A54,INPUT_RANGE,55)+(VLOOKUP(A54,INPUT_RANGE,56)*2)+(VLOOKUP(A54,INPUT_RANGE,57)*3))/(VLOOKUP(A54,INPUT_RANGE,52))</f>
    </nc>
  </rcc>
  <rcc rId="2690" sId="5">
    <oc r="AZ54">
      <f>AX54+AY54</f>
    </oc>
    <nc r="AZ54">
      <f>AX54+AY54</f>
    </nc>
  </rcc>
  <rcc rId="2691" sId="5">
    <oc r="BA54">
      <f xml:space="preserve"> TEXT(AZ54,".000") &amp; " ops"</f>
    </oc>
    <nc r="BA54">
      <f xml:space="preserve"> TEXT(AZ54,".000") &amp; " OPS"</f>
    </nc>
  </rcc>
  <rcc rId="2692" sId="5">
    <oc r="BB54">
      <f>VLOOKUP(A54,INPUT_RANGE,78,FALSE)</f>
    </oc>
    <nc r="BB54">
      <f>VLOOKUP(A54,INPUT_RANGE,78,FALSE)</f>
    </nc>
  </rcc>
  <rcc rId="2693" sId="5">
    <oc r="BC54">
      <f>VLOOKUP(A54,INPUT_RANGE,77,FALSE)</f>
    </oc>
    <nc r="BC54">
      <f>VLOOKUP(A54,INPUT_RANGE,77,FALSE)</f>
    </nc>
  </rcc>
  <rcc rId="2694" sId="5">
    <oc r="BD54">
      <f>VLOOKUP(A54,INPUT_RANGE,75,FALSE) &amp; "-" &amp; VLOOKUP(A54,INPUT_RANGE,76,FALSE)</f>
    </oc>
    <nc r="BD54">
      <f>VLOOKUP(A54,INPUT_RANGE,75,FALSE) &amp; "-" &amp; VLOOKUP(A54,INPUT_RANGE,76,FALSE)</f>
    </nc>
  </rcc>
  <rcc rId="2695" sId="5">
    <oc r="BE54">
      <f>AU54</f>
    </oc>
    <nc r="BE54">
      <f>AU54</f>
    </nc>
  </rcc>
  <rcc rId="2696" sId="5">
    <oc r="BF54">
      <f>AA54</f>
    </oc>
    <nc r="BF54">
      <f>AA54</f>
    </nc>
  </rcc>
  <rcc rId="2697" sId="5">
    <oc r="BG54">
      <f>VLOOKUP(A54,INPUT_RANGE,86,FALSE)</f>
    </oc>
    <nc r="BG54">
      <f>VLOOKUP(A54,INPUT_RANGE,86,FALSE)</f>
    </nc>
  </rcc>
  <rcc rId="2698" sId="5">
    <oc r="BH54">
      <f>VLOOKUP(A54,INPUT_RANGE,87,FALSE)</f>
    </oc>
    <nc r="BH54">
      <f>VLOOKUP(A54,INPUT_RANGE,87,FALSE)</f>
    </nc>
  </rcc>
  <rcc rId="2699" sId="5">
    <oc r="BI54">
      <f>VLOOKUP(A54,INPUT_RANGE,81,FALSE) &amp; " SAVES"</f>
    </oc>
    <nc r="BI54">
      <f>VLOOKUP(A54,INPUT_RANGE,81,FALSE) &amp; " SAVES"</f>
    </nc>
  </rcc>
  <rcc rId="2700" sId="5">
    <oc r="BJ54">
      <f>VLOOKUP(A54,INPUT_RANGE,81,FALSE)</f>
    </oc>
    <nc r="BJ54">
      <f>VLOOKUP(A54,INPUT_RANGE,81,FALSE)</f>
    </nc>
  </rcc>
  <rcc rId="2701" sId="5">
    <oc r="BK54">
      <f>VLOOKUP(A54,INPUT_RANGE,83,FALSE)</f>
    </oc>
    <nc r="BK54">
      <f>VLOOKUP(A54,INPUT_RANGE,83,FALSE)</f>
    </nc>
  </rcc>
  <rcc rId="2702" sId="5">
    <oc r="BL54">
      <f>VLOOKUP(A54,INPUT_RANGE,87,FALSE) &amp; "/" &amp; VLOOKUP(A54,INPUT_RANGE,86,FALSE)</f>
    </oc>
    <nc r="BL54">
      <f>VLOOKUP(A54,INPUT_RANGE,87,FALSE) &amp; "/" &amp; VLOOKUP(A54,INPUT_RANGE,86,FALSE)</f>
    </nc>
  </rcc>
  <rcc rId="2703" sId="5">
    <oc r="BM54">
      <f>ROUND((VLOOKUP(A54,INPUT_RANGE,86,FALSE)+VLOOKUP(A54,INPUT_RANGE,83,FALSE))/AS54,2)</f>
    </oc>
    <nc r="BM54">
      <f>ROUND((VLOOKUP(A54,INPUT_RANGE,86,FALSE)+VLOOKUP(A54,INPUT_RANGE,83,FALSE))/AS54,2)</f>
    </nc>
  </rcc>
  <rcc rId="2704" sId="5">
    <oc r="M55">
      <f xml:space="preserve"> TEXT(AW55,".000") &amp; " ba"</f>
    </oc>
    <nc r="M55">
      <f xml:space="preserve"> TEXT(AW55,".000") &amp; " BA"</f>
    </nc>
  </rcc>
  <rcc rId="2705" sId="5">
    <oc r="N55">
      <f>VLOOKUP(A55,INPUT_RANGE,58,FALSE) &amp; " rbi"</f>
    </oc>
    <nc r="N55">
      <f>VLOOKUP(A55,INPUT_RANGE,58,FALSE) &amp; " RBI"</f>
    </nc>
  </rcc>
  <rcc rId="2706" sId="5">
    <oc r="O55">
      <f>VLOOKUP(A55,INPUT_RANGE,60,FALSE) &amp; " bb"</f>
    </oc>
    <nc r="O55">
      <f>VLOOKUP(A55,INPUT_RANGE,60,FALSE) &amp; " BB"</f>
    </nc>
  </rcc>
  <rcc rId="2707" sId="5">
    <oc r="P55">
      <f>VLOOKUP(A55,INPUT_RANGE,61,FALSE) &amp; " k"</f>
    </oc>
    <nc r="P55">
      <f>VLOOKUP(A55,INPUT_RANGE,61,FALSE) &amp; " K"</f>
    </nc>
  </rcc>
  <rcc rId="2708" sId="5">
    <oc r="Q55">
      <f>VLOOKUP(A55,INPUT_RANGE,64,FALSE) &amp; " sb"</f>
    </oc>
    <nc r="Q55">
      <f>VLOOKUP(A55,INPUT_RANGE,64,FALSE) &amp; " SB"</f>
    </nc>
  </rcc>
  <rcc rId="2709" sId="5">
    <oc r="R55">
      <f>VLOOKUP(A55,INPUT_RANGE,55,FALSE) &amp; " 2b"</f>
    </oc>
    <nc r="R55">
      <f>VLOOKUP(A55,INPUT_RANGE,55,FALSE) &amp; " 2B"</f>
    </nc>
  </rcc>
  <rcc rId="2710" sId="5">
    <oc r="S55">
      <f>VLOOKUP(A55,INPUT_RANGE,56,FALSE) &amp; " 3b"</f>
    </oc>
    <nc r="S55">
      <f>VLOOKUP(A55,INPUT_RANGE,56,FALSE) &amp; " 3B"</f>
    </nc>
  </rcc>
  <rcc rId="2711" sId="5">
    <oc r="T55">
      <f>VLOOKUP(A55,INPUT_RANGE,57,FALSE) &amp; " hr"</f>
    </oc>
    <nc r="T55">
      <f>VLOOKUP(A55,INPUT_RANGE,57,FALSE) &amp; " HR"</f>
    </nc>
  </rcc>
  <rcc rId="2712" sId="5">
    <oc r="U55">
      <f>VLOOKUP(A55,INPUT_RANGE,53,FALSE) &amp; " r"</f>
    </oc>
    <nc r="U55">
      <f>VLOOKUP(A55,INPUT_RANGE,53,FALSE) &amp; " R"</f>
    </nc>
  </rcc>
  <rcc rId="2713" sId="5">
    <oc r="V55">
      <f>TEXT(AX55, ".000") &amp; " obp"</f>
    </oc>
    <nc r="V55">
      <f>TEXT(AX55, ".000") &amp; " OBP"</f>
    </nc>
  </rcc>
  <rcc rId="2714" sId="5">
    <oc r="X55">
      <f>VLOOKUP(A55,INPUT_RANGE,77,FALSE)&amp;" games"</f>
    </oc>
    <nc r="X55">
      <f>VLOOKUP(A55,INPUT_RANGE,77,FALSE)&amp;" games"</f>
    </nc>
  </rcc>
  <rcc rId="2715" sId="5">
    <oc r="Y55">
      <f>VLOOKUP(A55,INPUT_RANGE,78,FALSE) &amp; " starts"</f>
    </oc>
    <nc r="Y55">
      <f>VLOOKUP(A55,INPUT_RANGE,78,FALSE) &amp; " starts"</f>
    </nc>
  </rcc>
  <rcc rId="2716" sId="5">
    <oc r="Z55">
      <f>VLOOKUP(A55,INPUT_RANGE,82,FALSE) &amp; " ip"</f>
    </oc>
    <nc r="Z55">
      <f>VLOOKUP(A55,INPUT_RANGE,82,FALSE) &amp; " IP"</f>
    </nc>
  </rcc>
  <rcc rId="2717" sId="5">
    <oc r="AA55">
      <f>TRUNC(VLOOKUP(A55,INPUT_RANGE,82,FALSE)) &amp;  IF(AR55=0.333,"º",IF(AR55=0.666,"»",""))</f>
    </oc>
    <nc r="AA55">
      <f>TRUNC(VLOOKUP(A55,INPUT_RANGE,82,FALSE)) &amp;  IF(AR55=0.333,"º",IF(AR55=0.666,"»",""))</f>
    </nc>
  </rcc>
  <rcc rId="2718" sId="5">
    <oc r="AB55">
      <f>AA55&amp; " ip"</f>
    </oc>
    <nc r="AB55">
      <f>AA55&amp; " IP"</f>
    </nc>
  </rcc>
  <rcc rId="2719" sId="5">
    <oc r="AC55">
      <f>VLOOKUP(A55,INPUT_RANGE,79,FALSE) &amp; " cg"</f>
    </oc>
    <nc r="AC55">
      <f>VLOOKUP(A55,INPUT_RANGE,79,FALSE) &amp; " CG"</f>
    </nc>
  </rcc>
  <rcc rId="2720" sId="5">
    <oc r="AD55">
      <f>VLOOKUP(A55,INPUT_RANGE,80,FALSE) &amp; " sho"</f>
    </oc>
    <nc r="AD55">
      <f>VLOOKUP(A55,INPUT_RANGE,80,FALSE) &amp; " SHO"</f>
    </nc>
  </rcc>
  <rcc rId="2721" sId="5">
    <oc r="AE55">
      <f>VLOOKUP(A55,INPUT_RANGE,75,FALSE) &amp; " win"</f>
    </oc>
    <nc r="AE55">
      <f>VLOOKUP(A55,INPUT_RANGE,75,FALSE) &amp; " Win"</f>
    </nc>
  </rcc>
  <rcc rId="2722" sId="5">
    <oc r="AF55">
      <f>VLOOKUP(A55,INPUT_RANGE,76,FALSE) &amp; " loss"</f>
    </oc>
    <nc r="AF55">
      <f>VLOOKUP(A55,INPUT_RANGE,76,FALSE) &amp; " Loss"</f>
    </nc>
  </rcc>
  <rcc rId="2723" sId="5">
    <oc r="AG55">
      <f>VLOOKUP(A55,INPUT_RANGE,75,FALSE) &amp; "-" &amp; VLOOKUP(A55,INPUT_RANGE,76,FALSE) &amp; " w-l"</f>
    </oc>
    <nc r="AG55">
      <f>VLOOKUP(A55,INPUT_RANGE,75,FALSE) &amp; "-" &amp; VLOOKUP(A55,INPUT_RANGE,76,FALSE) &amp; " W-L"</f>
    </nc>
  </rcc>
  <rcc rId="2724" sId="5">
    <oc r="AH55">
      <f>VLOOKUP(A55,INPUT_RANGE,81,FALSE)&amp; " saves"</f>
    </oc>
    <nc r="AH55">
      <f>VLOOKUP(A55,INPUT_RANGE,81,FALSE)&amp; " Saves"</f>
    </nc>
  </rcc>
  <rcc rId="2725" sId="5">
    <oc r="AI55">
      <f>VLOOKUP(A55,INPUT_RANGE,83,FALSE) &amp; " h"</f>
    </oc>
    <nc r="AI55">
      <f>VLOOKUP(A55,INPUT_RANGE,83,FALSE) &amp; " H"</f>
    </nc>
  </rcc>
  <rcc rId="2726" sId="5">
    <oc r="AJ55">
      <f>VLOOKUP(A55,INPUT_RANGE,84,FALSE) &amp; " r"</f>
    </oc>
    <nc r="AJ55">
      <f>VLOOKUP(A55,INPUT_RANGE,84,FALSE) &amp; " R"</f>
    </nc>
  </rcc>
  <rcc rId="2727" sId="5">
    <oc r="AK55">
      <f>VLOOKUP(A55,INPUT_RANGE,85,FALSE) &amp;" er"</f>
    </oc>
    <nc r="AK55">
      <f>VLOOKUP(A55,INPUT_RANGE,85,FALSE) &amp;" ER"</f>
    </nc>
  </rcc>
  <rcc rId="2728" sId="5">
    <oc r="AL55">
      <f>VLOOKUP(A55,INPUT_RANGE,88,FALSE) &amp;" hr"</f>
    </oc>
    <nc r="AL55">
      <f>VLOOKUP(A55,INPUT_RANGE,88,FALSE) &amp;" HR"</f>
    </nc>
  </rcc>
  <rcc rId="2729" sId="5">
    <oc r="AM55">
      <f>VLOOKUP(A55,INPUT_RANGE,87,FALSE) &amp; " k"</f>
    </oc>
    <nc r="AM55">
      <f>VLOOKUP(A55,INPUT_RANGE,87,FALSE) &amp; " K"</f>
    </nc>
  </rcc>
  <rcc rId="2730" sId="5">
    <oc r="AN55">
      <f>VLOOKUP(A55,INPUT_RANGE,86,FALSE) &amp; " bb"</f>
    </oc>
    <nc r="AN55">
      <f>VLOOKUP(A55,INPUT_RANGE,86,FALSE) &amp; " BB"</f>
    </nc>
  </rcc>
  <rcc rId="2731" sId="5">
    <oc r="AO55">
      <f>TEXT(AU55,"0.00") &amp; " era"</f>
    </oc>
    <nc r="AO55">
      <f>TEXT(AU55,"0.00") &amp; " ERA"</f>
    </nc>
  </rcc>
  <rcc rId="2732" sId="5">
    <oc r="AP55">
      <f>TEXT(AT55,"0.00") &amp; " whip"</f>
    </oc>
    <nc r="AP55">
      <f>TEXT(AT55,"0.00") &amp; " WHIP"</f>
    </nc>
  </rcc>
  <rcc rId="2733" sId="5">
    <oc r="AQ55">
      <f xml:space="preserve"> IF(LEFT(RIGHT((VLOOKUP(A55,INPUT_RANGE,82,FALSE)),2),1)=".",RIGHT(VLOOKUP(A55,INPUT_RANGE,82,FALSE),1), "X")</f>
    </oc>
    <nc r="AQ55">
      <f xml:space="preserve"> IF(LEFT(RIGHT((VLOOKUP(A55,INPUT_RANGE,82,FALSE)),2),1)=".",RIGHT(VLOOKUP(A55,INPUT_RANGE,82,FALSE),1), "X")</f>
    </nc>
  </rcc>
  <rcc rId="2734" sId="5">
    <oc r="AR55">
      <f>IF(AQ55 ="1",0.333,IF(AQ55="2",0.666,0))</f>
    </oc>
    <nc r="AR55">
      <f>IF(AQ55 ="1",0.333,IF(AQ55="2",0.666,0))</f>
    </nc>
  </rcc>
  <rcc rId="2735" sId="5">
    <oc r="AS55">
      <f>VLOOKUP(A55,INPUT_RANGE,82,FALSE)-(AQ55*0.1)+AR55</f>
    </oc>
    <nc r="AS55">
      <f>VLOOKUP(A55,INPUT_RANGE,82,FALSE)-(AQ55*0.1)+AR55</f>
    </nc>
  </rcc>
  <rcc rId="2736" sId="5">
    <oc r="AT55">
      <f>ROUND((VLOOKUP(A55,INPUT_RANGE,86,FALSE)+VLOOKUP(A55,INPUT_RANGE,83,FALSE))/AS55,2)</f>
    </oc>
    <nc r="AT55">
      <f>ROUND((VLOOKUP(A55,INPUT_RANGE,86,FALSE)+VLOOKUP(A55,INPUT_RANGE,83,FALSE))/AS55,2)</f>
    </nc>
  </rcc>
  <rcc rId="2737" sId="5">
    <oc r="AU55">
      <f>ROUND((VLOOKUP(A55,INPUT_RANGE,85,FALSE)/AS55)*('Team Info'!$H$25),2)</f>
    </oc>
    <nc r="AU55">
      <f>ROUND((VLOOKUP(A55,INPUT_RANGE,85,FALSE)/AS55)*('D:\Data\Softball\[ESPN_BASEBALL_AWAY_OLD.xlsx]Team Info'!$H$25),2)</f>
    </nc>
  </rcc>
  <rcc rId="2738" sId="5">
    <oc r="AW55">
      <f>(VLOOKUP(A55,INPUT_RANGE,54,FALSE)/VLOOKUP(A55,INPUT_RANGE,52,FALSE))</f>
    </oc>
    <nc r="AW55">
      <f>(VLOOKUP(A55,INPUT_RANGE,54,FALSE)/VLOOKUP(A55,INPUT_RANGE,52,FALSE))</f>
    </nc>
  </rcc>
  <rcc rId="2739" sId="5">
    <oc r="AX55">
      <f>((VLOOKUP(A55,INPUT_RANGE,54,FALSE)+VLOOKUP(A55,INPUT_RANGE,60,FALSE)+VLOOKUP(A55,INPUT_RANGE,59,FALSE))/(VLOOKUP(A55,INPUT_RANGE,52,FALSE)+VLOOKUP(A55,INPUT_RANGE,60,FALSE)+VLOOKUP(A55,INPUT_RANGE,59,FALSE)+VLOOKUP(A55,INPUT_RANGE,63,FALSE)))</f>
    </oc>
    <nc r="AX55">
      <f>((VLOOKUP(A55,INPUT_RANGE,54,FALSE)+VLOOKUP(A55,INPUT_RANGE,60,FALSE)+VLOOKUP(A55,INPUT_RANGE,59,FALSE))/(VLOOKUP(A55,INPUT_RANGE,52,FALSE)+VLOOKUP(A55,INPUT_RANGE,60,FALSE)+VLOOKUP(A55,INPUT_RANGE,59,FALSE)+VLOOKUP(A55,INPUT_RANGE,63,FALSE)))</f>
    </nc>
  </rcc>
  <rcc rId="2740" sId="5">
    <oc r="AY55">
      <f>(VLOOKUP(A55,INPUT_RANGE,54)+VLOOKUP(A55,INPUT_RANGE,55)+(VLOOKUP(A55,INPUT_RANGE,56)*2)+(VLOOKUP(A55,INPUT_RANGE,57)*3))/(VLOOKUP(A55,INPUT_RANGE,52))</f>
    </oc>
    <nc r="AY55">
      <f>(VLOOKUP(A55,INPUT_RANGE,54)+VLOOKUP(A55,INPUT_RANGE,55)+(VLOOKUP(A55,INPUT_RANGE,56)*2)+(VLOOKUP(A55,INPUT_RANGE,57)*3))/(VLOOKUP(A55,INPUT_RANGE,52))</f>
    </nc>
  </rcc>
  <rcc rId="2741" sId="5">
    <oc r="AZ55">
      <f>AX55+AY55</f>
    </oc>
    <nc r="AZ55">
      <f>AX55+AY55</f>
    </nc>
  </rcc>
  <rcc rId="2742" sId="5">
    <oc r="BA55">
      <f xml:space="preserve"> TEXT(AZ55,".000") &amp; " ops"</f>
    </oc>
    <nc r="BA55">
      <f xml:space="preserve"> TEXT(AZ55,".000") &amp; " OPS"</f>
    </nc>
  </rcc>
  <rcc rId="2743" sId="5">
    <oc r="BB55">
      <f>VLOOKUP(A55,INPUT_RANGE,78,FALSE)</f>
    </oc>
    <nc r="BB55">
      <f>VLOOKUP(A55,INPUT_RANGE,78,FALSE)</f>
    </nc>
  </rcc>
  <rcc rId="2744" sId="5">
    <oc r="BC55">
      <f>VLOOKUP(A55,INPUT_RANGE,77,FALSE)</f>
    </oc>
    <nc r="BC55">
      <f>VLOOKUP(A55,INPUT_RANGE,77,FALSE)</f>
    </nc>
  </rcc>
  <rcc rId="2745" sId="5">
    <oc r="BD55">
      <f>VLOOKUP(A55,INPUT_RANGE,75,FALSE) &amp; "-" &amp; VLOOKUP(A55,INPUT_RANGE,76,FALSE)</f>
    </oc>
    <nc r="BD55">
      <f>VLOOKUP(A55,INPUT_RANGE,75,FALSE) &amp; "-" &amp; VLOOKUP(A55,INPUT_RANGE,76,FALSE)</f>
    </nc>
  </rcc>
  <rcc rId="2746" sId="5">
    <oc r="BE55">
      <f>AU55</f>
    </oc>
    <nc r="BE55">
      <f>AU55</f>
    </nc>
  </rcc>
  <rcc rId="2747" sId="5">
    <oc r="BF55">
      <f>AA55</f>
    </oc>
    <nc r="BF55">
      <f>AA55</f>
    </nc>
  </rcc>
  <rcc rId="2748" sId="5">
    <oc r="BG55">
      <f>VLOOKUP(A55,INPUT_RANGE,86,FALSE)</f>
    </oc>
    <nc r="BG55">
      <f>VLOOKUP(A55,INPUT_RANGE,86,FALSE)</f>
    </nc>
  </rcc>
  <rcc rId="2749" sId="5">
    <oc r="BH55">
      <f>VLOOKUP(A55,INPUT_RANGE,87,FALSE)</f>
    </oc>
    <nc r="BH55">
      <f>VLOOKUP(A55,INPUT_RANGE,87,FALSE)</f>
    </nc>
  </rcc>
  <rcc rId="2750" sId="5">
    <oc r="BI55">
      <f>VLOOKUP(A55,INPUT_RANGE,81,FALSE) &amp; " SAVES"</f>
    </oc>
    <nc r="BI55">
      <f>VLOOKUP(A55,INPUT_RANGE,81,FALSE) &amp; " SAVES"</f>
    </nc>
  </rcc>
  <rcc rId="2751" sId="5">
    <oc r="BJ55">
      <f>VLOOKUP(A55,INPUT_RANGE,81,FALSE)</f>
    </oc>
    <nc r="BJ55">
      <f>VLOOKUP(A55,INPUT_RANGE,81,FALSE)</f>
    </nc>
  </rcc>
  <rcc rId="2752" sId="5">
    <oc r="BK55">
      <f>VLOOKUP(A55,INPUT_RANGE,83,FALSE)</f>
    </oc>
    <nc r="BK55">
      <f>VLOOKUP(A55,INPUT_RANGE,83,FALSE)</f>
    </nc>
  </rcc>
  <rcc rId="2753" sId="5">
    <oc r="BL55">
      <f>VLOOKUP(A55,INPUT_RANGE,87,FALSE) &amp; "/" &amp; VLOOKUP(A55,INPUT_RANGE,86,FALSE)</f>
    </oc>
    <nc r="BL55">
      <f>VLOOKUP(A55,INPUT_RANGE,87,FALSE) &amp; "/" &amp; VLOOKUP(A55,INPUT_RANGE,86,FALSE)</f>
    </nc>
  </rcc>
  <rcc rId="2754" sId="5">
    <oc r="BM55">
      <f>ROUND((VLOOKUP(A55,INPUT_RANGE,86,FALSE)+VLOOKUP(A55,INPUT_RANGE,83,FALSE))/AS55,2)</f>
    </oc>
    <nc r="BM55">
      <f>ROUND((VLOOKUP(A55,INPUT_RANGE,86,FALSE)+VLOOKUP(A55,INPUT_RANGE,83,FALSE))/AS55,2)</f>
    </nc>
  </rcc>
  <rcc rId="2755" sId="5">
    <oc r="M56">
      <f xml:space="preserve"> TEXT(AW56,".000") &amp; " ba"</f>
    </oc>
    <nc r="M56">
      <f xml:space="preserve"> TEXT(AW56,".000") &amp; " BA"</f>
    </nc>
  </rcc>
  <rcc rId="2756" sId="5">
    <oc r="N56">
      <f>VLOOKUP(A56,INPUT_RANGE,58,FALSE) &amp; " rbi"</f>
    </oc>
    <nc r="N56">
      <f>VLOOKUP(A56,INPUT_RANGE,58,FALSE) &amp; " RBI"</f>
    </nc>
  </rcc>
  <rcc rId="2757" sId="5">
    <oc r="O56">
      <f>VLOOKUP(A56,INPUT_RANGE,60,FALSE) &amp; " bb"</f>
    </oc>
    <nc r="O56">
      <f>VLOOKUP(A56,INPUT_RANGE,60,FALSE) &amp; " BB"</f>
    </nc>
  </rcc>
  <rcc rId="2758" sId="5">
    <oc r="P56">
      <f>VLOOKUP(A56,INPUT_RANGE,61,FALSE) &amp; " k"</f>
    </oc>
    <nc r="P56">
      <f>VLOOKUP(A56,INPUT_RANGE,61,FALSE) &amp; " K"</f>
    </nc>
  </rcc>
  <rcc rId="2759" sId="5">
    <oc r="Q56">
      <f>VLOOKUP(A56,INPUT_RANGE,64,FALSE) &amp; " sb"</f>
    </oc>
    <nc r="Q56">
      <f>VLOOKUP(A56,INPUT_RANGE,64,FALSE) &amp; " SB"</f>
    </nc>
  </rcc>
  <rcc rId="2760" sId="5">
    <oc r="R56">
      <f>VLOOKUP(A56,INPUT_RANGE,55,FALSE) &amp; " 2b"</f>
    </oc>
    <nc r="R56">
      <f>VLOOKUP(A56,INPUT_RANGE,55,FALSE) &amp; " 2B"</f>
    </nc>
  </rcc>
  <rcc rId="2761" sId="5">
    <oc r="S56">
      <f>VLOOKUP(A56,INPUT_RANGE,56,FALSE) &amp; " 3b"</f>
    </oc>
    <nc r="S56">
      <f>VLOOKUP(A56,INPUT_RANGE,56,FALSE) &amp; " 3B"</f>
    </nc>
  </rcc>
  <rcc rId="2762" sId="5">
    <oc r="T56">
      <f>VLOOKUP(A56,INPUT_RANGE,57,FALSE) &amp; " hr"</f>
    </oc>
    <nc r="T56">
      <f>VLOOKUP(A56,INPUT_RANGE,57,FALSE) &amp; " HR"</f>
    </nc>
  </rcc>
  <rcc rId="2763" sId="5">
    <oc r="U56">
      <f>VLOOKUP(A56,INPUT_RANGE,53,FALSE) &amp; " r"</f>
    </oc>
    <nc r="U56">
      <f>VLOOKUP(A56,INPUT_RANGE,53,FALSE) &amp; " R"</f>
    </nc>
  </rcc>
  <rcc rId="2764" sId="5">
    <oc r="V56">
      <f>TEXT(AX56, ".000") &amp; " obp"</f>
    </oc>
    <nc r="V56">
      <f>TEXT(AX56, ".000") &amp; " OBP"</f>
    </nc>
  </rcc>
  <rcc rId="2765" sId="5">
    <oc r="X56">
      <f>VLOOKUP(A56,INPUT_RANGE,77,FALSE)&amp;" games"</f>
    </oc>
    <nc r="X56">
      <f>VLOOKUP(A56,INPUT_RANGE,77,FALSE)&amp;" games"</f>
    </nc>
  </rcc>
  <rcc rId="2766" sId="5">
    <oc r="Y56">
      <f>VLOOKUP(A56,INPUT_RANGE,78,FALSE) &amp; " starts"</f>
    </oc>
    <nc r="Y56">
      <f>VLOOKUP(A56,INPUT_RANGE,78,FALSE) &amp; " starts"</f>
    </nc>
  </rcc>
  <rcc rId="2767" sId="5">
    <oc r="Z56">
      <f>VLOOKUP(A56,INPUT_RANGE,82,FALSE) &amp; " ip"</f>
    </oc>
    <nc r="Z56">
      <f>VLOOKUP(A56,INPUT_RANGE,82,FALSE) &amp; " IP"</f>
    </nc>
  </rcc>
  <rcc rId="2768" sId="5">
    <oc r="AA56">
      <f>TRUNC(VLOOKUP(A56,INPUT_RANGE,82,FALSE)) &amp;  IF(AR56=0.333,"º",IF(AR56=0.666,"»",""))</f>
    </oc>
    <nc r="AA56">
      <f>TRUNC(VLOOKUP(A56,INPUT_RANGE,82,FALSE)) &amp;  IF(AR56=0.333,"º",IF(AR56=0.666,"»",""))</f>
    </nc>
  </rcc>
  <rcc rId="2769" sId="5">
    <oc r="AB56">
      <f>AA56&amp; " ip"</f>
    </oc>
    <nc r="AB56">
      <f>AA56&amp; " IP"</f>
    </nc>
  </rcc>
  <rcc rId="2770" sId="5">
    <oc r="AC56">
      <f>VLOOKUP(A56,INPUT_RANGE,79,FALSE) &amp; " cg"</f>
    </oc>
    <nc r="AC56">
      <f>VLOOKUP(A56,INPUT_RANGE,79,FALSE) &amp; " CG"</f>
    </nc>
  </rcc>
  <rcc rId="2771" sId="5">
    <oc r="AD56">
      <f>VLOOKUP(A56,INPUT_RANGE,80,FALSE) &amp; " sho"</f>
    </oc>
    <nc r="AD56">
      <f>VLOOKUP(A56,INPUT_RANGE,80,FALSE) &amp; " SHO"</f>
    </nc>
  </rcc>
  <rcc rId="2772" sId="5">
    <oc r="AE56">
      <f>VLOOKUP(A56,INPUT_RANGE,75,FALSE) &amp; " win"</f>
    </oc>
    <nc r="AE56">
      <f>VLOOKUP(A56,INPUT_RANGE,75,FALSE) &amp; " Win"</f>
    </nc>
  </rcc>
  <rcc rId="2773" sId="5">
    <oc r="AF56">
      <f>VLOOKUP(A56,INPUT_RANGE,76,FALSE) &amp; " loss"</f>
    </oc>
    <nc r="AF56">
      <f>VLOOKUP(A56,INPUT_RANGE,76,FALSE) &amp; " Loss"</f>
    </nc>
  </rcc>
  <rcc rId="2774" sId="5">
    <oc r="AG56">
      <f>VLOOKUP(A56,INPUT_RANGE,75,FALSE) &amp; "-" &amp; VLOOKUP(A56,INPUT_RANGE,76,FALSE) &amp; " w-l"</f>
    </oc>
    <nc r="AG56">
      <f>VLOOKUP(A56,INPUT_RANGE,75,FALSE) &amp; "-" &amp; VLOOKUP(A56,INPUT_RANGE,76,FALSE) &amp; " W-L"</f>
    </nc>
  </rcc>
  <rcc rId="2775" sId="5">
    <oc r="AH56">
      <f>VLOOKUP(A56,INPUT_RANGE,81,FALSE)&amp; " saves"</f>
    </oc>
    <nc r="AH56">
      <f>VLOOKUP(A56,INPUT_RANGE,81,FALSE)&amp; " Saves"</f>
    </nc>
  </rcc>
  <rcc rId="2776" sId="5">
    <oc r="AI56">
      <f>VLOOKUP(A56,INPUT_RANGE,83,FALSE) &amp; " h"</f>
    </oc>
    <nc r="AI56">
      <f>VLOOKUP(A56,INPUT_RANGE,83,FALSE) &amp; " H"</f>
    </nc>
  </rcc>
  <rcc rId="2777" sId="5">
    <oc r="AJ56">
      <f>VLOOKUP(A56,INPUT_RANGE,84,FALSE) &amp; " r"</f>
    </oc>
    <nc r="AJ56">
      <f>VLOOKUP(A56,INPUT_RANGE,84,FALSE) &amp; " R"</f>
    </nc>
  </rcc>
  <rcc rId="2778" sId="5">
    <oc r="AK56">
      <f>VLOOKUP(A56,INPUT_RANGE,85,FALSE) &amp;" er"</f>
    </oc>
    <nc r="AK56">
      <f>VLOOKUP(A56,INPUT_RANGE,85,FALSE) &amp;" ER"</f>
    </nc>
  </rcc>
  <rcc rId="2779" sId="5">
    <oc r="AL56">
      <f>VLOOKUP(A56,INPUT_RANGE,88,FALSE) &amp;" hr"</f>
    </oc>
    <nc r="AL56">
      <f>VLOOKUP(A56,INPUT_RANGE,88,FALSE) &amp;" HR"</f>
    </nc>
  </rcc>
  <rcc rId="2780" sId="5">
    <oc r="AM56">
      <f>VLOOKUP(A56,INPUT_RANGE,87,FALSE) &amp; " k"</f>
    </oc>
    <nc r="AM56">
      <f>VLOOKUP(A56,INPUT_RANGE,87,FALSE) &amp; " K"</f>
    </nc>
  </rcc>
  <rcc rId="2781" sId="5">
    <oc r="AN56">
      <f>VLOOKUP(A56,INPUT_RANGE,86,FALSE) &amp; " bb"</f>
    </oc>
    <nc r="AN56">
      <f>VLOOKUP(A56,INPUT_RANGE,86,FALSE) &amp; " BB"</f>
    </nc>
  </rcc>
  <rcc rId="2782" sId="5">
    <oc r="AO56">
      <f>TEXT(AU56,"0.00") &amp; " era"</f>
    </oc>
    <nc r="AO56">
      <f>TEXT(AU56,"0.00") &amp; " ERA"</f>
    </nc>
  </rcc>
  <rcc rId="2783" sId="5">
    <oc r="AP56">
      <f>TEXT(AT56,"0.00") &amp; " whip"</f>
    </oc>
    <nc r="AP56">
      <f>TEXT(AT56,"0.00") &amp; " WHIP"</f>
    </nc>
  </rcc>
  <rcc rId="2784" sId="5">
    <oc r="AQ56">
      <f xml:space="preserve"> IF(LEFT(RIGHT((VLOOKUP(A56,INPUT_RANGE,82,FALSE)),2),1)=".",RIGHT(VLOOKUP(A56,INPUT_RANGE,82,FALSE),1), "X")</f>
    </oc>
    <nc r="AQ56">
      <f xml:space="preserve"> IF(LEFT(RIGHT((VLOOKUP(A56,INPUT_RANGE,82,FALSE)),2),1)=".",RIGHT(VLOOKUP(A56,INPUT_RANGE,82,FALSE),1), "X")</f>
    </nc>
  </rcc>
  <rcc rId="2785" sId="5">
    <oc r="AR56">
      <f>IF(AQ56 ="1",0.333,IF(AQ56="2",0.666,0))</f>
    </oc>
    <nc r="AR56">
      <f>IF(AQ56 ="1",0.333,IF(AQ56="2",0.666,0))</f>
    </nc>
  </rcc>
  <rcc rId="2786" sId="5">
    <oc r="AS56">
      <f>VLOOKUP(A56,INPUT_RANGE,82,FALSE)-(AQ56*0.1)+AR56</f>
    </oc>
    <nc r="AS56">
      <f>VLOOKUP(A56,INPUT_RANGE,82,FALSE)-(AQ56*0.1)+AR56</f>
    </nc>
  </rcc>
  <rcc rId="2787" sId="5">
    <oc r="AT56">
      <f>ROUND((VLOOKUP(A56,INPUT_RANGE,86,FALSE)+VLOOKUP(A56,INPUT_RANGE,83,FALSE))/AS56,2)</f>
    </oc>
    <nc r="AT56">
      <f>ROUND((VLOOKUP(A56,INPUT_RANGE,86,FALSE)+VLOOKUP(A56,INPUT_RANGE,83,FALSE))/AS56,2)</f>
    </nc>
  </rcc>
  <rcc rId="2788" sId="5">
    <oc r="AU56">
      <f>ROUND((VLOOKUP(A56,INPUT_RANGE,85,FALSE)/AS56)*('Team Info'!$H$25),2)</f>
    </oc>
    <nc r="AU56">
      <f>ROUND((VLOOKUP(A56,INPUT_RANGE,85,FALSE)/AS56)*('D:\Data\Softball\[ESPN_BASEBALL_AWAY_OLD.xlsx]Team Info'!$H$25),2)</f>
    </nc>
  </rcc>
  <rcc rId="2789" sId="5">
    <oc r="AW56">
      <f>(VLOOKUP(A56,INPUT_RANGE,54,FALSE)/VLOOKUP(A56,INPUT_RANGE,52,FALSE))</f>
    </oc>
    <nc r="AW56">
      <f>(VLOOKUP(A56,INPUT_RANGE,54,FALSE)/VLOOKUP(A56,INPUT_RANGE,52,FALSE))</f>
    </nc>
  </rcc>
  <rcc rId="2790" sId="5">
    <oc r="AX56">
      <f>((VLOOKUP(A56,INPUT_RANGE,54,FALSE)+VLOOKUP(A56,INPUT_RANGE,60,FALSE)+VLOOKUP(A56,INPUT_RANGE,59,FALSE))/(VLOOKUP(A56,INPUT_RANGE,52,FALSE)+VLOOKUP(A56,INPUT_RANGE,60,FALSE)+VLOOKUP(A56,INPUT_RANGE,59,FALSE)+VLOOKUP(A56,INPUT_RANGE,63,FALSE)))</f>
    </oc>
    <nc r="AX56">
      <f>((VLOOKUP(A56,INPUT_RANGE,54,FALSE)+VLOOKUP(A56,INPUT_RANGE,60,FALSE)+VLOOKUP(A56,INPUT_RANGE,59,FALSE))/(VLOOKUP(A56,INPUT_RANGE,52,FALSE)+VLOOKUP(A56,INPUT_RANGE,60,FALSE)+VLOOKUP(A56,INPUT_RANGE,59,FALSE)+VLOOKUP(A56,INPUT_RANGE,63,FALSE)))</f>
    </nc>
  </rcc>
  <rcc rId="2791" sId="5">
    <oc r="AY56">
      <f>(VLOOKUP(A56,INPUT_RANGE,54)+VLOOKUP(A56,INPUT_RANGE,55)+(VLOOKUP(A56,INPUT_RANGE,56)*2)+(VLOOKUP(A56,INPUT_RANGE,57)*3))/(VLOOKUP(A56,INPUT_RANGE,52))</f>
    </oc>
    <nc r="AY56">
      <f>(VLOOKUP(A56,INPUT_RANGE,54)+VLOOKUP(A56,INPUT_RANGE,55)+(VLOOKUP(A56,INPUT_RANGE,56)*2)+(VLOOKUP(A56,INPUT_RANGE,57)*3))/(VLOOKUP(A56,INPUT_RANGE,52))</f>
    </nc>
  </rcc>
  <rcc rId="2792" sId="5">
    <oc r="AZ56">
      <f>AX56+AY56</f>
    </oc>
    <nc r="AZ56">
      <f>AX56+AY56</f>
    </nc>
  </rcc>
  <rcc rId="2793" sId="5">
    <oc r="BA56">
      <f xml:space="preserve"> TEXT(AZ56,".000") &amp; " ops"</f>
    </oc>
    <nc r="BA56">
      <f xml:space="preserve"> TEXT(AZ56,".000") &amp; " OPS"</f>
    </nc>
  </rcc>
  <rcc rId="2794" sId="5">
    <oc r="BB56">
      <f>VLOOKUP(A56,INPUT_RANGE,78,FALSE)</f>
    </oc>
    <nc r="BB56">
      <f>VLOOKUP(A56,INPUT_RANGE,78,FALSE)</f>
    </nc>
  </rcc>
  <rcc rId="2795" sId="5">
    <oc r="BC56">
      <f>VLOOKUP(A56,INPUT_RANGE,77,FALSE)</f>
    </oc>
    <nc r="BC56">
      <f>VLOOKUP(A56,INPUT_RANGE,77,FALSE)</f>
    </nc>
  </rcc>
  <rcc rId="2796" sId="5">
    <oc r="BD56">
      <f>VLOOKUP(A56,INPUT_RANGE,75,FALSE) &amp; "-" &amp; VLOOKUP(A56,INPUT_RANGE,76,FALSE)</f>
    </oc>
    <nc r="BD56">
      <f>VLOOKUP(A56,INPUT_RANGE,75,FALSE) &amp; "-" &amp; VLOOKUP(A56,INPUT_RANGE,76,FALSE)</f>
    </nc>
  </rcc>
  <rcc rId="2797" sId="5">
    <oc r="BE56">
      <f>AU56</f>
    </oc>
    <nc r="BE56">
      <f>AU56</f>
    </nc>
  </rcc>
  <rcc rId="2798" sId="5">
    <oc r="BF56">
      <f>AA56</f>
    </oc>
    <nc r="BF56">
      <f>AA56</f>
    </nc>
  </rcc>
  <rcc rId="2799" sId="5">
    <oc r="BG56">
      <f>VLOOKUP(A56,INPUT_RANGE,86,FALSE)</f>
    </oc>
    <nc r="BG56">
      <f>VLOOKUP(A56,INPUT_RANGE,86,FALSE)</f>
    </nc>
  </rcc>
  <rcc rId="2800" sId="5">
    <oc r="BH56">
      <f>VLOOKUP(A56,INPUT_RANGE,87,FALSE)</f>
    </oc>
    <nc r="BH56">
      <f>VLOOKUP(A56,INPUT_RANGE,87,FALSE)</f>
    </nc>
  </rcc>
  <rcc rId="2801" sId="5">
    <oc r="BI56">
      <f>VLOOKUP(A56,INPUT_RANGE,81,FALSE) &amp; " SAVES"</f>
    </oc>
    <nc r="BI56">
      <f>VLOOKUP(A56,INPUT_RANGE,81,FALSE) &amp; " SAVES"</f>
    </nc>
  </rcc>
  <rcc rId="2802" sId="5">
    <oc r="BJ56">
      <f>VLOOKUP(A56,INPUT_RANGE,81,FALSE)</f>
    </oc>
    <nc r="BJ56">
      <f>VLOOKUP(A56,INPUT_RANGE,81,FALSE)</f>
    </nc>
  </rcc>
  <rcc rId="2803" sId="5">
    <oc r="BK56">
      <f>VLOOKUP(A56,INPUT_RANGE,83,FALSE)</f>
    </oc>
    <nc r="BK56">
      <f>VLOOKUP(A56,INPUT_RANGE,83,FALSE)</f>
    </nc>
  </rcc>
  <rcc rId="2804" sId="5">
    <oc r="BL56">
      <f>VLOOKUP(A56,INPUT_RANGE,87,FALSE) &amp; "/" &amp; VLOOKUP(A56,INPUT_RANGE,86,FALSE)</f>
    </oc>
    <nc r="BL56">
      <f>VLOOKUP(A56,INPUT_RANGE,87,FALSE) &amp; "/" &amp; VLOOKUP(A56,INPUT_RANGE,86,FALSE)</f>
    </nc>
  </rcc>
  <rcc rId="2805" sId="5">
    <oc r="BM56">
      <f>ROUND((VLOOKUP(A56,INPUT_RANGE,86,FALSE)+VLOOKUP(A56,INPUT_RANGE,83,FALSE))/AS56,2)</f>
    </oc>
    <nc r="BM56">
      <f>ROUND((VLOOKUP(A56,INPUT_RANGE,86,FALSE)+VLOOKUP(A56,INPUT_RANGE,83,FALSE))/AS56,2)</f>
    </nc>
  </rcc>
  <rcc rId="2806" sId="5">
    <oc r="M57">
      <f xml:space="preserve"> TEXT(AW57,".000") &amp; " ba"</f>
    </oc>
    <nc r="M57">
      <f xml:space="preserve"> TEXT(AW57,".000") &amp; " BA"</f>
    </nc>
  </rcc>
  <rcc rId="2807" sId="5">
    <oc r="N57">
      <f>VLOOKUP(A57,INPUT_RANGE,58,FALSE) &amp; " rbi"</f>
    </oc>
    <nc r="N57">
      <f>VLOOKUP(A57,INPUT_RANGE,58,FALSE) &amp; " RBI"</f>
    </nc>
  </rcc>
  <rcc rId="2808" sId="5">
    <oc r="O57">
      <f>VLOOKUP(A57,INPUT_RANGE,60,FALSE) &amp; " bb"</f>
    </oc>
    <nc r="O57">
      <f>VLOOKUP(A57,INPUT_RANGE,60,FALSE) &amp; " BB"</f>
    </nc>
  </rcc>
  <rcc rId="2809" sId="5">
    <oc r="P57">
      <f>VLOOKUP(A57,INPUT_RANGE,61,FALSE) &amp; " k"</f>
    </oc>
    <nc r="P57">
      <f>VLOOKUP(A57,INPUT_RANGE,61,FALSE) &amp; " K"</f>
    </nc>
  </rcc>
  <rcc rId="2810" sId="5">
    <oc r="Q57">
      <f>VLOOKUP(A57,INPUT_RANGE,64,FALSE) &amp; " sb"</f>
    </oc>
    <nc r="Q57">
      <f>VLOOKUP(A57,INPUT_RANGE,64,FALSE) &amp; " SB"</f>
    </nc>
  </rcc>
  <rcc rId="2811" sId="5">
    <oc r="R57">
      <f>VLOOKUP(A57,INPUT_RANGE,55,FALSE) &amp; " 2b"</f>
    </oc>
    <nc r="R57">
      <f>VLOOKUP(A57,INPUT_RANGE,55,FALSE) &amp; " 2B"</f>
    </nc>
  </rcc>
  <rcc rId="2812" sId="5">
    <oc r="S57">
      <f>VLOOKUP(A57,INPUT_RANGE,56,FALSE) &amp; " 3b"</f>
    </oc>
    <nc r="S57">
      <f>VLOOKUP(A57,INPUT_RANGE,56,FALSE) &amp; " 3B"</f>
    </nc>
  </rcc>
  <rcc rId="2813" sId="5">
    <oc r="T57">
      <f>VLOOKUP(A57,INPUT_RANGE,57,FALSE) &amp; " hr"</f>
    </oc>
    <nc r="T57">
      <f>VLOOKUP(A57,INPUT_RANGE,57,FALSE) &amp; " HR"</f>
    </nc>
  </rcc>
  <rcc rId="2814" sId="5">
    <oc r="U57">
      <f>VLOOKUP(A57,INPUT_RANGE,53,FALSE) &amp; " r"</f>
    </oc>
    <nc r="U57">
      <f>VLOOKUP(A57,INPUT_RANGE,53,FALSE) &amp; " R"</f>
    </nc>
  </rcc>
  <rcc rId="2815" sId="5">
    <oc r="V57">
      <f>TEXT(AX57, ".000") &amp; " obp"</f>
    </oc>
    <nc r="V57">
      <f>TEXT(AX57, ".000") &amp; " OBP"</f>
    </nc>
  </rcc>
  <rcc rId="2816" sId="5">
    <oc r="X57">
      <f>VLOOKUP(A57,INPUT_RANGE,77,FALSE)&amp;" games"</f>
    </oc>
    <nc r="X57">
      <f>VLOOKUP(A57,INPUT_RANGE,77,FALSE)&amp;" games"</f>
    </nc>
  </rcc>
  <rcc rId="2817" sId="5">
    <oc r="Y57">
      <f>VLOOKUP(A57,INPUT_RANGE,78,FALSE) &amp; " starts"</f>
    </oc>
    <nc r="Y57">
      <f>VLOOKUP(A57,INPUT_RANGE,78,FALSE) &amp; " starts"</f>
    </nc>
  </rcc>
  <rcc rId="2818" sId="5">
    <oc r="Z57">
      <f>VLOOKUP(A57,INPUT_RANGE,82,FALSE) &amp; " ip"</f>
    </oc>
    <nc r="Z57">
      <f>VLOOKUP(A57,INPUT_RANGE,82,FALSE) &amp; " IP"</f>
    </nc>
  </rcc>
  <rcc rId="2819" sId="5">
    <oc r="AA57">
      <f>TRUNC(VLOOKUP(A57,INPUT_RANGE,82,FALSE)) &amp;  IF(AR57=0.333,"º",IF(AR57=0.666,"»",""))</f>
    </oc>
    <nc r="AA57">
      <f>TRUNC(VLOOKUP(A57,INPUT_RANGE,82,FALSE)) &amp;  IF(AR57=0.333,"º",IF(AR57=0.666,"»",""))</f>
    </nc>
  </rcc>
  <rcc rId="2820" sId="5">
    <oc r="AB57">
      <f>AA57&amp; " ip"</f>
    </oc>
    <nc r="AB57">
      <f>AA57&amp; " IP"</f>
    </nc>
  </rcc>
  <rcc rId="2821" sId="5">
    <oc r="AC57">
      <f>VLOOKUP(A57,INPUT_RANGE,79,FALSE) &amp; " cg"</f>
    </oc>
    <nc r="AC57">
      <f>VLOOKUP(A57,INPUT_RANGE,79,FALSE) &amp; " CG"</f>
    </nc>
  </rcc>
  <rcc rId="2822" sId="5">
    <oc r="AD57">
      <f>VLOOKUP(A57,INPUT_RANGE,80,FALSE) &amp; " sho"</f>
    </oc>
    <nc r="AD57">
      <f>VLOOKUP(A57,INPUT_RANGE,80,FALSE) &amp; " SHO"</f>
    </nc>
  </rcc>
  <rcc rId="2823" sId="5">
    <oc r="AE57">
      <f>VLOOKUP(A57,INPUT_RANGE,75,FALSE) &amp; " win"</f>
    </oc>
    <nc r="AE57">
      <f>VLOOKUP(A57,INPUT_RANGE,75,FALSE) &amp; " Win"</f>
    </nc>
  </rcc>
  <rcc rId="2824" sId="5">
    <oc r="AF57">
      <f>VLOOKUP(A57,INPUT_RANGE,76,FALSE) &amp; " loss"</f>
    </oc>
    <nc r="AF57">
      <f>VLOOKUP(A57,INPUT_RANGE,76,FALSE) &amp; " Loss"</f>
    </nc>
  </rcc>
  <rcc rId="2825" sId="5">
    <oc r="AG57">
      <f>VLOOKUP(A57,INPUT_RANGE,75,FALSE) &amp; "-" &amp; VLOOKUP(A57,INPUT_RANGE,76,FALSE) &amp; " w-l"</f>
    </oc>
    <nc r="AG57">
      <f>VLOOKUP(A57,INPUT_RANGE,75,FALSE) &amp; "-" &amp; VLOOKUP(A57,INPUT_RANGE,76,FALSE) &amp; " W-L"</f>
    </nc>
  </rcc>
  <rcc rId="2826" sId="5">
    <oc r="AH57">
      <f>VLOOKUP(A57,INPUT_RANGE,81,FALSE)&amp; " saves"</f>
    </oc>
    <nc r="AH57">
      <f>VLOOKUP(A57,INPUT_RANGE,81,FALSE)&amp; " Saves"</f>
    </nc>
  </rcc>
  <rcc rId="2827" sId="5">
    <oc r="AI57">
      <f>VLOOKUP(A57,INPUT_RANGE,83,FALSE) &amp; " h"</f>
    </oc>
    <nc r="AI57">
      <f>VLOOKUP(A57,INPUT_RANGE,83,FALSE) &amp; " H"</f>
    </nc>
  </rcc>
  <rcc rId="2828" sId="5">
    <oc r="AJ57">
      <f>VLOOKUP(A57,INPUT_RANGE,84,FALSE) &amp; " r"</f>
    </oc>
    <nc r="AJ57">
      <f>VLOOKUP(A57,INPUT_RANGE,84,FALSE) &amp; " R"</f>
    </nc>
  </rcc>
  <rcc rId="2829" sId="5">
    <oc r="AK57">
      <f>VLOOKUP(A57,INPUT_RANGE,85,FALSE) &amp;" er"</f>
    </oc>
    <nc r="AK57">
      <f>VLOOKUP(A57,INPUT_RANGE,85,FALSE) &amp;" ER"</f>
    </nc>
  </rcc>
  <rcc rId="2830" sId="5">
    <oc r="AL57">
      <f>VLOOKUP(A57,INPUT_RANGE,88,FALSE) &amp;" hr"</f>
    </oc>
    <nc r="AL57">
      <f>VLOOKUP(A57,INPUT_RANGE,88,FALSE) &amp;" HR"</f>
    </nc>
  </rcc>
  <rcc rId="2831" sId="5">
    <oc r="AM57">
      <f>VLOOKUP(A57,INPUT_RANGE,87,FALSE) &amp; " k"</f>
    </oc>
    <nc r="AM57">
      <f>VLOOKUP(A57,INPUT_RANGE,87,FALSE) &amp; " K"</f>
    </nc>
  </rcc>
  <rcc rId="2832" sId="5">
    <oc r="AN57">
      <f>VLOOKUP(A57,INPUT_RANGE,86,FALSE) &amp; " bb"</f>
    </oc>
    <nc r="AN57">
      <f>VLOOKUP(A57,INPUT_RANGE,86,FALSE) &amp; " BB"</f>
    </nc>
  </rcc>
  <rcc rId="2833" sId="5">
    <oc r="AO57">
      <f>TEXT(AU57,"0.00") &amp; " era"</f>
    </oc>
    <nc r="AO57">
      <f>TEXT(AU57,"0.00") &amp; " ERA"</f>
    </nc>
  </rcc>
  <rcc rId="2834" sId="5">
    <oc r="AP57">
      <f>TEXT(AT57,"0.00") &amp; " whip"</f>
    </oc>
    <nc r="AP57">
      <f>TEXT(AT57,"0.00") &amp; " WHIP"</f>
    </nc>
  </rcc>
  <rcc rId="2835" sId="5">
    <oc r="AQ57">
      <f xml:space="preserve"> IF(LEFT(RIGHT((VLOOKUP(A57,INPUT_RANGE,82,FALSE)),2),1)=".",RIGHT(VLOOKUP(A57,INPUT_RANGE,82,FALSE),1), "X")</f>
    </oc>
    <nc r="AQ57">
      <f xml:space="preserve"> IF(LEFT(RIGHT((VLOOKUP(A57,INPUT_RANGE,82,FALSE)),2),1)=".",RIGHT(VLOOKUP(A57,INPUT_RANGE,82,FALSE),1), "X")</f>
    </nc>
  </rcc>
  <rcc rId="2836" sId="5">
    <oc r="AR57">
      <f>IF(AQ57 ="1",0.333,IF(AQ57="2",0.666,0))</f>
    </oc>
    <nc r="AR57">
      <f>IF(AQ57 ="1",0.333,IF(AQ57="2",0.666,0))</f>
    </nc>
  </rcc>
  <rcc rId="2837" sId="5">
    <oc r="AS57">
      <f>VLOOKUP(A57,INPUT_RANGE,82,FALSE)-(AQ57*0.1)+AR57</f>
    </oc>
    <nc r="AS57">
      <f>VLOOKUP(A57,INPUT_RANGE,82,FALSE)-(AQ57*0.1)+AR57</f>
    </nc>
  </rcc>
  <rcc rId="2838" sId="5">
    <oc r="AT57">
      <f>ROUND((VLOOKUP(A57,INPUT_RANGE,86,FALSE)+VLOOKUP(A57,INPUT_RANGE,83,FALSE))/AS57,2)</f>
    </oc>
    <nc r="AT57">
      <f>ROUND((VLOOKUP(A57,INPUT_RANGE,86,FALSE)+VLOOKUP(A57,INPUT_RANGE,83,FALSE))/AS57,2)</f>
    </nc>
  </rcc>
  <rcc rId="2839" sId="5">
    <oc r="AU57">
      <f>ROUND((VLOOKUP(A57,INPUT_RANGE,85,FALSE)/AS57)*('Team Info'!$H$25),2)</f>
    </oc>
    <nc r="AU57">
      <f>ROUND((VLOOKUP(A57,INPUT_RANGE,85,FALSE)/AS57)*('D:\Data\Softball\[ESPN_BASEBALL_AWAY_OLD.xlsx]Team Info'!$H$25),2)</f>
    </nc>
  </rcc>
  <rcc rId="2840" sId="5">
    <oc r="AW57">
      <f>(VLOOKUP(A57,INPUT_RANGE,54,FALSE)/VLOOKUP(A57,INPUT_RANGE,52,FALSE))</f>
    </oc>
    <nc r="AW57">
      <f>(VLOOKUP(A57,INPUT_RANGE,54,FALSE)/VLOOKUP(A57,INPUT_RANGE,52,FALSE))</f>
    </nc>
  </rcc>
  <rcc rId="2841" sId="5">
    <oc r="AX57">
      <f>((VLOOKUP(A57,INPUT_RANGE,54,FALSE)+VLOOKUP(A57,INPUT_RANGE,60,FALSE)+VLOOKUP(A57,INPUT_RANGE,59,FALSE))/(VLOOKUP(A57,INPUT_RANGE,52,FALSE)+VLOOKUP(A57,INPUT_RANGE,60,FALSE)+VLOOKUP(A57,INPUT_RANGE,59,FALSE)+VLOOKUP(A57,INPUT_RANGE,63,FALSE)))</f>
    </oc>
    <nc r="AX57">
      <f>((VLOOKUP(A57,INPUT_RANGE,54,FALSE)+VLOOKUP(A57,INPUT_RANGE,60,FALSE)+VLOOKUP(A57,INPUT_RANGE,59,FALSE))/(VLOOKUP(A57,INPUT_RANGE,52,FALSE)+VLOOKUP(A57,INPUT_RANGE,60,FALSE)+VLOOKUP(A57,INPUT_RANGE,59,FALSE)+VLOOKUP(A57,INPUT_RANGE,63,FALSE)))</f>
    </nc>
  </rcc>
  <rcc rId="2842" sId="5">
    <oc r="AY57">
      <f>(VLOOKUP(A57,INPUT_RANGE,54)+VLOOKUP(A57,INPUT_RANGE,55)+(VLOOKUP(A57,INPUT_RANGE,56)*2)+(VLOOKUP(A57,INPUT_RANGE,57)*3))/(VLOOKUP(A57,INPUT_RANGE,52))</f>
    </oc>
    <nc r="AY57">
      <f>(VLOOKUP(A57,INPUT_RANGE,54)+VLOOKUP(A57,INPUT_RANGE,55)+(VLOOKUP(A57,INPUT_RANGE,56)*2)+(VLOOKUP(A57,INPUT_RANGE,57)*3))/(VLOOKUP(A57,INPUT_RANGE,52))</f>
    </nc>
  </rcc>
  <rcc rId="2843" sId="5">
    <oc r="AZ57">
      <f>AX57+AY57</f>
    </oc>
    <nc r="AZ57">
      <f>AX57+AY57</f>
    </nc>
  </rcc>
  <rcc rId="2844" sId="5">
    <oc r="BA57">
      <f xml:space="preserve"> TEXT(AZ57,".000") &amp; " ops"</f>
    </oc>
    <nc r="BA57">
      <f xml:space="preserve"> TEXT(AZ57,".000") &amp; " OPS"</f>
    </nc>
  </rcc>
  <rcc rId="2845" sId="5">
    <oc r="BB57">
      <f>VLOOKUP(A57,INPUT_RANGE,78,FALSE)</f>
    </oc>
    <nc r="BB57">
      <f>VLOOKUP(A57,INPUT_RANGE,78,FALSE)</f>
    </nc>
  </rcc>
  <rcc rId="2846" sId="5">
    <oc r="BC57">
      <f>VLOOKUP(A57,INPUT_RANGE,77,FALSE)</f>
    </oc>
    <nc r="BC57">
      <f>VLOOKUP(A57,INPUT_RANGE,77,FALSE)</f>
    </nc>
  </rcc>
  <rcc rId="2847" sId="5">
    <oc r="BD57">
      <f>VLOOKUP(A57,INPUT_RANGE,75,FALSE) &amp; "-" &amp; VLOOKUP(A57,INPUT_RANGE,76,FALSE)</f>
    </oc>
    <nc r="BD57">
      <f>VLOOKUP(A57,INPUT_RANGE,75,FALSE) &amp; "-" &amp; VLOOKUP(A57,INPUT_RANGE,76,FALSE)</f>
    </nc>
  </rcc>
  <rcc rId="2848" sId="5">
    <oc r="BE57">
      <f>AU57</f>
    </oc>
    <nc r="BE57">
      <f>AU57</f>
    </nc>
  </rcc>
  <rcc rId="2849" sId="5">
    <oc r="BF57">
      <f>AA57</f>
    </oc>
    <nc r="BF57">
      <f>AA57</f>
    </nc>
  </rcc>
  <rcc rId="2850" sId="5">
    <oc r="BG57">
      <f>VLOOKUP(A57,INPUT_RANGE,86,FALSE)</f>
    </oc>
    <nc r="BG57">
      <f>VLOOKUP(A57,INPUT_RANGE,86,FALSE)</f>
    </nc>
  </rcc>
  <rcc rId="2851" sId="5">
    <oc r="BH57">
      <f>VLOOKUP(A57,INPUT_RANGE,87,FALSE)</f>
    </oc>
    <nc r="BH57">
      <f>VLOOKUP(A57,INPUT_RANGE,87,FALSE)</f>
    </nc>
  </rcc>
  <rcc rId="2852" sId="5">
    <oc r="BI57">
      <f>VLOOKUP(A57,INPUT_RANGE,81,FALSE) &amp; " SAVES"</f>
    </oc>
    <nc r="BI57">
      <f>VLOOKUP(A57,INPUT_RANGE,81,FALSE) &amp; " SAVES"</f>
    </nc>
  </rcc>
  <rcc rId="2853" sId="5">
    <oc r="BJ57">
      <f>VLOOKUP(A57,INPUT_RANGE,81,FALSE)</f>
    </oc>
    <nc r="BJ57">
      <f>VLOOKUP(A57,INPUT_RANGE,81,FALSE)</f>
    </nc>
  </rcc>
  <rcc rId="2854" sId="5">
    <oc r="BK57">
      <f>VLOOKUP(A57,INPUT_RANGE,83,FALSE)</f>
    </oc>
    <nc r="BK57">
      <f>VLOOKUP(A57,INPUT_RANGE,83,FALSE)</f>
    </nc>
  </rcc>
  <rcc rId="2855" sId="5">
    <oc r="BL57">
      <f>VLOOKUP(A57,INPUT_RANGE,87,FALSE) &amp; "/" &amp; VLOOKUP(A57,INPUT_RANGE,86,FALSE)</f>
    </oc>
    <nc r="BL57">
      <f>VLOOKUP(A57,INPUT_RANGE,87,FALSE) &amp; "/" &amp; VLOOKUP(A57,INPUT_RANGE,86,FALSE)</f>
    </nc>
  </rcc>
  <rcc rId="2856" sId="5">
    <oc r="BM57">
      <f>ROUND((VLOOKUP(A57,INPUT_RANGE,86,FALSE)+VLOOKUP(A57,INPUT_RANGE,83,FALSE))/AS57,2)</f>
    </oc>
    <nc r="BM57">
      <f>ROUND((VLOOKUP(A57,INPUT_RANGE,86,FALSE)+VLOOKUP(A57,INPUT_RANGE,83,FALSE))/AS57,2)</f>
    </nc>
  </rcc>
  <rcc rId="2857" sId="5">
    <oc r="M58">
      <f xml:space="preserve"> TEXT(AW58,".000") &amp; " ba"</f>
    </oc>
    <nc r="M58">
      <f xml:space="preserve"> TEXT(AW58,".000") &amp; " BA"</f>
    </nc>
  </rcc>
  <rcc rId="2858" sId="5">
    <oc r="N58">
      <f>VLOOKUP(A58,INPUT_RANGE,58,FALSE) &amp; " rbi"</f>
    </oc>
    <nc r="N58">
      <f>VLOOKUP(A58,INPUT_RANGE,58,FALSE) &amp; " RBI"</f>
    </nc>
  </rcc>
  <rcc rId="2859" sId="5">
    <oc r="O58">
      <f>VLOOKUP(A58,INPUT_RANGE,60,FALSE) &amp; " bb"</f>
    </oc>
    <nc r="O58">
      <f>VLOOKUP(A58,INPUT_RANGE,60,FALSE) &amp; " BB"</f>
    </nc>
  </rcc>
  <rcc rId="2860" sId="5">
    <oc r="P58">
      <f>VLOOKUP(A58,INPUT_RANGE,61,FALSE) &amp; " k"</f>
    </oc>
    <nc r="P58">
      <f>VLOOKUP(A58,INPUT_RANGE,61,FALSE) &amp; " K"</f>
    </nc>
  </rcc>
  <rcc rId="2861" sId="5">
    <oc r="Q58">
      <f>VLOOKUP(A58,INPUT_RANGE,64,FALSE) &amp; " sb"</f>
    </oc>
    <nc r="Q58">
      <f>VLOOKUP(A58,INPUT_RANGE,64,FALSE) &amp; " SB"</f>
    </nc>
  </rcc>
  <rcc rId="2862" sId="5">
    <oc r="R58">
      <f>VLOOKUP(A58,INPUT_RANGE,55,FALSE) &amp; " 2b"</f>
    </oc>
    <nc r="R58">
      <f>VLOOKUP(A58,INPUT_RANGE,55,FALSE) &amp; " 2B"</f>
    </nc>
  </rcc>
  <rcc rId="2863" sId="5">
    <oc r="S58">
      <f>VLOOKUP(A58,INPUT_RANGE,56,FALSE) &amp; " 3b"</f>
    </oc>
    <nc r="S58">
      <f>VLOOKUP(A58,INPUT_RANGE,56,FALSE) &amp; " 3B"</f>
    </nc>
  </rcc>
  <rcc rId="2864" sId="5">
    <oc r="T58">
      <f>VLOOKUP(A58,INPUT_RANGE,57,FALSE) &amp; " hr"</f>
    </oc>
    <nc r="T58">
      <f>VLOOKUP(A58,INPUT_RANGE,57,FALSE) &amp; " HR"</f>
    </nc>
  </rcc>
  <rcc rId="2865" sId="5">
    <oc r="U58">
      <f>VLOOKUP(A58,INPUT_RANGE,53,FALSE) &amp; " r"</f>
    </oc>
    <nc r="U58">
      <f>VLOOKUP(A58,INPUT_RANGE,53,FALSE) &amp; " R"</f>
    </nc>
  </rcc>
  <rcc rId="2866" sId="5">
    <oc r="V58">
      <f>TEXT(AX58, ".000") &amp; " obp"</f>
    </oc>
    <nc r="V58">
      <f>TEXT(AX58, ".000") &amp; " OBP"</f>
    </nc>
  </rcc>
  <rcc rId="2867" sId="5">
    <oc r="X58">
      <f>VLOOKUP(A58,INPUT_RANGE,77,FALSE)&amp;" games"</f>
    </oc>
    <nc r="X58">
      <f>VLOOKUP(A58,INPUT_RANGE,77,FALSE)&amp;" games"</f>
    </nc>
  </rcc>
  <rcc rId="2868" sId="5">
    <oc r="Y58">
      <f>VLOOKUP(A58,INPUT_RANGE,78,FALSE) &amp; " starts"</f>
    </oc>
    <nc r="Y58">
      <f>VLOOKUP(A58,INPUT_RANGE,78,FALSE) &amp; " starts"</f>
    </nc>
  </rcc>
  <rcc rId="2869" sId="5">
    <oc r="Z58">
      <f>VLOOKUP(A58,INPUT_RANGE,82,FALSE) &amp; " ip"</f>
    </oc>
    <nc r="Z58">
      <f>VLOOKUP(A58,INPUT_RANGE,82,FALSE) &amp; " IP"</f>
    </nc>
  </rcc>
  <rcc rId="2870" sId="5">
    <oc r="AA58">
      <f>TRUNC(VLOOKUP(A58,INPUT_RANGE,82,FALSE)) &amp;  IF(AR58=0.333,"º",IF(AR58=0.666,"»",""))</f>
    </oc>
    <nc r="AA58">
      <f>TRUNC(VLOOKUP(A58,INPUT_RANGE,82,FALSE)) &amp;  IF(AR58=0.333,"º",IF(AR58=0.666,"»",""))</f>
    </nc>
  </rcc>
  <rcc rId="2871" sId="5">
    <oc r="AB58">
      <f>AA58&amp; " ip"</f>
    </oc>
    <nc r="AB58">
      <f>AA58&amp; " IP"</f>
    </nc>
  </rcc>
  <rcc rId="2872" sId="5">
    <oc r="AC58">
      <f>VLOOKUP(A58,INPUT_RANGE,79,FALSE) &amp; " cg"</f>
    </oc>
    <nc r="AC58">
      <f>VLOOKUP(A58,INPUT_RANGE,79,FALSE) &amp; " CG"</f>
    </nc>
  </rcc>
  <rcc rId="2873" sId="5">
    <oc r="AD58">
      <f>VLOOKUP(A58,INPUT_RANGE,80,FALSE) &amp; " sho"</f>
    </oc>
    <nc r="AD58">
      <f>VLOOKUP(A58,INPUT_RANGE,80,FALSE) &amp; " SHO"</f>
    </nc>
  </rcc>
  <rcc rId="2874" sId="5">
    <oc r="AE58">
      <f>VLOOKUP(A58,INPUT_RANGE,75,FALSE) &amp; " win"</f>
    </oc>
    <nc r="AE58">
      <f>VLOOKUP(A58,INPUT_RANGE,75,FALSE) &amp; " Win"</f>
    </nc>
  </rcc>
  <rcc rId="2875" sId="5">
    <oc r="AF58">
      <f>VLOOKUP(A58,INPUT_RANGE,76,FALSE) &amp; " loss"</f>
    </oc>
    <nc r="AF58">
      <f>VLOOKUP(A58,INPUT_RANGE,76,FALSE) &amp; " Loss"</f>
    </nc>
  </rcc>
  <rcc rId="2876" sId="5">
    <oc r="AG58">
      <f>VLOOKUP(A58,INPUT_RANGE,75,FALSE) &amp; "-" &amp; VLOOKUP(A58,INPUT_RANGE,76,FALSE) &amp; " w-l"</f>
    </oc>
    <nc r="AG58">
      <f>VLOOKUP(A58,INPUT_RANGE,75,FALSE) &amp; "-" &amp; VLOOKUP(A58,INPUT_RANGE,76,FALSE) &amp; " W-L"</f>
    </nc>
  </rcc>
  <rcc rId="2877" sId="5">
    <oc r="AH58">
      <f>VLOOKUP(A58,INPUT_RANGE,81,FALSE)&amp; " saves"</f>
    </oc>
    <nc r="AH58">
      <f>VLOOKUP(A58,INPUT_RANGE,81,FALSE)&amp; " Saves"</f>
    </nc>
  </rcc>
  <rcc rId="2878" sId="5">
    <oc r="AI58">
      <f>VLOOKUP(A58,INPUT_RANGE,83,FALSE) &amp; " h"</f>
    </oc>
    <nc r="AI58">
      <f>VLOOKUP(A58,INPUT_RANGE,83,FALSE) &amp; " H"</f>
    </nc>
  </rcc>
  <rcc rId="2879" sId="5">
    <oc r="AJ58">
      <f>VLOOKUP(A58,INPUT_RANGE,84,FALSE) &amp; " r"</f>
    </oc>
    <nc r="AJ58">
      <f>VLOOKUP(A58,INPUT_RANGE,84,FALSE) &amp; " R"</f>
    </nc>
  </rcc>
  <rcc rId="2880" sId="5">
    <oc r="AK58">
      <f>VLOOKUP(A58,INPUT_RANGE,85,FALSE) &amp;" er"</f>
    </oc>
    <nc r="AK58">
      <f>VLOOKUP(A58,INPUT_RANGE,85,FALSE) &amp;" ER"</f>
    </nc>
  </rcc>
  <rcc rId="2881" sId="5">
    <oc r="AL58">
      <f>VLOOKUP(A58,INPUT_RANGE,88,FALSE) &amp;" hr"</f>
    </oc>
    <nc r="AL58">
      <f>VLOOKUP(A58,INPUT_RANGE,88,FALSE) &amp;" HR"</f>
    </nc>
  </rcc>
  <rcc rId="2882" sId="5">
    <oc r="AM58">
      <f>VLOOKUP(A58,INPUT_RANGE,87,FALSE) &amp; " k"</f>
    </oc>
    <nc r="AM58">
      <f>VLOOKUP(A58,INPUT_RANGE,87,FALSE) &amp; " K"</f>
    </nc>
  </rcc>
  <rcc rId="2883" sId="5">
    <oc r="AN58">
      <f>VLOOKUP(A58,INPUT_RANGE,86,FALSE) &amp; " bb"</f>
    </oc>
    <nc r="AN58">
      <f>VLOOKUP(A58,INPUT_RANGE,86,FALSE) &amp; " BB"</f>
    </nc>
  </rcc>
  <rcc rId="2884" sId="5">
    <oc r="AO58">
      <f>TEXT(AU58,"0.00") &amp; " era"</f>
    </oc>
    <nc r="AO58">
      <f>TEXT(AU58,"0.00") &amp; " ERA"</f>
    </nc>
  </rcc>
  <rcc rId="2885" sId="5">
    <oc r="AP58">
      <f>TEXT(AT58,"0.00") &amp; " whip"</f>
    </oc>
    <nc r="AP58">
      <f>TEXT(AT58,"0.00") &amp; " WHIP"</f>
    </nc>
  </rcc>
  <rcc rId="2886" sId="5">
    <oc r="AQ58">
      <f xml:space="preserve"> IF(LEFT(RIGHT((VLOOKUP(A58,INPUT_RANGE,82,FALSE)),2),1)=".",RIGHT(VLOOKUP(A58,INPUT_RANGE,82,FALSE),1), "X")</f>
    </oc>
    <nc r="AQ58">
      <f xml:space="preserve"> IF(LEFT(RIGHT((VLOOKUP(A58,INPUT_RANGE,82,FALSE)),2),1)=".",RIGHT(VLOOKUP(A58,INPUT_RANGE,82,FALSE),1), "X")</f>
    </nc>
  </rcc>
  <rcc rId="2887" sId="5">
    <oc r="AR58">
      <f>IF(AQ58 ="1",0.333,IF(AQ58="2",0.666,0))</f>
    </oc>
    <nc r="AR58">
      <f>IF(AQ58 ="1",0.333,IF(AQ58="2",0.666,0))</f>
    </nc>
  </rcc>
  <rcc rId="2888" sId="5">
    <oc r="AS58">
      <f>VLOOKUP(A58,INPUT_RANGE,82,FALSE)-(AQ58*0.1)+AR58</f>
    </oc>
    <nc r="AS58">
      <f>VLOOKUP(A58,INPUT_RANGE,82,FALSE)-(AQ58*0.1)+AR58</f>
    </nc>
  </rcc>
  <rcc rId="2889" sId="5">
    <oc r="AT58">
      <f>ROUND((VLOOKUP(A58,INPUT_RANGE,86,FALSE)+VLOOKUP(A58,INPUT_RANGE,83,FALSE))/AS58,2)</f>
    </oc>
    <nc r="AT58">
      <f>ROUND((VLOOKUP(A58,INPUT_RANGE,86,FALSE)+VLOOKUP(A58,INPUT_RANGE,83,FALSE))/AS58,2)</f>
    </nc>
  </rcc>
  <rcc rId="2890" sId="5">
    <oc r="AU58">
      <f>ROUND((VLOOKUP(A58,INPUT_RANGE,85,FALSE)/AS58)*('Team Info'!$H$25),2)</f>
    </oc>
    <nc r="AU58">
      <f>ROUND((VLOOKUP(A58,INPUT_RANGE,85,FALSE)/AS58)*('D:\Data\Softball\[ESPN_BASEBALL_AWAY_OLD.xlsx]Team Info'!$H$25),2)</f>
    </nc>
  </rcc>
  <rcc rId="2891" sId="5">
    <oc r="AW58">
      <f>(VLOOKUP(A58,INPUT_RANGE,54,FALSE)/VLOOKUP(A58,INPUT_RANGE,52,FALSE))</f>
    </oc>
    <nc r="AW58">
      <f>(VLOOKUP(A58,INPUT_RANGE,54,FALSE)/VLOOKUP(A58,INPUT_RANGE,52,FALSE))</f>
    </nc>
  </rcc>
  <rcc rId="2892" sId="5">
    <oc r="AX58">
      <f>((VLOOKUP(A58,INPUT_RANGE,54,FALSE)+VLOOKUP(A58,INPUT_RANGE,60,FALSE)+VLOOKUP(A58,INPUT_RANGE,59,FALSE))/(VLOOKUP(A58,INPUT_RANGE,52,FALSE)+VLOOKUP(A58,INPUT_RANGE,60,FALSE)+VLOOKUP(A58,INPUT_RANGE,59,FALSE)+VLOOKUP(A58,INPUT_RANGE,63,FALSE)))</f>
    </oc>
    <nc r="AX58">
      <f>((VLOOKUP(A58,INPUT_RANGE,54,FALSE)+VLOOKUP(A58,INPUT_RANGE,60,FALSE)+VLOOKUP(A58,INPUT_RANGE,59,FALSE))/(VLOOKUP(A58,INPUT_RANGE,52,FALSE)+VLOOKUP(A58,INPUT_RANGE,60,FALSE)+VLOOKUP(A58,INPUT_RANGE,59,FALSE)+VLOOKUP(A58,INPUT_RANGE,63,FALSE)))</f>
    </nc>
  </rcc>
  <rcc rId="2893" sId="5">
    <oc r="AY58">
      <f>(VLOOKUP(A58,INPUT_RANGE,54)+VLOOKUP(A58,INPUT_RANGE,55)+(VLOOKUP(A58,INPUT_RANGE,56)*2)+(VLOOKUP(A58,INPUT_RANGE,57)*3))/(VLOOKUP(A58,INPUT_RANGE,52))</f>
    </oc>
    <nc r="AY58">
      <f>(VLOOKUP(A58,INPUT_RANGE,54)+VLOOKUP(A58,INPUT_RANGE,55)+(VLOOKUP(A58,INPUT_RANGE,56)*2)+(VLOOKUP(A58,INPUT_RANGE,57)*3))/(VLOOKUP(A58,INPUT_RANGE,52))</f>
    </nc>
  </rcc>
  <rcc rId="2894" sId="5">
    <oc r="AZ58">
      <f>AX58+AY58</f>
    </oc>
    <nc r="AZ58">
      <f>AX58+AY58</f>
    </nc>
  </rcc>
  <rcc rId="2895" sId="5">
    <oc r="BA58">
      <f xml:space="preserve"> TEXT(AZ58,".000") &amp; " ops"</f>
    </oc>
    <nc r="BA58">
      <f xml:space="preserve"> TEXT(AZ58,".000") &amp; " OPS"</f>
    </nc>
  </rcc>
  <rcc rId="2896" sId="5">
    <oc r="BB58">
      <f>VLOOKUP(A58,INPUT_RANGE,78,FALSE)</f>
    </oc>
    <nc r="BB58">
      <f>VLOOKUP(A58,INPUT_RANGE,78,FALSE)</f>
    </nc>
  </rcc>
  <rcc rId="2897" sId="5">
    <oc r="BC58">
      <f>VLOOKUP(A58,INPUT_RANGE,77,FALSE)</f>
    </oc>
    <nc r="BC58">
      <f>VLOOKUP(A58,INPUT_RANGE,77,FALSE)</f>
    </nc>
  </rcc>
  <rcc rId="2898" sId="5">
    <oc r="BD58">
      <f>VLOOKUP(A58,INPUT_RANGE,75,FALSE) &amp; "-" &amp; VLOOKUP(A58,INPUT_RANGE,76,FALSE)</f>
    </oc>
    <nc r="BD58">
      <f>VLOOKUP(A58,INPUT_RANGE,75,FALSE) &amp; "-" &amp; VLOOKUP(A58,INPUT_RANGE,76,FALSE)</f>
    </nc>
  </rcc>
  <rcc rId="2899" sId="5">
    <oc r="BE58">
      <f>AU58</f>
    </oc>
    <nc r="BE58">
      <f>AU58</f>
    </nc>
  </rcc>
  <rcc rId="2900" sId="5">
    <oc r="BF58">
      <f>AA58</f>
    </oc>
    <nc r="BF58">
      <f>AA58</f>
    </nc>
  </rcc>
  <rcc rId="2901" sId="5">
    <oc r="BG58">
      <f>VLOOKUP(A58,INPUT_RANGE,86,FALSE)</f>
    </oc>
    <nc r="BG58">
      <f>VLOOKUP(A58,INPUT_RANGE,86,FALSE)</f>
    </nc>
  </rcc>
  <rcc rId="2902" sId="5">
    <oc r="BH58">
      <f>VLOOKUP(A58,INPUT_RANGE,87,FALSE)</f>
    </oc>
    <nc r="BH58">
      <f>VLOOKUP(A58,INPUT_RANGE,87,FALSE)</f>
    </nc>
  </rcc>
  <rcc rId="2903" sId="5">
    <oc r="BI58">
      <f>VLOOKUP(A58,INPUT_RANGE,81,FALSE) &amp; " SAVES"</f>
    </oc>
    <nc r="BI58">
      <f>VLOOKUP(A58,INPUT_RANGE,81,FALSE) &amp; " SAVES"</f>
    </nc>
  </rcc>
  <rcc rId="2904" sId="5">
    <oc r="BJ58">
      <f>VLOOKUP(A58,INPUT_RANGE,81,FALSE)</f>
    </oc>
    <nc r="BJ58">
      <f>VLOOKUP(A58,INPUT_RANGE,81,FALSE)</f>
    </nc>
  </rcc>
  <rcc rId="2905" sId="5">
    <oc r="BK58">
      <f>VLOOKUP(A58,INPUT_RANGE,83,FALSE)</f>
    </oc>
    <nc r="BK58">
      <f>VLOOKUP(A58,INPUT_RANGE,83,FALSE)</f>
    </nc>
  </rcc>
  <rcc rId="2906" sId="5">
    <oc r="BL58">
      <f>VLOOKUP(A58,INPUT_RANGE,87,FALSE) &amp; "/" &amp; VLOOKUP(A58,INPUT_RANGE,86,FALSE)</f>
    </oc>
    <nc r="BL58">
      <f>VLOOKUP(A58,INPUT_RANGE,87,FALSE) &amp; "/" &amp; VLOOKUP(A58,INPUT_RANGE,86,FALSE)</f>
    </nc>
  </rcc>
  <rcc rId="2907" sId="5">
    <oc r="BM58">
      <f>ROUND((VLOOKUP(A58,INPUT_RANGE,86,FALSE)+VLOOKUP(A58,INPUT_RANGE,83,FALSE))/AS58,2)</f>
    </oc>
    <nc r="BM58">
      <f>ROUND((VLOOKUP(A58,INPUT_RANGE,86,FALSE)+VLOOKUP(A58,INPUT_RANGE,83,FALSE))/AS58,2)</f>
    </nc>
  </rcc>
  <rcc rId="2908" sId="5">
    <oc r="M59">
      <f xml:space="preserve"> TEXT(AW59,".000") &amp; " ba"</f>
    </oc>
    <nc r="M59">
      <f xml:space="preserve"> TEXT(AW59,".000") &amp; " BA"</f>
    </nc>
  </rcc>
  <rcc rId="2909" sId="5">
    <oc r="N59">
      <f>VLOOKUP(A59,INPUT_RANGE,58,FALSE) &amp; " rbi"</f>
    </oc>
    <nc r="N59">
      <f>VLOOKUP(A59,INPUT_RANGE,58,FALSE) &amp; " RBI"</f>
    </nc>
  </rcc>
  <rcc rId="2910" sId="5">
    <oc r="O59">
      <f>VLOOKUP(A59,INPUT_RANGE,60,FALSE) &amp; " bb"</f>
    </oc>
    <nc r="O59">
      <f>VLOOKUP(A59,INPUT_RANGE,60,FALSE) &amp; " BB"</f>
    </nc>
  </rcc>
  <rcc rId="2911" sId="5">
    <oc r="P59">
      <f>VLOOKUP(A59,INPUT_RANGE,61,FALSE) &amp; " k"</f>
    </oc>
    <nc r="P59">
      <f>VLOOKUP(A59,INPUT_RANGE,61,FALSE) &amp; " K"</f>
    </nc>
  </rcc>
  <rcc rId="2912" sId="5">
    <oc r="Q59">
      <f>VLOOKUP(A59,INPUT_RANGE,64,FALSE) &amp; " sb"</f>
    </oc>
    <nc r="Q59">
      <f>VLOOKUP(A59,INPUT_RANGE,64,FALSE) &amp; " SB"</f>
    </nc>
  </rcc>
  <rcc rId="2913" sId="5">
    <oc r="R59">
      <f>VLOOKUP(A59,INPUT_RANGE,55,FALSE) &amp; " 2b"</f>
    </oc>
    <nc r="R59">
      <f>VLOOKUP(A59,INPUT_RANGE,55,FALSE) &amp; " 2B"</f>
    </nc>
  </rcc>
  <rcc rId="2914" sId="5">
    <oc r="S59">
      <f>VLOOKUP(A59,INPUT_RANGE,56,FALSE) &amp; " 3b"</f>
    </oc>
    <nc r="S59">
      <f>VLOOKUP(A59,INPUT_RANGE,56,FALSE) &amp; " 3B"</f>
    </nc>
  </rcc>
  <rcc rId="2915" sId="5">
    <oc r="T59">
      <f>VLOOKUP(A59,INPUT_RANGE,57,FALSE) &amp; " hr"</f>
    </oc>
    <nc r="T59">
      <f>VLOOKUP(A59,INPUT_RANGE,57,FALSE) &amp; " HR"</f>
    </nc>
  </rcc>
  <rcc rId="2916" sId="5">
    <oc r="U59">
      <f>VLOOKUP(A59,INPUT_RANGE,53,FALSE) &amp; " r"</f>
    </oc>
    <nc r="U59">
      <f>VLOOKUP(A59,INPUT_RANGE,53,FALSE) &amp; " R"</f>
    </nc>
  </rcc>
  <rcc rId="2917" sId="5">
    <oc r="V59">
      <f>TEXT(AX59, ".000") &amp; " obp"</f>
    </oc>
    <nc r="V59">
      <f>TEXT(AX59, ".000") &amp; " OBP"</f>
    </nc>
  </rcc>
  <rcc rId="2918" sId="5">
    <oc r="X59">
      <f>VLOOKUP(A59,INPUT_RANGE,77,FALSE)&amp;" games"</f>
    </oc>
    <nc r="X59">
      <f>VLOOKUP(A59,INPUT_RANGE,77,FALSE)&amp;" games"</f>
    </nc>
  </rcc>
  <rcc rId="2919" sId="5">
    <oc r="Y59">
      <f>VLOOKUP(A59,INPUT_RANGE,78,FALSE) &amp; " starts"</f>
    </oc>
    <nc r="Y59">
      <f>VLOOKUP(A59,INPUT_RANGE,78,FALSE) &amp; " starts"</f>
    </nc>
  </rcc>
  <rcc rId="2920" sId="5">
    <oc r="Z59">
      <f>VLOOKUP(A59,INPUT_RANGE,82,FALSE) &amp; " ip"</f>
    </oc>
    <nc r="Z59">
      <f>VLOOKUP(A59,INPUT_RANGE,82,FALSE) &amp; " IP"</f>
    </nc>
  </rcc>
  <rcc rId="2921" sId="5">
    <oc r="AA59">
      <f>TRUNC(VLOOKUP(A59,INPUT_RANGE,82,FALSE)) &amp;  IF(AR59=0.333,"º",IF(AR59=0.666,"»",""))</f>
    </oc>
    <nc r="AA59">
      <f>TRUNC(VLOOKUP(A59,INPUT_RANGE,82,FALSE)) &amp;  IF(AR59=0.333,"º",IF(AR59=0.666,"»",""))</f>
    </nc>
  </rcc>
  <rcc rId="2922" sId="5">
    <oc r="AB59">
      <f>AA59&amp; " ip"</f>
    </oc>
    <nc r="AB59">
      <f>AA59&amp; " IP"</f>
    </nc>
  </rcc>
  <rcc rId="2923" sId="5">
    <oc r="AC59">
      <f>VLOOKUP(A59,INPUT_RANGE,79,FALSE) &amp; " cg"</f>
    </oc>
    <nc r="AC59">
      <f>VLOOKUP(A59,INPUT_RANGE,79,FALSE) &amp; " CG"</f>
    </nc>
  </rcc>
  <rcc rId="2924" sId="5">
    <oc r="AD59">
      <f>VLOOKUP(A59,INPUT_RANGE,80,FALSE) &amp; " sho"</f>
    </oc>
    <nc r="AD59">
      <f>VLOOKUP(A59,INPUT_RANGE,80,FALSE) &amp; " SHO"</f>
    </nc>
  </rcc>
  <rcc rId="2925" sId="5">
    <oc r="AE59">
      <f>VLOOKUP(A59,INPUT_RANGE,75,FALSE) &amp; " win"</f>
    </oc>
    <nc r="AE59">
      <f>VLOOKUP(A59,INPUT_RANGE,75,FALSE) &amp; " Win"</f>
    </nc>
  </rcc>
  <rcc rId="2926" sId="5">
    <oc r="AF59">
      <f>VLOOKUP(A59,INPUT_RANGE,76,FALSE) &amp; " loss"</f>
    </oc>
    <nc r="AF59">
      <f>VLOOKUP(A59,INPUT_RANGE,76,FALSE) &amp; " Loss"</f>
    </nc>
  </rcc>
  <rcc rId="2927" sId="5">
    <oc r="AG59">
      <f>VLOOKUP(A59,INPUT_RANGE,75,FALSE) &amp; "-" &amp; VLOOKUP(A59,INPUT_RANGE,76,FALSE) &amp; " w-l"</f>
    </oc>
    <nc r="AG59">
      <f>VLOOKUP(A59,INPUT_RANGE,75,FALSE) &amp; "-" &amp; VLOOKUP(A59,INPUT_RANGE,76,FALSE) &amp; " W-L"</f>
    </nc>
  </rcc>
  <rcc rId="2928" sId="5">
    <oc r="AH59">
      <f>VLOOKUP(A59,INPUT_RANGE,81,FALSE)&amp; " saves"</f>
    </oc>
    <nc r="AH59">
      <f>VLOOKUP(A59,INPUT_RANGE,81,FALSE)&amp; " Saves"</f>
    </nc>
  </rcc>
  <rcc rId="2929" sId="5">
    <oc r="AI59">
      <f>VLOOKUP(A59,INPUT_RANGE,83,FALSE) &amp; " h"</f>
    </oc>
    <nc r="AI59">
      <f>VLOOKUP(A59,INPUT_RANGE,83,FALSE) &amp; " H"</f>
    </nc>
  </rcc>
  <rcc rId="2930" sId="5">
    <oc r="AJ59">
      <f>VLOOKUP(A59,INPUT_RANGE,84,FALSE) &amp; " r"</f>
    </oc>
    <nc r="AJ59">
      <f>VLOOKUP(A59,INPUT_RANGE,84,FALSE) &amp; " R"</f>
    </nc>
  </rcc>
  <rcc rId="2931" sId="5">
    <oc r="AK59">
      <f>VLOOKUP(A59,INPUT_RANGE,85,FALSE) &amp;" er"</f>
    </oc>
    <nc r="AK59">
      <f>VLOOKUP(A59,INPUT_RANGE,85,FALSE) &amp;" ER"</f>
    </nc>
  </rcc>
  <rcc rId="2932" sId="5">
    <oc r="AL59">
      <f>VLOOKUP(A59,INPUT_RANGE,88,FALSE) &amp;" hr"</f>
    </oc>
    <nc r="AL59">
      <f>VLOOKUP(A59,INPUT_RANGE,88,FALSE) &amp;" HR"</f>
    </nc>
  </rcc>
  <rcc rId="2933" sId="5">
    <oc r="AM59">
      <f>VLOOKUP(A59,INPUT_RANGE,87,FALSE) &amp; " k"</f>
    </oc>
    <nc r="AM59">
      <f>VLOOKUP(A59,INPUT_RANGE,87,FALSE) &amp; " K"</f>
    </nc>
  </rcc>
  <rcc rId="2934" sId="5">
    <oc r="AN59">
      <f>VLOOKUP(A59,INPUT_RANGE,86,FALSE) &amp; " bb"</f>
    </oc>
    <nc r="AN59">
      <f>VLOOKUP(A59,INPUT_RANGE,86,FALSE) &amp; " BB"</f>
    </nc>
  </rcc>
  <rcc rId="2935" sId="5">
    <oc r="AO59">
      <f>TEXT(AU59,"0.00") &amp; " era"</f>
    </oc>
    <nc r="AO59">
      <f>TEXT(AU59,"0.00") &amp; " ERA"</f>
    </nc>
  </rcc>
  <rcc rId="2936" sId="5">
    <oc r="AP59">
      <f>TEXT(AT59,"0.00") &amp; " whip"</f>
    </oc>
    <nc r="AP59">
      <f>TEXT(AT59,"0.00") &amp; " WHIP"</f>
    </nc>
  </rcc>
  <rcc rId="2937" sId="5">
    <oc r="AQ59">
      <f xml:space="preserve"> IF(LEFT(RIGHT((VLOOKUP(A59,INPUT_RANGE,82,FALSE)),2),1)=".",RIGHT(VLOOKUP(A59,INPUT_RANGE,82,FALSE),1), "X")</f>
    </oc>
    <nc r="AQ59">
      <f xml:space="preserve"> IF(LEFT(RIGHT((VLOOKUP(A59,INPUT_RANGE,82,FALSE)),2),1)=".",RIGHT(VLOOKUP(A59,INPUT_RANGE,82,FALSE),1), "X")</f>
    </nc>
  </rcc>
  <rcc rId="2938" sId="5">
    <oc r="AR59">
      <f>IF(AQ59 ="1",0.333,IF(AQ59="2",0.666,0))</f>
    </oc>
    <nc r="AR59">
      <f>IF(AQ59 ="1",0.333,IF(AQ59="2",0.666,0))</f>
    </nc>
  </rcc>
  <rcc rId="2939" sId="5">
    <oc r="AS59">
      <f>VLOOKUP(A59,INPUT_RANGE,82,FALSE)-(AQ59*0.1)+AR59</f>
    </oc>
    <nc r="AS59">
      <f>VLOOKUP(A59,INPUT_RANGE,82,FALSE)-(AQ59*0.1)+AR59</f>
    </nc>
  </rcc>
  <rcc rId="2940" sId="5">
    <oc r="AT59">
      <f>ROUND((VLOOKUP(A59,INPUT_RANGE,86,FALSE)+VLOOKUP(A59,INPUT_RANGE,83,FALSE))/AS59,2)</f>
    </oc>
    <nc r="AT59">
      <f>ROUND((VLOOKUP(A59,INPUT_RANGE,86,FALSE)+VLOOKUP(A59,INPUT_RANGE,83,FALSE))/AS59,2)</f>
    </nc>
  </rcc>
  <rcc rId="2941" sId="5">
    <oc r="AU59">
      <f>ROUND((VLOOKUP(A59,INPUT_RANGE,85,FALSE)/AS59)*('Team Info'!$H$25),2)</f>
    </oc>
    <nc r="AU59">
      <f>ROUND((VLOOKUP(A59,INPUT_RANGE,85,FALSE)/AS59)*('D:\Data\Softball\[ESPN_BASEBALL_AWAY_OLD.xlsx]Team Info'!$H$25),2)</f>
    </nc>
  </rcc>
  <rcc rId="2942" sId="5">
    <oc r="AW59">
      <f>(VLOOKUP(A59,INPUT_RANGE,54,FALSE)/VLOOKUP(A59,INPUT_RANGE,52,FALSE))</f>
    </oc>
    <nc r="AW59">
      <f>(VLOOKUP(A59,INPUT_RANGE,54,FALSE)/VLOOKUP(A59,INPUT_RANGE,52,FALSE))</f>
    </nc>
  </rcc>
  <rcc rId="2943" sId="5">
    <oc r="AX59">
      <f>((VLOOKUP(A59,INPUT_RANGE,54,FALSE)+VLOOKUP(A59,INPUT_RANGE,60,FALSE)+VLOOKUP(A59,INPUT_RANGE,59,FALSE))/(VLOOKUP(A59,INPUT_RANGE,52,FALSE)+VLOOKUP(A59,INPUT_RANGE,60,FALSE)+VLOOKUP(A59,INPUT_RANGE,59,FALSE)+VLOOKUP(A59,INPUT_RANGE,63,FALSE)))</f>
    </oc>
    <nc r="AX59">
      <f>((VLOOKUP(A59,INPUT_RANGE,54,FALSE)+VLOOKUP(A59,INPUT_RANGE,60,FALSE)+VLOOKUP(A59,INPUT_RANGE,59,FALSE))/(VLOOKUP(A59,INPUT_RANGE,52,FALSE)+VLOOKUP(A59,INPUT_RANGE,60,FALSE)+VLOOKUP(A59,INPUT_RANGE,59,FALSE)+VLOOKUP(A59,INPUT_RANGE,63,FALSE)))</f>
    </nc>
  </rcc>
  <rcc rId="2944" sId="5">
    <oc r="AY59">
      <f>(VLOOKUP(A59,INPUT_RANGE,54)+VLOOKUP(A59,INPUT_RANGE,55)+(VLOOKUP(A59,INPUT_RANGE,56)*2)+(VLOOKUP(A59,INPUT_RANGE,57)*3))/(VLOOKUP(A59,INPUT_RANGE,52))</f>
    </oc>
    <nc r="AY59">
      <f>(VLOOKUP(A59,INPUT_RANGE,54)+VLOOKUP(A59,INPUT_RANGE,55)+(VLOOKUP(A59,INPUT_RANGE,56)*2)+(VLOOKUP(A59,INPUT_RANGE,57)*3))/(VLOOKUP(A59,INPUT_RANGE,52))</f>
    </nc>
  </rcc>
  <rcc rId="2945" sId="5">
    <oc r="AZ59">
      <f>AX59+AY59</f>
    </oc>
    <nc r="AZ59">
      <f>AX59+AY59</f>
    </nc>
  </rcc>
  <rcc rId="2946" sId="5">
    <oc r="BA59">
      <f xml:space="preserve"> TEXT(AZ59,".000") &amp; " ops"</f>
    </oc>
    <nc r="BA59">
      <f xml:space="preserve"> TEXT(AZ59,".000") &amp; " OPS"</f>
    </nc>
  </rcc>
  <rcc rId="2947" sId="5">
    <oc r="BB59">
      <f>VLOOKUP(A59,INPUT_RANGE,78,FALSE)</f>
    </oc>
    <nc r="BB59">
      <f>VLOOKUP(A59,INPUT_RANGE,78,FALSE)</f>
    </nc>
  </rcc>
  <rcc rId="2948" sId="5">
    <oc r="BC59">
      <f>VLOOKUP(A59,INPUT_RANGE,77,FALSE)</f>
    </oc>
    <nc r="BC59">
      <f>VLOOKUP(A59,INPUT_RANGE,77,FALSE)</f>
    </nc>
  </rcc>
  <rcc rId="2949" sId="5">
    <oc r="BD59">
      <f>VLOOKUP(A59,INPUT_RANGE,75,FALSE) &amp; "-" &amp; VLOOKUP(A59,INPUT_RANGE,76,FALSE)</f>
    </oc>
    <nc r="BD59">
      <f>VLOOKUP(A59,INPUT_RANGE,75,FALSE) &amp; "-" &amp; VLOOKUP(A59,INPUT_RANGE,76,FALSE)</f>
    </nc>
  </rcc>
  <rcc rId="2950" sId="5">
    <oc r="BE59">
      <f>AU59</f>
    </oc>
    <nc r="BE59">
      <f>AU59</f>
    </nc>
  </rcc>
  <rcc rId="2951" sId="5">
    <oc r="BF59">
      <f>AA59</f>
    </oc>
    <nc r="BF59">
      <f>AA59</f>
    </nc>
  </rcc>
  <rcc rId="2952" sId="5">
    <oc r="BG59">
      <f>VLOOKUP(A59,INPUT_RANGE,86,FALSE)</f>
    </oc>
    <nc r="BG59">
      <f>VLOOKUP(A59,INPUT_RANGE,86,FALSE)</f>
    </nc>
  </rcc>
  <rcc rId="2953" sId="5">
    <oc r="BH59">
      <f>VLOOKUP(A59,INPUT_RANGE,87,FALSE)</f>
    </oc>
    <nc r="BH59">
      <f>VLOOKUP(A59,INPUT_RANGE,87,FALSE)</f>
    </nc>
  </rcc>
  <rcc rId="2954" sId="5">
    <oc r="BI59">
      <f>VLOOKUP(A59,INPUT_RANGE,81,FALSE) &amp; " SAVES"</f>
    </oc>
    <nc r="BI59">
      <f>VLOOKUP(A59,INPUT_RANGE,81,FALSE) &amp; " SAVES"</f>
    </nc>
  </rcc>
  <rcc rId="2955" sId="5">
    <oc r="BJ59">
      <f>VLOOKUP(A59,INPUT_RANGE,81,FALSE)</f>
    </oc>
    <nc r="BJ59">
      <f>VLOOKUP(A59,INPUT_RANGE,81,FALSE)</f>
    </nc>
  </rcc>
  <rcc rId="2956" sId="5">
    <oc r="BK59">
      <f>VLOOKUP(A59,INPUT_RANGE,83,FALSE)</f>
    </oc>
    <nc r="BK59">
      <f>VLOOKUP(A59,INPUT_RANGE,83,FALSE)</f>
    </nc>
  </rcc>
  <rcc rId="2957" sId="5">
    <oc r="BL59">
      <f>VLOOKUP(A59,INPUT_RANGE,87,FALSE) &amp; "/" &amp; VLOOKUP(A59,INPUT_RANGE,86,FALSE)</f>
    </oc>
    <nc r="BL59">
      <f>VLOOKUP(A59,INPUT_RANGE,87,FALSE) &amp; "/" &amp; VLOOKUP(A59,INPUT_RANGE,86,FALSE)</f>
    </nc>
  </rcc>
  <rcc rId="2958" sId="5">
    <oc r="BM59">
      <f>ROUND((VLOOKUP(A59,INPUT_RANGE,86,FALSE)+VLOOKUP(A59,INPUT_RANGE,83,FALSE))/AS59,2)</f>
    </oc>
    <nc r="BM59">
      <f>ROUND((VLOOKUP(A59,INPUT_RANGE,86,FALSE)+VLOOKUP(A59,INPUT_RANGE,83,FALSE))/AS59,2)</f>
    </nc>
  </rcc>
  <rcc rId="2959" sId="5">
    <oc r="M60">
      <f xml:space="preserve"> TEXT(AW60,".000") &amp; " ba"</f>
    </oc>
    <nc r="M60">
      <f xml:space="preserve"> TEXT(AW60,".000") &amp; " BA"</f>
    </nc>
  </rcc>
  <rcc rId="2960" sId="5">
    <oc r="N60">
      <f>VLOOKUP(A60,INPUT_RANGE,58,FALSE) &amp; " rbi"</f>
    </oc>
    <nc r="N60">
      <f>VLOOKUP(A60,INPUT_RANGE,58,FALSE) &amp; " RBI"</f>
    </nc>
  </rcc>
  <rcc rId="2961" sId="5">
    <oc r="O60">
      <f>VLOOKUP(A60,INPUT_RANGE,60,FALSE) &amp; " bb"</f>
    </oc>
    <nc r="O60">
      <f>VLOOKUP(A60,INPUT_RANGE,60,FALSE) &amp; " BB"</f>
    </nc>
  </rcc>
  <rcc rId="2962" sId="5">
    <oc r="P60">
      <f>VLOOKUP(A60,INPUT_RANGE,61,FALSE) &amp; " k"</f>
    </oc>
    <nc r="P60">
      <f>VLOOKUP(A60,INPUT_RANGE,61,FALSE) &amp; " K"</f>
    </nc>
  </rcc>
  <rcc rId="2963" sId="5">
    <oc r="Q60">
      <f>VLOOKUP(A60,INPUT_RANGE,64,FALSE) &amp; " sb"</f>
    </oc>
    <nc r="Q60">
      <f>VLOOKUP(A60,INPUT_RANGE,64,FALSE) &amp; " SB"</f>
    </nc>
  </rcc>
  <rcc rId="2964" sId="5">
    <oc r="R60">
      <f>VLOOKUP(A60,INPUT_RANGE,55,FALSE) &amp; " 2b"</f>
    </oc>
    <nc r="R60">
      <f>VLOOKUP(A60,INPUT_RANGE,55,FALSE) &amp; " 2B"</f>
    </nc>
  </rcc>
  <rcc rId="2965" sId="5">
    <oc r="S60">
      <f>VLOOKUP(A60,INPUT_RANGE,56,FALSE) &amp; " 3b"</f>
    </oc>
    <nc r="S60">
      <f>VLOOKUP(A60,INPUT_RANGE,56,FALSE) &amp; " 3B"</f>
    </nc>
  </rcc>
  <rcc rId="2966" sId="5">
    <oc r="T60">
      <f>VLOOKUP(A60,INPUT_RANGE,57,FALSE) &amp; " hr"</f>
    </oc>
    <nc r="T60">
      <f>VLOOKUP(A60,INPUT_RANGE,57,FALSE) &amp; " HR"</f>
    </nc>
  </rcc>
  <rcc rId="2967" sId="5">
    <oc r="U60">
      <f>VLOOKUP(A60,INPUT_RANGE,53,FALSE) &amp; " r"</f>
    </oc>
    <nc r="U60">
      <f>VLOOKUP(A60,INPUT_RANGE,53,FALSE) &amp; " R"</f>
    </nc>
  </rcc>
  <rcc rId="2968" sId="5">
    <oc r="V60">
      <f>TEXT(AX60, ".000") &amp; " obp"</f>
    </oc>
    <nc r="V60">
      <f>TEXT(AX60, ".000") &amp; " OBP"</f>
    </nc>
  </rcc>
  <rcc rId="2969" sId="5">
    <oc r="X60">
      <f>VLOOKUP(A60,INPUT_RANGE,77,FALSE)&amp;" games"</f>
    </oc>
    <nc r="X60">
      <f>VLOOKUP(A60,INPUT_RANGE,77,FALSE)&amp;" games"</f>
    </nc>
  </rcc>
  <rcc rId="2970" sId="5">
    <oc r="Y60">
      <f>VLOOKUP(A60,INPUT_RANGE,78,FALSE) &amp; " starts"</f>
    </oc>
    <nc r="Y60">
      <f>VLOOKUP(A60,INPUT_RANGE,78,FALSE) &amp; " starts"</f>
    </nc>
  </rcc>
  <rcc rId="2971" sId="5">
    <oc r="Z60">
      <f>VLOOKUP(A60,INPUT_RANGE,82,FALSE) &amp; " ip"</f>
    </oc>
    <nc r="Z60">
      <f>VLOOKUP(A60,INPUT_RANGE,82,FALSE) &amp; " IP"</f>
    </nc>
  </rcc>
  <rcc rId="2972" sId="5">
    <oc r="AA60">
      <f>TRUNC(VLOOKUP(A60,INPUT_RANGE,82,FALSE)) &amp;  IF(AR60=0.333,"º",IF(AR60=0.666,"»",""))</f>
    </oc>
    <nc r="AA60">
      <f>TRUNC(VLOOKUP(A60,INPUT_RANGE,82,FALSE)) &amp;  IF(AR60=0.333,"º",IF(AR60=0.666,"»",""))</f>
    </nc>
  </rcc>
  <rcc rId="2973" sId="5">
    <oc r="AB60">
      <f>AA60&amp; " ip"</f>
    </oc>
    <nc r="AB60">
      <f>AA60&amp; " IP"</f>
    </nc>
  </rcc>
  <rcc rId="2974" sId="5">
    <oc r="AC60">
      <f>VLOOKUP(A60,INPUT_RANGE,79,FALSE) &amp; " cg"</f>
    </oc>
    <nc r="AC60">
      <f>VLOOKUP(A60,INPUT_RANGE,79,FALSE) &amp; " CG"</f>
    </nc>
  </rcc>
  <rcc rId="2975" sId="5">
    <oc r="AD60">
      <f>VLOOKUP(A60,INPUT_RANGE,80,FALSE) &amp; " sho"</f>
    </oc>
    <nc r="AD60">
      <f>VLOOKUP(A60,INPUT_RANGE,80,FALSE) &amp; " SHO"</f>
    </nc>
  </rcc>
  <rcc rId="2976" sId="5">
    <oc r="AE60">
      <f>VLOOKUP(A60,INPUT_RANGE,75,FALSE) &amp; " win"</f>
    </oc>
    <nc r="AE60">
      <f>VLOOKUP(A60,INPUT_RANGE,75,FALSE) &amp; " Win"</f>
    </nc>
  </rcc>
  <rcc rId="2977" sId="5">
    <oc r="AF60">
      <f>VLOOKUP(A60,INPUT_RANGE,76,FALSE) &amp; " loss"</f>
    </oc>
    <nc r="AF60">
      <f>VLOOKUP(A60,INPUT_RANGE,76,FALSE) &amp; " Loss"</f>
    </nc>
  </rcc>
  <rcc rId="2978" sId="5">
    <oc r="AG60">
      <f>VLOOKUP(A60,INPUT_RANGE,75,FALSE) &amp; "-" &amp; VLOOKUP(A60,INPUT_RANGE,76,FALSE) &amp; " w-l"</f>
    </oc>
    <nc r="AG60">
      <f>VLOOKUP(A60,INPUT_RANGE,75,FALSE) &amp; "-" &amp; VLOOKUP(A60,INPUT_RANGE,76,FALSE) &amp; " W-L"</f>
    </nc>
  </rcc>
  <rcc rId="2979" sId="5">
    <oc r="AH60">
      <f>VLOOKUP(A60,INPUT_RANGE,81,FALSE)&amp; " saves"</f>
    </oc>
    <nc r="AH60">
      <f>VLOOKUP(A60,INPUT_RANGE,81,FALSE)&amp; " Saves"</f>
    </nc>
  </rcc>
  <rcc rId="2980" sId="5">
    <oc r="AI60">
      <f>VLOOKUP(A60,INPUT_RANGE,83,FALSE) &amp; " h"</f>
    </oc>
    <nc r="AI60">
      <f>VLOOKUP(A60,INPUT_RANGE,83,FALSE) &amp; " H"</f>
    </nc>
  </rcc>
  <rcc rId="2981" sId="5">
    <oc r="AJ60">
      <f>VLOOKUP(A60,INPUT_RANGE,84,FALSE) &amp; " r"</f>
    </oc>
    <nc r="AJ60">
      <f>VLOOKUP(A60,INPUT_RANGE,84,FALSE) &amp; " R"</f>
    </nc>
  </rcc>
  <rcc rId="2982" sId="5">
    <oc r="AK60">
      <f>VLOOKUP(A60,INPUT_RANGE,85,FALSE) &amp;" er"</f>
    </oc>
    <nc r="AK60">
      <f>VLOOKUP(A60,INPUT_RANGE,85,FALSE) &amp;" ER"</f>
    </nc>
  </rcc>
  <rcc rId="2983" sId="5">
    <oc r="AL60">
      <f>VLOOKUP(A60,INPUT_RANGE,88,FALSE) &amp;" hr"</f>
    </oc>
    <nc r="AL60">
      <f>VLOOKUP(A60,INPUT_RANGE,88,FALSE) &amp;" HR"</f>
    </nc>
  </rcc>
  <rcc rId="2984" sId="5">
    <oc r="AM60">
      <f>VLOOKUP(A60,INPUT_RANGE,87,FALSE) &amp; " k"</f>
    </oc>
    <nc r="AM60">
      <f>VLOOKUP(A60,INPUT_RANGE,87,FALSE) &amp; " K"</f>
    </nc>
  </rcc>
  <rcc rId="2985" sId="5">
    <oc r="AN60">
      <f>VLOOKUP(A60,INPUT_RANGE,86,FALSE) &amp; " bb"</f>
    </oc>
    <nc r="AN60">
      <f>VLOOKUP(A60,INPUT_RANGE,86,FALSE) &amp; " BB"</f>
    </nc>
  </rcc>
  <rcc rId="2986" sId="5">
    <oc r="AO60">
      <f>TEXT(AU60,"0.00") &amp; " era"</f>
    </oc>
    <nc r="AO60">
      <f>TEXT(AU60,"0.00") &amp; " ERA"</f>
    </nc>
  </rcc>
  <rcc rId="2987" sId="5">
    <oc r="AP60">
      <f>TEXT(AT60,"0.00") &amp; " whip"</f>
    </oc>
    <nc r="AP60">
      <f>TEXT(AT60,"0.00") &amp; " WHIP"</f>
    </nc>
  </rcc>
  <rcc rId="2988" sId="5">
    <oc r="AQ60">
      <f xml:space="preserve"> IF(LEFT(RIGHT((VLOOKUP(A60,INPUT_RANGE,82,FALSE)),2),1)=".",RIGHT(VLOOKUP(A60,INPUT_RANGE,82,FALSE),1), "X")</f>
    </oc>
    <nc r="AQ60">
      <f xml:space="preserve"> IF(LEFT(RIGHT((VLOOKUP(A60,INPUT_RANGE,82,FALSE)),2),1)=".",RIGHT(VLOOKUP(A60,INPUT_RANGE,82,FALSE),1), "X")</f>
    </nc>
  </rcc>
  <rcc rId="2989" sId="5">
    <oc r="AR60">
      <f>IF(AQ60 ="1",0.333,IF(AQ60="2",0.666,0))</f>
    </oc>
    <nc r="AR60">
      <f>IF(AQ60 ="1",0.333,IF(AQ60="2",0.666,0))</f>
    </nc>
  </rcc>
  <rcc rId="2990" sId="5">
    <oc r="AS60">
      <f>VLOOKUP(A60,INPUT_RANGE,82,FALSE)-(AQ60*0.1)+AR60</f>
    </oc>
    <nc r="AS60">
      <f>VLOOKUP(A60,INPUT_RANGE,82,FALSE)-(AQ60*0.1)+AR60</f>
    </nc>
  </rcc>
  <rcc rId="2991" sId="5">
    <oc r="AT60">
      <f>ROUND((VLOOKUP(A60,INPUT_RANGE,86,FALSE)+VLOOKUP(A60,INPUT_RANGE,83,FALSE))/AS60,2)</f>
    </oc>
    <nc r="AT60">
      <f>ROUND((VLOOKUP(A60,INPUT_RANGE,86,FALSE)+VLOOKUP(A60,INPUT_RANGE,83,FALSE))/AS60,2)</f>
    </nc>
  </rcc>
  <rcc rId="2992" sId="5">
    <oc r="AU60">
      <f>ROUND((VLOOKUP(A60,INPUT_RANGE,85,FALSE)/AS60)*('Team Info'!$H$25),2)</f>
    </oc>
    <nc r="AU60">
      <f>ROUND((VLOOKUP(A60,INPUT_RANGE,85,FALSE)/AS60)*('D:\Data\Softball\[ESPN_BASEBALL_AWAY_OLD.xlsx]Team Info'!$H$25),2)</f>
    </nc>
  </rcc>
  <rcc rId="2993" sId="5">
    <oc r="AW60">
      <f>(VLOOKUP(A60,INPUT_RANGE,54,FALSE)/VLOOKUP(A60,INPUT_RANGE,52,FALSE))</f>
    </oc>
    <nc r="AW60">
      <f>(VLOOKUP(A60,INPUT_RANGE,54,FALSE)/VLOOKUP(A60,INPUT_RANGE,52,FALSE))</f>
    </nc>
  </rcc>
  <rcc rId="2994" sId="5">
    <oc r="AX60">
      <f>((VLOOKUP(A60,INPUT_RANGE,54,FALSE)+VLOOKUP(A60,INPUT_RANGE,60,FALSE)+VLOOKUP(A60,INPUT_RANGE,59,FALSE))/(VLOOKUP(A60,INPUT_RANGE,52,FALSE)+VLOOKUP(A60,INPUT_RANGE,60,FALSE)+VLOOKUP(A60,INPUT_RANGE,59,FALSE)+VLOOKUP(A60,INPUT_RANGE,63,FALSE)))</f>
    </oc>
    <nc r="AX60">
      <f>((VLOOKUP(A60,INPUT_RANGE,54,FALSE)+VLOOKUP(A60,INPUT_RANGE,60,FALSE)+VLOOKUP(A60,INPUT_RANGE,59,FALSE))/(VLOOKUP(A60,INPUT_RANGE,52,FALSE)+VLOOKUP(A60,INPUT_RANGE,60,FALSE)+VLOOKUP(A60,INPUT_RANGE,59,FALSE)+VLOOKUP(A60,INPUT_RANGE,63,FALSE)))</f>
    </nc>
  </rcc>
  <rcc rId="2995" sId="5">
    <oc r="AY60">
      <f>(VLOOKUP(A60,INPUT_RANGE,54)+VLOOKUP(A60,INPUT_RANGE,55)+(VLOOKUP(A60,INPUT_RANGE,56)*2)+(VLOOKUP(A60,INPUT_RANGE,57)*3))/(VLOOKUP(A60,INPUT_RANGE,52))</f>
    </oc>
    <nc r="AY60">
      <f>(VLOOKUP(A60,INPUT_RANGE,54)+VLOOKUP(A60,INPUT_RANGE,55)+(VLOOKUP(A60,INPUT_RANGE,56)*2)+(VLOOKUP(A60,INPUT_RANGE,57)*3))/(VLOOKUP(A60,INPUT_RANGE,52))</f>
    </nc>
  </rcc>
  <rcc rId="2996" sId="5">
    <oc r="AZ60">
      <f>AX60+AY60</f>
    </oc>
    <nc r="AZ60">
      <f>AX60+AY60</f>
    </nc>
  </rcc>
  <rcc rId="2997" sId="5">
    <oc r="BA60">
      <f xml:space="preserve"> TEXT(AZ60,".000") &amp; " ops"</f>
    </oc>
    <nc r="BA60">
      <f xml:space="preserve"> TEXT(AZ60,".000") &amp; " OPS"</f>
    </nc>
  </rcc>
  <rcc rId="2998" sId="5">
    <oc r="BB60">
      <f>VLOOKUP(A60,INPUT_RANGE,78,FALSE)</f>
    </oc>
    <nc r="BB60">
      <f>VLOOKUP(A60,INPUT_RANGE,78,FALSE)</f>
    </nc>
  </rcc>
  <rcc rId="2999" sId="5">
    <oc r="BC60">
      <f>VLOOKUP(A60,INPUT_RANGE,77,FALSE)</f>
    </oc>
    <nc r="BC60">
      <f>VLOOKUP(A60,INPUT_RANGE,77,FALSE)</f>
    </nc>
  </rcc>
  <rcc rId="3000" sId="5">
    <oc r="BD60">
      <f>VLOOKUP(A60,INPUT_RANGE,75,FALSE) &amp; "-" &amp; VLOOKUP(A60,INPUT_RANGE,76,FALSE)</f>
    </oc>
    <nc r="BD60">
      <f>VLOOKUP(A60,INPUT_RANGE,75,FALSE) &amp; "-" &amp; VLOOKUP(A60,INPUT_RANGE,76,FALSE)</f>
    </nc>
  </rcc>
  <rcc rId="3001" sId="5">
    <oc r="BE60">
      <f>AU60</f>
    </oc>
    <nc r="BE60">
      <f>AU60</f>
    </nc>
  </rcc>
  <rcc rId="3002" sId="5">
    <oc r="BF60">
      <f>AA60</f>
    </oc>
    <nc r="BF60">
      <f>AA60</f>
    </nc>
  </rcc>
  <rcc rId="3003" sId="5">
    <oc r="BG60">
      <f>VLOOKUP(A60,INPUT_RANGE,86,FALSE)</f>
    </oc>
    <nc r="BG60">
      <f>VLOOKUP(A60,INPUT_RANGE,86,FALSE)</f>
    </nc>
  </rcc>
  <rcc rId="3004" sId="5">
    <oc r="BH60">
      <f>VLOOKUP(A60,INPUT_RANGE,87,FALSE)</f>
    </oc>
    <nc r="BH60">
      <f>VLOOKUP(A60,INPUT_RANGE,87,FALSE)</f>
    </nc>
  </rcc>
  <rcc rId="3005" sId="5">
    <oc r="BI60">
      <f>VLOOKUP(A60,INPUT_RANGE,81,FALSE) &amp; " SAVES"</f>
    </oc>
    <nc r="BI60">
      <f>VLOOKUP(A60,INPUT_RANGE,81,FALSE) &amp; " SAVES"</f>
    </nc>
  </rcc>
  <rcc rId="3006" sId="5">
    <oc r="BJ60">
      <f>VLOOKUP(A60,INPUT_RANGE,81,FALSE)</f>
    </oc>
    <nc r="BJ60">
      <f>VLOOKUP(A60,INPUT_RANGE,81,FALSE)</f>
    </nc>
  </rcc>
  <rcc rId="3007" sId="5">
    <oc r="BK60">
      <f>VLOOKUP(A60,INPUT_RANGE,83,FALSE)</f>
    </oc>
    <nc r="BK60">
      <f>VLOOKUP(A60,INPUT_RANGE,83,FALSE)</f>
    </nc>
  </rcc>
  <rcc rId="3008" sId="5">
    <oc r="BL60">
      <f>VLOOKUP(A60,INPUT_RANGE,87,FALSE) &amp; "/" &amp; VLOOKUP(A60,INPUT_RANGE,86,FALSE)</f>
    </oc>
    <nc r="BL60">
      <f>VLOOKUP(A60,INPUT_RANGE,87,FALSE) &amp; "/" &amp; VLOOKUP(A60,INPUT_RANGE,86,FALSE)</f>
    </nc>
  </rcc>
  <rcc rId="3009" sId="5">
    <oc r="BM60">
      <f>ROUND((VLOOKUP(A60,INPUT_RANGE,86,FALSE)+VLOOKUP(A60,INPUT_RANGE,83,FALSE))/AS60,2)</f>
    </oc>
    <nc r="BM60">
      <f>ROUND((VLOOKUP(A60,INPUT_RANGE,86,FALSE)+VLOOKUP(A60,INPUT_RANGE,83,FALSE))/AS60,2)</f>
    </nc>
  </rcc>
  <rcc rId="3010" sId="5">
    <oc r="M61">
      <f xml:space="preserve"> TEXT(AW61,".000") &amp; " ba"</f>
    </oc>
    <nc r="M61">
      <f xml:space="preserve"> TEXT(AW61,".000") &amp; " BA"</f>
    </nc>
  </rcc>
  <rcc rId="3011" sId="5">
    <oc r="N61">
      <f>VLOOKUP(A61,INPUT_RANGE,58,FALSE) &amp; " rbi"</f>
    </oc>
    <nc r="N61">
      <f>VLOOKUP(A61,INPUT_RANGE,58,FALSE) &amp; " RBI"</f>
    </nc>
  </rcc>
  <rcc rId="3012" sId="5">
    <oc r="O61">
      <f>VLOOKUP(A61,INPUT_RANGE,60,FALSE) &amp; " bb"</f>
    </oc>
    <nc r="O61">
      <f>VLOOKUP(A61,INPUT_RANGE,60,FALSE) &amp; " BB"</f>
    </nc>
  </rcc>
  <rcc rId="3013" sId="5">
    <oc r="P61">
      <f>VLOOKUP(A61,INPUT_RANGE,61,FALSE) &amp; " k"</f>
    </oc>
    <nc r="P61">
      <f>VLOOKUP(A61,INPUT_RANGE,61,FALSE) &amp; " K"</f>
    </nc>
  </rcc>
  <rcc rId="3014" sId="5">
    <oc r="Q61">
      <f>VLOOKUP(A61,INPUT_RANGE,64,FALSE) &amp; " sb"</f>
    </oc>
    <nc r="Q61">
      <f>VLOOKUP(A61,INPUT_RANGE,64,FALSE) &amp; " SB"</f>
    </nc>
  </rcc>
  <rcc rId="3015" sId="5">
    <oc r="R61">
      <f>VLOOKUP(A61,INPUT_RANGE,55,FALSE) &amp; " 2b"</f>
    </oc>
    <nc r="R61">
      <f>VLOOKUP(A61,INPUT_RANGE,55,FALSE) &amp; " 2B"</f>
    </nc>
  </rcc>
  <rcc rId="3016" sId="5">
    <oc r="S61">
      <f>VLOOKUP(A61,INPUT_RANGE,56,FALSE) &amp; " 3b"</f>
    </oc>
    <nc r="S61">
      <f>VLOOKUP(A61,INPUT_RANGE,56,FALSE) &amp; " 3B"</f>
    </nc>
  </rcc>
  <rcc rId="3017" sId="5">
    <oc r="T61">
      <f>VLOOKUP(A61,INPUT_RANGE,57,FALSE) &amp; " hr"</f>
    </oc>
    <nc r="T61">
      <f>VLOOKUP(A61,INPUT_RANGE,57,FALSE) &amp; " HR"</f>
    </nc>
  </rcc>
  <rcc rId="3018" sId="5">
    <oc r="U61">
      <f>VLOOKUP(A61,INPUT_RANGE,53,FALSE) &amp; " r"</f>
    </oc>
    <nc r="U61">
      <f>VLOOKUP(A61,INPUT_RANGE,53,FALSE) &amp; " R"</f>
    </nc>
  </rcc>
  <rcc rId="3019" sId="5">
    <oc r="V61">
      <f>TEXT(AX61, ".000") &amp; " obp"</f>
    </oc>
    <nc r="V61">
      <f>TEXT(AX61, ".000") &amp; " OBP"</f>
    </nc>
  </rcc>
  <rcc rId="3020" sId="5">
    <oc r="X61">
      <f>VLOOKUP(A61,INPUT_RANGE,77,FALSE)&amp;" games"</f>
    </oc>
    <nc r="X61">
      <f>VLOOKUP(A61,INPUT_RANGE,77,FALSE)&amp;" games"</f>
    </nc>
  </rcc>
  <rcc rId="3021" sId="5">
    <oc r="Y61">
      <f>VLOOKUP(A61,INPUT_RANGE,78,FALSE) &amp; " starts"</f>
    </oc>
    <nc r="Y61">
      <f>VLOOKUP(A61,INPUT_RANGE,78,FALSE) &amp; " starts"</f>
    </nc>
  </rcc>
  <rcc rId="3022" sId="5">
    <oc r="Z61">
      <f>VLOOKUP(A61,INPUT_RANGE,82,FALSE) &amp; " ip"</f>
    </oc>
    <nc r="Z61">
      <f>VLOOKUP(A61,INPUT_RANGE,82,FALSE) &amp; " IP"</f>
    </nc>
  </rcc>
  <rcc rId="3023" sId="5">
    <oc r="AA61">
      <f>TRUNC(VLOOKUP(A61,INPUT_RANGE,82,FALSE)) &amp;  IF(AR61=0.333,"º",IF(AR61=0.666,"»",""))</f>
    </oc>
    <nc r="AA61">
      <f>TRUNC(VLOOKUP(A61,INPUT_RANGE,82,FALSE)) &amp;  IF(AR61=0.333,"º",IF(AR61=0.666,"»",""))</f>
    </nc>
  </rcc>
  <rcc rId="3024" sId="5">
    <oc r="AB61">
      <f>AA61&amp; " ip"</f>
    </oc>
    <nc r="AB61">
      <f>AA61&amp; " IP"</f>
    </nc>
  </rcc>
  <rcc rId="3025" sId="5">
    <oc r="AC61">
      <f>VLOOKUP(A61,INPUT_RANGE,79,FALSE) &amp; " cg"</f>
    </oc>
    <nc r="AC61">
      <f>VLOOKUP(A61,INPUT_RANGE,79,FALSE) &amp; " CG"</f>
    </nc>
  </rcc>
  <rcc rId="3026" sId="5">
    <oc r="AD61">
      <f>VLOOKUP(A61,INPUT_RANGE,80,FALSE) &amp; " sho"</f>
    </oc>
    <nc r="AD61">
      <f>VLOOKUP(A61,INPUT_RANGE,80,FALSE) &amp; " SHO"</f>
    </nc>
  </rcc>
  <rcc rId="3027" sId="5">
    <oc r="AE61">
      <f>VLOOKUP(A61,INPUT_RANGE,75,FALSE) &amp; " win"</f>
    </oc>
    <nc r="AE61">
      <f>VLOOKUP(A61,INPUT_RANGE,75,FALSE) &amp; " Win"</f>
    </nc>
  </rcc>
  <rcc rId="3028" sId="5">
    <oc r="AF61">
      <f>VLOOKUP(A61,INPUT_RANGE,76,FALSE) &amp; " loss"</f>
    </oc>
    <nc r="AF61">
      <f>VLOOKUP(A61,INPUT_RANGE,76,FALSE) &amp; " Loss"</f>
    </nc>
  </rcc>
  <rcc rId="3029" sId="5">
    <oc r="AG61">
      <f>VLOOKUP(A61,INPUT_RANGE,75,FALSE) &amp; "-" &amp; VLOOKUP(A61,INPUT_RANGE,76,FALSE) &amp; " w-l"</f>
    </oc>
    <nc r="AG61">
      <f>VLOOKUP(A61,INPUT_RANGE,75,FALSE) &amp; "-" &amp; VLOOKUP(A61,INPUT_RANGE,76,FALSE) &amp; " W-L"</f>
    </nc>
  </rcc>
  <rcc rId="3030" sId="5">
    <oc r="AH61">
      <f>VLOOKUP(A61,INPUT_RANGE,81,FALSE)&amp; " saves"</f>
    </oc>
    <nc r="AH61">
      <f>VLOOKUP(A61,INPUT_RANGE,81,FALSE)&amp; " Saves"</f>
    </nc>
  </rcc>
  <rcc rId="3031" sId="5">
    <oc r="AI61">
      <f>VLOOKUP(A61,INPUT_RANGE,83,FALSE) &amp; " h"</f>
    </oc>
    <nc r="AI61">
      <f>VLOOKUP(A61,INPUT_RANGE,83,FALSE) &amp; " H"</f>
    </nc>
  </rcc>
  <rcc rId="3032" sId="5">
    <oc r="AJ61">
      <f>VLOOKUP(A61,INPUT_RANGE,84,FALSE) &amp; " r"</f>
    </oc>
    <nc r="AJ61">
      <f>VLOOKUP(A61,INPUT_RANGE,84,FALSE) &amp; " R"</f>
    </nc>
  </rcc>
  <rcc rId="3033" sId="5">
    <oc r="AK61">
      <f>VLOOKUP(A61,INPUT_RANGE,85,FALSE) &amp;" er"</f>
    </oc>
    <nc r="AK61">
      <f>VLOOKUP(A61,INPUT_RANGE,85,FALSE) &amp;" ER"</f>
    </nc>
  </rcc>
  <rcc rId="3034" sId="5">
    <oc r="AL61">
      <f>VLOOKUP(A61,INPUT_RANGE,88,FALSE) &amp;" hr"</f>
    </oc>
    <nc r="AL61">
      <f>VLOOKUP(A61,INPUT_RANGE,88,FALSE) &amp;" HR"</f>
    </nc>
  </rcc>
  <rcc rId="3035" sId="5">
    <oc r="AM61">
      <f>VLOOKUP(A61,INPUT_RANGE,87,FALSE) &amp; " k"</f>
    </oc>
    <nc r="AM61">
      <f>VLOOKUP(A61,INPUT_RANGE,87,FALSE) &amp; " K"</f>
    </nc>
  </rcc>
  <rcc rId="3036" sId="5">
    <oc r="AN61">
      <f>VLOOKUP(A61,INPUT_RANGE,86,FALSE) &amp; " bb"</f>
    </oc>
    <nc r="AN61">
      <f>VLOOKUP(A61,INPUT_RANGE,86,FALSE) &amp; " BB"</f>
    </nc>
  </rcc>
  <rcc rId="3037" sId="5">
    <oc r="AO61">
      <f>TEXT(AU61,"0.00") &amp; " era"</f>
    </oc>
    <nc r="AO61">
      <f>TEXT(AU61,"0.00") &amp; " ERA"</f>
    </nc>
  </rcc>
  <rcc rId="3038" sId="5">
    <oc r="AP61">
      <f>TEXT(AT61,"0.00") &amp; " whip"</f>
    </oc>
    <nc r="AP61">
      <f>TEXT(AT61,"0.00") &amp; " WHIP"</f>
    </nc>
  </rcc>
  <rcc rId="3039" sId="5">
    <oc r="AQ61">
      <f xml:space="preserve"> IF(LEFT(RIGHT((VLOOKUP(A61,INPUT_RANGE,82,FALSE)),2),1)=".",RIGHT(VLOOKUP(A61,INPUT_RANGE,82,FALSE),1), "X")</f>
    </oc>
    <nc r="AQ61">
      <f xml:space="preserve"> IF(LEFT(RIGHT((VLOOKUP(A61,INPUT_RANGE,82,FALSE)),2),1)=".",RIGHT(VLOOKUP(A61,INPUT_RANGE,82,FALSE),1), "X")</f>
    </nc>
  </rcc>
  <rcc rId="3040" sId="5">
    <oc r="AR61">
      <f>IF(AQ61 ="1",0.333,IF(AQ61="2",0.666,0))</f>
    </oc>
    <nc r="AR61">
      <f>IF(AQ61 ="1",0.333,IF(AQ61="2",0.666,0))</f>
    </nc>
  </rcc>
  <rcc rId="3041" sId="5">
    <oc r="AS61">
      <f>VLOOKUP(A61,INPUT_RANGE,82,FALSE)-(AQ61*0.1)+AR61</f>
    </oc>
    <nc r="AS61">
      <f>VLOOKUP(A61,INPUT_RANGE,82,FALSE)-(AQ61*0.1)+AR61</f>
    </nc>
  </rcc>
  <rcc rId="3042" sId="5">
    <oc r="AT61">
      <f>ROUND((VLOOKUP(A61,INPUT_RANGE,86,FALSE)+VLOOKUP(A61,INPUT_RANGE,83,FALSE))/AS61,2)</f>
    </oc>
    <nc r="AT61">
      <f>ROUND((VLOOKUP(A61,INPUT_RANGE,86,FALSE)+VLOOKUP(A61,INPUT_RANGE,83,FALSE))/AS61,2)</f>
    </nc>
  </rcc>
  <rcc rId="3043" sId="5">
    <oc r="AU61">
      <f>ROUND((VLOOKUP(A61,INPUT_RANGE,85,FALSE)/AS61)*('Team Info'!$H$25),2)</f>
    </oc>
    <nc r="AU61">
      <f>ROUND((VLOOKUP(A61,INPUT_RANGE,85,FALSE)/AS61)*('D:\Data\Softball\[ESPN_BASEBALL_AWAY_OLD.xlsx]Team Info'!$H$25),2)</f>
    </nc>
  </rcc>
  <rcc rId="3044" sId="5">
    <oc r="AW61">
      <f>(VLOOKUP(A61,INPUT_RANGE,54,FALSE)/VLOOKUP(A61,INPUT_RANGE,52,FALSE))</f>
    </oc>
    <nc r="AW61">
      <f>(VLOOKUP(A61,INPUT_RANGE,54,FALSE)/VLOOKUP(A61,INPUT_RANGE,52,FALSE))</f>
    </nc>
  </rcc>
  <rcc rId="3045" sId="5">
    <oc r="AX61">
      <f>((VLOOKUP(A61,INPUT_RANGE,54,FALSE)+VLOOKUP(A61,INPUT_RANGE,60,FALSE)+VLOOKUP(A61,INPUT_RANGE,59,FALSE))/(VLOOKUP(A61,INPUT_RANGE,52,FALSE)+VLOOKUP(A61,INPUT_RANGE,60,FALSE)+VLOOKUP(A61,INPUT_RANGE,59,FALSE)+VLOOKUP(A61,INPUT_RANGE,63,FALSE)))</f>
    </oc>
    <nc r="AX61">
      <f>((VLOOKUP(A61,INPUT_RANGE,54,FALSE)+VLOOKUP(A61,INPUT_RANGE,60,FALSE)+VLOOKUP(A61,INPUT_RANGE,59,FALSE))/(VLOOKUP(A61,INPUT_RANGE,52,FALSE)+VLOOKUP(A61,INPUT_RANGE,60,FALSE)+VLOOKUP(A61,INPUT_RANGE,59,FALSE)+VLOOKUP(A61,INPUT_RANGE,63,FALSE)))</f>
    </nc>
  </rcc>
  <rcc rId="3046" sId="5">
    <oc r="AY61">
      <f>(VLOOKUP(A61,INPUT_RANGE,54)+VLOOKUP(A61,INPUT_RANGE,55)+(VLOOKUP(A61,INPUT_RANGE,56)*2)+(VLOOKUP(A61,INPUT_RANGE,57)*3))/(VLOOKUP(A61,INPUT_RANGE,52))</f>
    </oc>
    <nc r="AY61">
      <f>(VLOOKUP(A61,INPUT_RANGE,54)+VLOOKUP(A61,INPUT_RANGE,55)+(VLOOKUP(A61,INPUT_RANGE,56)*2)+(VLOOKUP(A61,INPUT_RANGE,57)*3))/(VLOOKUP(A61,INPUT_RANGE,52))</f>
    </nc>
  </rcc>
  <rcc rId="3047" sId="5">
    <oc r="AZ61">
      <f>AX61+AY61</f>
    </oc>
    <nc r="AZ61">
      <f>AX61+AY61</f>
    </nc>
  </rcc>
  <rcc rId="3048" sId="5">
    <oc r="BA61">
      <f xml:space="preserve"> TEXT(AZ61,".000") &amp; " ops"</f>
    </oc>
    <nc r="BA61">
      <f xml:space="preserve"> TEXT(AZ61,".000") &amp; " OPS"</f>
    </nc>
  </rcc>
  <rcc rId="3049" sId="5">
    <oc r="BB61">
      <f>VLOOKUP(A61,INPUT_RANGE,78,FALSE)</f>
    </oc>
    <nc r="BB61">
      <f>VLOOKUP(A61,INPUT_RANGE,78,FALSE)</f>
    </nc>
  </rcc>
  <rcc rId="3050" sId="5">
    <oc r="BC61">
      <f>VLOOKUP(A61,INPUT_RANGE,77,FALSE)</f>
    </oc>
    <nc r="BC61">
      <f>VLOOKUP(A61,INPUT_RANGE,77,FALSE)</f>
    </nc>
  </rcc>
  <rcc rId="3051" sId="5">
    <oc r="BD61">
      <f>VLOOKUP(A61,INPUT_RANGE,75,FALSE) &amp; "-" &amp; VLOOKUP(A61,INPUT_RANGE,76,FALSE)</f>
    </oc>
    <nc r="BD61">
      <f>VLOOKUP(A61,INPUT_RANGE,75,FALSE) &amp; "-" &amp; VLOOKUP(A61,INPUT_RANGE,76,FALSE)</f>
    </nc>
  </rcc>
  <rcc rId="3052" sId="5">
    <oc r="BE61">
      <f>AU61</f>
    </oc>
    <nc r="BE61">
      <f>AU61</f>
    </nc>
  </rcc>
  <rcc rId="3053" sId="5">
    <oc r="BF61">
      <f>AA61</f>
    </oc>
    <nc r="BF61">
      <f>AA61</f>
    </nc>
  </rcc>
  <rcc rId="3054" sId="5">
    <oc r="BG61">
      <f>VLOOKUP(A61,INPUT_RANGE,86,FALSE)</f>
    </oc>
    <nc r="BG61">
      <f>VLOOKUP(A61,INPUT_RANGE,86,FALSE)</f>
    </nc>
  </rcc>
  <rcc rId="3055" sId="5">
    <oc r="BH61">
      <f>VLOOKUP(A61,INPUT_RANGE,87,FALSE)</f>
    </oc>
    <nc r="BH61">
      <f>VLOOKUP(A61,INPUT_RANGE,87,FALSE)</f>
    </nc>
  </rcc>
  <rcc rId="3056" sId="5">
    <oc r="BI61">
      <f>VLOOKUP(A61,INPUT_RANGE,81,FALSE) &amp; " SAVES"</f>
    </oc>
    <nc r="BI61">
      <f>VLOOKUP(A61,INPUT_RANGE,81,FALSE) &amp; " SAVES"</f>
    </nc>
  </rcc>
  <rcc rId="3057" sId="5">
    <oc r="BJ61">
      <f>VLOOKUP(A61,INPUT_RANGE,81,FALSE)</f>
    </oc>
    <nc r="BJ61">
      <f>VLOOKUP(A61,INPUT_RANGE,81,FALSE)</f>
    </nc>
  </rcc>
  <rcc rId="3058" sId="5">
    <oc r="BK61">
      <f>VLOOKUP(A61,INPUT_RANGE,83,FALSE)</f>
    </oc>
    <nc r="BK61">
      <f>VLOOKUP(A61,INPUT_RANGE,83,FALSE)</f>
    </nc>
  </rcc>
  <rcc rId="3059" sId="5">
    <oc r="BL61">
      <f>VLOOKUP(A61,INPUT_RANGE,87,FALSE) &amp; "/" &amp; VLOOKUP(A61,INPUT_RANGE,86,FALSE)</f>
    </oc>
    <nc r="BL61">
      <f>VLOOKUP(A61,INPUT_RANGE,87,FALSE) &amp; "/" &amp; VLOOKUP(A61,INPUT_RANGE,86,FALSE)</f>
    </nc>
  </rcc>
  <rcc rId="3060" sId="5">
    <oc r="BM61">
      <f>ROUND((VLOOKUP(A61,INPUT_RANGE,86,FALSE)+VLOOKUP(A61,INPUT_RANGE,83,FALSE))/AS61,2)</f>
    </oc>
    <nc r="BM61">
      <f>ROUND((VLOOKUP(A61,INPUT_RANGE,86,FALSE)+VLOOKUP(A61,INPUT_RANGE,83,FALSE))/AS61,2)</f>
    </nc>
  </rcc>
  <rcc rId="3061" sId="5">
    <oc r="M62">
      <f xml:space="preserve"> TEXT(AW62,".000") &amp; " ba"</f>
    </oc>
    <nc r="M62">
      <f xml:space="preserve"> TEXT(AW62,".000") &amp; " BA"</f>
    </nc>
  </rcc>
  <rcc rId="3062" sId="5">
    <oc r="N62">
      <f>VLOOKUP(A62,INPUT_RANGE,58,FALSE) &amp; " rbi"</f>
    </oc>
    <nc r="N62">
      <f>VLOOKUP(A62,INPUT_RANGE,58,FALSE) &amp; " RBI"</f>
    </nc>
  </rcc>
  <rcc rId="3063" sId="5">
    <oc r="O62">
      <f>VLOOKUP(A62,INPUT_RANGE,60,FALSE) &amp; " bb"</f>
    </oc>
    <nc r="O62">
      <f>VLOOKUP(A62,INPUT_RANGE,60,FALSE) &amp; " BB"</f>
    </nc>
  </rcc>
  <rcc rId="3064" sId="5">
    <oc r="P62">
      <f>VLOOKUP(A62,INPUT_RANGE,61,FALSE) &amp; " k"</f>
    </oc>
    <nc r="P62">
      <f>VLOOKUP(A62,INPUT_RANGE,61,FALSE) &amp; " K"</f>
    </nc>
  </rcc>
  <rcc rId="3065" sId="5">
    <oc r="Q62">
      <f>VLOOKUP(A62,INPUT_RANGE,64,FALSE) &amp; " sb"</f>
    </oc>
    <nc r="Q62">
      <f>VLOOKUP(A62,INPUT_RANGE,64,FALSE) &amp; " SB"</f>
    </nc>
  </rcc>
  <rcc rId="3066" sId="5">
    <oc r="R62">
      <f>VLOOKUP(A62,INPUT_RANGE,55,FALSE) &amp; " 2b"</f>
    </oc>
    <nc r="R62">
      <f>VLOOKUP(A62,INPUT_RANGE,55,FALSE) &amp; " 2B"</f>
    </nc>
  </rcc>
  <rcc rId="3067" sId="5">
    <oc r="S62">
      <f>VLOOKUP(A62,INPUT_RANGE,56,FALSE) &amp; " 3b"</f>
    </oc>
    <nc r="S62">
      <f>VLOOKUP(A62,INPUT_RANGE,56,FALSE) &amp; " 3B"</f>
    </nc>
  </rcc>
  <rcc rId="3068" sId="5">
    <oc r="T62">
      <f>VLOOKUP(A62,INPUT_RANGE,57,FALSE) &amp; " hr"</f>
    </oc>
    <nc r="T62">
      <f>VLOOKUP(A62,INPUT_RANGE,57,FALSE) &amp; " HR"</f>
    </nc>
  </rcc>
  <rcc rId="3069" sId="5">
    <oc r="U62">
      <f>VLOOKUP(A62,INPUT_RANGE,53,FALSE) &amp; " r"</f>
    </oc>
    <nc r="U62">
      <f>VLOOKUP(A62,INPUT_RANGE,53,FALSE) &amp; " R"</f>
    </nc>
  </rcc>
  <rcc rId="3070" sId="5">
    <oc r="V62">
      <f>TEXT(AX62, ".000") &amp; " obp"</f>
    </oc>
    <nc r="V62">
      <f>TEXT(AX62, ".000") &amp; " OBP"</f>
    </nc>
  </rcc>
  <rcc rId="3071" sId="5">
    <oc r="X62">
      <f>VLOOKUP(A62,INPUT_RANGE,77,FALSE)&amp;" games"</f>
    </oc>
    <nc r="X62">
      <f>VLOOKUP(A62,INPUT_RANGE,77,FALSE)&amp;" games"</f>
    </nc>
  </rcc>
  <rcc rId="3072" sId="5">
    <oc r="Y62">
      <f>VLOOKUP(A62,INPUT_RANGE,78,FALSE) &amp; " starts"</f>
    </oc>
    <nc r="Y62">
      <f>VLOOKUP(A62,INPUT_RANGE,78,FALSE) &amp; " starts"</f>
    </nc>
  </rcc>
  <rcc rId="3073" sId="5">
    <oc r="Z62">
      <f>VLOOKUP(A62,INPUT_RANGE,82,FALSE) &amp; " ip"</f>
    </oc>
    <nc r="Z62">
      <f>VLOOKUP(A62,INPUT_RANGE,82,FALSE) &amp; " IP"</f>
    </nc>
  </rcc>
  <rcc rId="3074" sId="5">
    <oc r="AA62">
      <f>TRUNC(VLOOKUP(A62,INPUT_RANGE,82,FALSE)) &amp;  IF(AR62=0.333,"º",IF(AR62=0.666,"»",""))</f>
    </oc>
    <nc r="AA62">
      <f>TRUNC(VLOOKUP(A62,INPUT_RANGE,82,FALSE)) &amp;  IF(AR62=0.333,"º",IF(AR62=0.666,"»",""))</f>
    </nc>
  </rcc>
  <rcc rId="3075" sId="5">
    <oc r="AB62">
      <f>AA62&amp; " ip"</f>
    </oc>
    <nc r="AB62">
      <f>AA62&amp; " IP"</f>
    </nc>
  </rcc>
  <rcc rId="3076" sId="5">
    <oc r="AC62">
      <f>VLOOKUP(A62,INPUT_RANGE,79,FALSE) &amp; " cg"</f>
    </oc>
    <nc r="AC62">
      <f>VLOOKUP(A62,INPUT_RANGE,79,FALSE) &amp; " CG"</f>
    </nc>
  </rcc>
  <rcc rId="3077" sId="5">
    <oc r="AD62">
      <f>VLOOKUP(A62,INPUT_RANGE,80,FALSE) &amp; " sho"</f>
    </oc>
    <nc r="AD62">
      <f>VLOOKUP(A62,INPUT_RANGE,80,FALSE) &amp; " SHO"</f>
    </nc>
  </rcc>
  <rcc rId="3078" sId="5">
    <oc r="AE62">
      <f>VLOOKUP(A62,INPUT_RANGE,75,FALSE) &amp; " win"</f>
    </oc>
    <nc r="AE62">
      <f>VLOOKUP(A62,INPUT_RANGE,75,FALSE) &amp; " Win"</f>
    </nc>
  </rcc>
  <rcc rId="3079" sId="5">
    <oc r="AF62">
      <f>VLOOKUP(A62,INPUT_RANGE,76,FALSE) &amp; " loss"</f>
    </oc>
    <nc r="AF62">
      <f>VLOOKUP(A62,INPUT_RANGE,76,FALSE) &amp; " Loss"</f>
    </nc>
  </rcc>
  <rcc rId="3080" sId="5">
    <oc r="AG62">
      <f>VLOOKUP(A62,INPUT_RANGE,75,FALSE) &amp; "-" &amp; VLOOKUP(A62,INPUT_RANGE,76,FALSE) &amp; " w-l"</f>
    </oc>
    <nc r="AG62">
      <f>VLOOKUP(A62,INPUT_RANGE,75,FALSE) &amp; "-" &amp; VLOOKUP(A62,INPUT_RANGE,76,FALSE) &amp; " W-L"</f>
    </nc>
  </rcc>
  <rcc rId="3081" sId="5">
    <oc r="AH62">
      <f>VLOOKUP(A62,INPUT_RANGE,81,FALSE)&amp; " saves"</f>
    </oc>
    <nc r="AH62">
      <f>VLOOKUP(A62,INPUT_RANGE,81,FALSE)&amp; " Saves"</f>
    </nc>
  </rcc>
  <rcc rId="3082" sId="5">
    <oc r="AI62">
      <f>VLOOKUP(A62,INPUT_RANGE,83,FALSE) &amp; " h"</f>
    </oc>
    <nc r="AI62">
      <f>VLOOKUP(A62,INPUT_RANGE,83,FALSE) &amp; " H"</f>
    </nc>
  </rcc>
  <rcc rId="3083" sId="5">
    <oc r="AJ62">
      <f>VLOOKUP(A62,INPUT_RANGE,84,FALSE) &amp; " r"</f>
    </oc>
    <nc r="AJ62">
      <f>VLOOKUP(A62,INPUT_RANGE,84,FALSE) &amp; " R"</f>
    </nc>
  </rcc>
  <rcc rId="3084" sId="5">
    <oc r="AK62">
      <f>VLOOKUP(A62,INPUT_RANGE,85,FALSE) &amp;" er"</f>
    </oc>
    <nc r="AK62">
      <f>VLOOKUP(A62,INPUT_RANGE,85,FALSE) &amp;" ER"</f>
    </nc>
  </rcc>
  <rcc rId="3085" sId="5">
    <oc r="AL62">
      <f>VLOOKUP(A62,INPUT_RANGE,88,FALSE) &amp;" hr"</f>
    </oc>
    <nc r="AL62">
      <f>VLOOKUP(A62,INPUT_RANGE,88,FALSE) &amp;" HR"</f>
    </nc>
  </rcc>
  <rcc rId="3086" sId="5">
    <oc r="AM62">
      <f>VLOOKUP(A62,INPUT_RANGE,87,FALSE) &amp; " k"</f>
    </oc>
    <nc r="AM62">
      <f>VLOOKUP(A62,INPUT_RANGE,87,FALSE) &amp; " K"</f>
    </nc>
  </rcc>
  <rcc rId="3087" sId="5">
    <oc r="AN62">
      <f>VLOOKUP(A62,INPUT_RANGE,86,FALSE) &amp; " bb"</f>
    </oc>
    <nc r="AN62">
      <f>VLOOKUP(A62,INPUT_RANGE,86,FALSE) &amp; " BB"</f>
    </nc>
  </rcc>
  <rcc rId="3088" sId="5">
    <oc r="AO62">
      <f>TEXT(AU62,"0.00") &amp; " era"</f>
    </oc>
    <nc r="AO62">
      <f>TEXT(AU62,"0.00") &amp; " ERA"</f>
    </nc>
  </rcc>
  <rcc rId="3089" sId="5">
    <oc r="AP62">
      <f>TEXT(AT62,"0.00") &amp; " whip"</f>
    </oc>
    <nc r="AP62">
      <f>TEXT(AT62,"0.00") &amp; " WHIP"</f>
    </nc>
  </rcc>
  <rcc rId="3090" sId="5">
    <oc r="AQ62">
      <f xml:space="preserve"> IF(LEFT(RIGHT((VLOOKUP(A62,INPUT_RANGE,82,FALSE)),2),1)=".",RIGHT(VLOOKUP(A62,INPUT_RANGE,82,FALSE),1), "X")</f>
    </oc>
    <nc r="AQ62">
      <f xml:space="preserve"> IF(LEFT(RIGHT((VLOOKUP(A62,INPUT_RANGE,82,FALSE)),2),1)=".",RIGHT(VLOOKUP(A62,INPUT_RANGE,82,FALSE),1), "X")</f>
    </nc>
  </rcc>
  <rcc rId="3091" sId="5">
    <oc r="AR62">
      <f>IF(AQ62 ="1",0.333,IF(AQ62="2",0.666,0))</f>
    </oc>
    <nc r="AR62">
      <f>IF(AQ62 ="1",0.333,IF(AQ62="2",0.666,0))</f>
    </nc>
  </rcc>
  <rcc rId="3092" sId="5">
    <oc r="AS62">
      <f>VLOOKUP(A62,INPUT_RANGE,82,FALSE)-(AQ62*0.1)+AR62</f>
    </oc>
    <nc r="AS62">
      <f>VLOOKUP(A62,INPUT_RANGE,82,FALSE)-(AQ62*0.1)+AR62</f>
    </nc>
  </rcc>
  <rcc rId="3093" sId="5">
    <oc r="AT62">
      <f>ROUND((VLOOKUP(A62,INPUT_RANGE,86,FALSE)+VLOOKUP(A62,INPUT_RANGE,83,FALSE))/AS62,2)</f>
    </oc>
    <nc r="AT62">
      <f>ROUND((VLOOKUP(A62,INPUT_RANGE,86,FALSE)+VLOOKUP(A62,INPUT_RANGE,83,FALSE))/AS62,2)</f>
    </nc>
  </rcc>
  <rcc rId="3094" sId="5">
    <oc r="AU62">
      <f>ROUND((VLOOKUP(A62,INPUT_RANGE,85,FALSE)/AS62)*('Team Info'!$H$25),2)</f>
    </oc>
    <nc r="AU62">
      <f>ROUND((VLOOKUP(A62,INPUT_RANGE,85,FALSE)/AS62)*('D:\Data\Softball\[ESPN_BASEBALL_AWAY_OLD.xlsx]Team Info'!$H$25),2)</f>
    </nc>
  </rcc>
  <rcc rId="3095" sId="5">
    <oc r="AW62">
      <f>(VLOOKUP(A62,INPUT_RANGE,54,FALSE)/VLOOKUP(A62,INPUT_RANGE,52,FALSE))</f>
    </oc>
    <nc r="AW62">
      <f>(VLOOKUP(A62,INPUT_RANGE,54,FALSE)/VLOOKUP(A62,INPUT_RANGE,52,FALSE))</f>
    </nc>
  </rcc>
  <rcc rId="3096" sId="5">
    <oc r="AX62">
      <f>((VLOOKUP(A62,INPUT_RANGE,54,FALSE)+VLOOKUP(A62,INPUT_RANGE,60,FALSE)+VLOOKUP(A62,INPUT_RANGE,59,FALSE))/(VLOOKUP(A62,INPUT_RANGE,52,FALSE)+VLOOKUP(A62,INPUT_RANGE,60,FALSE)+VLOOKUP(A62,INPUT_RANGE,59,FALSE)+VLOOKUP(A62,INPUT_RANGE,63,FALSE)))</f>
    </oc>
    <nc r="AX62">
      <f>((VLOOKUP(A62,INPUT_RANGE,54,FALSE)+VLOOKUP(A62,INPUT_RANGE,60,FALSE)+VLOOKUP(A62,INPUT_RANGE,59,FALSE))/(VLOOKUP(A62,INPUT_RANGE,52,FALSE)+VLOOKUP(A62,INPUT_RANGE,60,FALSE)+VLOOKUP(A62,INPUT_RANGE,59,FALSE)+VLOOKUP(A62,INPUT_RANGE,63,FALSE)))</f>
    </nc>
  </rcc>
  <rcc rId="3097" sId="5">
    <oc r="AY62">
      <f>(VLOOKUP(A62,INPUT_RANGE,54)+VLOOKUP(A62,INPUT_RANGE,55)+(VLOOKUP(A62,INPUT_RANGE,56)*2)+(VLOOKUP(A62,INPUT_RANGE,57)*3))/(VLOOKUP(A62,INPUT_RANGE,52))</f>
    </oc>
    <nc r="AY62">
      <f>(VLOOKUP(A62,INPUT_RANGE,54)+VLOOKUP(A62,INPUT_RANGE,55)+(VLOOKUP(A62,INPUT_RANGE,56)*2)+(VLOOKUP(A62,INPUT_RANGE,57)*3))/(VLOOKUP(A62,INPUT_RANGE,52))</f>
    </nc>
  </rcc>
  <rcc rId="3098" sId="5">
    <oc r="AZ62">
      <f>AX62+AY62</f>
    </oc>
    <nc r="AZ62">
      <f>AX62+AY62</f>
    </nc>
  </rcc>
  <rcc rId="3099" sId="5">
    <oc r="BA62">
      <f xml:space="preserve"> TEXT(AZ62,".000") &amp; " ops"</f>
    </oc>
    <nc r="BA62">
      <f xml:space="preserve"> TEXT(AZ62,".000") &amp; " OPS"</f>
    </nc>
  </rcc>
  <rcc rId="3100" sId="5">
    <oc r="BB62">
      <f>VLOOKUP(A62,INPUT_RANGE,78,FALSE)</f>
    </oc>
    <nc r="BB62">
      <f>VLOOKUP(A62,INPUT_RANGE,78,FALSE)</f>
    </nc>
  </rcc>
  <rcc rId="3101" sId="5">
    <oc r="BC62">
      <f>VLOOKUP(A62,INPUT_RANGE,77,FALSE)</f>
    </oc>
    <nc r="BC62">
      <f>VLOOKUP(A62,INPUT_RANGE,77,FALSE)</f>
    </nc>
  </rcc>
  <rcc rId="3102" sId="5">
    <oc r="BD62">
      <f>VLOOKUP(A62,INPUT_RANGE,75,FALSE) &amp; "-" &amp; VLOOKUP(A62,INPUT_RANGE,76,FALSE)</f>
    </oc>
    <nc r="BD62">
      <f>VLOOKUP(A62,INPUT_RANGE,75,FALSE) &amp; "-" &amp; VLOOKUP(A62,INPUT_RANGE,76,FALSE)</f>
    </nc>
  </rcc>
  <rcc rId="3103" sId="5">
    <oc r="BE62">
      <f>AU62</f>
    </oc>
    <nc r="BE62">
      <f>AU62</f>
    </nc>
  </rcc>
  <rcc rId="3104" sId="5">
    <oc r="BF62">
      <f>AA62</f>
    </oc>
    <nc r="BF62">
      <f>AA62</f>
    </nc>
  </rcc>
  <rcc rId="3105" sId="5">
    <oc r="BG62">
      <f>VLOOKUP(A62,INPUT_RANGE,86,FALSE)</f>
    </oc>
    <nc r="BG62">
      <f>VLOOKUP(A62,INPUT_RANGE,86,FALSE)</f>
    </nc>
  </rcc>
  <rcc rId="3106" sId="5">
    <oc r="BH62">
      <f>VLOOKUP(A62,INPUT_RANGE,87,FALSE)</f>
    </oc>
    <nc r="BH62">
      <f>VLOOKUP(A62,INPUT_RANGE,87,FALSE)</f>
    </nc>
  </rcc>
  <rcc rId="3107" sId="5">
    <oc r="BI62">
      <f>VLOOKUP(A62,INPUT_RANGE,81,FALSE) &amp; " SAVES"</f>
    </oc>
    <nc r="BI62">
      <f>VLOOKUP(A62,INPUT_RANGE,81,FALSE) &amp; " SAVES"</f>
    </nc>
  </rcc>
  <rcc rId="3108" sId="5">
    <oc r="BJ62">
      <f>VLOOKUP(A62,INPUT_RANGE,81,FALSE)</f>
    </oc>
    <nc r="BJ62">
      <f>VLOOKUP(A62,INPUT_RANGE,81,FALSE)</f>
    </nc>
  </rcc>
  <rcc rId="3109" sId="5">
    <oc r="BK62">
      <f>VLOOKUP(A62,INPUT_RANGE,83,FALSE)</f>
    </oc>
    <nc r="BK62">
      <f>VLOOKUP(A62,INPUT_RANGE,83,FALSE)</f>
    </nc>
  </rcc>
  <rcc rId="3110" sId="5">
    <oc r="BL62">
      <f>VLOOKUP(A62,INPUT_RANGE,87,FALSE) &amp; "/" &amp; VLOOKUP(A62,INPUT_RANGE,86,FALSE)</f>
    </oc>
    <nc r="BL62">
      <f>VLOOKUP(A62,INPUT_RANGE,87,FALSE) &amp; "/" &amp; VLOOKUP(A62,INPUT_RANGE,86,FALSE)</f>
    </nc>
  </rcc>
  <rcc rId="3111" sId="5">
    <oc r="BM62">
      <f>ROUND((VLOOKUP(A62,INPUT_RANGE,86,FALSE)+VLOOKUP(A62,INPUT_RANGE,83,FALSE))/AS62,2)</f>
    </oc>
    <nc r="BM62">
      <f>ROUND((VLOOKUP(A62,INPUT_RANGE,86,FALSE)+VLOOKUP(A62,INPUT_RANGE,83,FALSE))/AS62,2)</f>
    </nc>
  </rcc>
  <rcc rId="3112" sId="5">
    <oc r="M63">
      <f xml:space="preserve"> TEXT(AW63,".000") &amp; " ba"</f>
    </oc>
    <nc r="M63">
      <f xml:space="preserve"> TEXT(AW63,".000") &amp; " BA"</f>
    </nc>
  </rcc>
  <rcc rId="3113" sId="5">
    <oc r="N63">
      <f>VLOOKUP(A63,INPUT_RANGE,58,FALSE) &amp; " rbi"</f>
    </oc>
    <nc r="N63">
      <f>VLOOKUP(A63,INPUT_RANGE,58,FALSE) &amp; " RBI"</f>
    </nc>
  </rcc>
  <rcc rId="3114" sId="5">
    <oc r="O63">
      <f>VLOOKUP(A63,INPUT_RANGE,60,FALSE) &amp; " bb"</f>
    </oc>
    <nc r="O63">
      <f>VLOOKUP(A63,INPUT_RANGE,60,FALSE) &amp; " BB"</f>
    </nc>
  </rcc>
  <rcc rId="3115" sId="5">
    <oc r="P63">
      <f>VLOOKUP(A63,INPUT_RANGE,61,FALSE) &amp; " k"</f>
    </oc>
    <nc r="P63">
      <f>VLOOKUP(A63,INPUT_RANGE,61,FALSE) &amp; " K"</f>
    </nc>
  </rcc>
  <rcc rId="3116" sId="5">
    <oc r="Q63">
      <f>VLOOKUP(A63,INPUT_RANGE,64,FALSE) &amp; " sb"</f>
    </oc>
    <nc r="Q63">
      <f>VLOOKUP(A63,INPUT_RANGE,64,FALSE) &amp; " SB"</f>
    </nc>
  </rcc>
  <rcc rId="3117" sId="5">
    <oc r="R63">
      <f>VLOOKUP(A63,INPUT_RANGE,55,FALSE) &amp; " 2b"</f>
    </oc>
    <nc r="R63">
      <f>VLOOKUP(A63,INPUT_RANGE,55,FALSE) &amp; " 2B"</f>
    </nc>
  </rcc>
  <rcc rId="3118" sId="5">
    <oc r="S63">
      <f>VLOOKUP(A63,INPUT_RANGE,56,FALSE) &amp; " 3b"</f>
    </oc>
    <nc r="S63">
      <f>VLOOKUP(A63,INPUT_RANGE,56,FALSE) &amp; " 3B"</f>
    </nc>
  </rcc>
  <rcc rId="3119" sId="5">
    <oc r="T63">
      <f>VLOOKUP(A63,INPUT_RANGE,57,FALSE) &amp; " hr"</f>
    </oc>
    <nc r="T63">
      <f>VLOOKUP(A63,INPUT_RANGE,57,FALSE) &amp; " HR"</f>
    </nc>
  </rcc>
  <rcc rId="3120" sId="5">
    <oc r="U63">
      <f>VLOOKUP(A63,INPUT_RANGE,53,FALSE) &amp; " r"</f>
    </oc>
    <nc r="U63">
      <f>VLOOKUP(A63,INPUT_RANGE,53,FALSE) &amp; " R"</f>
    </nc>
  </rcc>
  <rcc rId="3121" sId="5">
    <oc r="V63">
      <f>TEXT(AX63, ".000") &amp; " obp"</f>
    </oc>
    <nc r="V63">
      <f>TEXT(AX63, ".000") &amp; " OBP"</f>
    </nc>
  </rcc>
  <rcc rId="3122" sId="5">
    <oc r="X63">
      <f>VLOOKUP(A63,INPUT_RANGE,77,FALSE)&amp;" games"</f>
    </oc>
    <nc r="X63">
      <f>VLOOKUP(A63,INPUT_RANGE,77,FALSE)&amp;" games"</f>
    </nc>
  </rcc>
  <rcc rId="3123" sId="5">
    <oc r="Y63">
      <f>VLOOKUP(A63,INPUT_RANGE,78,FALSE) &amp; " starts"</f>
    </oc>
    <nc r="Y63">
      <f>VLOOKUP(A63,INPUT_RANGE,78,FALSE) &amp; " starts"</f>
    </nc>
  </rcc>
  <rcc rId="3124" sId="5">
    <oc r="Z63">
      <f>VLOOKUP(A63,INPUT_RANGE,82,FALSE) &amp; " ip"</f>
    </oc>
    <nc r="Z63">
      <f>VLOOKUP(A63,INPUT_RANGE,82,FALSE) &amp; " IP"</f>
    </nc>
  </rcc>
  <rcc rId="3125" sId="5">
    <oc r="AA63">
      <f>TRUNC(VLOOKUP(A63,INPUT_RANGE,82,FALSE)) &amp;  IF(AR63=0.333,"º",IF(AR63=0.666,"»",""))</f>
    </oc>
    <nc r="AA63">
      <f>TRUNC(VLOOKUP(A63,INPUT_RANGE,82,FALSE)) &amp;  IF(AR63=0.333,"º",IF(AR63=0.666,"»",""))</f>
    </nc>
  </rcc>
  <rcc rId="3126" sId="5">
    <oc r="AB63">
      <f>AA63&amp; " ip"</f>
    </oc>
    <nc r="AB63">
      <f>AA63&amp; " IP"</f>
    </nc>
  </rcc>
  <rcc rId="3127" sId="5">
    <oc r="AC63">
      <f>VLOOKUP(A63,INPUT_RANGE,79,FALSE) &amp; " cg"</f>
    </oc>
    <nc r="AC63">
      <f>VLOOKUP(A63,INPUT_RANGE,79,FALSE) &amp; " CG"</f>
    </nc>
  </rcc>
  <rcc rId="3128" sId="5">
    <oc r="AD63">
      <f>VLOOKUP(A63,INPUT_RANGE,80,FALSE) &amp; " sho"</f>
    </oc>
    <nc r="AD63">
      <f>VLOOKUP(A63,INPUT_RANGE,80,FALSE) &amp; " SHO"</f>
    </nc>
  </rcc>
  <rcc rId="3129" sId="5">
    <oc r="AE63">
      <f>VLOOKUP(A63,INPUT_RANGE,75,FALSE) &amp; " win"</f>
    </oc>
    <nc r="AE63">
      <f>VLOOKUP(A63,INPUT_RANGE,75,FALSE) &amp; " Win"</f>
    </nc>
  </rcc>
  <rcc rId="3130" sId="5">
    <oc r="AF63">
      <f>VLOOKUP(A63,INPUT_RANGE,76,FALSE) &amp; " loss"</f>
    </oc>
    <nc r="AF63">
      <f>VLOOKUP(A63,INPUT_RANGE,76,FALSE) &amp; " Loss"</f>
    </nc>
  </rcc>
  <rcc rId="3131" sId="5">
    <oc r="AG63">
      <f>VLOOKUP(A63,INPUT_RANGE,75,FALSE) &amp; "-" &amp; VLOOKUP(A63,INPUT_RANGE,76,FALSE) &amp; " w-l"</f>
    </oc>
    <nc r="AG63">
      <f>VLOOKUP(A63,INPUT_RANGE,75,FALSE) &amp; "-" &amp; VLOOKUP(A63,INPUT_RANGE,76,FALSE) &amp; " W-L"</f>
    </nc>
  </rcc>
  <rcc rId="3132" sId="5">
    <oc r="AH63">
      <f>VLOOKUP(A63,INPUT_RANGE,81,FALSE)&amp; " saves"</f>
    </oc>
    <nc r="AH63">
      <f>VLOOKUP(A63,INPUT_RANGE,81,FALSE)&amp; " Saves"</f>
    </nc>
  </rcc>
  <rcc rId="3133" sId="5">
    <oc r="AI63">
      <f>VLOOKUP(A63,INPUT_RANGE,83,FALSE) &amp; " h"</f>
    </oc>
    <nc r="AI63">
      <f>VLOOKUP(A63,INPUT_RANGE,83,FALSE) &amp; " H"</f>
    </nc>
  </rcc>
  <rcc rId="3134" sId="5">
    <oc r="AJ63">
      <f>VLOOKUP(A63,INPUT_RANGE,84,FALSE) &amp; " r"</f>
    </oc>
    <nc r="AJ63">
      <f>VLOOKUP(A63,INPUT_RANGE,84,FALSE) &amp; " R"</f>
    </nc>
  </rcc>
  <rcc rId="3135" sId="5">
    <oc r="AK63">
      <f>VLOOKUP(A63,INPUT_RANGE,85,FALSE) &amp;" er"</f>
    </oc>
    <nc r="AK63">
      <f>VLOOKUP(A63,INPUT_RANGE,85,FALSE) &amp;" ER"</f>
    </nc>
  </rcc>
  <rcc rId="3136" sId="5">
    <oc r="AL63">
      <f>VLOOKUP(A63,INPUT_RANGE,88,FALSE) &amp;" hr"</f>
    </oc>
    <nc r="AL63">
      <f>VLOOKUP(A63,INPUT_RANGE,88,FALSE) &amp;" HR"</f>
    </nc>
  </rcc>
  <rcc rId="3137" sId="5">
    <oc r="AM63">
      <f>VLOOKUP(A63,INPUT_RANGE,87,FALSE) &amp; " k"</f>
    </oc>
    <nc r="AM63">
      <f>VLOOKUP(A63,INPUT_RANGE,87,FALSE) &amp; " K"</f>
    </nc>
  </rcc>
  <rcc rId="3138" sId="5">
    <oc r="AN63">
      <f>VLOOKUP(A63,INPUT_RANGE,86,FALSE) &amp; " bb"</f>
    </oc>
    <nc r="AN63">
      <f>VLOOKUP(A63,INPUT_RANGE,86,FALSE) &amp; " BB"</f>
    </nc>
  </rcc>
  <rcc rId="3139" sId="5">
    <oc r="AO63">
      <f>TEXT(AU63,"0.00") &amp; " era"</f>
    </oc>
    <nc r="AO63">
      <f>TEXT(AU63,"0.00") &amp; " ERA"</f>
    </nc>
  </rcc>
  <rcc rId="3140" sId="5">
    <oc r="AP63">
      <f>TEXT(AT63,"0.00") &amp; " whip"</f>
    </oc>
    <nc r="AP63">
      <f>TEXT(AT63,"0.00") &amp; " WHIP"</f>
    </nc>
  </rcc>
  <rcc rId="3141" sId="5">
    <oc r="AQ63">
      <f xml:space="preserve"> IF(LEFT(RIGHT((VLOOKUP(A63,INPUT_RANGE,82,FALSE)),2),1)=".",RIGHT(VLOOKUP(A63,INPUT_RANGE,82,FALSE),1), "X")</f>
    </oc>
    <nc r="AQ63">
      <f xml:space="preserve"> IF(LEFT(RIGHT((VLOOKUP(A63,INPUT_RANGE,82,FALSE)),2),1)=".",RIGHT(VLOOKUP(A63,INPUT_RANGE,82,FALSE),1), "X")</f>
    </nc>
  </rcc>
  <rcc rId="3142" sId="5">
    <oc r="AR63">
      <f>IF(AQ63 ="1",0.333,IF(AQ63="2",0.666,0))</f>
    </oc>
    <nc r="AR63">
      <f>IF(AQ63 ="1",0.333,IF(AQ63="2",0.666,0))</f>
    </nc>
  </rcc>
  <rcc rId="3143" sId="5">
    <oc r="AS63">
      <f>VLOOKUP(A63,INPUT_RANGE,82,FALSE)-(AQ63*0.1)+AR63</f>
    </oc>
    <nc r="AS63">
      <f>VLOOKUP(A63,INPUT_RANGE,82,FALSE)-(AQ63*0.1)+AR63</f>
    </nc>
  </rcc>
  <rcc rId="3144" sId="5">
    <oc r="AT63">
      <f>ROUND((VLOOKUP(A63,INPUT_RANGE,86,FALSE)+VLOOKUP(A63,INPUT_RANGE,83,FALSE))/AS63,2)</f>
    </oc>
    <nc r="AT63">
      <f>ROUND((VLOOKUP(A63,INPUT_RANGE,86,FALSE)+VLOOKUP(A63,INPUT_RANGE,83,FALSE))/AS63,2)</f>
    </nc>
  </rcc>
  <rcc rId="3145" sId="5">
    <oc r="AU63">
      <f>ROUND((VLOOKUP(A63,INPUT_RANGE,85,FALSE)/AS63)*('Team Info'!$H$25),2)</f>
    </oc>
    <nc r="AU63">
      <f>ROUND((VLOOKUP(A63,INPUT_RANGE,85,FALSE)/AS63)*('D:\Data\Softball\[ESPN_BASEBALL_AWAY_OLD.xlsx]Team Info'!$H$25),2)</f>
    </nc>
  </rcc>
  <rcc rId="3146" sId="5">
    <oc r="AW63">
      <f>(VLOOKUP(A63,INPUT_RANGE,54,FALSE)/VLOOKUP(A63,INPUT_RANGE,52,FALSE))</f>
    </oc>
    <nc r="AW63">
      <f>(VLOOKUP(A63,INPUT_RANGE,54,FALSE)/VLOOKUP(A63,INPUT_RANGE,52,FALSE))</f>
    </nc>
  </rcc>
  <rcc rId="3147" sId="5">
    <oc r="AX63">
      <f>((VLOOKUP(A63,INPUT_RANGE,54,FALSE)+VLOOKUP(A63,INPUT_RANGE,60,FALSE)+VLOOKUP(A63,INPUT_RANGE,59,FALSE))/(VLOOKUP(A63,INPUT_RANGE,52,FALSE)+VLOOKUP(A63,INPUT_RANGE,60,FALSE)+VLOOKUP(A63,INPUT_RANGE,59,FALSE)+VLOOKUP(A63,INPUT_RANGE,63,FALSE)))</f>
    </oc>
    <nc r="AX63">
      <f>((VLOOKUP(A63,INPUT_RANGE,54,FALSE)+VLOOKUP(A63,INPUT_RANGE,60,FALSE)+VLOOKUP(A63,INPUT_RANGE,59,FALSE))/(VLOOKUP(A63,INPUT_RANGE,52,FALSE)+VLOOKUP(A63,INPUT_RANGE,60,FALSE)+VLOOKUP(A63,INPUT_RANGE,59,FALSE)+VLOOKUP(A63,INPUT_RANGE,63,FALSE)))</f>
    </nc>
  </rcc>
  <rcc rId="3148" sId="5">
    <oc r="AY63">
      <f>(VLOOKUP(A63,INPUT_RANGE,54)+VLOOKUP(A63,INPUT_RANGE,55)+(VLOOKUP(A63,INPUT_RANGE,56)*2)+(VLOOKUP(A63,INPUT_RANGE,57)*3))/(VLOOKUP(A63,INPUT_RANGE,52))</f>
    </oc>
    <nc r="AY63">
      <f>(VLOOKUP(A63,INPUT_RANGE,54)+VLOOKUP(A63,INPUT_RANGE,55)+(VLOOKUP(A63,INPUT_RANGE,56)*2)+(VLOOKUP(A63,INPUT_RANGE,57)*3))/(VLOOKUP(A63,INPUT_RANGE,52))</f>
    </nc>
  </rcc>
  <rcc rId="3149" sId="5">
    <oc r="AZ63">
      <f>AX63+AY63</f>
    </oc>
    <nc r="AZ63">
      <f>AX63+AY63</f>
    </nc>
  </rcc>
  <rcc rId="3150" sId="5">
    <oc r="BA63">
      <f xml:space="preserve"> TEXT(AZ63,".000") &amp; " ops"</f>
    </oc>
    <nc r="BA63">
      <f xml:space="preserve"> TEXT(AZ63,".000") &amp; " OPS"</f>
    </nc>
  </rcc>
  <rcc rId="3151" sId="5">
    <oc r="BB63">
      <f>VLOOKUP(A63,INPUT_RANGE,78,FALSE)</f>
    </oc>
    <nc r="BB63">
      <f>VLOOKUP(A63,INPUT_RANGE,78,FALSE)</f>
    </nc>
  </rcc>
  <rcc rId="3152" sId="5">
    <oc r="BC63">
      <f>VLOOKUP(A63,INPUT_RANGE,77,FALSE)</f>
    </oc>
    <nc r="BC63">
      <f>VLOOKUP(A63,INPUT_RANGE,77,FALSE)</f>
    </nc>
  </rcc>
  <rcc rId="3153" sId="5">
    <oc r="BD63">
      <f>VLOOKUP(A63,INPUT_RANGE,75,FALSE) &amp; "-" &amp; VLOOKUP(A63,INPUT_RANGE,76,FALSE)</f>
    </oc>
    <nc r="BD63">
      <f>VLOOKUP(A63,INPUT_RANGE,75,FALSE) &amp; "-" &amp; VLOOKUP(A63,INPUT_RANGE,76,FALSE)</f>
    </nc>
  </rcc>
  <rcc rId="3154" sId="5">
    <oc r="BE63">
      <f>AU63</f>
    </oc>
    <nc r="BE63">
      <f>AU63</f>
    </nc>
  </rcc>
  <rcc rId="3155" sId="5">
    <oc r="BF63">
      <f>AA63</f>
    </oc>
    <nc r="BF63">
      <f>AA63</f>
    </nc>
  </rcc>
  <rcc rId="3156" sId="5">
    <oc r="BG63">
      <f>VLOOKUP(A63,INPUT_RANGE,86,FALSE)</f>
    </oc>
    <nc r="BG63">
      <f>VLOOKUP(A63,INPUT_RANGE,86,FALSE)</f>
    </nc>
  </rcc>
  <rcc rId="3157" sId="5">
    <oc r="BH63">
      <f>VLOOKUP(A63,INPUT_RANGE,87,FALSE)</f>
    </oc>
    <nc r="BH63">
      <f>VLOOKUP(A63,INPUT_RANGE,87,FALSE)</f>
    </nc>
  </rcc>
  <rcc rId="3158" sId="5">
    <oc r="BI63">
      <f>VLOOKUP(A63,INPUT_RANGE,81,FALSE) &amp; " SAVES"</f>
    </oc>
    <nc r="BI63">
      <f>VLOOKUP(A63,INPUT_RANGE,81,FALSE) &amp; " SAVES"</f>
    </nc>
  </rcc>
  <rcc rId="3159" sId="5">
    <oc r="BJ63">
      <f>VLOOKUP(A63,INPUT_RANGE,81,FALSE)</f>
    </oc>
    <nc r="BJ63">
      <f>VLOOKUP(A63,INPUT_RANGE,81,FALSE)</f>
    </nc>
  </rcc>
  <rcc rId="3160" sId="5">
    <oc r="BK63">
      <f>VLOOKUP(A63,INPUT_RANGE,83,FALSE)</f>
    </oc>
    <nc r="BK63">
      <f>VLOOKUP(A63,INPUT_RANGE,83,FALSE)</f>
    </nc>
  </rcc>
  <rcc rId="3161" sId="5">
    <oc r="BL63">
      <f>VLOOKUP(A63,INPUT_RANGE,87,FALSE) &amp; "/" &amp; VLOOKUP(A63,INPUT_RANGE,86,FALSE)</f>
    </oc>
    <nc r="BL63">
      <f>VLOOKUP(A63,INPUT_RANGE,87,FALSE) &amp; "/" &amp; VLOOKUP(A63,INPUT_RANGE,86,FALSE)</f>
    </nc>
  </rcc>
  <rcc rId="3162" sId="5">
    <oc r="BM63">
      <f>ROUND((VLOOKUP(A63,INPUT_RANGE,86,FALSE)+VLOOKUP(A63,INPUT_RANGE,83,FALSE))/AS63,2)</f>
    </oc>
    <nc r="BM63">
      <f>ROUND((VLOOKUP(A63,INPUT_RANGE,86,FALSE)+VLOOKUP(A63,INPUT_RANGE,83,FALSE))/AS63,2)</f>
    </nc>
  </rcc>
  <rcc rId="3163" sId="5">
    <oc r="M64">
      <f xml:space="preserve"> TEXT(AW64,".000") &amp; " ba"</f>
    </oc>
    <nc r="M64">
      <f xml:space="preserve"> TEXT(AW64,".000") &amp; " BA"</f>
    </nc>
  </rcc>
  <rcc rId="3164" sId="5">
    <oc r="N64">
      <f>VLOOKUP(A64,INPUT_RANGE,58,FALSE) &amp; " rbi"</f>
    </oc>
    <nc r="N64">
      <f>VLOOKUP(A64,INPUT_RANGE,58,FALSE) &amp; " RBI"</f>
    </nc>
  </rcc>
  <rcc rId="3165" sId="5">
    <oc r="O64">
      <f>VLOOKUP(A64,INPUT_RANGE,60,FALSE) &amp; " bb"</f>
    </oc>
    <nc r="O64">
      <f>VLOOKUP(A64,INPUT_RANGE,60,FALSE) &amp; " BB"</f>
    </nc>
  </rcc>
  <rcc rId="3166" sId="5">
    <oc r="P64">
      <f>VLOOKUP(A64,INPUT_RANGE,61,FALSE) &amp; " k"</f>
    </oc>
    <nc r="P64">
      <f>VLOOKUP(A64,INPUT_RANGE,61,FALSE) &amp; " K"</f>
    </nc>
  </rcc>
  <rcc rId="3167" sId="5">
    <oc r="Q64">
      <f>VLOOKUP(A64,INPUT_RANGE,64,FALSE) &amp; " sb"</f>
    </oc>
    <nc r="Q64">
      <f>VLOOKUP(A64,INPUT_RANGE,64,FALSE) &amp; " SB"</f>
    </nc>
  </rcc>
  <rcc rId="3168" sId="5">
    <oc r="R64">
      <f>VLOOKUP(A64,INPUT_RANGE,55,FALSE) &amp; " 2b"</f>
    </oc>
    <nc r="R64">
      <f>VLOOKUP(A64,INPUT_RANGE,55,FALSE) &amp; " 2B"</f>
    </nc>
  </rcc>
  <rcc rId="3169" sId="5">
    <oc r="S64">
      <f>VLOOKUP(A64,INPUT_RANGE,56,FALSE) &amp; " 3b"</f>
    </oc>
    <nc r="S64">
      <f>VLOOKUP(A64,INPUT_RANGE,56,FALSE) &amp; " 3B"</f>
    </nc>
  </rcc>
  <rcc rId="3170" sId="5">
    <oc r="T64">
      <f>VLOOKUP(A64,INPUT_RANGE,57,FALSE) &amp; " hr"</f>
    </oc>
    <nc r="T64">
      <f>VLOOKUP(A64,INPUT_RANGE,57,FALSE) &amp; " HR"</f>
    </nc>
  </rcc>
  <rcc rId="3171" sId="5">
    <oc r="U64">
      <f>VLOOKUP(A64,INPUT_RANGE,53,FALSE) &amp; " r"</f>
    </oc>
    <nc r="U64">
      <f>VLOOKUP(A64,INPUT_RANGE,53,FALSE) &amp; " R"</f>
    </nc>
  </rcc>
  <rcc rId="3172" sId="5">
    <oc r="V64">
      <f>TEXT(AX64, ".000") &amp; " obp"</f>
    </oc>
    <nc r="V64">
      <f>TEXT(AX64, ".000") &amp; " OBP"</f>
    </nc>
  </rcc>
  <rcc rId="3173" sId="5">
    <oc r="X64">
      <f>VLOOKUP(A64,INPUT_RANGE,77,FALSE)&amp;" games"</f>
    </oc>
    <nc r="X64">
      <f>VLOOKUP(A64,INPUT_RANGE,77,FALSE)&amp;" games"</f>
    </nc>
  </rcc>
  <rcc rId="3174" sId="5">
    <oc r="Y64">
      <f>VLOOKUP(A64,INPUT_RANGE,78,FALSE) &amp; " starts"</f>
    </oc>
    <nc r="Y64">
      <f>VLOOKUP(A64,INPUT_RANGE,78,FALSE) &amp; " starts"</f>
    </nc>
  </rcc>
  <rcc rId="3175" sId="5">
    <oc r="Z64">
      <f>VLOOKUP(A64,INPUT_RANGE,82,FALSE) &amp; " ip"</f>
    </oc>
    <nc r="Z64">
      <f>VLOOKUP(A64,INPUT_RANGE,82,FALSE) &amp; " IP"</f>
    </nc>
  </rcc>
  <rcc rId="3176" sId="5">
    <oc r="AA64">
      <f>TRUNC(VLOOKUP(A64,INPUT_RANGE,82,FALSE)) &amp;  IF(AR64=0.333,"º",IF(AR64=0.666,"»",""))</f>
    </oc>
    <nc r="AA64">
      <f>TRUNC(VLOOKUP(A64,INPUT_RANGE,82,FALSE)) &amp;  IF(AR64=0.333,"º",IF(AR64=0.666,"»",""))</f>
    </nc>
  </rcc>
  <rcc rId="3177" sId="5">
    <oc r="AB64">
      <f>AA64&amp; " ip"</f>
    </oc>
    <nc r="AB64">
      <f>AA64&amp; " IP"</f>
    </nc>
  </rcc>
  <rcc rId="3178" sId="5">
    <oc r="AC64">
      <f>VLOOKUP(A64,INPUT_RANGE,79,FALSE) &amp; " cg"</f>
    </oc>
    <nc r="AC64">
      <f>VLOOKUP(A64,INPUT_RANGE,79,FALSE) &amp; " CG"</f>
    </nc>
  </rcc>
  <rcc rId="3179" sId="5">
    <oc r="AD64">
      <f>VLOOKUP(A64,INPUT_RANGE,80,FALSE) &amp; " sho"</f>
    </oc>
    <nc r="AD64">
      <f>VLOOKUP(A64,INPUT_RANGE,80,FALSE) &amp; " SHO"</f>
    </nc>
  </rcc>
  <rcc rId="3180" sId="5">
    <oc r="AE64">
      <f>VLOOKUP(A64,INPUT_RANGE,75,FALSE) &amp; " win"</f>
    </oc>
    <nc r="AE64">
      <f>VLOOKUP(A64,INPUT_RANGE,75,FALSE) &amp; " Win"</f>
    </nc>
  </rcc>
  <rcc rId="3181" sId="5">
    <oc r="AF64">
      <f>VLOOKUP(A64,INPUT_RANGE,76,FALSE) &amp; " loss"</f>
    </oc>
    <nc r="AF64">
      <f>VLOOKUP(A64,INPUT_RANGE,76,FALSE) &amp; " Loss"</f>
    </nc>
  </rcc>
  <rcc rId="3182" sId="5">
    <oc r="AG64">
      <f>VLOOKUP(A64,INPUT_RANGE,75,FALSE) &amp; "-" &amp; VLOOKUP(A64,INPUT_RANGE,76,FALSE) &amp; " w-l"</f>
    </oc>
    <nc r="AG64">
      <f>VLOOKUP(A64,INPUT_RANGE,75,FALSE) &amp; "-" &amp; VLOOKUP(A64,INPUT_RANGE,76,FALSE) &amp; " W-L"</f>
    </nc>
  </rcc>
  <rcc rId="3183" sId="5">
    <oc r="AH64">
      <f>VLOOKUP(A64,INPUT_RANGE,81,FALSE)&amp; " saves"</f>
    </oc>
    <nc r="AH64">
      <f>VLOOKUP(A64,INPUT_RANGE,81,FALSE)&amp; " Saves"</f>
    </nc>
  </rcc>
  <rcc rId="3184" sId="5">
    <oc r="AI64">
      <f>VLOOKUP(A64,INPUT_RANGE,83,FALSE) &amp; " h"</f>
    </oc>
    <nc r="AI64">
      <f>VLOOKUP(A64,INPUT_RANGE,83,FALSE) &amp; " H"</f>
    </nc>
  </rcc>
  <rcc rId="3185" sId="5">
    <oc r="AJ64">
      <f>VLOOKUP(A64,INPUT_RANGE,84,FALSE) &amp; " r"</f>
    </oc>
    <nc r="AJ64">
      <f>VLOOKUP(A64,INPUT_RANGE,84,FALSE) &amp; " R"</f>
    </nc>
  </rcc>
  <rcc rId="3186" sId="5">
    <oc r="AK64">
      <f>VLOOKUP(A64,INPUT_RANGE,85,FALSE) &amp;" er"</f>
    </oc>
    <nc r="AK64">
      <f>VLOOKUP(A64,INPUT_RANGE,85,FALSE) &amp;" ER"</f>
    </nc>
  </rcc>
  <rcc rId="3187" sId="5">
    <oc r="AL64">
      <f>VLOOKUP(A64,INPUT_RANGE,88,FALSE) &amp;" hr"</f>
    </oc>
    <nc r="AL64">
      <f>VLOOKUP(A64,INPUT_RANGE,88,FALSE) &amp;" HR"</f>
    </nc>
  </rcc>
  <rcc rId="3188" sId="5">
    <oc r="AM64">
      <f>VLOOKUP(A64,INPUT_RANGE,87,FALSE) &amp; " k"</f>
    </oc>
    <nc r="AM64">
      <f>VLOOKUP(A64,INPUT_RANGE,87,FALSE) &amp; " K"</f>
    </nc>
  </rcc>
  <rcc rId="3189" sId="5">
    <oc r="AN64">
      <f>VLOOKUP(A64,INPUT_RANGE,86,FALSE) &amp; " bb"</f>
    </oc>
    <nc r="AN64">
      <f>VLOOKUP(A64,INPUT_RANGE,86,FALSE) &amp; " BB"</f>
    </nc>
  </rcc>
  <rcc rId="3190" sId="5">
    <oc r="AO64">
      <f>TEXT(AU64,"0.00") &amp; " era"</f>
    </oc>
    <nc r="AO64">
      <f>TEXT(AU64,"0.00") &amp; " ERA"</f>
    </nc>
  </rcc>
  <rcc rId="3191" sId="5">
    <oc r="AP64">
      <f>TEXT(AT64,"0.00") &amp; " whip"</f>
    </oc>
    <nc r="AP64">
      <f>TEXT(AT64,"0.00") &amp; " WHIP"</f>
    </nc>
  </rcc>
  <rcc rId="3192" sId="5">
    <oc r="AQ64">
      <f xml:space="preserve"> IF(LEFT(RIGHT((VLOOKUP(A64,INPUT_RANGE,82,FALSE)),2),1)=".",RIGHT(VLOOKUP(A64,INPUT_RANGE,82,FALSE),1), "X")</f>
    </oc>
    <nc r="AQ64">
      <f xml:space="preserve"> IF(LEFT(RIGHT((VLOOKUP(A64,INPUT_RANGE,82,FALSE)),2),1)=".",RIGHT(VLOOKUP(A64,INPUT_RANGE,82,FALSE),1), "X")</f>
    </nc>
  </rcc>
  <rcc rId="3193" sId="5">
    <oc r="AR64">
      <f>IF(AQ64 ="1",0.333,IF(AQ64="2",0.666,0))</f>
    </oc>
    <nc r="AR64">
      <f>IF(AQ64 ="1",0.333,IF(AQ64="2",0.666,0))</f>
    </nc>
  </rcc>
  <rcc rId="3194" sId="5">
    <oc r="AS64">
      <f>VLOOKUP(A64,INPUT_RANGE,82,FALSE)-(AQ64*0.1)+AR64</f>
    </oc>
    <nc r="AS64">
      <f>VLOOKUP(A64,INPUT_RANGE,82,FALSE)-(AQ64*0.1)+AR64</f>
    </nc>
  </rcc>
  <rcc rId="3195" sId="5">
    <oc r="AT64">
      <f>ROUND((VLOOKUP(A64,INPUT_RANGE,86,FALSE)+VLOOKUP(A64,INPUT_RANGE,83,FALSE))/AS64,2)</f>
    </oc>
    <nc r="AT64">
      <f>ROUND((VLOOKUP(A64,INPUT_RANGE,86,FALSE)+VLOOKUP(A64,INPUT_RANGE,83,FALSE))/AS64,2)</f>
    </nc>
  </rcc>
  <rcc rId="3196" sId="5">
    <oc r="AU64">
      <f>ROUND((VLOOKUP(A64,INPUT_RANGE,85,FALSE)/AS64)*('Team Info'!$H$25),2)</f>
    </oc>
    <nc r="AU64">
      <f>ROUND((VLOOKUP(A64,INPUT_RANGE,85,FALSE)/AS64)*('D:\Data\Softball\[ESPN_BASEBALL_AWAY_OLD.xlsx]Team Info'!$H$25),2)</f>
    </nc>
  </rcc>
  <rcc rId="3197" sId="5">
    <oc r="AW64">
      <f>(VLOOKUP(A64,INPUT_RANGE,54,FALSE)/VLOOKUP(A64,INPUT_RANGE,52,FALSE))</f>
    </oc>
    <nc r="AW64">
      <f>(VLOOKUP(A64,INPUT_RANGE,54,FALSE)/VLOOKUP(A64,INPUT_RANGE,52,FALSE))</f>
    </nc>
  </rcc>
  <rcc rId="3198" sId="5">
    <oc r="AX64">
      <f>((VLOOKUP(A64,INPUT_RANGE,54,FALSE)+VLOOKUP(A64,INPUT_RANGE,60,FALSE)+VLOOKUP(A64,INPUT_RANGE,59,FALSE))/(VLOOKUP(A64,INPUT_RANGE,52,FALSE)+VLOOKUP(A64,INPUT_RANGE,60,FALSE)+VLOOKUP(A64,INPUT_RANGE,59,FALSE)+VLOOKUP(A64,INPUT_RANGE,63,FALSE)))</f>
    </oc>
    <nc r="AX64">
      <f>((VLOOKUP(A64,INPUT_RANGE,54,FALSE)+VLOOKUP(A64,INPUT_RANGE,60,FALSE)+VLOOKUP(A64,INPUT_RANGE,59,FALSE))/(VLOOKUP(A64,INPUT_RANGE,52,FALSE)+VLOOKUP(A64,INPUT_RANGE,60,FALSE)+VLOOKUP(A64,INPUT_RANGE,59,FALSE)+VLOOKUP(A64,INPUT_RANGE,63,FALSE)))</f>
    </nc>
  </rcc>
  <rcc rId="3199" sId="5">
    <oc r="AY64">
      <f>(VLOOKUP(A64,INPUT_RANGE,54)+VLOOKUP(A64,INPUT_RANGE,55)+(VLOOKUP(A64,INPUT_RANGE,56)*2)+(VLOOKUP(A64,INPUT_RANGE,57)*3))/(VLOOKUP(A64,INPUT_RANGE,52))</f>
    </oc>
    <nc r="AY64">
      <f>(VLOOKUP(A64,INPUT_RANGE,54)+VLOOKUP(A64,INPUT_RANGE,55)+(VLOOKUP(A64,INPUT_RANGE,56)*2)+(VLOOKUP(A64,INPUT_RANGE,57)*3))/(VLOOKUP(A64,INPUT_RANGE,52))</f>
    </nc>
  </rcc>
  <rcc rId="3200" sId="5">
    <oc r="AZ64">
      <f>AX64+AY64</f>
    </oc>
    <nc r="AZ64">
      <f>AX64+AY64</f>
    </nc>
  </rcc>
  <rcc rId="3201" sId="5">
    <oc r="BA64">
      <f xml:space="preserve"> TEXT(AZ64,".000") &amp; " ops"</f>
    </oc>
    <nc r="BA64">
      <f xml:space="preserve"> TEXT(AZ64,".000") &amp; " OPS"</f>
    </nc>
  </rcc>
  <rcc rId="3202" sId="5">
    <oc r="BB64">
      <f>VLOOKUP(A64,INPUT_RANGE,78,FALSE)</f>
    </oc>
    <nc r="BB64">
      <f>VLOOKUP(A64,INPUT_RANGE,78,FALSE)</f>
    </nc>
  </rcc>
  <rcc rId="3203" sId="5">
    <oc r="BC64">
      <f>VLOOKUP(A64,INPUT_RANGE,77,FALSE)</f>
    </oc>
    <nc r="BC64">
      <f>VLOOKUP(A64,INPUT_RANGE,77,FALSE)</f>
    </nc>
  </rcc>
  <rcc rId="3204" sId="5">
    <oc r="BD64">
      <f>VLOOKUP(A64,INPUT_RANGE,75,FALSE) &amp; "-" &amp; VLOOKUP(A64,INPUT_RANGE,76,FALSE)</f>
    </oc>
    <nc r="BD64">
      <f>VLOOKUP(A64,INPUT_RANGE,75,FALSE) &amp; "-" &amp; VLOOKUP(A64,INPUT_RANGE,76,FALSE)</f>
    </nc>
  </rcc>
  <rcc rId="3205" sId="5">
    <oc r="BE64">
      <f>AU64</f>
    </oc>
    <nc r="BE64">
      <f>AU64</f>
    </nc>
  </rcc>
  <rcc rId="3206" sId="5">
    <oc r="BF64">
      <f>AA64</f>
    </oc>
    <nc r="BF64">
      <f>AA64</f>
    </nc>
  </rcc>
  <rcc rId="3207" sId="5">
    <oc r="BG64">
      <f>VLOOKUP(A64,INPUT_RANGE,86,FALSE)</f>
    </oc>
    <nc r="BG64">
      <f>VLOOKUP(A64,INPUT_RANGE,86,FALSE)</f>
    </nc>
  </rcc>
  <rcc rId="3208" sId="5">
    <oc r="BH64">
      <f>VLOOKUP(A64,INPUT_RANGE,87,FALSE)</f>
    </oc>
    <nc r="BH64">
      <f>VLOOKUP(A64,INPUT_RANGE,87,FALSE)</f>
    </nc>
  </rcc>
  <rcc rId="3209" sId="5">
    <oc r="BI64">
      <f>VLOOKUP(A64,INPUT_RANGE,81,FALSE) &amp; " SAVES"</f>
    </oc>
    <nc r="BI64">
      <f>VLOOKUP(A64,INPUT_RANGE,81,FALSE) &amp; " SAVES"</f>
    </nc>
  </rcc>
  <rcc rId="3210" sId="5">
    <oc r="BJ64">
      <f>VLOOKUP(A64,INPUT_RANGE,81,FALSE)</f>
    </oc>
    <nc r="BJ64">
      <f>VLOOKUP(A64,INPUT_RANGE,81,FALSE)</f>
    </nc>
  </rcc>
  <rcc rId="3211" sId="5">
    <oc r="BK64">
      <f>VLOOKUP(A64,INPUT_RANGE,83,FALSE)</f>
    </oc>
    <nc r="BK64">
      <f>VLOOKUP(A64,INPUT_RANGE,83,FALSE)</f>
    </nc>
  </rcc>
  <rcc rId="3212" sId="5">
    <oc r="BL64">
      <f>VLOOKUP(A64,INPUT_RANGE,87,FALSE) &amp; "/" &amp; VLOOKUP(A64,INPUT_RANGE,86,FALSE)</f>
    </oc>
    <nc r="BL64">
      <f>VLOOKUP(A64,INPUT_RANGE,87,FALSE) &amp; "/" &amp; VLOOKUP(A64,INPUT_RANGE,86,FALSE)</f>
    </nc>
  </rcc>
  <rcc rId="3213" sId="5">
    <oc r="BM64">
      <f>ROUND((VLOOKUP(A64,INPUT_RANGE,86,FALSE)+VLOOKUP(A64,INPUT_RANGE,83,FALSE))/AS64,2)</f>
    </oc>
    <nc r="BM64">
      <f>ROUND((VLOOKUP(A64,INPUT_RANGE,86,FALSE)+VLOOKUP(A64,INPUT_RANGE,83,FALSE))/AS64,2)</f>
    </nc>
  </rcc>
  <rcc rId="3214" sId="5">
    <oc r="M65">
      <f xml:space="preserve"> TEXT(AW65,".000") &amp; " ba"</f>
    </oc>
    <nc r="M65">
      <f xml:space="preserve"> TEXT(AW65,".000") &amp; " BA"</f>
    </nc>
  </rcc>
  <rcc rId="3215" sId="5">
    <oc r="N65">
      <f>VLOOKUP(A65,INPUT_RANGE,58,FALSE) &amp; " rbi"</f>
    </oc>
    <nc r="N65">
      <f>VLOOKUP(A65,INPUT_RANGE,58,FALSE) &amp; " RBI"</f>
    </nc>
  </rcc>
  <rcc rId="3216" sId="5">
    <oc r="O65">
      <f>VLOOKUP(A65,INPUT_RANGE,60,FALSE) &amp; " bb"</f>
    </oc>
    <nc r="O65">
      <f>VLOOKUP(A65,INPUT_RANGE,60,FALSE) &amp; " BB"</f>
    </nc>
  </rcc>
  <rcc rId="3217" sId="5">
    <oc r="P65">
      <f>VLOOKUP(A65,INPUT_RANGE,61,FALSE) &amp; " k"</f>
    </oc>
    <nc r="P65">
      <f>VLOOKUP(A65,INPUT_RANGE,61,FALSE) &amp; " K"</f>
    </nc>
  </rcc>
  <rcc rId="3218" sId="5">
    <oc r="Q65">
      <f>VLOOKUP(A65,INPUT_RANGE,64,FALSE) &amp; " sb"</f>
    </oc>
    <nc r="Q65">
      <f>VLOOKUP(A65,INPUT_RANGE,64,FALSE) &amp; " SB"</f>
    </nc>
  </rcc>
  <rcc rId="3219" sId="5">
    <oc r="R65">
      <f>VLOOKUP(A65,INPUT_RANGE,55,FALSE) &amp; " 2b"</f>
    </oc>
    <nc r="R65">
      <f>VLOOKUP(A65,INPUT_RANGE,55,FALSE) &amp; " 2B"</f>
    </nc>
  </rcc>
  <rcc rId="3220" sId="5">
    <oc r="S65">
      <f>VLOOKUP(A65,INPUT_RANGE,56,FALSE) &amp; " 3b"</f>
    </oc>
    <nc r="S65">
      <f>VLOOKUP(A65,INPUT_RANGE,56,FALSE) &amp; " 3B"</f>
    </nc>
  </rcc>
  <rcc rId="3221" sId="5">
    <oc r="T65">
      <f>VLOOKUP(A65,INPUT_RANGE,57,FALSE) &amp; " hr"</f>
    </oc>
    <nc r="T65">
      <f>VLOOKUP(A65,INPUT_RANGE,57,FALSE) &amp; " HR"</f>
    </nc>
  </rcc>
  <rcc rId="3222" sId="5">
    <oc r="U65">
      <f>VLOOKUP(A65,INPUT_RANGE,53,FALSE) &amp; " r"</f>
    </oc>
    <nc r="U65">
      <f>VLOOKUP(A65,INPUT_RANGE,53,FALSE) &amp; " R"</f>
    </nc>
  </rcc>
  <rcc rId="3223" sId="5">
    <oc r="V65">
      <f>TEXT(AX65, ".000") &amp; " obp"</f>
    </oc>
    <nc r="V65">
      <f>TEXT(AX65, ".000") &amp; " OBP"</f>
    </nc>
  </rcc>
  <rcc rId="3224" sId="5">
    <oc r="X65">
      <f>VLOOKUP(A65,INPUT_RANGE,77,FALSE)&amp;" games"</f>
    </oc>
    <nc r="X65">
      <f>VLOOKUP(A65,INPUT_RANGE,77,FALSE)&amp;" games"</f>
    </nc>
  </rcc>
  <rcc rId="3225" sId="5">
    <oc r="Y65">
      <f>VLOOKUP(A65,INPUT_RANGE,78,FALSE) &amp; " starts"</f>
    </oc>
    <nc r="Y65">
      <f>VLOOKUP(A65,INPUT_RANGE,78,FALSE) &amp; " starts"</f>
    </nc>
  </rcc>
  <rcc rId="3226" sId="5">
    <oc r="Z65">
      <f>VLOOKUP(A65,INPUT_RANGE,82,FALSE) &amp; " ip"</f>
    </oc>
    <nc r="Z65">
      <f>VLOOKUP(A65,INPUT_RANGE,82,FALSE) &amp; " IP"</f>
    </nc>
  </rcc>
  <rcc rId="3227" sId="5">
    <oc r="AA65">
      <f>TRUNC(VLOOKUP(A65,INPUT_RANGE,82,FALSE)) &amp;  IF(AR65=0.333,"º",IF(AR65=0.666,"»",""))</f>
    </oc>
    <nc r="AA65">
      <f>TRUNC(VLOOKUP(A65,INPUT_RANGE,82,FALSE)) &amp;  IF(AR65=0.333,"º",IF(AR65=0.666,"»",""))</f>
    </nc>
  </rcc>
  <rcc rId="3228" sId="5">
    <oc r="AB65">
      <f>AA65&amp; " ip"</f>
    </oc>
    <nc r="AB65">
      <f>AA65&amp; " IP"</f>
    </nc>
  </rcc>
  <rcc rId="3229" sId="5">
    <oc r="AC65">
      <f>VLOOKUP(A65,INPUT_RANGE,79,FALSE) &amp; " cg"</f>
    </oc>
    <nc r="AC65">
      <f>VLOOKUP(A65,INPUT_RANGE,79,FALSE) &amp; " CG"</f>
    </nc>
  </rcc>
  <rcc rId="3230" sId="5">
    <oc r="AD65">
      <f>VLOOKUP(A65,INPUT_RANGE,80,FALSE) &amp; " sho"</f>
    </oc>
    <nc r="AD65">
      <f>VLOOKUP(A65,INPUT_RANGE,80,FALSE) &amp; " SHO"</f>
    </nc>
  </rcc>
  <rcc rId="3231" sId="5">
    <oc r="AE65">
      <f>VLOOKUP(A65,INPUT_RANGE,75,FALSE) &amp; " win"</f>
    </oc>
    <nc r="AE65">
      <f>VLOOKUP(A65,INPUT_RANGE,75,FALSE) &amp; " Win"</f>
    </nc>
  </rcc>
  <rcc rId="3232" sId="5">
    <oc r="AF65">
      <f>VLOOKUP(A65,INPUT_RANGE,76,FALSE) &amp; " loss"</f>
    </oc>
    <nc r="AF65">
      <f>VLOOKUP(A65,INPUT_RANGE,76,FALSE) &amp; " Loss"</f>
    </nc>
  </rcc>
  <rcc rId="3233" sId="5">
    <oc r="AG65">
      <f>VLOOKUP(A65,INPUT_RANGE,75,FALSE) &amp; "-" &amp; VLOOKUP(A65,INPUT_RANGE,76,FALSE) &amp; " w-l"</f>
    </oc>
    <nc r="AG65">
      <f>VLOOKUP(A65,INPUT_RANGE,75,FALSE) &amp; "-" &amp; VLOOKUP(A65,INPUT_RANGE,76,FALSE) &amp; " W-L"</f>
    </nc>
  </rcc>
  <rcc rId="3234" sId="5">
    <oc r="AH65">
      <f>VLOOKUP(A65,INPUT_RANGE,81,FALSE)&amp; " saves"</f>
    </oc>
    <nc r="AH65">
      <f>VLOOKUP(A65,INPUT_RANGE,81,FALSE)&amp; " Saves"</f>
    </nc>
  </rcc>
  <rcc rId="3235" sId="5">
    <oc r="AI65">
      <f>VLOOKUP(A65,INPUT_RANGE,83,FALSE) &amp; " h"</f>
    </oc>
    <nc r="AI65">
      <f>VLOOKUP(A65,INPUT_RANGE,83,FALSE) &amp; " H"</f>
    </nc>
  </rcc>
  <rcc rId="3236" sId="5">
    <oc r="AJ65">
      <f>VLOOKUP(A65,INPUT_RANGE,84,FALSE) &amp; " r"</f>
    </oc>
    <nc r="AJ65">
      <f>VLOOKUP(A65,INPUT_RANGE,84,FALSE) &amp; " R"</f>
    </nc>
  </rcc>
  <rcc rId="3237" sId="5">
    <oc r="AK65">
      <f>VLOOKUP(A65,INPUT_RANGE,85,FALSE) &amp;" er"</f>
    </oc>
    <nc r="AK65">
      <f>VLOOKUP(A65,INPUT_RANGE,85,FALSE) &amp;" ER"</f>
    </nc>
  </rcc>
  <rcc rId="3238" sId="5">
    <oc r="AL65">
      <f>VLOOKUP(A65,INPUT_RANGE,88,FALSE) &amp;" hr"</f>
    </oc>
    <nc r="AL65">
      <f>VLOOKUP(A65,INPUT_RANGE,88,FALSE) &amp;" HR"</f>
    </nc>
  </rcc>
  <rcc rId="3239" sId="5">
    <oc r="AM65">
      <f>VLOOKUP(A65,INPUT_RANGE,87,FALSE) &amp; " k"</f>
    </oc>
    <nc r="AM65">
      <f>VLOOKUP(A65,INPUT_RANGE,87,FALSE) &amp; " K"</f>
    </nc>
  </rcc>
  <rcc rId="3240" sId="5">
    <oc r="AN65">
      <f>VLOOKUP(A65,INPUT_RANGE,86,FALSE) &amp; " bb"</f>
    </oc>
    <nc r="AN65">
      <f>VLOOKUP(A65,INPUT_RANGE,86,FALSE) &amp; " BB"</f>
    </nc>
  </rcc>
  <rcc rId="3241" sId="5">
    <oc r="AO65">
      <f>TEXT(AU65,"0.00") &amp; " era"</f>
    </oc>
    <nc r="AO65">
      <f>TEXT(AU65,"0.00") &amp; " ERA"</f>
    </nc>
  </rcc>
  <rcc rId="3242" sId="5">
    <oc r="AP65">
      <f>TEXT(AT65,"0.00") &amp; " whip"</f>
    </oc>
    <nc r="AP65">
      <f>TEXT(AT65,"0.00") &amp; " WHIP"</f>
    </nc>
  </rcc>
  <rcc rId="3243" sId="5">
    <oc r="AQ65">
      <f xml:space="preserve"> IF(LEFT(RIGHT((VLOOKUP(A65,INPUT_RANGE,82,FALSE)),2),1)=".",RIGHT(VLOOKUP(A65,INPUT_RANGE,82,FALSE),1), "X")</f>
    </oc>
    <nc r="AQ65">
      <f xml:space="preserve"> IF(LEFT(RIGHT((VLOOKUP(A65,INPUT_RANGE,82,FALSE)),2),1)=".",RIGHT(VLOOKUP(A65,INPUT_RANGE,82,FALSE),1), "X")</f>
    </nc>
  </rcc>
  <rcc rId="3244" sId="5">
    <oc r="AR65">
      <f>IF(AQ65 ="1",0.333,IF(AQ65="2",0.666,0))</f>
    </oc>
    <nc r="AR65">
      <f>IF(AQ65 ="1",0.333,IF(AQ65="2",0.666,0))</f>
    </nc>
  </rcc>
  <rcc rId="3245" sId="5">
    <oc r="AS65">
      <f>VLOOKUP(A65,INPUT_RANGE,82,FALSE)-(AQ65*0.1)+AR65</f>
    </oc>
    <nc r="AS65">
      <f>VLOOKUP(A65,INPUT_RANGE,82,FALSE)-(AQ65*0.1)+AR65</f>
    </nc>
  </rcc>
  <rcc rId="3246" sId="5">
    <oc r="AT65">
      <f>ROUND((VLOOKUP(A65,INPUT_RANGE,86,FALSE)+VLOOKUP(A65,INPUT_RANGE,83,FALSE))/AS65,2)</f>
    </oc>
    <nc r="AT65">
      <f>ROUND((VLOOKUP(A65,INPUT_RANGE,86,FALSE)+VLOOKUP(A65,INPUT_RANGE,83,FALSE))/AS65,2)</f>
    </nc>
  </rcc>
  <rcc rId="3247" sId="5">
    <oc r="AU65">
      <f>ROUND((VLOOKUP(A65,INPUT_RANGE,85,FALSE)/AS65)*('Team Info'!$H$25),2)</f>
    </oc>
    <nc r="AU65">
      <f>ROUND((VLOOKUP(A65,INPUT_RANGE,85,FALSE)/AS65)*('D:\Data\Softball\[ESPN_BASEBALL_AWAY_OLD.xlsx]Team Info'!$H$25),2)</f>
    </nc>
  </rcc>
  <rcc rId="3248" sId="5">
    <oc r="AW65">
      <f>(VLOOKUP(A65,INPUT_RANGE,54,FALSE)/VLOOKUP(A65,INPUT_RANGE,52,FALSE))</f>
    </oc>
    <nc r="AW65">
      <f>(VLOOKUP(A65,INPUT_RANGE,54,FALSE)/VLOOKUP(A65,INPUT_RANGE,52,FALSE))</f>
    </nc>
  </rcc>
  <rcc rId="3249" sId="5">
    <oc r="AX65">
      <f>((VLOOKUP(A65,INPUT_RANGE,54,FALSE)+VLOOKUP(A65,INPUT_RANGE,60,FALSE)+VLOOKUP(A65,INPUT_RANGE,59,FALSE))/(VLOOKUP(A65,INPUT_RANGE,52,FALSE)+VLOOKUP(A65,INPUT_RANGE,60,FALSE)+VLOOKUP(A65,INPUT_RANGE,59,FALSE)+VLOOKUP(A65,INPUT_RANGE,63,FALSE)))</f>
    </oc>
    <nc r="AX65">
      <f>((VLOOKUP(A65,INPUT_RANGE,54,FALSE)+VLOOKUP(A65,INPUT_RANGE,60,FALSE)+VLOOKUP(A65,INPUT_RANGE,59,FALSE))/(VLOOKUP(A65,INPUT_RANGE,52,FALSE)+VLOOKUP(A65,INPUT_RANGE,60,FALSE)+VLOOKUP(A65,INPUT_RANGE,59,FALSE)+VLOOKUP(A65,INPUT_RANGE,63,FALSE)))</f>
    </nc>
  </rcc>
  <rcc rId="3250" sId="5">
    <oc r="AY65">
      <f>(VLOOKUP(A65,INPUT_RANGE,54)+VLOOKUP(A65,INPUT_RANGE,55)+(VLOOKUP(A65,INPUT_RANGE,56)*2)+(VLOOKUP(A65,INPUT_RANGE,57)*3))/(VLOOKUP(A65,INPUT_RANGE,52))</f>
    </oc>
    <nc r="AY65">
      <f>(VLOOKUP(A65,INPUT_RANGE,54)+VLOOKUP(A65,INPUT_RANGE,55)+(VLOOKUP(A65,INPUT_RANGE,56)*2)+(VLOOKUP(A65,INPUT_RANGE,57)*3))/(VLOOKUP(A65,INPUT_RANGE,52))</f>
    </nc>
  </rcc>
  <rcc rId="3251" sId="5">
    <oc r="AZ65">
      <f>AX65+AY65</f>
    </oc>
    <nc r="AZ65">
      <f>AX65+AY65</f>
    </nc>
  </rcc>
  <rcc rId="3252" sId="5">
    <oc r="BA65">
      <f xml:space="preserve"> TEXT(AZ65,".000") &amp; " ops"</f>
    </oc>
    <nc r="BA65">
      <f xml:space="preserve"> TEXT(AZ65,".000") &amp; " OPS"</f>
    </nc>
  </rcc>
  <rcc rId="3253" sId="5">
    <oc r="BB65">
      <f>VLOOKUP(A65,INPUT_RANGE,78,FALSE)</f>
    </oc>
    <nc r="BB65">
      <f>VLOOKUP(A65,INPUT_RANGE,78,FALSE)</f>
    </nc>
  </rcc>
  <rcc rId="3254" sId="5">
    <oc r="BC65">
      <f>VLOOKUP(A65,INPUT_RANGE,77,FALSE)</f>
    </oc>
    <nc r="BC65">
      <f>VLOOKUP(A65,INPUT_RANGE,77,FALSE)</f>
    </nc>
  </rcc>
  <rcc rId="3255" sId="5">
    <oc r="BD65">
      <f>VLOOKUP(A65,INPUT_RANGE,75,FALSE) &amp; "-" &amp; VLOOKUP(A65,INPUT_RANGE,76,FALSE)</f>
    </oc>
    <nc r="BD65">
      <f>VLOOKUP(A65,INPUT_RANGE,75,FALSE) &amp; "-" &amp; VLOOKUP(A65,INPUT_RANGE,76,FALSE)</f>
    </nc>
  </rcc>
  <rcc rId="3256" sId="5">
    <oc r="BE65">
      <f>AU65</f>
    </oc>
    <nc r="BE65">
      <f>AU65</f>
    </nc>
  </rcc>
  <rcc rId="3257" sId="5">
    <oc r="BF65">
      <f>AA65</f>
    </oc>
    <nc r="BF65">
      <f>AA65</f>
    </nc>
  </rcc>
  <rcc rId="3258" sId="5">
    <oc r="BG65">
      <f>VLOOKUP(A65,INPUT_RANGE,86,FALSE)</f>
    </oc>
    <nc r="BG65">
      <f>VLOOKUP(A65,INPUT_RANGE,86,FALSE)</f>
    </nc>
  </rcc>
  <rcc rId="3259" sId="5">
    <oc r="BH65">
      <f>VLOOKUP(A65,INPUT_RANGE,87,FALSE)</f>
    </oc>
    <nc r="BH65">
      <f>VLOOKUP(A65,INPUT_RANGE,87,FALSE)</f>
    </nc>
  </rcc>
  <rcc rId="3260" sId="5">
    <oc r="BI65">
      <f>VLOOKUP(A65,INPUT_RANGE,81,FALSE) &amp; " SAVES"</f>
    </oc>
    <nc r="BI65">
      <f>VLOOKUP(A65,INPUT_RANGE,81,FALSE) &amp; " SAVES"</f>
    </nc>
  </rcc>
  <rcc rId="3261" sId="5">
    <oc r="BJ65">
      <f>VLOOKUP(A65,INPUT_RANGE,81,FALSE)</f>
    </oc>
    <nc r="BJ65">
      <f>VLOOKUP(A65,INPUT_RANGE,81,FALSE)</f>
    </nc>
  </rcc>
  <rcc rId="3262" sId="5">
    <oc r="BK65">
      <f>VLOOKUP(A65,INPUT_RANGE,83,FALSE)</f>
    </oc>
    <nc r="BK65">
      <f>VLOOKUP(A65,INPUT_RANGE,83,FALSE)</f>
    </nc>
  </rcc>
  <rcc rId="3263" sId="5">
    <oc r="BL65">
      <f>VLOOKUP(A65,INPUT_RANGE,87,FALSE) &amp; "/" &amp; VLOOKUP(A65,INPUT_RANGE,86,FALSE)</f>
    </oc>
    <nc r="BL65">
      <f>VLOOKUP(A65,INPUT_RANGE,87,FALSE) &amp; "/" &amp; VLOOKUP(A65,INPUT_RANGE,86,FALSE)</f>
    </nc>
  </rcc>
  <rcc rId="3264" sId="5">
    <oc r="BM65">
      <f>ROUND((VLOOKUP(A65,INPUT_RANGE,86,FALSE)+VLOOKUP(A65,INPUT_RANGE,83,FALSE))/AS65,2)</f>
    </oc>
    <nc r="BM65">
      <f>ROUND((VLOOKUP(A65,INPUT_RANGE,86,FALSE)+VLOOKUP(A65,INPUT_RANGE,83,FALSE))/AS65,2)</f>
    </nc>
  </rcc>
  <rcc rId="3265" sId="5">
    <oc r="M66">
      <f xml:space="preserve"> TEXT(AW66,".000") &amp; " ba"</f>
    </oc>
    <nc r="M66">
      <f xml:space="preserve"> TEXT(AW66,".000") &amp; " BA"</f>
    </nc>
  </rcc>
  <rcc rId="3266" sId="5">
    <oc r="N66">
      <f>VLOOKUP(A66,INPUT_RANGE,58,FALSE) &amp; " rbi"</f>
    </oc>
    <nc r="N66">
      <f>VLOOKUP(A66,INPUT_RANGE,58,FALSE) &amp; " RBI"</f>
    </nc>
  </rcc>
  <rcc rId="3267" sId="5">
    <oc r="O66">
      <f>VLOOKUP(A66,INPUT_RANGE,60,FALSE) &amp; " bb"</f>
    </oc>
    <nc r="O66">
      <f>VLOOKUP(A66,INPUT_RANGE,60,FALSE) &amp; " BB"</f>
    </nc>
  </rcc>
  <rcc rId="3268" sId="5">
    <oc r="P66">
      <f>VLOOKUP(A66,INPUT_RANGE,61,FALSE) &amp; " k"</f>
    </oc>
    <nc r="P66">
      <f>VLOOKUP(A66,INPUT_RANGE,61,FALSE) &amp; " K"</f>
    </nc>
  </rcc>
  <rcc rId="3269" sId="5">
    <oc r="Q66">
      <f>VLOOKUP(A66,INPUT_RANGE,64,FALSE) &amp; " sb"</f>
    </oc>
    <nc r="Q66">
      <f>VLOOKUP(A66,INPUT_RANGE,64,FALSE) &amp; " SB"</f>
    </nc>
  </rcc>
  <rcc rId="3270" sId="5">
    <oc r="R66">
      <f>VLOOKUP(A66,INPUT_RANGE,55,FALSE) &amp; " 2b"</f>
    </oc>
    <nc r="R66">
      <f>VLOOKUP(A66,INPUT_RANGE,55,FALSE) &amp; " 2B"</f>
    </nc>
  </rcc>
  <rcc rId="3271" sId="5">
    <oc r="S66">
      <f>VLOOKUP(A66,INPUT_RANGE,56,FALSE) &amp; " 3b"</f>
    </oc>
    <nc r="S66">
      <f>VLOOKUP(A66,INPUT_RANGE,56,FALSE) &amp; " 3B"</f>
    </nc>
  </rcc>
  <rcc rId="3272" sId="5">
    <oc r="T66">
      <f>VLOOKUP(A66,INPUT_RANGE,57,FALSE) &amp; " hr"</f>
    </oc>
    <nc r="T66">
      <f>VLOOKUP(A66,INPUT_RANGE,57,FALSE) &amp; " HR"</f>
    </nc>
  </rcc>
  <rcc rId="3273" sId="5">
    <oc r="U66">
      <f>VLOOKUP(A66,INPUT_RANGE,53,FALSE) &amp; " r"</f>
    </oc>
    <nc r="U66">
      <f>VLOOKUP(A66,INPUT_RANGE,53,FALSE) &amp; " R"</f>
    </nc>
  </rcc>
  <rcc rId="3274" sId="5">
    <oc r="V66">
      <f>TEXT(AX66, ".000") &amp; " obp"</f>
    </oc>
    <nc r="V66">
      <f>TEXT(AX66, ".000") &amp; " OBP"</f>
    </nc>
  </rcc>
  <rcc rId="3275" sId="5">
    <oc r="X66">
      <f>VLOOKUP(A66,INPUT_RANGE,77,FALSE)&amp;" games"</f>
    </oc>
    <nc r="X66">
      <f>VLOOKUP(A66,INPUT_RANGE,77,FALSE)&amp;" games"</f>
    </nc>
  </rcc>
  <rcc rId="3276" sId="5">
    <oc r="Y66">
      <f>VLOOKUP(A66,INPUT_RANGE,78,FALSE) &amp; " starts"</f>
    </oc>
    <nc r="Y66">
      <f>VLOOKUP(A66,INPUT_RANGE,78,FALSE) &amp; " starts"</f>
    </nc>
  </rcc>
  <rcc rId="3277" sId="5">
    <oc r="Z66">
      <f>VLOOKUP(A66,INPUT_RANGE,82,FALSE) &amp; " ip"</f>
    </oc>
    <nc r="Z66">
      <f>VLOOKUP(A66,INPUT_RANGE,82,FALSE) &amp; " IP"</f>
    </nc>
  </rcc>
  <rcc rId="3278" sId="5">
    <oc r="AA66">
      <f>TRUNC(VLOOKUP(A66,INPUT_RANGE,82,FALSE)) &amp;  IF(AR66=0.333,"º",IF(AR66=0.666,"»",""))</f>
    </oc>
    <nc r="AA66">
      <f>TRUNC(VLOOKUP(A66,INPUT_RANGE,82,FALSE)) &amp;  IF(AR66=0.333,"º",IF(AR66=0.666,"»",""))</f>
    </nc>
  </rcc>
  <rcc rId="3279" sId="5">
    <oc r="AB66">
      <f>AA66&amp; " ip"</f>
    </oc>
    <nc r="AB66">
      <f>AA66&amp; " IP"</f>
    </nc>
  </rcc>
  <rcc rId="3280" sId="5">
    <oc r="AC66">
      <f>VLOOKUP(A66,INPUT_RANGE,79,FALSE) &amp; " cg"</f>
    </oc>
    <nc r="AC66">
      <f>VLOOKUP(A66,INPUT_RANGE,79,FALSE) &amp; " CG"</f>
    </nc>
  </rcc>
  <rcc rId="3281" sId="5">
    <oc r="AD66">
      <f>VLOOKUP(A66,INPUT_RANGE,80,FALSE) &amp; " sho"</f>
    </oc>
    <nc r="AD66">
      <f>VLOOKUP(A66,INPUT_RANGE,80,FALSE) &amp; " SHO"</f>
    </nc>
  </rcc>
  <rcc rId="3282" sId="5">
    <oc r="AE66">
      <f>VLOOKUP(A66,INPUT_RANGE,75,FALSE) &amp; " win"</f>
    </oc>
    <nc r="AE66">
      <f>VLOOKUP(A66,INPUT_RANGE,75,FALSE) &amp; " Win"</f>
    </nc>
  </rcc>
  <rcc rId="3283" sId="5">
    <oc r="AF66">
      <f>VLOOKUP(A66,INPUT_RANGE,76,FALSE) &amp; " loss"</f>
    </oc>
    <nc r="AF66">
      <f>VLOOKUP(A66,INPUT_RANGE,76,FALSE) &amp; " Loss"</f>
    </nc>
  </rcc>
  <rcc rId="3284" sId="5">
    <oc r="AG66">
      <f>VLOOKUP(A66,INPUT_RANGE,75,FALSE) &amp; "-" &amp; VLOOKUP(A66,INPUT_RANGE,76,FALSE) &amp; " w-l"</f>
    </oc>
    <nc r="AG66">
      <f>VLOOKUP(A66,INPUT_RANGE,75,FALSE) &amp; "-" &amp; VLOOKUP(A66,INPUT_RANGE,76,FALSE) &amp; " W-L"</f>
    </nc>
  </rcc>
  <rcc rId="3285" sId="5">
    <oc r="AH66">
      <f>VLOOKUP(A66,INPUT_RANGE,81,FALSE)&amp; " saves"</f>
    </oc>
    <nc r="AH66">
      <f>VLOOKUP(A66,INPUT_RANGE,81,FALSE)&amp; " Saves"</f>
    </nc>
  </rcc>
  <rcc rId="3286" sId="5">
    <oc r="AI66">
      <f>VLOOKUP(A66,INPUT_RANGE,83,FALSE) &amp; " h"</f>
    </oc>
    <nc r="AI66">
      <f>VLOOKUP(A66,INPUT_RANGE,83,FALSE) &amp; " H"</f>
    </nc>
  </rcc>
  <rcc rId="3287" sId="5">
    <oc r="AJ66">
      <f>VLOOKUP(A66,INPUT_RANGE,84,FALSE) &amp; " r"</f>
    </oc>
    <nc r="AJ66">
      <f>VLOOKUP(A66,INPUT_RANGE,84,FALSE) &amp; " R"</f>
    </nc>
  </rcc>
  <rcc rId="3288" sId="5">
    <oc r="AK66">
      <f>VLOOKUP(A66,INPUT_RANGE,85,FALSE) &amp;" er"</f>
    </oc>
    <nc r="AK66">
      <f>VLOOKUP(A66,INPUT_RANGE,85,FALSE) &amp;" ER"</f>
    </nc>
  </rcc>
  <rcc rId="3289" sId="5">
    <oc r="AL66">
      <f>VLOOKUP(A66,INPUT_RANGE,88,FALSE) &amp;" hr"</f>
    </oc>
    <nc r="AL66">
      <f>VLOOKUP(A66,INPUT_RANGE,88,FALSE) &amp;" HR"</f>
    </nc>
  </rcc>
  <rcc rId="3290" sId="5">
    <oc r="AM66">
      <f>VLOOKUP(A66,INPUT_RANGE,87,FALSE) &amp; " k"</f>
    </oc>
    <nc r="AM66">
      <f>VLOOKUP(A66,INPUT_RANGE,87,FALSE) &amp; " K"</f>
    </nc>
  </rcc>
  <rcc rId="3291" sId="5">
    <oc r="AN66">
      <f>VLOOKUP(A66,INPUT_RANGE,86,FALSE) &amp; " bb"</f>
    </oc>
    <nc r="AN66">
      <f>VLOOKUP(A66,INPUT_RANGE,86,FALSE) &amp; " BB"</f>
    </nc>
  </rcc>
  <rcc rId="3292" sId="5">
    <oc r="AO66">
      <f>TEXT(AU66,"0.00") &amp; " era"</f>
    </oc>
    <nc r="AO66">
      <f>TEXT(AU66,"0.00") &amp; " ERA"</f>
    </nc>
  </rcc>
  <rcc rId="3293" sId="5">
    <oc r="AP66">
      <f>TEXT(AT66,"0.00") &amp; " whip"</f>
    </oc>
    <nc r="AP66">
      <f>TEXT(AT66,"0.00") &amp; " WHIP"</f>
    </nc>
  </rcc>
  <rcc rId="3294" sId="5">
    <oc r="AQ66">
      <f xml:space="preserve"> IF(LEFT(RIGHT((VLOOKUP(A66,INPUT_RANGE,82,FALSE)),2),1)=".",RIGHT(VLOOKUP(A66,INPUT_RANGE,82,FALSE),1), "X")</f>
    </oc>
    <nc r="AQ66">
      <f xml:space="preserve"> IF(LEFT(RIGHT((VLOOKUP(A66,INPUT_RANGE,82,FALSE)),2),1)=".",RIGHT(VLOOKUP(A66,INPUT_RANGE,82,FALSE),1), "X")</f>
    </nc>
  </rcc>
  <rcc rId="3295" sId="5">
    <oc r="AR66">
      <f>IF(AQ66 ="1",0.333,IF(AQ66="2",0.666,0))</f>
    </oc>
    <nc r="AR66">
      <f>IF(AQ66 ="1",0.333,IF(AQ66="2",0.666,0))</f>
    </nc>
  </rcc>
  <rcc rId="3296" sId="5">
    <oc r="AS66">
      <f>VLOOKUP(A66,INPUT_RANGE,82,FALSE)-(AQ66*0.1)+AR66</f>
    </oc>
    <nc r="AS66">
      <f>VLOOKUP(A66,INPUT_RANGE,82,FALSE)-(AQ66*0.1)+AR66</f>
    </nc>
  </rcc>
  <rcc rId="3297" sId="5">
    <oc r="AT66">
      <f>ROUND((VLOOKUP(A66,INPUT_RANGE,86,FALSE)+VLOOKUP(A66,INPUT_RANGE,83,FALSE))/AS66,2)</f>
    </oc>
    <nc r="AT66">
      <f>ROUND((VLOOKUP(A66,INPUT_RANGE,86,FALSE)+VLOOKUP(A66,INPUT_RANGE,83,FALSE))/AS66,2)</f>
    </nc>
  </rcc>
  <rcc rId="3298" sId="5">
    <oc r="AU66">
      <f>ROUND((VLOOKUP(A66,INPUT_RANGE,85,FALSE)/AS66)*('Team Info'!$H$25),2)</f>
    </oc>
    <nc r="AU66">
      <f>ROUND((VLOOKUP(A66,INPUT_RANGE,85,FALSE)/AS66)*('D:\Data\Softball\[ESPN_BASEBALL_AWAY_OLD.xlsx]Team Info'!$H$25),2)</f>
    </nc>
  </rcc>
  <rcc rId="3299" sId="5">
    <oc r="AW66">
      <f>(VLOOKUP(A66,INPUT_RANGE,54,FALSE)/VLOOKUP(A66,INPUT_RANGE,52,FALSE))</f>
    </oc>
    <nc r="AW66">
      <f>(VLOOKUP(A66,INPUT_RANGE,54,FALSE)/VLOOKUP(A66,INPUT_RANGE,52,FALSE))</f>
    </nc>
  </rcc>
  <rcc rId="3300" sId="5">
    <oc r="AX66">
      <f>((VLOOKUP(A66,INPUT_RANGE,54,FALSE)+VLOOKUP(A66,INPUT_RANGE,60,FALSE)+VLOOKUP(A66,INPUT_RANGE,59,FALSE))/(VLOOKUP(A66,INPUT_RANGE,52,FALSE)+VLOOKUP(A66,INPUT_RANGE,60,FALSE)+VLOOKUP(A66,INPUT_RANGE,59,FALSE)+VLOOKUP(A66,INPUT_RANGE,63,FALSE)))</f>
    </oc>
    <nc r="AX66">
      <f>((VLOOKUP(A66,INPUT_RANGE,54,FALSE)+VLOOKUP(A66,INPUT_RANGE,60,FALSE)+VLOOKUP(A66,INPUT_RANGE,59,FALSE))/(VLOOKUP(A66,INPUT_RANGE,52,FALSE)+VLOOKUP(A66,INPUT_RANGE,60,FALSE)+VLOOKUP(A66,INPUT_RANGE,59,FALSE)+VLOOKUP(A66,INPUT_RANGE,63,FALSE)))</f>
    </nc>
  </rcc>
  <rcc rId="3301" sId="5">
    <oc r="AY66">
      <f>(VLOOKUP(A66,INPUT_RANGE,54)+VLOOKUP(A66,INPUT_RANGE,55)+(VLOOKUP(A66,INPUT_RANGE,56)*2)+(VLOOKUP(A66,INPUT_RANGE,57)*3))/(VLOOKUP(A66,INPUT_RANGE,52))</f>
    </oc>
    <nc r="AY66">
      <f>(VLOOKUP(A66,INPUT_RANGE,54)+VLOOKUP(A66,INPUT_RANGE,55)+(VLOOKUP(A66,INPUT_RANGE,56)*2)+(VLOOKUP(A66,INPUT_RANGE,57)*3))/(VLOOKUP(A66,INPUT_RANGE,52))</f>
    </nc>
  </rcc>
  <rcc rId="3302" sId="5">
    <oc r="AZ66">
      <f>AX66+AY66</f>
    </oc>
    <nc r="AZ66">
      <f>AX66+AY66</f>
    </nc>
  </rcc>
  <rcc rId="3303" sId="5">
    <oc r="BA66">
      <f xml:space="preserve"> TEXT(AZ66,".000") &amp; " ops"</f>
    </oc>
    <nc r="BA66">
      <f xml:space="preserve"> TEXT(AZ66,".000") &amp; " OPS"</f>
    </nc>
  </rcc>
  <rcc rId="3304" sId="5">
    <oc r="BB66">
      <f>VLOOKUP(A66,INPUT_RANGE,78,FALSE)</f>
    </oc>
    <nc r="BB66">
      <f>VLOOKUP(A66,INPUT_RANGE,78,FALSE)</f>
    </nc>
  </rcc>
  <rcc rId="3305" sId="5">
    <oc r="BC66">
      <f>VLOOKUP(A66,INPUT_RANGE,77,FALSE)</f>
    </oc>
    <nc r="BC66">
      <f>VLOOKUP(A66,INPUT_RANGE,77,FALSE)</f>
    </nc>
  </rcc>
  <rcc rId="3306" sId="5">
    <oc r="BD66">
      <f>VLOOKUP(A66,INPUT_RANGE,75,FALSE) &amp; "-" &amp; VLOOKUP(A66,INPUT_RANGE,76,FALSE)</f>
    </oc>
    <nc r="BD66">
      <f>VLOOKUP(A66,INPUT_RANGE,75,FALSE) &amp; "-" &amp; VLOOKUP(A66,INPUT_RANGE,76,FALSE)</f>
    </nc>
  </rcc>
  <rcc rId="3307" sId="5">
    <oc r="BE66">
      <f>AU66</f>
    </oc>
    <nc r="BE66">
      <f>AU66</f>
    </nc>
  </rcc>
  <rcc rId="3308" sId="5">
    <oc r="BF66">
      <f>AA66</f>
    </oc>
    <nc r="BF66">
      <f>AA66</f>
    </nc>
  </rcc>
  <rcc rId="3309" sId="5">
    <oc r="BG66">
      <f>VLOOKUP(A66,INPUT_RANGE,86,FALSE)</f>
    </oc>
    <nc r="BG66">
      <f>VLOOKUP(A66,INPUT_RANGE,86,FALSE)</f>
    </nc>
  </rcc>
  <rcc rId="3310" sId="5">
    <oc r="BH66">
      <f>VLOOKUP(A66,INPUT_RANGE,87,FALSE)</f>
    </oc>
    <nc r="BH66">
      <f>VLOOKUP(A66,INPUT_RANGE,87,FALSE)</f>
    </nc>
  </rcc>
  <rcc rId="3311" sId="5">
    <oc r="BI66">
      <f>VLOOKUP(A66,INPUT_RANGE,81,FALSE) &amp; " SAVES"</f>
    </oc>
    <nc r="BI66">
      <f>VLOOKUP(A66,INPUT_RANGE,81,FALSE) &amp; " SAVES"</f>
    </nc>
  </rcc>
  <rcc rId="3312" sId="5">
    <oc r="BJ66">
      <f>VLOOKUP(A66,INPUT_RANGE,81,FALSE)</f>
    </oc>
    <nc r="BJ66">
      <f>VLOOKUP(A66,INPUT_RANGE,81,FALSE)</f>
    </nc>
  </rcc>
  <rcc rId="3313" sId="5">
    <oc r="BK66">
      <f>VLOOKUP(A66,INPUT_RANGE,83,FALSE)</f>
    </oc>
    <nc r="BK66">
      <f>VLOOKUP(A66,INPUT_RANGE,83,FALSE)</f>
    </nc>
  </rcc>
  <rcc rId="3314" sId="5">
    <oc r="BL66">
      <f>VLOOKUP(A66,INPUT_RANGE,87,FALSE) &amp; "/" &amp; VLOOKUP(A66,INPUT_RANGE,86,FALSE)</f>
    </oc>
    <nc r="BL66">
      <f>VLOOKUP(A66,INPUT_RANGE,87,FALSE) &amp; "/" &amp; VLOOKUP(A66,INPUT_RANGE,86,FALSE)</f>
    </nc>
  </rcc>
  <rcc rId="3315" sId="5">
    <oc r="BM66">
      <f>ROUND((VLOOKUP(A66,INPUT_RANGE,86,FALSE)+VLOOKUP(A66,INPUT_RANGE,83,FALSE))/AS66,2)</f>
    </oc>
    <nc r="BM66">
      <f>ROUND((VLOOKUP(A66,INPUT_RANGE,86,FALSE)+VLOOKUP(A66,INPUT_RANGE,83,FALSE))/AS66,2)</f>
    </nc>
  </rcc>
  <rcc rId="3316" sId="5">
    <oc r="M67">
      <f xml:space="preserve"> TEXT(AW67,".000") &amp; " ba"</f>
    </oc>
    <nc r="M67">
      <f xml:space="preserve"> TEXT(AW67,".000") &amp; " BA"</f>
    </nc>
  </rcc>
  <rcc rId="3317" sId="5">
    <oc r="N67">
      <f>VLOOKUP(A67,INPUT_RANGE,58,FALSE) &amp; " rbi"</f>
    </oc>
    <nc r="N67">
      <f>VLOOKUP(A67,INPUT_RANGE,58,FALSE) &amp; " RBI"</f>
    </nc>
  </rcc>
  <rcc rId="3318" sId="5">
    <oc r="O67">
      <f>VLOOKUP(A67,INPUT_RANGE,60,FALSE) &amp; " bb"</f>
    </oc>
    <nc r="O67">
      <f>VLOOKUP(A67,INPUT_RANGE,60,FALSE) &amp; " BB"</f>
    </nc>
  </rcc>
  <rcc rId="3319" sId="5">
    <oc r="P67">
      <f>VLOOKUP(A67,INPUT_RANGE,61,FALSE) &amp; " k"</f>
    </oc>
    <nc r="P67">
      <f>VLOOKUP(A67,INPUT_RANGE,61,FALSE) &amp; " K"</f>
    </nc>
  </rcc>
  <rcc rId="3320" sId="5">
    <oc r="Q67">
      <f>VLOOKUP(A67,INPUT_RANGE,64,FALSE) &amp; " sb"</f>
    </oc>
    <nc r="Q67">
      <f>VLOOKUP(A67,INPUT_RANGE,64,FALSE) &amp; " SB"</f>
    </nc>
  </rcc>
  <rcc rId="3321" sId="5">
    <oc r="R67">
      <f>VLOOKUP(A67,INPUT_RANGE,55,FALSE) &amp; " 2b"</f>
    </oc>
    <nc r="R67">
      <f>VLOOKUP(A67,INPUT_RANGE,55,FALSE) &amp; " 2B"</f>
    </nc>
  </rcc>
  <rcc rId="3322" sId="5">
    <oc r="S67">
      <f>VLOOKUP(A67,INPUT_RANGE,56,FALSE) &amp; " 3b"</f>
    </oc>
    <nc r="S67">
      <f>VLOOKUP(A67,INPUT_RANGE,56,FALSE) &amp; " 3B"</f>
    </nc>
  </rcc>
  <rcc rId="3323" sId="5">
    <oc r="T67">
      <f>VLOOKUP(A67,INPUT_RANGE,57,FALSE) &amp; " hr"</f>
    </oc>
    <nc r="T67">
      <f>VLOOKUP(A67,INPUT_RANGE,57,FALSE) &amp; " HR"</f>
    </nc>
  </rcc>
  <rcc rId="3324" sId="5">
    <oc r="U67">
      <f>VLOOKUP(A67,INPUT_RANGE,53,FALSE) &amp; " r"</f>
    </oc>
    <nc r="U67">
      <f>VLOOKUP(A67,INPUT_RANGE,53,FALSE) &amp; " R"</f>
    </nc>
  </rcc>
  <rcc rId="3325" sId="5">
    <oc r="V67">
      <f>TEXT(AX67, ".000") &amp; " obp"</f>
    </oc>
    <nc r="V67">
      <f>TEXT(AX67, ".000") &amp; " OBP"</f>
    </nc>
  </rcc>
  <rcc rId="3326" sId="5">
    <oc r="X67">
      <f>VLOOKUP(A67,INPUT_RANGE,77,FALSE)&amp;" games"</f>
    </oc>
    <nc r="X67">
      <f>VLOOKUP(A67,INPUT_RANGE,77,FALSE)&amp;" games"</f>
    </nc>
  </rcc>
  <rcc rId="3327" sId="5">
    <oc r="Y67">
      <f>VLOOKUP(A67,INPUT_RANGE,78,FALSE) &amp; " starts"</f>
    </oc>
    <nc r="Y67">
      <f>VLOOKUP(A67,INPUT_RANGE,78,FALSE) &amp; " starts"</f>
    </nc>
  </rcc>
  <rcc rId="3328" sId="5">
    <oc r="Z67">
      <f>VLOOKUP(A67,INPUT_RANGE,82,FALSE) &amp; " ip"</f>
    </oc>
    <nc r="Z67">
      <f>VLOOKUP(A67,INPUT_RANGE,82,FALSE) &amp; " IP"</f>
    </nc>
  </rcc>
  <rcc rId="3329" sId="5">
    <oc r="AA67">
      <f>TRUNC(VLOOKUP(A67,INPUT_RANGE,82,FALSE)) &amp;  IF(AR67=0.333,"º",IF(AR67=0.666,"»",""))</f>
    </oc>
    <nc r="AA67">
      <f>TRUNC(VLOOKUP(A67,INPUT_RANGE,82,FALSE)) &amp;  IF(AR67=0.333,"º",IF(AR67=0.666,"»",""))</f>
    </nc>
  </rcc>
  <rcc rId="3330" sId="5">
    <oc r="AB67">
      <f>AA67&amp; " ip"</f>
    </oc>
    <nc r="AB67">
      <f>AA67&amp; " IP"</f>
    </nc>
  </rcc>
  <rcc rId="3331" sId="5">
    <oc r="AC67">
      <f>VLOOKUP(A67,INPUT_RANGE,79,FALSE) &amp; " cg"</f>
    </oc>
    <nc r="AC67">
      <f>VLOOKUP(A67,INPUT_RANGE,79,FALSE) &amp; " CG"</f>
    </nc>
  </rcc>
  <rcc rId="3332" sId="5">
    <oc r="AD67">
      <f>VLOOKUP(A67,INPUT_RANGE,80,FALSE) &amp; " sho"</f>
    </oc>
    <nc r="AD67">
      <f>VLOOKUP(A67,INPUT_RANGE,80,FALSE) &amp; " SHO"</f>
    </nc>
  </rcc>
  <rcc rId="3333" sId="5">
    <oc r="AE67">
      <f>VLOOKUP(A67,INPUT_RANGE,75,FALSE) &amp; " win"</f>
    </oc>
    <nc r="AE67">
      <f>VLOOKUP(A67,INPUT_RANGE,75,FALSE) &amp; " Win"</f>
    </nc>
  </rcc>
  <rcc rId="3334" sId="5">
    <oc r="AF67">
      <f>VLOOKUP(A67,INPUT_RANGE,76,FALSE) &amp; " loss"</f>
    </oc>
    <nc r="AF67">
      <f>VLOOKUP(A67,INPUT_RANGE,76,FALSE) &amp; " Loss"</f>
    </nc>
  </rcc>
  <rcc rId="3335" sId="5">
    <oc r="AG67">
      <f>VLOOKUP(A67,INPUT_RANGE,75,FALSE) &amp; "-" &amp; VLOOKUP(A67,INPUT_RANGE,76,FALSE) &amp; " w-l"</f>
    </oc>
    <nc r="AG67">
      <f>VLOOKUP(A67,INPUT_RANGE,75,FALSE) &amp; "-" &amp; VLOOKUP(A67,INPUT_RANGE,76,FALSE) &amp; " W-L"</f>
    </nc>
  </rcc>
  <rcc rId="3336" sId="5">
    <oc r="AH67">
      <f>VLOOKUP(A67,INPUT_RANGE,81,FALSE)&amp; " saves"</f>
    </oc>
    <nc r="AH67">
      <f>VLOOKUP(A67,INPUT_RANGE,81,FALSE)&amp; " Saves"</f>
    </nc>
  </rcc>
  <rcc rId="3337" sId="5">
    <oc r="AI67">
      <f>VLOOKUP(A67,INPUT_RANGE,83,FALSE) &amp; " h"</f>
    </oc>
    <nc r="AI67">
      <f>VLOOKUP(A67,INPUT_RANGE,83,FALSE) &amp; " H"</f>
    </nc>
  </rcc>
  <rcc rId="3338" sId="5">
    <oc r="AJ67">
      <f>VLOOKUP(A67,INPUT_RANGE,84,FALSE) &amp; " r"</f>
    </oc>
    <nc r="AJ67">
      <f>VLOOKUP(A67,INPUT_RANGE,84,FALSE) &amp; " R"</f>
    </nc>
  </rcc>
  <rcc rId="3339" sId="5">
    <oc r="AK67">
      <f>VLOOKUP(A67,INPUT_RANGE,85,FALSE) &amp;" er"</f>
    </oc>
    <nc r="AK67">
      <f>VLOOKUP(A67,INPUT_RANGE,85,FALSE) &amp;" ER"</f>
    </nc>
  </rcc>
  <rcc rId="3340" sId="5">
    <oc r="AL67">
      <f>VLOOKUP(A67,INPUT_RANGE,88,FALSE) &amp;" hr"</f>
    </oc>
    <nc r="AL67">
      <f>VLOOKUP(A67,INPUT_RANGE,88,FALSE) &amp;" HR"</f>
    </nc>
  </rcc>
  <rcc rId="3341" sId="5">
    <oc r="AM67">
      <f>VLOOKUP(A67,INPUT_RANGE,87,FALSE) &amp; " k"</f>
    </oc>
    <nc r="AM67">
      <f>VLOOKUP(A67,INPUT_RANGE,87,FALSE) &amp; " K"</f>
    </nc>
  </rcc>
  <rcc rId="3342" sId="5">
    <oc r="AN67">
      <f>VLOOKUP(A67,INPUT_RANGE,86,FALSE) &amp; " bb"</f>
    </oc>
    <nc r="AN67">
      <f>VLOOKUP(A67,INPUT_RANGE,86,FALSE) &amp; " BB"</f>
    </nc>
  </rcc>
  <rcc rId="3343" sId="5">
    <oc r="AO67">
      <f>TEXT(AU67,"0.00") &amp; " era"</f>
    </oc>
    <nc r="AO67">
      <f>TEXT(AU67,"0.00") &amp; " ERA"</f>
    </nc>
  </rcc>
  <rcc rId="3344" sId="5">
    <oc r="AP67">
      <f>TEXT(AT67,"0.00") &amp; " whip"</f>
    </oc>
    <nc r="AP67">
      <f>TEXT(AT67,"0.00") &amp; " WHIP"</f>
    </nc>
  </rcc>
  <rcc rId="3345" sId="5">
    <oc r="AQ67">
      <f xml:space="preserve"> IF(LEFT(RIGHT((VLOOKUP(A67,INPUT_RANGE,82,FALSE)),2),1)=".",RIGHT(VLOOKUP(A67,INPUT_RANGE,82,FALSE),1), "X")</f>
    </oc>
    <nc r="AQ67">
      <f xml:space="preserve"> IF(LEFT(RIGHT((VLOOKUP(A67,INPUT_RANGE,82,FALSE)),2),1)=".",RIGHT(VLOOKUP(A67,INPUT_RANGE,82,FALSE),1), "X")</f>
    </nc>
  </rcc>
  <rcc rId="3346" sId="5">
    <oc r="AR67">
      <f>IF(AQ67 ="1",0.333,IF(AQ67="2",0.666,0))</f>
    </oc>
    <nc r="AR67">
      <f>IF(AQ67 ="1",0.333,IF(AQ67="2",0.666,0))</f>
    </nc>
  </rcc>
  <rcc rId="3347" sId="5">
    <oc r="AS67">
      <f>VLOOKUP(A67,INPUT_RANGE,82,FALSE)-(AQ67*0.1)+AR67</f>
    </oc>
    <nc r="AS67">
      <f>VLOOKUP(A67,INPUT_RANGE,82,FALSE)-(AQ67*0.1)+AR67</f>
    </nc>
  </rcc>
  <rcc rId="3348" sId="5">
    <oc r="AT67">
      <f>ROUND((VLOOKUP(A67,INPUT_RANGE,86,FALSE)+VLOOKUP(A67,INPUT_RANGE,83,FALSE))/AS67,2)</f>
    </oc>
    <nc r="AT67">
      <f>ROUND((VLOOKUP(A67,INPUT_RANGE,86,FALSE)+VLOOKUP(A67,INPUT_RANGE,83,FALSE))/AS67,2)</f>
    </nc>
  </rcc>
  <rcc rId="3349" sId="5">
    <oc r="AU67">
      <f>ROUND((VLOOKUP(A67,INPUT_RANGE,85,FALSE)/AS67)*('Team Info'!$H$25),2)</f>
    </oc>
    <nc r="AU67">
      <f>ROUND((VLOOKUP(A67,INPUT_RANGE,85,FALSE)/AS67)*('D:\Data\Softball\[ESPN_BASEBALL_AWAY_OLD.xlsx]Team Info'!$H$25),2)</f>
    </nc>
  </rcc>
  <rcc rId="3350" sId="5">
    <oc r="AW67">
      <f>(VLOOKUP(A67,INPUT_RANGE,54,FALSE)/VLOOKUP(A67,INPUT_RANGE,52,FALSE))</f>
    </oc>
    <nc r="AW67">
      <f>(VLOOKUP(A67,INPUT_RANGE,54,FALSE)/VLOOKUP(A67,INPUT_RANGE,52,FALSE))</f>
    </nc>
  </rcc>
  <rcc rId="3351" sId="5">
    <oc r="AX67">
      <f>((VLOOKUP(A67,INPUT_RANGE,54,FALSE)+VLOOKUP(A67,INPUT_RANGE,60,FALSE)+VLOOKUP(A67,INPUT_RANGE,59,FALSE))/(VLOOKUP(A67,INPUT_RANGE,52,FALSE)+VLOOKUP(A67,INPUT_RANGE,60,FALSE)+VLOOKUP(A67,INPUT_RANGE,59,FALSE)+VLOOKUP(A67,INPUT_RANGE,63,FALSE)))</f>
    </oc>
    <nc r="AX67">
      <f>((VLOOKUP(A67,INPUT_RANGE,54,FALSE)+VLOOKUP(A67,INPUT_RANGE,60,FALSE)+VLOOKUP(A67,INPUT_RANGE,59,FALSE))/(VLOOKUP(A67,INPUT_RANGE,52,FALSE)+VLOOKUP(A67,INPUT_RANGE,60,FALSE)+VLOOKUP(A67,INPUT_RANGE,59,FALSE)+VLOOKUP(A67,INPUT_RANGE,63,FALSE)))</f>
    </nc>
  </rcc>
  <rcc rId="3352" sId="5">
    <oc r="AY67">
      <f>(VLOOKUP(A67,INPUT_RANGE,54)+VLOOKUP(A67,INPUT_RANGE,55)+(VLOOKUP(A67,INPUT_RANGE,56)*2)+(VLOOKUP(A67,INPUT_RANGE,57)*3))/(VLOOKUP(A67,INPUT_RANGE,52))</f>
    </oc>
    <nc r="AY67">
      <f>(VLOOKUP(A67,INPUT_RANGE,54)+VLOOKUP(A67,INPUT_RANGE,55)+(VLOOKUP(A67,INPUT_RANGE,56)*2)+(VLOOKUP(A67,INPUT_RANGE,57)*3))/(VLOOKUP(A67,INPUT_RANGE,52))</f>
    </nc>
  </rcc>
  <rcc rId="3353" sId="5">
    <oc r="AZ67">
      <f>AX67+AY67</f>
    </oc>
    <nc r="AZ67">
      <f>AX67+AY67</f>
    </nc>
  </rcc>
  <rcc rId="3354" sId="5">
    <oc r="BA67">
      <f xml:space="preserve"> TEXT(AZ67,".000") &amp; " ops"</f>
    </oc>
    <nc r="BA67">
      <f xml:space="preserve"> TEXT(AZ67,".000") &amp; " OPS"</f>
    </nc>
  </rcc>
  <rcc rId="3355" sId="5">
    <oc r="BB67">
      <f>VLOOKUP(A67,INPUT_RANGE,78,FALSE)</f>
    </oc>
    <nc r="BB67">
      <f>VLOOKUP(A67,INPUT_RANGE,78,FALSE)</f>
    </nc>
  </rcc>
  <rcc rId="3356" sId="5">
    <oc r="BC67">
      <f>VLOOKUP(A67,INPUT_RANGE,77,FALSE)</f>
    </oc>
    <nc r="BC67">
      <f>VLOOKUP(A67,INPUT_RANGE,77,FALSE)</f>
    </nc>
  </rcc>
  <rcc rId="3357" sId="5">
    <oc r="BD67">
      <f>VLOOKUP(A67,INPUT_RANGE,75,FALSE) &amp; "-" &amp; VLOOKUP(A67,INPUT_RANGE,76,FALSE)</f>
    </oc>
    <nc r="BD67">
      <f>VLOOKUP(A67,INPUT_RANGE,75,FALSE) &amp; "-" &amp; VLOOKUP(A67,INPUT_RANGE,76,FALSE)</f>
    </nc>
  </rcc>
  <rcc rId="3358" sId="5">
    <oc r="BE67">
      <f>AU67</f>
    </oc>
    <nc r="BE67">
      <f>AU67</f>
    </nc>
  </rcc>
  <rcc rId="3359" sId="5">
    <oc r="BF67">
      <f>AA67</f>
    </oc>
    <nc r="BF67">
      <f>AA67</f>
    </nc>
  </rcc>
  <rcc rId="3360" sId="5">
    <oc r="BG67">
      <f>VLOOKUP(A67,INPUT_RANGE,86,FALSE)</f>
    </oc>
    <nc r="BG67">
      <f>VLOOKUP(A67,INPUT_RANGE,86,FALSE)</f>
    </nc>
  </rcc>
  <rcc rId="3361" sId="5">
    <oc r="BH67">
      <f>VLOOKUP(A67,INPUT_RANGE,87,FALSE)</f>
    </oc>
    <nc r="BH67">
      <f>VLOOKUP(A67,INPUT_RANGE,87,FALSE)</f>
    </nc>
  </rcc>
  <rcc rId="3362" sId="5">
    <oc r="BI67">
      <f>VLOOKUP(A67,INPUT_RANGE,81,FALSE) &amp; " SAVES"</f>
    </oc>
    <nc r="BI67">
      <f>VLOOKUP(A67,INPUT_RANGE,81,FALSE) &amp; " SAVES"</f>
    </nc>
  </rcc>
  <rcc rId="3363" sId="5">
    <oc r="BJ67">
      <f>VLOOKUP(A67,INPUT_RANGE,81,FALSE)</f>
    </oc>
    <nc r="BJ67">
      <f>VLOOKUP(A67,INPUT_RANGE,81,FALSE)</f>
    </nc>
  </rcc>
  <rcc rId="3364" sId="5">
    <oc r="BK67">
      <f>VLOOKUP(A67,INPUT_RANGE,83,FALSE)</f>
    </oc>
    <nc r="BK67">
      <f>VLOOKUP(A67,INPUT_RANGE,83,FALSE)</f>
    </nc>
  </rcc>
  <rcc rId="3365" sId="5">
    <oc r="BL67">
      <f>VLOOKUP(A67,INPUT_RANGE,87,FALSE) &amp; "/" &amp; VLOOKUP(A67,INPUT_RANGE,86,FALSE)</f>
    </oc>
    <nc r="BL67">
      <f>VLOOKUP(A67,INPUT_RANGE,87,FALSE) &amp; "/" &amp; VLOOKUP(A67,INPUT_RANGE,86,FALSE)</f>
    </nc>
  </rcc>
  <rcc rId="3366" sId="5">
    <oc r="BM67">
      <f>ROUND((VLOOKUP(A67,INPUT_RANGE,86,FALSE)+VLOOKUP(A67,INPUT_RANGE,83,FALSE))/AS67,2)</f>
    </oc>
    <nc r="BM67">
      <f>ROUND((VLOOKUP(A67,INPUT_RANGE,86,FALSE)+VLOOKUP(A67,INPUT_RANGE,83,FALSE))/AS67,2)</f>
    </nc>
  </rcc>
  <rcc rId="3367" sId="5">
    <oc r="M68">
      <f xml:space="preserve"> TEXT(AW68,".000") &amp; " ba"</f>
    </oc>
    <nc r="M68">
      <f xml:space="preserve"> TEXT(AW68,".000") &amp; " BA"</f>
    </nc>
  </rcc>
  <rcc rId="3368" sId="5">
    <oc r="N68">
      <f>VLOOKUP(A68,INPUT_RANGE,58,FALSE) &amp; " rbi"</f>
    </oc>
    <nc r="N68">
      <f>VLOOKUP(A68,INPUT_RANGE,58,FALSE) &amp; " RBI"</f>
    </nc>
  </rcc>
  <rcc rId="3369" sId="5">
    <oc r="O68">
      <f>VLOOKUP(A68,INPUT_RANGE,60,FALSE) &amp; " bb"</f>
    </oc>
    <nc r="O68">
      <f>VLOOKUP(A68,INPUT_RANGE,60,FALSE) &amp; " BB"</f>
    </nc>
  </rcc>
  <rcc rId="3370" sId="5">
    <oc r="P68">
      <f>VLOOKUP(A68,INPUT_RANGE,61,FALSE) &amp; " k"</f>
    </oc>
    <nc r="P68">
      <f>VLOOKUP(A68,INPUT_RANGE,61,FALSE) &amp; " K"</f>
    </nc>
  </rcc>
  <rcc rId="3371" sId="5">
    <oc r="Q68">
      <f>VLOOKUP(A68,INPUT_RANGE,64,FALSE) &amp; " sb"</f>
    </oc>
    <nc r="Q68">
      <f>VLOOKUP(A68,INPUT_RANGE,64,FALSE) &amp; " SB"</f>
    </nc>
  </rcc>
  <rcc rId="3372" sId="5">
    <oc r="R68">
      <f>VLOOKUP(A68,INPUT_RANGE,55,FALSE) &amp; " 2b"</f>
    </oc>
    <nc r="R68">
      <f>VLOOKUP(A68,INPUT_RANGE,55,FALSE) &amp; " 2B"</f>
    </nc>
  </rcc>
  <rcc rId="3373" sId="5">
    <oc r="S68">
      <f>VLOOKUP(A68,INPUT_RANGE,56,FALSE) &amp; " 3b"</f>
    </oc>
    <nc r="S68">
      <f>VLOOKUP(A68,INPUT_RANGE,56,FALSE) &amp; " 3B"</f>
    </nc>
  </rcc>
  <rcc rId="3374" sId="5">
    <oc r="T68">
      <f>VLOOKUP(A68,INPUT_RANGE,57,FALSE) &amp; " hr"</f>
    </oc>
    <nc r="T68">
      <f>VLOOKUP(A68,INPUT_RANGE,57,FALSE) &amp; " HR"</f>
    </nc>
  </rcc>
  <rcc rId="3375" sId="5">
    <oc r="U68">
      <f>VLOOKUP(A68,INPUT_RANGE,53,FALSE) &amp; " r"</f>
    </oc>
    <nc r="U68">
      <f>VLOOKUP(A68,INPUT_RANGE,53,FALSE) &amp; " R"</f>
    </nc>
  </rcc>
  <rcc rId="3376" sId="5">
    <oc r="V68">
      <f>TEXT(AX68, ".000") &amp; " obp"</f>
    </oc>
    <nc r="V68">
      <f>TEXT(AX68, ".000") &amp; " OBP"</f>
    </nc>
  </rcc>
  <rcc rId="3377" sId="5">
    <oc r="X68">
      <f>VLOOKUP(A68,INPUT_RANGE,77,FALSE)&amp;" games"</f>
    </oc>
    <nc r="X68">
      <f>VLOOKUP(A68,INPUT_RANGE,77,FALSE)&amp;" games"</f>
    </nc>
  </rcc>
  <rcc rId="3378" sId="5">
    <oc r="Y68">
      <f>VLOOKUP(A68,INPUT_RANGE,78,FALSE) &amp; " starts"</f>
    </oc>
    <nc r="Y68">
      <f>VLOOKUP(A68,INPUT_RANGE,78,FALSE) &amp; " starts"</f>
    </nc>
  </rcc>
  <rcc rId="3379" sId="5">
    <oc r="Z68">
      <f>VLOOKUP(A68,INPUT_RANGE,82,FALSE) &amp; " ip"</f>
    </oc>
    <nc r="Z68">
      <f>VLOOKUP(A68,INPUT_RANGE,82,FALSE) &amp; " IP"</f>
    </nc>
  </rcc>
  <rcc rId="3380" sId="5">
    <oc r="AA68">
      <f>TRUNC(VLOOKUP(A68,INPUT_RANGE,82,FALSE)) &amp;  IF(AR68=0.333,"º",IF(AR68=0.666,"»",""))</f>
    </oc>
    <nc r="AA68">
      <f>TRUNC(VLOOKUP(A68,INPUT_RANGE,82,FALSE)) &amp;  IF(AR68=0.333,"º",IF(AR68=0.666,"»",""))</f>
    </nc>
  </rcc>
  <rcc rId="3381" sId="5">
    <oc r="AB68">
      <f>AA68&amp; " ip"</f>
    </oc>
    <nc r="AB68">
      <f>AA68&amp; " IP"</f>
    </nc>
  </rcc>
  <rcc rId="3382" sId="5">
    <oc r="AC68">
      <f>VLOOKUP(A68,INPUT_RANGE,79,FALSE) &amp; " cg"</f>
    </oc>
    <nc r="AC68">
      <f>VLOOKUP(A68,INPUT_RANGE,79,FALSE) &amp; " CG"</f>
    </nc>
  </rcc>
  <rcc rId="3383" sId="5">
    <oc r="AD68">
      <f>VLOOKUP(A68,INPUT_RANGE,80,FALSE) &amp; " sho"</f>
    </oc>
    <nc r="AD68">
      <f>VLOOKUP(A68,INPUT_RANGE,80,FALSE) &amp; " SHO"</f>
    </nc>
  </rcc>
  <rcc rId="3384" sId="5">
    <oc r="AE68">
      <f>VLOOKUP(A68,INPUT_RANGE,75,FALSE) &amp; " win"</f>
    </oc>
    <nc r="AE68">
      <f>VLOOKUP(A68,INPUT_RANGE,75,FALSE) &amp; " Win"</f>
    </nc>
  </rcc>
  <rcc rId="3385" sId="5">
    <oc r="AF68">
      <f>VLOOKUP(A68,INPUT_RANGE,76,FALSE) &amp; " loss"</f>
    </oc>
    <nc r="AF68">
      <f>VLOOKUP(A68,INPUT_RANGE,76,FALSE) &amp; " Loss"</f>
    </nc>
  </rcc>
  <rcc rId="3386" sId="5">
    <oc r="AG68">
      <f>VLOOKUP(A68,INPUT_RANGE,75,FALSE) &amp; "-" &amp; VLOOKUP(A68,INPUT_RANGE,76,FALSE) &amp; " w-l"</f>
    </oc>
    <nc r="AG68">
      <f>VLOOKUP(A68,INPUT_RANGE,75,FALSE) &amp; "-" &amp; VLOOKUP(A68,INPUT_RANGE,76,FALSE) &amp; " W-L"</f>
    </nc>
  </rcc>
  <rcc rId="3387" sId="5">
    <oc r="AH68">
      <f>VLOOKUP(A68,INPUT_RANGE,81,FALSE)&amp; " saves"</f>
    </oc>
    <nc r="AH68">
      <f>VLOOKUP(A68,INPUT_RANGE,81,FALSE)&amp; " Saves"</f>
    </nc>
  </rcc>
  <rcc rId="3388" sId="5">
    <oc r="AI68">
      <f>VLOOKUP(A68,INPUT_RANGE,83,FALSE) &amp; " h"</f>
    </oc>
    <nc r="AI68">
      <f>VLOOKUP(A68,INPUT_RANGE,83,FALSE) &amp; " H"</f>
    </nc>
  </rcc>
  <rcc rId="3389" sId="5">
    <oc r="AJ68">
      <f>VLOOKUP(A68,INPUT_RANGE,84,FALSE) &amp; " r"</f>
    </oc>
    <nc r="AJ68">
      <f>VLOOKUP(A68,INPUT_RANGE,84,FALSE) &amp; " R"</f>
    </nc>
  </rcc>
  <rcc rId="3390" sId="5">
    <oc r="AK68">
      <f>VLOOKUP(A68,INPUT_RANGE,85,FALSE) &amp;" er"</f>
    </oc>
    <nc r="AK68">
      <f>VLOOKUP(A68,INPUT_RANGE,85,FALSE) &amp;" ER"</f>
    </nc>
  </rcc>
  <rcc rId="3391" sId="5">
    <oc r="AL68">
      <f>VLOOKUP(A68,INPUT_RANGE,88,FALSE) &amp;" hr"</f>
    </oc>
    <nc r="AL68">
      <f>VLOOKUP(A68,INPUT_RANGE,88,FALSE) &amp;" HR"</f>
    </nc>
  </rcc>
  <rcc rId="3392" sId="5">
    <oc r="AM68">
      <f>VLOOKUP(A68,INPUT_RANGE,87,FALSE) &amp; " k"</f>
    </oc>
    <nc r="AM68">
      <f>VLOOKUP(A68,INPUT_RANGE,87,FALSE) &amp; " K"</f>
    </nc>
  </rcc>
  <rcc rId="3393" sId="5">
    <oc r="AN68">
      <f>VLOOKUP(A68,INPUT_RANGE,86,FALSE) &amp; " bb"</f>
    </oc>
    <nc r="AN68">
      <f>VLOOKUP(A68,INPUT_RANGE,86,FALSE) &amp; " BB"</f>
    </nc>
  </rcc>
  <rcc rId="3394" sId="5">
    <oc r="AO68">
      <f>TEXT(AU68,"0.00") &amp; " era"</f>
    </oc>
    <nc r="AO68">
      <f>TEXT(AU68,"0.00") &amp; " ERA"</f>
    </nc>
  </rcc>
  <rcc rId="3395" sId="5">
    <oc r="AP68">
      <f>TEXT(AT68,"0.00") &amp; " whip"</f>
    </oc>
    <nc r="AP68">
      <f>TEXT(AT68,"0.00") &amp; " WHIP"</f>
    </nc>
  </rcc>
  <rcc rId="3396" sId="5">
    <oc r="AQ68">
      <f xml:space="preserve"> IF(LEFT(RIGHT((VLOOKUP(A68,INPUT_RANGE,82,FALSE)),2),1)=".",RIGHT(VLOOKUP(A68,INPUT_RANGE,82,FALSE),1), "X")</f>
    </oc>
    <nc r="AQ68">
      <f xml:space="preserve"> IF(LEFT(RIGHT((VLOOKUP(A68,INPUT_RANGE,82,FALSE)),2),1)=".",RIGHT(VLOOKUP(A68,INPUT_RANGE,82,FALSE),1), "X")</f>
    </nc>
  </rcc>
  <rcc rId="3397" sId="5">
    <oc r="AR68">
      <f>IF(AQ68 ="1",0.333,IF(AQ68="2",0.666,0))</f>
    </oc>
    <nc r="AR68">
      <f>IF(AQ68 ="1",0.333,IF(AQ68="2",0.666,0))</f>
    </nc>
  </rcc>
  <rcc rId="3398" sId="5">
    <oc r="AS68">
      <f>VLOOKUP(A68,INPUT_RANGE,82,FALSE)-(AQ68*0.1)+AR68</f>
    </oc>
    <nc r="AS68">
      <f>VLOOKUP(A68,INPUT_RANGE,82,FALSE)-(AQ68*0.1)+AR68</f>
    </nc>
  </rcc>
  <rcc rId="3399" sId="5">
    <oc r="AT68">
      <f>ROUND((VLOOKUP(A68,INPUT_RANGE,86,FALSE)+VLOOKUP(A68,INPUT_RANGE,83,FALSE))/AS68,2)</f>
    </oc>
    <nc r="AT68">
      <f>ROUND((VLOOKUP(A68,INPUT_RANGE,86,FALSE)+VLOOKUP(A68,INPUT_RANGE,83,FALSE))/AS68,2)</f>
    </nc>
  </rcc>
  <rcc rId="3400" sId="5">
    <oc r="AU68">
      <f>ROUND((VLOOKUP(A68,INPUT_RANGE,85,FALSE)/AS68)*('Team Info'!$H$25),2)</f>
    </oc>
    <nc r="AU68">
      <f>ROUND((VLOOKUP(A68,INPUT_RANGE,85,FALSE)/AS68)*('D:\Data\Softball\[ESPN_BASEBALL_AWAY_OLD.xlsx]Team Info'!$H$25),2)</f>
    </nc>
  </rcc>
  <rcc rId="3401" sId="5">
    <oc r="AW68">
      <f>(VLOOKUP(A68,INPUT_RANGE,54,FALSE)/VLOOKUP(A68,INPUT_RANGE,52,FALSE))</f>
    </oc>
    <nc r="AW68">
      <f>(VLOOKUP(A68,INPUT_RANGE,54,FALSE)/VLOOKUP(A68,INPUT_RANGE,52,FALSE))</f>
    </nc>
  </rcc>
  <rcc rId="3402" sId="5">
    <oc r="AX68">
      <f>((VLOOKUP(A68,INPUT_RANGE,54,FALSE)+VLOOKUP(A68,INPUT_RANGE,60,FALSE)+VLOOKUP(A68,INPUT_RANGE,59,FALSE))/(VLOOKUP(A68,INPUT_RANGE,52,FALSE)+VLOOKUP(A68,INPUT_RANGE,60,FALSE)+VLOOKUP(A68,INPUT_RANGE,59,FALSE)+VLOOKUP(A68,INPUT_RANGE,63,FALSE)))</f>
    </oc>
    <nc r="AX68">
      <f>((VLOOKUP(A68,INPUT_RANGE,54,FALSE)+VLOOKUP(A68,INPUT_RANGE,60,FALSE)+VLOOKUP(A68,INPUT_RANGE,59,FALSE))/(VLOOKUP(A68,INPUT_RANGE,52,FALSE)+VLOOKUP(A68,INPUT_RANGE,60,FALSE)+VLOOKUP(A68,INPUT_RANGE,59,FALSE)+VLOOKUP(A68,INPUT_RANGE,63,FALSE)))</f>
    </nc>
  </rcc>
  <rcc rId="3403" sId="5">
    <oc r="AY68">
      <f>(VLOOKUP(A68,INPUT_RANGE,54)+VLOOKUP(A68,INPUT_RANGE,55)+(VLOOKUP(A68,INPUT_RANGE,56)*2)+(VLOOKUP(A68,INPUT_RANGE,57)*3))/(VLOOKUP(A68,INPUT_RANGE,52))</f>
    </oc>
    <nc r="AY68">
      <f>(VLOOKUP(A68,INPUT_RANGE,54)+VLOOKUP(A68,INPUT_RANGE,55)+(VLOOKUP(A68,INPUT_RANGE,56)*2)+(VLOOKUP(A68,INPUT_RANGE,57)*3))/(VLOOKUP(A68,INPUT_RANGE,52))</f>
    </nc>
  </rcc>
  <rcc rId="3404" sId="5">
    <oc r="AZ68">
      <f>AX68+AY68</f>
    </oc>
    <nc r="AZ68">
      <f>AX68+AY68</f>
    </nc>
  </rcc>
  <rcc rId="3405" sId="5">
    <oc r="BA68">
      <f xml:space="preserve"> TEXT(AZ68,".000") &amp; " ops"</f>
    </oc>
    <nc r="BA68">
      <f xml:space="preserve"> TEXT(AZ68,".000") &amp; " OPS"</f>
    </nc>
  </rcc>
  <rcc rId="3406" sId="5">
    <oc r="BB68">
      <f>VLOOKUP(A68,INPUT_RANGE,78,FALSE)</f>
    </oc>
    <nc r="BB68">
      <f>VLOOKUP(A68,INPUT_RANGE,78,FALSE)</f>
    </nc>
  </rcc>
  <rcc rId="3407" sId="5">
    <oc r="BC68">
      <f>VLOOKUP(A68,INPUT_RANGE,77,FALSE)</f>
    </oc>
    <nc r="BC68">
      <f>VLOOKUP(A68,INPUT_RANGE,77,FALSE)</f>
    </nc>
  </rcc>
  <rcc rId="3408" sId="5">
    <oc r="BD68">
      <f>VLOOKUP(A68,INPUT_RANGE,75,FALSE) &amp; "-" &amp; VLOOKUP(A68,INPUT_RANGE,76,FALSE)</f>
    </oc>
    <nc r="BD68">
      <f>VLOOKUP(A68,INPUT_RANGE,75,FALSE) &amp; "-" &amp; VLOOKUP(A68,INPUT_RANGE,76,FALSE)</f>
    </nc>
  </rcc>
  <rcc rId="3409" sId="5">
    <oc r="BE68">
      <f>AU68</f>
    </oc>
    <nc r="BE68">
      <f>AU68</f>
    </nc>
  </rcc>
  <rcc rId="3410" sId="5">
    <oc r="BF68">
      <f>AA68</f>
    </oc>
    <nc r="BF68">
      <f>AA68</f>
    </nc>
  </rcc>
  <rcc rId="3411" sId="5">
    <oc r="BG68">
      <f>VLOOKUP(A68,INPUT_RANGE,86,FALSE)</f>
    </oc>
    <nc r="BG68">
      <f>VLOOKUP(A68,INPUT_RANGE,86,FALSE)</f>
    </nc>
  </rcc>
  <rcc rId="3412" sId="5">
    <oc r="BH68">
      <f>VLOOKUP(A68,INPUT_RANGE,87,FALSE)</f>
    </oc>
    <nc r="BH68">
      <f>VLOOKUP(A68,INPUT_RANGE,87,FALSE)</f>
    </nc>
  </rcc>
  <rcc rId="3413" sId="5">
    <oc r="BI68">
      <f>VLOOKUP(A68,INPUT_RANGE,81,FALSE) &amp; " SAVES"</f>
    </oc>
    <nc r="BI68">
      <f>VLOOKUP(A68,INPUT_RANGE,81,FALSE) &amp; " SAVES"</f>
    </nc>
  </rcc>
  <rcc rId="3414" sId="5">
    <oc r="BJ68">
      <f>VLOOKUP(A68,INPUT_RANGE,81,FALSE)</f>
    </oc>
    <nc r="BJ68">
      <f>VLOOKUP(A68,INPUT_RANGE,81,FALSE)</f>
    </nc>
  </rcc>
  <rcc rId="3415" sId="5">
    <oc r="BK68">
      <f>VLOOKUP(A68,INPUT_RANGE,83,FALSE)</f>
    </oc>
    <nc r="BK68">
      <f>VLOOKUP(A68,INPUT_RANGE,83,FALSE)</f>
    </nc>
  </rcc>
  <rcc rId="3416" sId="5">
    <oc r="BL68">
      <f>VLOOKUP(A68,INPUT_RANGE,87,FALSE) &amp; "/" &amp; VLOOKUP(A68,INPUT_RANGE,86,FALSE)</f>
    </oc>
    <nc r="BL68">
      <f>VLOOKUP(A68,INPUT_RANGE,87,FALSE) &amp; "/" &amp; VLOOKUP(A68,INPUT_RANGE,86,FALSE)</f>
    </nc>
  </rcc>
  <rcc rId="3417" sId="5">
    <oc r="BM68">
      <f>ROUND((VLOOKUP(A68,INPUT_RANGE,86,FALSE)+VLOOKUP(A68,INPUT_RANGE,83,FALSE))/AS68,2)</f>
    </oc>
    <nc r="BM68">
      <f>ROUND((VLOOKUP(A68,INPUT_RANGE,86,FALSE)+VLOOKUP(A68,INPUT_RANGE,83,FALSE))/AS68,2)</f>
    </nc>
  </rcc>
  <rcc rId="3418" sId="5">
    <oc r="M69">
      <f xml:space="preserve"> TEXT(AW69,".000") &amp; " ba"</f>
    </oc>
    <nc r="M69">
      <f xml:space="preserve"> TEXT(AW69,".000") &amp; " BA"</f>
    </nc>
  </rcc>
  <rcc rId="3419" sId="5">
    <oc r="N69">
      <f>VLOOKUP(A69,INPUT_RANGE,58,FALSE) &amp; " rbi"</f>
    </oc>
    <nc r="N69">
      <f>VLOOKUP(A69,INPUT_RANGE,58,FALSE) &amp; " RBI"</f>
    </nc>
  </rcc>
  <rcc rId="3420" sId="5">
    <oc r="O69">
      <f>VLOOKUP(A69,INPUT_RANGE,60,FALSE) &amp; " bb"</f>
    </oc>
    <nc r="O69">
      <f>VLOOKUP(A69,INPUT_RANGE,60,FALSE) &amp; " BB"</f>
    </nc>
  </rcc>
  <rcc rId="3421" sId="5">
    <oc r="P69">
      <f>VLOOKUP(A69,INPUT_RANGE,61,FALSE) &amp; " k"</f>
    </oc>
    <nc r="P69">
      <f>VLOOKUP(A69,INPUT_RANGE,61,FALSE) &amp; " K"</f>
    </nc>
  </rcc>
  <rcc rId="3422" sId="5">
    <oc r="Q69">
      <f>VLOOKUP(A69,INPUT_RANGE,64,FALSE) &amp; " sb"</f>
    </oc>
    <nc r="Q69">
      <f>VLOOKUP(A69,INPUT_RANGE,64,FALSE) &amp; " SB"</f>
    </nc>
  </rcc>
  <rcc rId="3423" sId="5">
    <oc r="R69">
      <f>VLOOKUP(A69,INPUT_RANGE,55,FALSE) &amp; " 2b"</f>
    </oc>
    <nc r="R69">
      <f>VLOOKUP(A69,INPUT_RANGE,55,FALSE) &amp; " 2B"</f>
    </nc>
  </rcc>
  <rcc rId="3424" sId="5">
    <oc r="S69">
      <f>VLOOKUP(A69,INPUT_RANGE,56,FALSE) &amp; " 3b"</f>
    </oc>
    <nc r="S69">
      <f>VLOOKUP(A69,INPUT_RANGE,56,FALSE) &amp; " 3B"</f>
    </nc>
  </rcc>
  <rcc rId="3425" sId="5">
    <oc r="T69">
      <f>VLOOKUP(A69,INPUT_RANGE,57,FALSE) &amp; " hr"</f>
    </oc>
    <nc r="T69">
      <f>VLOOKUP(A69,INPUT_RANGE,57,FALSE) &amp; " HR"</f>
    </nc>
  </rcc>
  <rcc rId="3426" sId="5">
    <oc r="U69">
      <f>VLOOKUP(A69,INPUT_RANGE,53,FALSE) &amp; " r"</f>
    </oc>
    <nc r="U69">
      <f>VLOOKUP(A69,INPUT_RANGE,53,FALSE) &amp; " R"</f>
    </nc>
  </rcc>
  <rcc rId="3427" sId="5">
    <oc r="V69">
      <f>TEXT(AX69, ".000") &amp; " obp"</f>
    </oc>
    <nc r="V69">
      <f>TEXT(AX69, ".000") &amp; " OBP"</f>
    </nc>
  </rcc>
  <rcc rId="3428" sId="5">
    <oc r="X69">
      <f>VLOOKUP(A69,INPUT_RANGE,77,FALSE)&amp;" games"</f>
    </oc>
    <nc r="X69">
      <f>VLOOKUP(A69,INPUT_RANGE,77,FALSE)&amp;" games"</f>
    </nc>
  </rcc>
  <rcc rId="3429" sId="5">
    <oc r="Y69">
      <f>VLOOKUP(A69,INPUT_RANGE,78,FALSE) &amp; " starts"</f>
    </oc>
    <nc r="Y69">
      <f>VLOOKUP(A69,INPUT_RANGE,78,FALSE) &amp; " starts"</f>
    </nc>
  </rcc>
  <rcc rId="3430" sId="5">
    <oc r="Z69">
      <f>VLOOKUP(A69,INPUT_RANGE,82,FALSE) &amp; " ip"</f>
    </oc>
    <nc r="Z69">
      <f>VLOOKUP(A69,INPUT_RANGE,82,FALSE) &amp; " IP"</f>
    </nc>
  </rcc>
  <rcc rId="3431" sId="5">
    <oc r="AA69">
      <f>TRUNC(VLOOKUP(A69,INPUT_RANGE,82,FALSE)) &amp;  IF(AR69=0.333,"º",IF(AR69=0.666,"»",""))</f>
    </oc>
    <nc r="AA69">
      <f>TRUNC(VLOOKUP(A69,INPUT_RANGE,82,FALSE)) &amp;  IF(AR69=0.333,"º",IF(AR69=0.666,"»",""))</f>
    </nc>
  </rcc>
  <rcc rId="3432" sId="5">
    <oc r="AB69">
      <f>AA69&amp; " ip"</f>
    </oc>
    <nc r="AB69">
      <f>AA69&amp; " IP"</f>
    </nc>
  </rcc>
  <rcc rId="3433" sId="5">
    <oc r="AC69">
      <f>VLOOKUP(A69,INPUT_RANGE,79,FALSE) &amp; " cg"</f>
    </oc>
    <nc r="AC69">
      <f>VLOOKUP(A69,INPUT_RANGE,79,FALSE) &amp; " CG"</f>
    </nc>
  </rcc>
  <rcc rId="3434" sId="5">
    <oc r="AD69">
      <f>VLOOKUP(A69,INPUT_RANGE,80,FALSE) &amp; " sho"</f>
    </oc>
    <nc r="AD69">
      <f>VLOOKUP(A69,INPUT_RANGE,80,FALSE) &amp; " SHO"</f>
    </nc>
  </rcc>
  <rcc rId="3435" sId="5">
    <oc r="AE69">
      <f>VLOOKUP(A69,INPUT_RANGE,75,FALSE) &amp; " win"</f>
    </oc>
    <nc r="AE69">
      <f>VLOOKUP(A69,INPUT_RANGE,75,FALSE) &amp; " Win"</f>
    </nc>
  </rcc>
  <rcc rId="3436" sId="5">
    <oc r="AF69">
      <f>VLOOKUP(A69,INPUT_RANGE,76,FALSE) &amp; " loss"</f>
    </oc>
    <nc r="AF69">
      <f>VLOOKUP(A69,INPUT_RANGE,76,FALSE) &amp; " Loss"</f>
    </nc>
  </rcc>
  <rcc rId="3437" sId="5">
    <oc r="AG69">
      <f>VLOOKUP(A69,INPUT_RANGE,75,FALSE) &amp; "-" &amp; VLOOKUP(A69,INPUT_RANGE,76,FALSE) &amp; " w-l"</f>
    </oc>
    <nc r="AG69">
      <f>VLOOKUP(A69,INPUT_RANGE,75,FALSE) &amp; "-" &amp; VLOOKUP(A69,INPUT_RANGE,76,FALSE) &amp; " W-L"</f>
    </nc>
  </rcc>
  <rcc rId="3438" sId="5">
    <oc r="AH69">
      <f>VLOOKUP(A69,INPUT_RANGE,81,FALSE)&amp; " saves"</f>
    </oc>
    <nc r="AH69">
      <f>VLOOKUP(A69,INPUT_RANGE,81,FALSE)&amp; " Saves"</f>
    </nc>
  </rcc>
  <rcc rId="3439" sId="5">
    <oc r="AI69">
      <f>VLOOKUP(A69,INPUT_RANGE,83,FALSE) &amp; " h"</f>
    </oc>
    <nc r="AI69">
      <f>VLOOKUP(A69,INPUT_RANGE,83,FALSE) &amp; " H"</f>
    </nc>
  </rcc>
  <rcc rId="3440" sId="5">
    <oc r="AJ69">
      <f>VLOOKUP(A69,INPUT_RANGE,84,FALSE) &amp; " r"</f>
    </oc>
    <nc r="AJ69">
      <f>VLOOKUP(A69,INPUT_RANGE,84,FALSE) &amp; " R"</f>
    </nc>
  </rcc>
  <rcc rId="3441" sId="5">
    <oc r="AK69">
      <f>VLOOKUP(A69,INPUT_RANGE,85,FALSE) &amp;" er"</f>
    </oc>
    <nc r="AK69">
      <f>VLOOKUP(A69,INPUT_RANGE,85,FALSE) &amp;" ER"</f>
    </nc>
  </rcc>
  <rcc rId="3442" sId="5">
    <oc r="AL69">
      <f>VLOOKUP(A69,INPUT_RANGE,88,FALSE) &amp;" hr"</f>
    </oc>
    <nc r="AL69">
      <f>VLOOKUP(A69,INPUT_RANGE,88,FALSE) &amp;" HR"</f>
    </nc>
  </rcc>
  <rcc rId="3443" sId="5">
    <oc r="AM69">
      <f>VLOOKUP(A69,INPUT_RANGE,87,FALSE) &amp; " k"</f>
    </oc>
    <nc r="AM69">
      <f>VLOOKUP(A69,INPUT_RANGE,87,FALSE) &amp; " K"</f>
    </nc>
  </rcc>
  <rcc rId="3444" sId="5">
    <oc r="AN69">
      <f>VLOOKUP(A69,INPUT_RANGE,86,FALSE) &amp; " bb"</f>
    </oc>
    <nc r="AN69">
      <f>VLOOKUP(A69,INPUT_RANGE,86,FALSE) &amp; " BB"</f>
    </nc>
  </rcc>
  <rcc rId="3445" sId="5">
    <oc r="AO69">
      <f>TEXT(AU69,"0.00") &amp; " era"</f>
    </oc>
    <nc r="AO69">
      <f>TEXT(AU69,"0.00") &amp; " ERA"</f>
    </nc>
  </rcc>
  <rcc rId="3446" sId="5">
    <oc r="AP69">
      <f>TEXT(AT69,"0.00") &amp; " whip"</f>
    </oc>
    <nc r="AP69">
      <f>TEXT(AT69,"0.00") &amp; " WHIP"</f>
    </nc>
  </rcc>
  <rcc rId="3447" sId="5">
    <oc r="AQ69">
      <f xml:space="preserve"> IF(LEFT(RIGHT((VLOOKUP(A69,INPUT_RANGE,82,FALSE)),2),1)=".",RIGHT(VLOOKUP(A69,INPUT_RANGE,82,FALSE),1), "X")</f>
    </oc>
    <nc r="AQ69">
      <f xml:space="preserve"> IF(LEFT(RIGHT((VLOOKUP(A69,INPUT_RANGE,82,FALSE)),2),1)=".",RIGHT(VLOOKUP(A69,INPUT_RANGE,82,FALSE),1), "X")</f>
    </nc>
  </rcc>
  <rcc rId="3448" sId="5">
    <oc r="AR69">
      <f>IF(AQ69 ="1",0.333,IF(AQ69="2",0.666,0))</f>
    </oc>
    <nc r="AR69">
      <f>IF(AQ69 ="1",0.333,IF(AQ69="2",0.666,0))</f>
    </nc>
  </rcc>
  <rcc rId="3449" sId="5">
    <oc r="AS69">
      <f>VLOOKUP(A69,INPUT_RANGE,82,FALSE)-(AQ69*0.1)+AR69</f>
    </oc>
    <nc r="AS69">
      <f>VLOOKUP(A69,INPUT_RANGE,82,FALSE)-(AQ69*0.1)+AR69</f>
    </nc>
  </rcc>
  <rcc rId="3450" sId="5">
    <oc r="AT69">
      <f>ROUND((VLOOKUP(A69,INPUT_RANGE,86,FALSE)+VLOOKUP(A69,INPUT_RANGE,83,FALSE))/AS69,2)</f>
    </oc>
    <nc r="AT69">
      <f>ROUND((VLOOKUP(A69,INPUT_RANGE,86,FALSE)+VLOOKUP(A69,INPUT_RANGE,83,FALSE))/AS69,2)</f>
    </nc>
  </rcc>
  <rcc rId="3451" sId="5">
    <oc r="AU69">
      <f>ROUND((VLOOKUP(A69,INPUT_RANGE,85,FALSE)/AS69)*('Team Info'!$H$25),2)</f>
    </oc>
    <nc r="AU69">
      <f>ROUND((VLOOKUP(A69,INPUT_RANGE,85,FALSE)/AS69)*('D:\Data\Softball\[ESPN_BASEBALL_AWAY_OLD.xlsx]Team Info'!$H$25),2)</f>
    </nc>
  </rcc>
  <rcc rId="3452" sId="5">
    <oc r="AW69">
      <f>(VLOOKUP(A69,INPUT_RANGE,54,FALSE)/VLOOKUP(A69,INPUT_RANGE,52,FALSE))</f>
    </oc>
    <nc r="AW69">
      <f>(VLOOKUP(A69,INPUT_RANGE,54,FALSE)/VLOOKUP(A69,INPUT_RANGE,52,FALSE))</f>
    </nc>
  </rcc>
  <rcc rId="3453" sId="5">
    <oc r="AX69">
      <f>((VLOOKUP(A69,INPUT_RANGE,54,FALSE)+VLOOKUP(A69,INPUT_RANGE,60,FALSE)+VLOOKUP(A69,INPUT_RANGE,59,FALSE))/(VLOOKUP(A69,INPUT_RANGE,52,FALSE)+VLOOKUP(A69,INPUT_RANGE,60,FALSE)+VLOOKUP(A69,INPUT_RANGE,59,FALSE)+VLOOKUP(A69,INPUT_RANGE,63,FALSE)))</f>
    </oc>
    <nc r="AX69">
      <f>((VLOOKUP(A69,INPUT_RANGE,54,FALSE)+VLOOKUP(A69,INPUT_RANGE,60,FALSE)+VLOOKUP(A69,INPUT_RANGE,59,FALSE))/(VLOOKUP(A69,INPUT_RANGE,52,FALSE)+VLOOKUP(A69,INPUT_RANGE,60,FALSE)+VLOOKUP(A69,INPUT_RANGE,59,FALSE)+VLOOKUP(A69,INPUT_RANGE,63,FALSE)))</f>
    </nc>
  </rcc>
  <rcc rId="3454" sId="5">
    <oc r="AY69">
      <f>(VLOOKUP(A69,INPUT_RANGE,54)+VLOOKUP(A69,INPUT_RANGE,55)+(VLOOKUP(A69,INPUT_RANGE,56)*2)+(VLOOKUP(A69,INPUT_RANGE,57)*3))/(VLOOKUP(A69,INPUT_RANGE,52))</f>
    </oc>
    <nc r="AY69">
      <f>(VLOOKUP(A69,INPUT_RANGE,54)+VLOOKUP(A69,INPUT_RANGE,55)+(VLOOKUP(A69,INPUT_RANGE,56)*2)+(VLOOKUP(A69,INPUT_RANGE,57)*3))/(VLOOKUP(A69,INPUT_RANGE,52))</f>
    </nc>
  </rcc>
  <rcc rId="3455" sId="5">
    <oc r="AZ69">
      <f>AX69+AY69</f>
    </oc>
    <nc r="AZ69">
      <f>AX69+AY69</f>
    </nc>
  </rcc>
  <rcc rId="3456" sId="5">
    <oc r="BA69">
      <f xml:space="preserve"> TEXT(AZ69,".000") &amp; " ops"</f>
    </oc>
    <nc r="BA69">
      <f xml:space="preserve"> TEXT(AZ69,".000") &amp; " OPS"</f>
    </nc>
  </rcc>
  <rcc rId="3457" sId="5">
    <oc r="BB69">
      <f>VLOOKUP(A69,INPUT_RANGE,78,FALSE)</f>
    </oc>
    <nc r="BB69">
      <f>VLOOKUP(A69,INPUT_RANGE,78,FALSE)</f>
    </nc>
  </rcc>
  <rcc rId="3458" sId="5">
    <oc r="BC69">
      <f>VLOOKUP(A69,INPUT_RANGE,77,FALSE)</f>
    </oc>
    <nc r="BC69">
      <f>VLOOKUP(A69,INPUT_RANGE,77,FALSE)</f>
    </nc>
  </rcc>
  <rcc rId="3459" sId="5">
    <oc r="BD69">
      <f>VLOOKUP(A69,INPUT_RANGE,75,FALSE) &amp; "-" &amp; VLOOKUP(A69,INPUT_RANGE,76,FALSE)</f>
    </oc>
    <nc r="BD69">
      <f>VLOOKUP(A69,INPUT_RANGE,75,FALSE) &amp; "-" &amp; VLOOKUP(A69,INPUT_RANGE,76,FALSE)</f>
    </nc>
  </rcc>
  <rcc rId="3460" sId="5">
    <oc r="BE69">
      <f>AU69</f>
    </oc>
    <nc r="BE69">
      <f>AU69</f>
    </nc>
  </rcc>
  <rcc rId="3461" sId="5">
    <oc r="BF69">
      <f>AA69</f>
    </oc>
    <nc r="BF69">
      <f>AA69</f>
    </nc>
  </rcc>
  <rcc rId="3462" sId="5">
    <oc r="BG69">
      <f>VLOOKUP(A69,INPUT_RANGE,86,FALSE)</f>
    </oc>
    <nc r="BG69">
      <f>VLOOKUP(A69,INPUT_RANGE,86,FALSE)</f>
    </nc>
  </rcc>
  <rcc rId="3463" sId="5">
    <oc r="BH69">
      <f>VLOOKUP(A69,INPUT_RANGE,87,FALSE)</f>
    </oc>
    <nc r="BH69">
      <f>VLOOKUP(A69,INPUT_RANGE,87,FALSE)</f>
    </nc>
  </rcc>
  <rcc rId="3464" sId="5">
    <oc r="BI69">
      <f>VLOOKUP(A69,INPUT_RANGE,81,FALSE) &amp; " SAVES"</f>
    </oc>
    <nc r="BI69">
      <f>VLOOKUP(A69,INPUT_RANGE,81,FALSE) &amp; " SAVES"</f>
    </nc>
  </rcc>
  <rcc rId="3465" sId="5">
    <oc r="BJ69">
      <f>VLOOKUP(A69,INPUT_RANGE,81,FALSE)</f>
    </oc>
    <nc r="BJ69">
      <f>VLOOKUP(A69,INPUT_RANGE,81,FALSE)</f>
    </nc>
  </rcc>
  <rcc rId="3466" sId="5">
    <oc r="BK69">
      <f>VLOOKUP(A69,INPUT_RANGE,83,FALSE)</f>
    </oc>
    <nc r="BK69">
      <f>VLOOKUP(A69,INPUT_RANGE,83,FALSE)</f>
    </nc>
  </rcc>
  <rcc rId="3467" sId="5">
    <oc r="BL69">
      <f>VLOOKUP(A69,INPUT_RANGE,87,FALSE) &amp; "/" &amp; VLOOKUP(A69,INPUT_RANGE,86,FALSE)</f>
    </oc>
    <nc r="BL69">
      <f>VLOOKUP(A69,INPUT_RANGE,87,FALSE) &amp; "/" &amp; VLOOKUP(A69,INPUT_RANGE,86,FALSE)</f>
    </nc>
  </rcc>
  <rcc rId="3468" sId="5">
    <oc r="BM69">
      <f>ROUND((VLOOKUP(A69,INPUT_RANGE,86,FALSE)+VLOOKUP(A69,INPUT_RANGE,83,FALSE))/AS69,2)</f>
    </oc>
    <nc r="BM69">
      <f>ROUND((VLOOKUP(A69,INPUT_RANGE,86,FALSE)+VLOOKUP(A69,INPUT_RANGE,83,FALSE))/AS69,2)</f>
    </nc>
  </rcc>
  <rcc rId="3469" sId="5">
    <oc r="M70">
      <f xml:space="preserve"> TEXT(AW70,".000") &amp; " ba"</f>
    </oc>
    <nc r="M70">
      <f xml:space="preserve"> TEXT(AW70,".000") &amp; " BA"</f>
    </nc>
  </rcc>
  <rcc rId="3470" sId="5">
    <oc r="N70">
      <f>VLOOKUP(A70,INPUT_RANGE,58,FALSE) &amp; " rbi"</f>
    </oc>
    <nc r="N70">
      <f>VLOOKUP(A70,INPUT_RANGE,58,FALSE) &amp; " RBI"</f>
    </nc>
  </rcc>
  <rcc rId="3471" sId="5">
    <oc r="O70">
      <f>VLOOKUP(A70,INPUT_RANGE,60,FALSE) &amp; " bb"</f>
    </oc>
    <nc r="O70">
      <f>VLOOKUP(A70,INPUT_RANGE,60,FALSE) &amp; " BB"</f>
    </nc>
  </rcc>
  <rcc rId="3472" sId="5">
    <oc r="P70">
      <f>VLOOKUP(A70,INPUT_RANGE,61,FALSE) &amp; " k"</f>
    </oc>
    <nc r="P70">
      <f>VLOOKUP(A70,INPUT_RANGE,61,FALSE) &amp; " K"</f>
    </nc>
  </rcc>
  <rcc rId="3473" sId="5">
    <oc r="Q70">
      <f>VLOOKUP(A70,INPUT_RANGE,64,FALSE) &amp; " sb"</f>
    </oc>
    <nc r="Q70">
      <f>VLOOKUP(A70,INPUT_RANGE,64,FALSE) &amp; " SB"</f>
    </nc>
  </rcc>
  <rcc rId="3474" sId="5">
    <oc r="R70">
      <f>VLOOKUP(A70,INPUT_RANGE,55,FALSE) &amp; " 2b"</f>
    </oc>
    <nc r="R70">
      <f>VLOOKUP(A70,INPUT_RANGE,55,FALSE) &amp; " 2B"</f>
    </nc>
  </rcc>
  <rcc rId="3475" sId="5">
    <oc r="S70">
      <f>VLOOKUP(A70,INPUT_RANGE,56,FALSE) &amp; " 3b"</f>
    </oc>
    <nc r="S70">
      <f>VLOOKUP(A70,INPUT_RANGE,56,FALSE) &amp; " 3B"</f>
    </nc>
  </rcc>
  <rcc rId="3476" sId="5">
    <oc r="T70">
      <f>VLOOKUP(A70,INPUT_RANGE,57,FALSE) &amp; " hr"</f>
    </oc>
    <nc r="T70">
      <f>VLOOKUP(A70,INPUT_RANGE,57,FALSE) &amp; " HR"</f>
    </nc>
  </rcc>
  <rcc rId="3477" sId="5">
    <oc r="U70">
      <f>VLOOKUP(A70,INPUT_RANGE,53,FALSE) &amp; " r"</f>
    </oc>
    <nc r="U70">
      <f>VLOOKUP(A70,INPUT_RANGE,53,FALSE) &amp; " R"</f>
    </nc>
  </rcc>
  <rcc rId="3478" sId="5">
    <oc r="V70">
      <f>TEXT(AX70, ".000") &amp; " obp"</f>
    </oc>
    <nc r="V70">
      <f>TEXT(AX70, ".000") &amp; " OBP"</f>
    </nc>
  </rcc>
  <rcc rId="3479" sId="5">
    <oc r="X70">
      <f>VLOOKUP(A70,INPUT_RANGE,77,FALSE)&amp;" games"</f>
    </oc>
    <nc r="X70">
      <f>VLOOKUP(A70,INPUT_RANGE,77,FALSE)&amp;" games"</f>
    </nc>
  </rcc>
  <rcc rId="3480" sId="5">
    <oc r="Y70">
      <f>VLOOKUP(A70,INPUT_RANGE,78,FALSE) &amp; " starts"</f>
    </oc>
    <nc r="Y70">
      <f>VLOOKUP(A70,INPUT_RANGE,78,FALSE) &amp; " starts"</f>
    </nc>
  </rcc>
  <rcc rId="3481" sId="5">
    <oc r="Z70">
      <f>VLOOKUP(A70,INPUT_RANGE,82,FALSE) &amp; " ip"</f>
    </oc>
    <nc r="Z70">
      <f>VLOOKUP(A70,INPUT_RANGE,82,FALSE) &amp; " IP"</f>
    </nc>
  </rcc>
  <rcc rId="3482" sId="5">
    <oc r="AA70">
      <f>TRUNC(VLOOKUP(A70,INPUT_RANGE,82,FALSE)) &amp;  IF(AR70=0.333,"º",IF(AR70=0.666,"»",""))</f>
    </oc>
    <nc r="AA70">
      <f>TRUNC(VLOOKUP(A70,INPUT_RANGE,82,FALSE)) &amp;  IF(AR70=0.333,"º",IF(AR70=0.666,"»",""))</f>
    </nc>
  </rcc>
  <rcc rId="3483" sId="5">
    <oc r="AB70">
      <f>AA70&amp; " ip"</f>
    </oc>
    <nc r="AB70">
      <f>AA70&amp; " IP"</f>
    </nc>
  </rcc>
  <rcc rId="3484" sId="5">
    <oc r="AC70">
      <f>VLOOKUP(A70,INPUT_RANGE,79,FALSE) &amp; " cg"</f>
    </oc>
    <nc r="AC70">
      <f>VLOOKUP(A70,INPUT_RANGE,79,FALSE) &amp; " CG"</f>
    </nc>
  </rcc>
  <rcc rId="3485" sId="5">
    <oc r="AD70">
      <f>VLOOKUP(A70,INPUT_RANGE,80,FALSE) &amp; " sho"</f>
    </oc>
    <nc r="AD70">
      <f>VLOOKUP(A70,INPUT_RANGE,80,FALSE) &amp; " SHO"</f>
    </nc>
  </rcc>
  <rcc rId="3486" sId="5">
    <oc r="AE70">
      <f>VLOOKUP(A70,INPUT_RANGE,75,FALSE) &amp; " win"</f>
    </oc>
    <nc r="AE70">
      <f>VLOOKUP(A70,INPUT_RANGE,75,FALSE) &amp; " Win"</f>
    </nc>
  </rcc>
  <rcc rId="3487" sId="5">
    <oc r="AF70">
      <f>VLOOKUP(A70,INPUT_RANGE,76,FALSE) &amp; " loss"</f>
    </oc>
    <nc r="AF70">
      <f>VLOOKUP(A70,INPUT_RANGE,76,FALSE) &amp; " Loss"</f>
    </nc>
  </rcc>
  <rcc rId="3488" sId="5">
    <oc r="AG70">
      <f>VLOOKUP(A70,INPUT_RANGE,75,FALSE) &amp; "-" &amp; VLOOKUP(A70,INPUT_RANGE,76,FALSE) &amp; " w-l"</f>
    </oc>
    <nc r="AG70">
      <f>VLOOKUP(A70,INPUT_RANGE,75,FALSE) &amp; "-" &amp; VLOOKUP(A70,INPUT_RANGE,76,FALSE) &amp; " W-L"</f>
    </nc>
  </rcc>
  <rcc rId="3489" sId="5">
    <oc r="AH70">
      <f>VLOOKUP(A70,INPUT_RANGE,81,FALSE)&amp; " saves"</f>
    </oc>
    <nc r="AH70">
      <f>VLOOKUP(A70,INPUT_RANGE,81,FALSE)&amp; " Saves"</f>
    </nc>
  </rcc>
  <rcc rId="3490" sId="5">
    <oc r="AI70">
      <f>VLOOKUP(A70,INPUT_RANGE,83,FALSE) &amp; " h"</f>
    </oc>
    <nc r="AI70">
      <f>VLOOKUP(A70,INPUT_RANGE,83,FALSE) &amp; " H"</f>
    </nc>
  </rcc>
  <rcc rId="3491" sId="5">
    <oc r="AJ70">
      <f>VLOOKUP(A70,INPUT_RANGE,84,FALSE) &amp; " r"</f>
    </oc>
    <nc r="AJ70">
      <f>VLOOKUP(A70,INPUT_RANGE,84,FALSE) &amp; " R"</f>
    </nc>
  </rcc>
  <rcc rId="3492" sId="5">
    <oc r="AK70">
      <f>VLOOKUP(A70,INPUT_RANGE,85,FALSE) &amp;" er"</f>
    </oc>
    <nc r="AK70">
      <f>VLOOKUP(A70,INPUT_RANGE,85,FALSE) &amp;" ER"</f>
    </nc>
  </rcc>
  <rcc rId="3493" sId="5">
    <oc r="AL70">
      <f>VLOOKUP(A70,INPUT_RANGE,88,FALSE) &amp;" hr"</f>
    </oc>
    <nc r="AL70">
      <f>VLOOKUP(A70,INPUT_RANGE,88,FALSE) &amp;" HR"</f>
    </nc>
  </rcc>
  <rcc rId="3494" sId="5">
    <oc r="AM70">
      <f>VLOOKUP(A70,INPUT_RANGE,87,FALSE) &amp; " k"</f>
    </oc>
    <nc r="AM70">
      <f>VLOOKUP(A70,INPUT_RANGE,87,FALSE) &amp; " K"</f>
    </nc>
  </rcc>
  <rcc rId="3495" sId="5">
    <oc r="AN70">
      <f>VLOOKUP(A70,INPUT_RANGE,86,FALSE) &amp; " bb"</f>
    </oc>
    <nc r="AN70">
      <f>VLOOKUP(A70,INPUT_RANGE,86,FALSE) &amp; " BB"</f>
    </nc>
  </rcc>
  <rcc rId="3496" sId="5">
    <oc r="AO70">
      <f>TEXT(AU70,"0.00") &amp; " era"</f>
    </oc>
    <nc r="AO70">
      <f>TEXT(AU70,"0.00") &amp; " ERA"</f>
    </nc>
  </rcc>
  <rcc rId="3497" sId="5">
    <oc r="AP70">
      <f>TEXT(AT70,"0.00") &amp; " whip"</f>
    </oc>
    <nc r="AP70">
      <f>TEXT(AT70,"0.00") &amp; " WHIP"</f>
    </nc>
  </rcc>
  <rcc rId="3498" sId="5">
    <oc r="AQ70">
      <f xml:space="preserve"> IF(LEFT(RIGHT((VLOOKUP(A70,INPUT_RANGE,82,FALSE)),2),1)=".",RIGHT(VLOOKUP(A70,INPUT_RANGE,82,FALSE),1), "X")</f>
    </oc>
    <nc r="AQ70">
      <f xml:space="preserve"> IF(LEFT(RIGHT((VLOOKUP(A70,INPUT_RANGE,82,FALSE)),2),1)=".",RIGHT(VLOOKUP(A70,INPUT_RANGE,82,FALSE),1), "X")</f>
    </nc>
  </rcc>
  <rcc rId="3499" sId="5">
    <oc r="AR70">
      <f>IF(AQ70 ="1",0.333,IF(AQ70="2",0.666,0))</f>
    </oc>
    <nc r="AR70">
      <f>IF(AQ70 ="1",0.333,IF(AQ70="2",0.666,0))</f>
    </nc>
  </rcc>
  <rcc rId="3500" sId="5">
    <oc r="AS70">
      <f>VLOOKUP(A70,INPUT_RANGE,82,FALSE)-(AQ70*0.1)+AR70</f>
    </oc>
    <nc r="AS70">
      <f>VLOOKUP(A70,INPUT_RANGE,82,FALSE)-(AQ70*0.1)+AR70</f>
    </nc>
  </rcc>
  <rcc rId="3501" sId="5">
    <oc r="AT70">
      <f>ROUND((VLOOKUP(A70,INPUT_RANGE,86,FALSE)+VLOOKUP(A70,INPUT_RANGE,83,FALSE))/AS70,2)</f>
    </oc>
    <nc r="AT70">
      <f>ROUND((VLOOKUP(A70,INPUT_RANGE,86,FALSE)+VLOOKUP(A70,INPUT_RANGE,83,FALSE))/AS70,2)</f>
    </nc>
  </rcc>
  <rcc rId="3502" sId="5">
    <oc r="AU70">
      <f>ROUND((VLOOKUP(A70,INPUT_RANGE,85,FALSE)/AS70)*('Team Info'!$H$25),2)</f>
    </oc>
    <nc r="AU70">
      <f>ROUND((VLOOKUP(A70,INPUT_RANGE,85,FALSE)/AS70)*('D:\Data\Softball\[ESPN_BASEBALL_AWAY_OLD.xlsx]Team Info'!$H$25),2)</f>
    </nc>
  </rcc>
  <rcc rId="3503" sId="5">
    <oc r="AW70">
      <f>(VLOOKUP(A70,INPUT_RANGE,54,FALSE)/VLOOKUP(A70,INPUT_RANGE,52,FALSE))</f>
    </oc>
    <nc r="AW70">
      <f>(VLOOKUP(A70,INPUT_RANGE,54,FALSE)/VLOOKUP(A70,INPUT_RANGE,52,FALSE))</f>
    </nc>
  </rcc>
  <rcc rId="3504" sId="5">
    <oc r="AX70">
      <f>((VLOOKUP(A70,INPUT_RANGE,54,FALSE)+VLOOKUP(A70,INPUT_RANGE,60,FALSE)+VLOOKUP(A70,INPUT_RANGE,59,FALSE))/(VLOOKUP(A70,INPUT_RANGE,52,FALSE)+VLOOKUP(A70,INPUT_RANGE,60,FALSE)+VLOOKUP(A70,INPUT_RANGE,59,FALSE)+VLOOKUP(A70,INPUT_RANGE,63,FALSE)))</f>
    </oc>
    <nc r="AX70">
      <f>((VLOOKUP(A70,INPUT_RANGE,54,FALSE)+VLOOKUP(A70,INPUT_RANGE,60,FALSE)+VLOOKUP(A70,INPUT_RANGE,59,FALSE))/(VLOOKUP(A70,INPUT_RANGE,52,FALSE)+VLOOKUP(A70,INPUT_RANGE,60,FALSE)+VLOOKUP(A70,INPUT_RANGE,59,FALSE)+VLOOKUP(A70,INPUT_RANGE,63,FALSE)))</f>
    </nc>
  </rcc>
  <rcc rId="3505" sId="5">
    <oc r="AY70">
      <f>(VLOOKUP(A70,INPUT_RANGE,54)+VLOOKUP(A70,INPUT_RANGE,55)+(VLOOKUP(A70,INPUT_RANGE,56)*2)+(VLOOKUP(A70,INPUT_RANGE,57)*3))/(VLOOKUP(A70,INPUT_RANGE,52))</f>
    </oc>
    <nc r="AY70">
      <f>(VLOOKUP(A70,INPUT_RANGE,54)+VLOOKUP(A70,INPUT_RANGE,55)+(VLOOKUP(A70,INPUT_RANGE,56)*2)+(VLOOKUP(A70,INPUT_RANGE,57)*3))/(VLOOKUP(A70,INPUT_RANGE,52))</f>
    </nc>
  </rcc>
  <rcc rId="3506" sId="5">
    <oc r="AZ70">
      <f>AX70+AY70</f>
    </oc>
    <nc r="AZ70">
      <f>AX70+AY70</f>
    </nc>
  </rcc>
  <rcc rId="3507" sId="5">
    <oc r="BA70">
      <f xml:space="preserve"> TEXT(AZ70,".000") &amp; " ops"</f>
    </oc>
    <nc r="BA70">
      <f xml:space="preserve"> TEXT(AZ70,".000") &amp; " OPS"</f>
    </nc>
  </rcc>
  <rcc rId="3508" sId="5">
    <oc r="BB70">
      <f>VLOOKUP(A70,INPUT_RANGE,78,FALSE)</f>
    </oc>
    <nc r="BB70">
      <f>VLOOKUP(A70,INPUT_RANGE,78,FALSE)</f>
    </nc>
  </rcc>
  <rcc rId="3509" sId="5">
    <oc r="BC70">
      <f>VLOOKUP(A70,INPUT_RANGE,77,FALSE)</f>
    </oc>
    <nc r="BC70">
      <f>VLOOKUP(A70,INPUT_RANGE,77,FALSE)</f>
    </nc>
  </rcc>
  <rcc rId="3510" sId="5">
    <oc r="BD70">
      <f>VLOOKUP(A70,INPUT_RANGE,75,FALSE) &amp; "-" &amp; VLOOKUP(A70,INPUT_RANGE,76,FALSE)</f>
    </oc>
    <nc r="BD70">
      <f>VLOOKUP(A70,INPUT_RANGE,75,FALSE) &amp; "-" &amp; VLOOKUP(A70,INPUT_RANGE,76,FALSE)</f>
    </nc>
  </rcc>
  <rcc rId="3511" sId="5">
    <oc r="BE70">
      <f>AU70</f>
    </oc>
    <nc r="BE70">
      <f>AU70</f>
    </nc>
  </rcc>
  <rcc rId="3512" sId="5">
    <oc r="BF70">
      <f>AA70</f>
    </oc>
    <nc r="BF70">
      <f>AA70</f>
    </nc>
  </rcc>
  <rcc rId="3513" sId="5">
    <oc r="BG70">
      <f>VLOOKUP(A70,INPUT_RANGE,86,FALSE)</f>
    </oc>
    <nc r="BG70">
      <f>VLOOKUP(A70,INPUT_RANGE,86,FALSE)</f>
    </nc>
  </rcc>
  <rcc rId="3514" sId="5">
    <oc r="BH70">
      <f>VLOOKUP(A70,INPUT_RANGE,87,FALSE)</f>
    </oc>
    <nc r="BH70">
      <f>VLOOKUP(A70,INPUT_RANGE,87,FALSE)</f>
    </nc>
  </rcc>
  <rcc rId="3515" sId="5">
    <oc r="BI70">
      <f>VLOOKUP(A70,INPUT_RANGE,81,FALSE) &amp; " SAVES"</f>
    </oc>
    <nc r="BI70">
      <f>VLOOKUP(A70,INPUT_RANGE,81,FALSE) &amp; " SAVES"</f>
    </nc>
  </rcc>
  <rcc rId="3516" sId="5">
    <oc r="BJ70">
      <f>VLOOKUP(A70,INPUT_RANGE,81,FALSE)</f>
    </oc>
    <nc r="BJ70">
      <f>VLOOKUP(A70,INPUT_RANGE,81,FALSE)</f>
    </nc>
  </rcc>
  <rcc rId="3517" sId="5">
    <oc r="BK70">
      <f>VLOOKUP(A70,INPUT_RANGE,83,FALSE)</f>
    </oc>
    <nc r="BK70">
      <f>VLOOKUP(A70,INPUT_RANGE,83,FALSE)</f>
    </nc>
  </rcc>
  <rcc rId="3518" sId="5">
    <oc r="BL70">
      <f>VLOOKUP(A70,INPUT_RANGE,87,FALSE) &amp; "/" &amp; VLOOKUP(A70,INPUT_RANGE,86,FALSE)</f>
    </oc>
    <nc r="BL70">
      <f>VLOOKUP(A70,INPUT_RANGE,87,FALSE) &amp; "/" &amp; VLOOKUP(A70,INPUT_RANGE,86,FALSE)</f>
    </nc>
  </rcc>
  <rcc rId="3519" sId="5">
    <oc r="BM70">
      <f>ROUND((VLOOKUP(A70,INPUT_RANGE,86,FALSE)+VLOOKUP(A70,INPUT_RANGE,83,FALSE))/AS70,2)</f>
    </oc>
    <nc r="BM70">
      <f>ROUND((VLOOKUP(A70,INPUT_RANGE,86,FALSE)+VLOOKUP(A70,INPUT_RANGE,83,FALSE))/AS70,2)</f>
    </nc>
  </rcc>
  <rcc rId="3520" sId="5">
    <oc r="M71">
      <f xml:space="preserve"> TEXT(AW71,".000") &amp; " ba"</f>
    </oc>
    <nc r="M71">
      <f xml:space="preserve"> TEXT(AW71,".000") &amp; " BA"</f>
    </nc>
  </rcc>
  <rcc rId="3521" sId="5">
    <oc r="N71">
      <f>VLOOKUP(A71,INPUT_RANGE,58,FALSE) &amp; " rbi"</f>
    </oc>
    <nc r="N71">
      <f>VLOOKUP(A71,INPUT_RANGE,58,FALSE) &amp; " RBI"</f>
    </nc>
  </rcc>
  <rcc rId="3522" sId="5">
    <oc r="O71">
      <f>VLOOKUP(A71,INPUT_RANGE,60,FALSE) &amp; " bb"</f>
    </oc>
    <nc r="O71">
      <f>VLOOKUP(A71,INPUT_RANGE,60,FALSE) &amp; " BB"</f>
    </nc>
  </rcc>
  <rcc rId="3523" sId="5">
    <oc r="P71">
      <f>VLOOKUP(A71,INPUT_RANGE,61,FALSE) &amp; " k"</f>
    </oc>
    <nc r="P71">
      <f>VLOOKUP(A71,INPUT_RANGE,61,FALSE) &amp; " K"</f>
    </nc>
  </rcc>
  <rcc rId="3524" sId="5">
    <oc r="Q71">
      <f>VLOOKUP(A71,INPUT_RANGE,64,FALSE) &amp; " sb"</f>
    </oc>
    <nc r="Q71">
      <f>VLOOKUP(A71,INPUT_RANGE,64,FALSE) &amp; " SB"</f>
    </nc>
  </rcc>
  <rcc rId="3525" sId="5">
    <oc r="R71">
      <f>VLOOKUP(A71,INPUT_RANGE,55,FALSE) &amp; " 2b"</f>
    </oc>
    <nc r="R71">
      <f>VLOOKUP(A71,INPUT_RANGE,55,FALSE) &amp; " 2B"</f>
    </nc>
  </rcc>
  <rcc rId="3526" sId="5">
    <oc r="S71">
      <f>VLOOKUP(A71,INPUT_RANGE,56,FALSE) &amp; " 3b"</f>
    </oc>
    <nc r="S71">
      <f>VLOOKUP(A71,INPUT_RANGE,56,FALSE) &amp; " 3B"</f>
    </nc>
  </rcc>
  <rcc rId="3527" sId="5">
    <oc r="T71">
      <f>VLOOKUP(A71,INPUT_RANGE,57,FALSE) &amp; " hr"</f>
    </oc>
    <nc r="T71">
      <f>VLOOKUP(A71,INPUT_RANGE,57,FALSE) &amp; " HR"</f>
    </nc>
  </rcc>
  <rcc rId="3528" sId="5">
    <oc r="U71">
      <f>VLOOKUP(A71,INPUT_RANGE,53,FALSE) &amp; " r"</f>
    </oc>
    <nc r="U71">
      <f>VLOOKUP(A71,INPUT_RANGE,53,FALSE) &amp; " R"</f>
    </nc>
  </rcc>
  <rcc rId="3529" sId="5">
    <oc r="V71">
      <f>TEXT(AX71, ".000") &amp; " obp"</f>
    </oc>
    <nc r="V71">
      <f>TEXT(AX71, ".000") &amp; " OBP"</f>
    </nc>
  </rcc>
  <rcc rId="3530" sId="5">
    <oc r="X71">
      <f>VLOOKUP(A71,INPUT_RANGE,77,FALSE)&amp;" games"</f>
    </oc>
    <nc r="X71">
      <f>VLOOKUP(A71,INPUT_RANGE,77,FALSE)&amp;" games"</f>
    </nc>
  </rcc>
  <rcc rId="3531" sId="5">
    <oc r="Y71">
      <f>VLOOKUP(A71,INPUT_RANGE,78,FALSE) &amp; " starts"</f>
    </oc>
    <nc r="Y71">
      <f>VLOOKUP(A71,INPUT_RANGE,78,FALSE) &amp; " starts"</f>
    </nc>
  </rcc>
  <rcc rId="3532" sId="5">
    <oc r="Z71">
      <f>VLOOKUP(A71,INPUT_RANGE,82,FALSE) &amp; " ip"</f>
    </oc>
    <nc r="Z71">
      <f>VLOOKUP(A71,INPUT_RANGE,82,FALSE) &amp; " IP"</f>
    </nc>
  </rcc>
  <rcc rId="3533" sId="5">
    <oc r="AA71">
      <f>TRUNC(VLOOKUP(A71,INPUT_RANGE,82,FALSE)) &amp;  IF(AR71=0.333,"º",IF(AR71=0.666,"»",""))</f>
    </oc>
    <nc r="AA71">
      <f>TRUNC(VLOOKUP(A71,INPUT_RANGE,82,FALSE)) &amp;  IF(AR71=0.333,"º",IF(AR71=0.666,"»",""))</f>
    </nc>
  </rcc>
  <rcc rId="3534" sId="5">
    <oc r="AB71">
      <f>AA71&amp; " ip"</f>
    </oc>
    <nc r="AB71">
      <f>AA71&amp; " IP"</f>
    </nc>
  </rcc>
  <rcc rId="3535" sId="5">
    <oc r="AC71">
      <f>VLOOKUP(A71,INPUT_RANGE,79,FALSE) &amp; " cg"</f>
    </oc>
    <nc r="AC71">
      <f>VLOOKUP(A71,INPUT_RANGE,79,FALSE) &amp; " CG"</f>
    </nc>
  </rcc>
  <rcc rId="3536" sId="5">
    <oc r="AD71">
      <f>VLOOKUP(A71,INPUT_RANGE,80,FALSE) &amp; " sho"</f>
    </oc>
    <nc r="AD71">
      <f>VLOOKUP(A71,INPUT_RANGE,80,FALSE) &amp; " SHO"</f>
    </nc>
  </rcc>
  <rcc rId="3537" sId="5">
    <oc r="AE71">
      <f>VLOOKUP(A71,INPUT_RANGE,75,FALSE) &amp; " win"</f>
    </oc>
    <nc r="AE71">
      <f>VLOOKUP(A71,INPUT_RANGE,75,FALSE) &amp; " Win"</f>
    </nc>
  </rcc>
  <rcc rId="3538" sId="5">
    <oc r="AF71">
      <f>VLOOKUP(A71,INPUT_RANGE,76,FALSE) &amp; " loss"</f>
    </oc>
    <nc r="AF71">
      <f>VLOOKUP(A71,INPUT_RANGE,76,FALSE) &amp; " Loss"</f>
    </nc>
  </rcc>
  <rcc rId="3539" sId="5">
    <oc r="AG71">
      <f>VLOOKUP(A71,INPUT_RANGE,75,FALSE) &amp; "-" &amp; VLOOKUP(A71,INPUT_RANGE,76,FALSE) &amp; " w-l"</f>
    </oc>
    <nc r="AG71">
      <f>VLOOKUP(A71,INPUT_RANGE,75,FALSE) &amp; "-" &amp; VLOOKUP(A71,INPUT_RANGE,76,FALSE) &amp; " W-L"</f>
    </nc>
  </rcc>
  <rcc rId="3540" sId="5">
    <oc r="AH71">
      <f>VLOOKUP(A71,INPUT_RANGE,81,FALSE)&amp; " saves"</f>
    </oc>
    <nc r="AH71">
      <f>VLOOKUP(A71,INPUT_RANGE,81,FALSE)&amp; " Saves"</f>
    </nc>
  </rcc>
  <rcc rId="3541" sId="5">
    <oc r="AI71">
      <f>VLOOKUP(A71,INPUT_RANGE,83,FALSE) &amp; " h"</f>
    </oc>
    <nc r="AI71">
      <f>VLOOKUP(A71,INPUT_RANGE,83,FALSE) &amp; " H"</f>
    </nc>
  </rcc>
  <rcc rId="3542" sId="5">
    <oc r="AJ71">
      <f>VLOOKUP(A71,INPUT_RANGE,84,FALSE) &amp; " r"</f>
    </oc>
    <nc r="AJ71">
      <f>VLOOKUP(A71,INPUT_RANGE,84,FALSE) &amp; " R"</f>
    </nc>
  </rcc>
  <rcc rId="3543" sId="5">
    <oc r="AK71">
      <f>VLOOKUP(A71,INPUT_RANGE,85,FALSE) &amp;" er"</f>
    </oc>
    <nc r="AK71">
      <f>VLOOKUP(A71,INPUT_RANGE,85,FALSE) &amp;" ER"</f>
    </nc>
  </rcc>
  <rcc rId="3544" sId="5">
    <oc r="AL71">
      <f>VLOOKUP(A71,INPUT_RANGE,88,FALSE) &amp;" hr"</f>
    </oc>
    <nc r="AL71">
      <f>VLOOKUP(A71,INPUT_RANGE,88,FALSE) &amp;" HR"</f>
    </nc>
  </rcc>
  <rcc rId="3545" sId="5">
    <oc r="AM71">
      <f>VLOOKUP(A71,INPUT_RANGE,87,FALSE) &amp; " k"</f>
    </oc>
    <nc r="AM71">
      <f>VLOOKUP(A71,INPUT_RANGE,87,FALSE) &amp; " K"</f>
    </nc>
  </rcc>
  <rcc rId="3546" sId="5">
    <oc r="AN71">
      <f>VLOOKUP(A71,INPUT_RANGE,86,FALSE) &amp; " bb"</f>
    </oc>
    <nc r="AN71">
      <f>VLOOKUP(A71,INPUT_RANGE,86,FALSE) &amp; " BB"</f>
    </nc>
  </rcc>
  <rcc rId="3547" sId="5">
    <oc r="AO71">
      <f>TEXT(AU71,"0.00") &amp; " era"</f>
    </oc>
    <nc r="AO71">
      <f>TEXT(AU71,"0.00") &amp; " ERA"</f>
    </nc>
  </rcc>
  <rcc rId="3548" sId="5">
    <oc r="AP71">
      <f>TEXT(AT71,"0.00") &amp; " whip"</f>
    </oc>
    <nc r="AP71">
      <f>TEXT(AT71,"0.00") &amp; " WHIP"</f>
    </nc>
  </rcc>
  <rcc rId="3549" sId="5">
    <oc r="AQ71">
      <f xml:space="preserve"> IF(LEFT(RIGHT((VLOOKUP(A71,INPUT_RANGE,82,FALSE)),2),1)=".",RIGHT(VLOOKUP(A71,INPUT_RANGE,82,FALSE),1), "X")</f>
    </oc>
    <nc r="AQ71">
      <f xml:space="preserve"> IF(LEFT(RIGHT((VLOOKUP(A71,INPUT_RANGE,82,FALSE)),2),1)=".",RIGHT(VLOOKUP(A71,INPUT_RANGE,82,FALSE),1), "X")</f>
    </nc>
  </rcc>
  <rcc rId="3550" sId="5">
    <oc r="AR71">
      <f>IF(AQ71 ="1",0.333,IF(AQ71="2",0.666,0))</f>
    </oc>
    <nc r="AR71">
      <f>IF(AQ71 ="1",0.333,IF(AQ71="2",0.666,0))</f>
    </nc>
  </rcc>
  <rcc rId="3551" sId="5">
    <oc r="AS71">
      <f>VLOOKUP(A71,INPUT_RANGE,82,FALSE)-(AQ71*0.1)+AR71</f>
    </oc>
    <nc r="AS71">
      <f>VLOOKUP(A71,INPUT_RANGE,82,FALSE)-(AQ71*0.1)+AR71</f>
    </nc>
  </rcc>
  <rcc rId="3552" sId="5">
    <oc r="AT71">
      <f>ROUND((VLOOKUP(A71,INPUT_RANGE,86,FALSE)+VLOOKUP(A71,INPUT_RANGE,83,FALSE))/AS71,2)</f>
    </oc>
    <nc r="AT71">
      <f>ROUND((VLOOKUP(A71,INPUT_RANGE,86,FALSE)+VLOOKUP(A71,INPUT_RANGE,83,FALSE))/AS71,2)</f>
    </nc>
  </rcc>
  <rcc rId="3553" sId="5">
    <oc r="AU71">
      <f>ROUND((VLOOKUP(A71,INPUT_RANGE,85,FALSE)/AS71)*('Team Info'!$H$25),2)</f>
    </oc>
    <nc r="AU71">
      <f>ROUND((VLOOKUP(A71,INPUT_RANGE,85,FALSE)/AS71)*('D:\Data\Softball\[ESPN_BASEBALL_AWAY_OLD.xlsx]Team Info'!$H$25),2)</f>
    </nc>
  </rcc>
  <rcc rId="3554" sId="5">
    <oc r="AW71">
      <f>(VLOOKUP(A71,INPUT_RANGE,54,FALSE)/VLOOKUP(A71,INPUT_RANGE,52,FALSE))</f>
    </oc>
    <nc r="AW71">
      <f>(VLOOKUP(A71,INPUT_RANGE,54,FALSE)/VLOOKUP(A71,INPUT_RANGE,52,FALSE))</f>
    </nc>
  </rcc>
  <rcc rId="3555" sId="5">
    <oc r="AX71">
      <f>((VLOOKUP(A71,INPUT_RANGE,54,FALSE)+VLOOKUP(A71,INPUT_RANGE,60,FALSE)+VLOOKUP(A71,INPUT_RANGE,59,FALSE))/(VLOOKUP(A71,INPUT_RANGE,52,FALSE)+VLOOKUP(A71,INPUT_RANGE,60,FALSE)+VLOOKUP(A71,INPUT_RANGE,59,FALSE)+VLOOKUP(A71,INPUT_RANGE,63,FALSE)))</f>
    </oc>
    <nc r="AX71">
      <f>((VLOOKUP(A71,INPUT_RANGE,54,FALSE)+VLOOKUP(A71,INPUT_RANGE,60,FALSE)+VLOOKUP(A71,INPUT_RANGE,59,FALSE))/(VLOOKUP(A71,INPUT_RANGE,52,FALSE)+VLOOKUP(A71,INPUT_RANGE,60,FALSE)+VLOOKUP(A71,INPUT_RANGE,59,FALSE)+VLOOKUP(A71,INPUT_RANGE,63,FALSE)))</f>
    </nc>
  </rcc>
  <rcc rId="3556" sId="5">
    <oc r="AY71">
      <f>(VLOOKUP(A71,INPUT_RANGE,54)+VLOOKUP(A71,INPUT_RANGE,55)+(VLOOKUP(A71,INPUT_RANGE,56)*2)+(VLOOKUP(A71,INPUT_RANGE,57)*3))/(VLOOKUP(A71,INPUT_RANGE,52))</f>
    </oc>
    <nc r="AY71">
      <f>(VLOOKUP(A71,INPUT_RANGE,54)+VLOOKUP(A71,INPUT_RANGE,55)+(VLOOKUP(A71,INPUT_RANGE,56)*2)+(VLOOKUP(A71,INPUT_RANGE,57)*3))/(VLOOKUP(A71,INPUT_RANGE,52))</f>
    </nc>
  </rcc>
  <rcc rId="3557" sId="5">
    <oc r="AZ71">
      <f>AX71+AY71</f>
    </oc>
    <nc r="AZ71">
      <f>AX71+AY71</f>
    </nc>
  </rcc>
  <rcc rId="3558" sId="5">
    <oc r="BA71">
      <f xml:space="preserve"> TEXT(AZ71,".000") &amp; " ops"</f>
    </oc>
    <nc r="BA71">
      <f xml:space="preserve"> TEXT(AZ71,".000") &amp; " OPS"</f>
    </nc>
  </rcc>
  <rcc rId="3559" sId="5">
    <oc r="BB71">
      <f>VLOOKUP(A71,INPUT_RANGE,78,FALSE)</f>
    </oc>
    <nc r="BB71">
      <f>VLOOKUP(A71,INPUT_RANGE,78,FALSE)</f>
    </nc>
  </rcc>
  <rcc rId="3560" sId="5">
    <oc r="BC71">
      <f>VLOOKUP(A71,INPUT_RANGE,77,FALSE)</f>
    </oc>
    <nc r="BC71">
      <f>VLOOKUP(A71,INPUT_RANGE,77,FALSE)</f>
    </nc>
  </rcc>
  <rcc rId="3561" sId="5">
    <oc r="BD71">
      <f>VLOOKUP(A71,INPUT_RANGE,75,FALSE) &amp; "-" &amp; VLOOKUP(A71,INPUT_RANGE,76,FALSE)</f>
    </oc>
    <nc r="BD71">
      <f>VLOOKUP(A71,INPUT_RANGE,75,FALSE) &amp; "-" &amp; VLOOKUP(A71,INPUT_RANGE,76,FALSE)</f>
    </nc>
  </rcc>
  <rcc rId="3562" sId="5">
    <oc r="BE71">
      <f>AU71</f>
    </oc>
    <nc r="BE71">
      <f>AU71</f>
    </nc>
  </rcc>
  <rcc rId="3563" sId="5">
    <oc r="BF71">
      <f>AA71</f>
    </oc>
    <nc r="BF71">
      <f>AA71</f>
    </nc>
  </rcc>
  <rcc rId="3564" sId="5">
    <oc r="BG71">
      <f>VLOOKUP(A71,INPUT_RANGE,86,FALSE)</f>
    </oc>
    <nc r="BG71">
      <f>VLOOKUP(A71,INPUT_RANGE,86,FALSE)</f>
    </nc>
  </rcc>
  <rcc rId="3565" sId="5">
    <oc r="BH71">
      <f>VLOOKUP(A71,INPUT_RANGE,87,FALSE)</f>
    </oc>
    <nc r="BH71">
      <f>VLOOKUP(A71,INPUT_RANGE,87,FALSE)</f>
    </nc>
  </rcc>
  <rcc rId="3566" sId="5">
    <oc r="BI71">
      <f>VLOOKUP(A71,INPUT_RANGE,81,FALSE) &amp; " SAVES"</f>
    </oc>
    <nc r="BI71">
      <f>VLOOKUP(A71,INPUT_RANGE,81,FALSE) &amp; " SAVES"</f>
    </nc>
  </rcc>
  <rcc rId="3567" sId="5">
    <oc r="BJ71">
      <f>VLOOKUP(A71,INPUT_RANGE,81,FALSE)</f>
    </oc>
    <nc r="BJ71">
      <f>VLOOKUP(A71,INPUT_RANGE,81,FALSE)</f>
    </nc>
  </rcc>
  <rcc rId="3568" sId="5">
    <oc r="BK71">
      <f>VLOOKUP(A71,INPUT_RANGE,83,FALSE)</f>
    </oc>
    <nc r="BK71">
      <f>VLOOKUP(A71,INPUT_RANGE,83,FALSE)</f>
    </nc>
  </rcc>
  <rcc rId="3569" sId="5">
    <oc r="BL71">
      <f>VLOOKUP(A71,INPUT_RANGE,87,FALSE) &amp; "/" &amp; VLOOKUP(A71,INPUT_RANGE,86,FALSE)</f>
    </oc>
    <nc r="BL71">
      <f>VLOOKUP(A71,INPUT_RANGE,87,FALSE) &amp; "/" &amp; VLOOKUP(A71,INPUT_RANGE,86,FALSE)</f>
    </nc>
  </rcc>
  <rcc rId="3570" sId="5">
    <oc r="BM71">
      <f>ROUND((VLOOKUP(A71,INPUT_RANGE,86,FALSE)+VLOOKUP(A71,INPUT_RANGE,83,FALSE))/AS71,2)</f>
    </oc>
    <nc r="BM71">
      <f>ROUND((VLOOKUP(A71,INPUT_RANGE,86,FALSE)+VLOOKUP(A71,INPUT_RANGE,83,FALSE))/AS71,2)</f>
    </nc>
  </rcc>
  <rcc rId="3571" sId="5">
    <oc r="M72">
      <f xml:space="preserve"> TEXT(AW72,".000") &amp; " ba"</f>
    </oc>
    <nc r="M72">
      <f xml:space="preserve"> TEXT(AW72,".000") &amp; " BA"</f>
    </nc>
  </rcc>
  <rcc rId="3572" sId="5">
    <oc r="N72">
      <f>VLOOKUP(A72,INPUT_RANGE,58,FALSE) &amp; " rbi"</f>
    </oc>
    <nc r="N72">
      <f>VLOOKUP(A72,INPUT_RANGE,58,FALSE) &amp; " RBI"</f>
    </nc>
  </rcc>
  <rcc rId="3573" sId="5">
    <oc r="O72">
      <f>VLOOKUP(A72,INPUT_RANGE,60,FALSE) &amp; " bb"</f>
    </oc>
    <nc r="O72">
      <f>VLOOKUP(A72,INPUT_RANGE,60,FALSE) &amp; " BB"</f>
    </nc>
  </rcc>
  <rcc rId="3574" sId="5">
    <oc r="P72">
      <f>VLOOKUP(A72,INPUT_RANGE,61,FALSE) &amp; " k"</f>
    </oc>
    <nc r="P72">
      <f>VLOOKUP(A72,INPUT_RANGE,61,FALSE) &amp; " K"</f>
    </nc>
  </rcc>
  <rcc rId="3575" sId="5">
    <oc r="Q72">
      <f>VLOOKUP(A72,INPUT_RANGE,64,FALSE) &amp; " sb"</f>
    </oc>
    <nc r="Q72">
      <f>VLOOKUP(A72,INPUT_RANGE,64,FALSE) &amp; " SB"</f>
    </nc>
  </rcc>
  <rcc rId="3576" sId="5">
    <oc r="R72">
      <f>VLOOKUP(A72,INPUT_RANGE,55,FALSE) &amp; " 2b"</f>
    </oc>
    <nc r="R72">
      <f>VLOOKUP(A72,INPUT_RANGE,55,FALSE) &amp; " 2B"</f>
    </nc>
  </rcc>
  <rcc rId="3577" sId="5">
    <oc r="S72">
      <f>VLOOKUP(A72,INPUT_RANGE,56,FALSE) &amp; " 3b"</f>
    </oc>
    <nc r="S72">
      <f>VLOOKUP(A72,INPUT_RANGE,56,FALSE) &amp; " 3B"</f>
    </nc>
  </rcc>
  <rcc rId="3578" sId="5">
    <oc r="T72">
      <f>VLOOKUP(A72,INPUT_RANGE,57,FALSE) &amp; " hr"</f>
    </oc>
    <nc r="T72">
      <f>VLOOKUP(A72,INPUT_RANGE,57,FALSE) &amp; " HR"</f>
    </nc>
  </rcc>
  <rcc rId="3579" sId="5">
    <oc r="U72">
      <f>VLOOKUP(A72,INPUT_RANGE,53,FALSE) &amp; " r"</f>
    </oc>
    <nc r="U72">
      <f>VLOOKUP(A72,INPUT_RANGE,53,FALSE) &amp; " R"</f>
    </nc>
  </rcc>
  <rcc rId="3580" sId="5">
    <oc r="V72">
      <f>TEXT(AX72, ".000") &amp; " obp"</f>
    </oc>
    <nc r="V72">
      <f>TEXT(AX72, ".000") &amp; " OBP"</f>
    </nc>
  </rcc>
  <rcc rId="3581" sId="5">
    <oc r="X72">
      <f>VLOOKUP(A72,INPUT_RANGE,77,FALSE)&amp;" games"</f>
    </oc>
    <nc r="X72">
      <f>VLOOKUP(A72,INPUT_RANGE,77,FALSE)&amp;" games"</f>
    </nc>
  </rcc>
  <rcc rId="3582" sId="5">
    <oc r="Y72">
      <f>VLOOKUP(A72,INPUT_RANGE,78,FALSE) &amp; " starts"</f>
    </oc>
    <nc r="Y72">
      <f>VLOOKUP(A72,INPUT_RANGE,78,FALSE) &amp; " starts"</f>
    </nc>
  </rcc>
  <rcc rId="3583" sId="5">
    <oc r="Z72">
      <f>VLOOKUP(A72,INPUT_RANGE,82,FALSE) &amp; " ip"</f>
    </oc>
    <nc r="Z72">
      <f>VLOOKUP(A72,INPUT_RANGE,82,FALSE) &amp; " IP"</f>
    </nc>
  </rcc>
  <rcc rId="3584" sId="5">
    <oc r="AA72">
      <f>TRUNC(VLOOKUP(A72,INPUT_RANGE,82,FALSE)) &amp;  IF(AR72=0.333,"º",IF(AR72=0.666,"»",""))</f>
    </oc>
    <nc r="AA72">
      <f>TRUNC(VLOOKUP(A72,INPUT_RANGE,82,FALSE)) &amp;  IF(AR72=0.333,"º",IF(AR72=0.666,"»",""))</f>
    </nc>
  </rcc>
  <rcc rId="3585" sId="5">
    <oc r="AB72">
      <f>AA72&amp; " ip"</f>
    </oc>
    <nc r="AB72">
      <f>AA72&amp; " IP"</f>
    </nc>
  </rcc>
  <rcc rId="3586" sId="5">
    <oc r="AC72">
      <f>VLOOKUP(A72,INPUT_RANGE,79,FALSE) &amp; " cg"</f>
    </oc>
    <nc r="AC72">
      <f>VLOOKUP(A72,INPUT_RANGE,79,FALSE) &amp; " CG"</f>
    </nc>
  </rcc>
  <rcc rId="3587" sId="5">
    <oc r="AD72">
      <f>VLOOKUP(A72,INPUT_RANGE,80,FALSE) &amp; " sho"</f>
    </oc>
    <nc r="AD72">
      <f>VLOOKUP(A72,INPUT_RANGE,80,FALSE) &amp; " SHO"</f>
    </nc>
  </rcc>
  <rcc rId="3588" sId="5">
    <oc r="AE72">
      <f>VLOOKUP(A72,INPUT_RANGE,75,FALSE) &amp; " win"</f>
    </oc>
    <nc r="AE72">
      <f>VLOOKUP(A72,INPUT_RANGE,75,FALSE) &amp; " Win"</f>
    </nc>
  </rcc>
  <rcc rId="3589" sId="5">
    <oc r="AF72">
      <f>VLOOKUP(A72,INPUT_RANGE,76,FALSE) &amp; " loss"</f>
    </oc>
    <nc r="AF72">
      <f>VLOOKUP(A72,INPUT_RANGE,76,FALSE) &amp; " Loss"</f>
    </nc>
  </rcc>
  <rcc rId="3590" sId="5">
    <oc r="AG72">
      <f>VLOOKUP(A72,INPUT_RANGE,75,FALSE) &amp; "-" &amp; VLOOKUP(A72,INPUT_RANGE,76,FALSE) &amp; " w-l"</f>
    </oc>
    <nc r="AG72">
      <f>VLOOKUP(A72,INPUT_RANGE,75,FALSE) &amp; "-" &amp; VLOOKUP(A72,INPUT_RANGE,76,FALSE) &amp; " W-L"</f>
    </nc>
  </rcc>
  <rcc rId="3591" sId="5">
    <oc r="AH72">
      <f>VLOOKUP(A72,INPUT_RANGE,81,FALSE)&amp; " saves"</f>
    </oc>
    <nc r="AH72">
      <f>VLOOKUP(A72,INPUT_RANGE,81,FALSE)&amp; " Saves"</f>
    </nc>
  </rcc>
  <rcc rId="3592" sId="5">
    <oc r="AI72">
      <f>VLOOKUP(A72,INPUT_RANGE,83,FALSE) &amp; " h"</f>
    </oc>
    <nc r="AI72">
      <f>VLOOKUP(A72,INPUT_RANGE,83,FALSE) &amp; " H"</f>
    </nc>
  </rcc>
  <rcc rId="3593" sId="5">
    <oc r="AJ72">
      <f>VLOOKUP(A72,INPUT_RANGE,84,FALSE) &amp; " r"</f>
    </oc>
    <nc r="AJ72">
      <f>VLOOKUP(A72,INPUT_RANGE,84,FALSE) &amp; " R"</f>
    </nc>
  </rcc>
  <rcc rId="3594" sId="5">
    <oc r="AK72">
      <f>VLOOKUP(A72,INPUT_RANGE,85,FALSE) &amp;" er"</f>
    </oc>
    <nc r="AK72">
      <f>VLOOKUP(A72,INPUT_RANGE,85,FALSE) &amp;" ER"</f>
    </nc>
  </rcc>
  <rcc rId="3595" sId="5">
    <oc r="AL72">
      <f>VLOOKUP(A72,INPUT_RANGE,88,FALSE) &amp;" hr"</f>
    </oc>
    <nc r="AL72">
      <f>VLOOKUP(A72,INPUT_RANGE,88,FALSE) &amp;" HR"</f>
    </nc>
  </rcc>
  <rcc rId="3596" sId="5">
    <oc r="AM72">
      <f>VLOOKUP(A72,INPUT_RANGE,87,FALSE) &amp; " k"</f>
    </oc>
    <nc r="AM72">
      <f>VLOOKUP(A72,INPUT_RANGE,87,FALSE) &amp; " K"</f>
    </nc>
  </rcc>
  <rcc rId="3597" sId="5">
    <oc r="AN72">
      <f>VLOOKUP(A72,INPUT_RANGE,86,FALSE) &amp; " bb"</f>
    </oc>
    <nc r="AN72">
      <f>VLOOKUP(A72,INPUT_RANGE,86,FALSE) &amp; " BB"</f>
    </nc>
  </rcc>
  <rcc rId="3598" sId="5">
    <oc r="AO72">
      <f>TEXT(AU72,"0.00") &amp; " era"</f>
    </oc>
    <nc r="AO72">
      <f>TEXT(AU72,"0.00") &amp; " ERA"</f>
    </nc>
  </rcc>
  <rcc rId="3599" sId="5">
    <oc r="AP72">
      <f>TEXT(AT72,"0.00") &amp; " whip"</f>
    </oc>
    <nc r="AP72">
      <f>TEXT(AT72,"0.00") &amp; " WHIP"</f>
    </nc>
  </rcc>
  <rcc rId="3600" sId="5">
    <oc r="AQ72">
      <f xml:space="preserve"> IF(LEFT(RIGHT((VLOOKUP(A72,INPUT_RANGE,82,FALSE)),2),1)=".",RIGHT(VLOOKUP(A72,INPUT_RANGE,82,FALSE),1), "X")</f>
    </oc>
    <nc r="AQ72">
      <f xml:space="preserve"> IF(LEFT(RIGHT((VLOOKUP(A72,INPUT_RANGE,82,FALSE)),2),1)=".",RIGHT(VLOOKUP(A72,INPUT_RANGE,82,FALSE),1), "X")</f>
    </nc>
  </rcc>
  <rcc rId="3601" sId="5">
    <oc r="AR72">
      <f>IF(AQ72 ="1",0.333,IF(AQ72="2",0.666,0))</f>
    </oc>
    <nc r="AR72">
      <f>IF(AQ72 ="1",0.333,IF(AQ72="2",0.666,0))</f>
    </nc>
  </rcc>
  <rcc rId="3602" sId="5">
    <oc r="AS72">
      <f>VLOOKUP(A72,INPUT_RANGE,82,FALSE)-(AQ72*0.1)+AR72</f>
    </oc>
    <nc r="AS72">
      <f>VLOOKUP(A72,INPUT_RANGE,82,FALSE)-(AQ72*0.1)+AR72</f>
    </nc>
  </rcc>
  <rcc rId="3603" sId="5">
    <oc r="AT72">
      <f>ROUND((VLOOKUP(A72,INPUT_RANGE,86,FALSE)+VLOOKUP(A72,INPUT_RANGE,83,FALSE))/AS72,2)</f>
    </oc>
    <nc r="AT72">
      <f>ROUND((VLOOKUP(A72,INPUT_RANGE,86,FALSE)+VLOOKUP(A72,INPUT_RANGE,83,FALSE))/AS72,2)</f>
    </nc>
  </rcc>
  <rcc rId="3604" sId="5">
    <oc r="AU72">
      <f>ROUND((VLOOKUP(A72,INPUT_RANGE,85,FALSE)/AS72)*('Team Info'!$H$25),2)</f>
    </oc>
    <nc r="AU72">
      <f>ROUND((VLOOKUP(A72,INPUT_RANGE,85,FALSE)/AS72)*('D:\Data\Softball\[ESPN_BASEBALL_AWAY_OLD.xlsx]Team Info'!$H$25),2)</f>
    </nc>
  </rcc>
  <rcc rId="3605" sId="5">
    <oc r="AW72">
      <f>(VLOOKUP(A72,INPUT_RANGE,54,FALSE)/VLOOKUP(A72,INPUT_RANGE,52,FALSE))</f>
    </oc>
    <nc r="AW72">
      <f>(VLOOKUP(A72,INPUT_RANGE,54,FALSE)/VLOOKUP(A72,INPUT_RANGE,52,FALSE))</f>
    </nc>
  </rcc>
  <rcc rId="3606" sId="5">
    <oc r="AX72">
      <f>((VLOOKUP(A72,INPUT_RANGE,54,FALSE)+VLOOKUP(A72,INPUT_RANGE,60,FALSE)+VLOOKUP(A72,INPUT_RANGE,59,FALSE))/(VLOOKUP(A72,INPUT_RANGE,52,FALSE)+VLOOKUP(A72,INPUT_RANGE,60,FALSE)+VLOOKUP(A72,INPUT_RANGE,59,FALSE)+VLOOKUP(A72,INPUT_RANGE,63,FALSE)))</f>
    </oc>
    <nc r="AX72">
      <f>((VLOOKUP(A72,INPUT_RANGE,54,FALSE)+VLOOKUP(A72,INPUT_RANGE,60,FALSE)+VLOOKUP(A72,INPUT_RANGE,59,FALSE))/(VLOOKUP(A72,INPUT_RANGE,52,FALSE)+VLOOKUP(A72,INPUT_RANGE,60,FALSE)+VLOOKUP(A72,INPUT_RANGE,59,FALSE)+VLOOKUP(A72,INPUT_RANGE,63,FALSE)))</f>
    </nc>
  </rcc>
  <rcc rId="3607" sId="5">
    <oc r="AY72">
      <f>(VLOOKUP(A72,INPUT_RANGE,54)+VLOOKUP(A72,INPUT_RANGE,55)+(VLOOKUP(A72,INPUT_RANGE,56)*2)+(VLOOKUP(A72,INPUT_RANGE,57)*3))/(VLOOKUP(A72,INPUT_RANGE,52))</f>
    </oc>
    <nc r="AY72">
      <f>(VLOOKUP(A72,INPUT_RANGE,54)+VLOOKUP(A72,INPUT_RANGE,55)+(VLOOKUP(A72,INPUT_RANGE,56)*2)+(VLOOKUP(A72,INPUT_RANGE,57)*3))/(VLOOKUP(A72,INPUT_RANGE,52))</f>
    </nc>
  </rcc>
  <rcc rId="3608" sId="5">
    <oc r="AZ72">
      <f>AX72+AY72</f>
    </oc>
    <nc r="AZ72">
      <f>AX72+AY72</f>
    </nc>
  </rcc>
  <rcc rId="3609" sId="5">
    <oc r="BA72">
      <f xml:space="preserve"> TEXT(AZ72,".000") &amp; " ops"</f>
    </oc>
    <nc r="BA72">
      <f xml:space="preserve"> TEXT(AZ72,".000") &amp; " OPS"</f>
    </nc>
  </rcc>
  <rcc rId="3610" sId="5">
    <oc r="BB72">
      <f>VLOOKUP(A72,INPUT_RANGE,78,FALSE)</f>
    </oc>
    <nc r="BB72">
      <f>VLOOKUP(A72,INPUT_RANGE,78,FALSE)</f>
    </nc>
  </rcc>
  <rcc rId="3611" sId="5">
    <oc r="BC72">
      <f>VLOOKUP(A72,INPUT_RANGE,77,FALSE)</f>
    </oc>
    <nc r="BC72">
      <f>VLOOKUP(A72,INPUT_RANGE,77,FALSE)</f>
    </nc>
  </rcc>
  <rcc rId="3612" sId="5">
    <oc r="BD72">
      <f>VLOOKUP(A72,INPUT_RANGE,75,FALSE) &amp; "-" &amp; VLOOKUP(A72,INPUT_RANGE,76,FALSE)</f>
    </oc>
    <nc r="BD72">
      <f>VLOOKUP(A72,INPUT_RANGE,75,FALSE) &amp; "-" &amp; VLOOKUP(A72,INPUT_RANGE,76,FALSE)</f>
    </nc>
  </rcc>
  <rcc rId="3613" sId="5">
    <oc r="BE72">
      <f>AU72</f>
    </oc>
    <nc r="BE72">
      <f>AU72</f>
    </nc>
  </rcc>
  <rcc rId="3614" sId="5">
    <oc r="BF72">
      <f>AA72</f>
    </oc>
    <nc r="BF72">
      <f>AA72</f>
    </nc>
  </rcc>
  <rcc rId="3615" sId="5">
    <oc r="BG72">
      <f>VLOOKUP(A72,INPUT_RANGE,86,FALSE)</f>
    </oc>
    <nc r="BG72">
      <f>VLOOKUP(A72,INPUT_RANGE,86,FALSE)</f>
    </nc>
  </rcc>
  <rcc rId="3616" sId="5">
    <oc r="BH72">
      <f>VLOOKUP(A72,INPUT_RANGE,87,FALSE)</f>
    </oc>
    <nc r="BH72">
      <f>VLOOKUP(A72,INPUT_RANGE,87,FALSE)</f>
    </nc>
  </rcc>
  <rcc rId="3617" sId="5">
    <oc r="BI72">
      <f>VLOOKUP(A72,INPUT_RANGE,81,FALSE) &amp; " SAVES"</f>
    </oc>
    <nc r="BI72">
      <f>VLOOKUP(A72,INPUT_RANGE,81,FALSE) &amp; " SAVES"</f>
    </nc>
  </rcc>
  <rcc rId="3618" sId="5">
    <oc r="BJ72">
      <f>VLOOKUP(A72,INPUT_RANGE,81,FALSE)</f>
    </oc>
    <nc r="BJ72">
      <f>VLOOKUP(A72,INPUT_RANGE,81,FALSE)</f>
    </nc>
  </rcc>
  <rcc rId="3619" sId="5">
    <oc r="BK72">
      <f>VLOOKUP(A72,INPUT_RANGE,83,FALSE)</f>
    </oc>
    <nc r="BK72">
      <f>VLOOKUP(A72,INPUT_RANGE,83,FALSE)</f>
    </nc>
  </rcc>
  <rcc rId="3620" sId="5">
    <oc r="BL72">
      <f>VLOOKUP(A72,INPUT_RANGE,87,FALSE) &amp; "/" &amp; VLOOKUP(A72,INPUT_RANGE,86,FALSE)</f>
    </oc>
    <nc r="BL72">
      <f>VLOOKUP(A72,INPUT_RANGE,87,FALSE) &amp; "/" &amp; VLOOKUP(A72,INPUT_RANGE,86,FALSE)</f>
    </nc>
  </rcc>
  <rcc rId="3621" sId="5">
    <oc r="BM72">
      <f>ROUND((VLOOKUP(A72,INPUT_RANGE,86,FALSE)+VLOOKUP(A72,INPUT_RANGE,83,FALSE))/AS72,2)</f>
    </oc>
    <nc r="BM72">
      <f>ROUND((VLOOKUP(A72,INPUT_RANGE,86,FALSE)+VLOOKUP(A72,INPUT_RANGE,83,FALSE))/AS72,2)</f>
    </nc>
  </rcc>
  <rcc rId="3622" sId="5">
    <oc r="M73">
      <f xml:space="preserve"> TEXT(AW73,".000") &amp; " ba"</f>
    </oc>
    <nc r="M73">
      <f xml:space="preserve"> TEXT(AW73,".000") &amp; " BA"</f>
    </nc>
  </rcc>
  <rcc rId="3623" sId="5">
    <oc r="N73">
      <f>VLOOKUP(A73,INPUT_RANGE,58,FALSE) &amp; " rbi"</f>
    </oc>
    <nc r="N73">
      <f>VLOOKUP(A73,INPUT_RANGE,58,FALSE) &amp; " RBI"</f>
    </nc>
  </rcc>
  <rcc rId="3624" sId="5">
    <oc r="O73">
      <f>VLOOKUP(A73,INPUT_RANGE,60,FALSE) &amp; " bb"</f>
    </oc>
    <nc r="O73">
      <f>VLOOKUP(A73,INPUT_RANGE,60,FALSE) &amp; " BB"</f>
    </nc>
  </rcc>
  <rcc rId="3625" sId="5">
    <oc r="P73">
      <f>VLOOKUP(A73,INPUT_RANGE,61,FALSE) &amp; " k"</f>
    </oc>
    <nc r="P73">
      <f>VLOOKUP(A73,INPUT_RANGE,61,FALSE) &amp; " K"</f>
    </nc>
  </rcc>
  <rcc rId="3626" sId="5">
    <oc r="Q73">
      <f>VLOOKUP(A73,INPUT_RANGE,64,FALSE) &amp; " sb"</f>
    </oc>
    <nc r="Q73">
      <f>VLOOKUP(A73,INPUT_RANGE,64,FALSE) &amp; " SB"</f>
    </nc>
  </rcc>
  <rcc rId="3627" sId="5">
    <oc r="R73">
      <f>VLOOKUP(A73,INPUT_RANGE,55,FALSE) &amp; " 2b"</f>
    </oc>
    <nc r="R73">
      <f>VLOOKUP(A73,INPUT_RANGE,55,FALSE) &amp; " 2B"</f>
    </nc>
  </rcc>
  <rcc rId="3628" sId="5">
    <oc r="S73">
      <f>VLOOKUP(A73,INPUT_RANGE,56,FALSE) &amp; " 3b"</f>
    </oc>
    <nc r="S73">
      <f>VLOOKUP(A73,INPUT_RANGE,56,FALSE) &amp; " 3B"</f>
    </nc>
  </rcc>
  <rcc rId="3629" sId="5">
    <oc r="T73">
      <f>VLOOKUP(A73,INPUT_RANGE,57,FALSE) &amp; " hr"</f>
    </oc>
    <nc r="T73">
      <f>VLOOKUP(A73,INPUT_RANGE,57,FALSE) &amp; " HR"</f>
    </nc>
  </rcc>
  <rcc rId="3630" sId="5">
    <oc r="U73">
      <f>VLOOKUP(A73,INPUT_RANGE,53,FALSE) &amp; " r"</f>
    </oc>
    <nc r="U73">
      <f>VLOOKUP(A73,INPUT_RANGE,53,FALSE) &amp; " R"</f>
    </nc>
  </rcc>
  <rcc rId="3631" sId="5">
    <oc r="V73">
      <f>TEXT(AX73, ".000") &amp; " obp"</f>
    </oc>
    <nc r="V73">
      <f>TEXT(AX73, ".000") &amp; " OBP"</f>
    </nc>
  </rcc>
  <rcc rId="3632" sId="5">
    <oc r="X73">
      <f>VLOOKUP(A73,INPUT_RANGE,77,FALSE)&amp;" games"</f>
    </oc>
    <nc r="X73">
      <f>VLOOKUP(A73,INPUT_RANGE,77,FALSE)&amp;" games"</f>
    </nc>
  </rcc>
  <rcc rId="3633" sId="5">
    <oc r="Y73">
      <f>VLOOKUP(A73,INPUT_RANGE,78,FALSE) &amp; " starts"</f>
    </oc>
    <nc r="Y73">
      <f>VLOOKUP(A73,INPUT_RANGE,78,FALSE) &amp; " starts"</f>
    </nc>
  </rcc>
  <rcc rId="3634" sId="5">
    <oc r="Z73">
      <f>VLOOKUP(A73,INPUT_RANGE,82,FALSE) &amp; " ip"</f>
    </oc>
    <nc r="Z73">
      <f>VLOOKUP(A73,INPUT_RANGE,82,FALSE) &amp; " IP"</f>
    </nc>
  </rcc>
  <rcc rId="3635" sId="5">
    <oc r="AA73">
      <f>TRUNC(VLOOKUP(A73,INPUT_RANGE,82,FALSE)) &amp;  IF(AR73=0.333,"º",IF(AR73=0.666,"»",""))</f>
    </oc>
    <nc r="AA73">
      <f>TRUNC(VLOOKUP(A73,INPUT_RANGE,82,FALSE)) &amp;  IF(AR73=0.333,"º",IF(AR73=0.666,"»",""))</f>
    </nc>
  </rcc>
  <rcc rId="3636" sId="5">
    <oc r="AB73">
      <f>AA73&amp; " ip"</f>
    </oc>
    <nc r="AB73">
      <f>AA73&amp; " IP"</f>
    </nc>
  </rcc>
  <rcc rId="3637" sId="5">
    <oc r="AC73">
      <f>VLOOKUP(A73,INPUT_RANGE,79,FALSE) &amp; " cg"</f>
    </oc>
    <nc r="AC73">
      <f>VLOOKUP(A73,INPUT_RANGE,79,FALSE) &amp; " CG"</f>
    </nc>
  </rcc>
  <rcc rId="3638" sId="5">
    <oc r="AD73">
      <f>VLOOKUP(A73,INPUT_RANGE,80,FALSE) &amp; " sho"</f>
    </oc>
    <nc r="AD73">
      <f>VLOOKUP(A73,INPUT_RANGE,80,FALSE) &amp; " SHO"</f>
    </nc>
  </rcc>
  <rcc rId="3639" sId="5">
    <oc r="AE73">
      <f>VLOOKUP(A73,INPUT_RANGE,75,FALSE) &amp; " win"</f>
    </oc>
    <nc r="AE73">
      <f>VLOOKUP(A73,INPUT_RANGE,75,FALSE) &amp; " Win"</f>
    </nc>
  </rcc>
  <rcc rId="3640" sId="5">
    <oc r="AF73">
      <f>VLOOKUP(A73,INPUT_RANGE,76,FALSE) &amp; " loss"</f>
    </oc>
    <nc r="AF73">
      <f>VLOOKUP(A73,INPUT_RANGE,76,FALSE) &amp; " Loss"</f>
    </nc>
  </rcc>
  <rcc rId="3641" sId="5">
    <oc r="AG73">
      <f>VLOOKUP(A73,INPUT_RANGE,75,FALSE) &amp; "-" &amp; VLOOKUP(A73,INPUT_RANGE,76,FALSE) &amp; " w-l"</f>
    </oc>
    <nc r="AG73">
      <f>VLOOKUP(A73,INPUT_RANGE,75,FALSE) &amp; "-" &amp; VLOOKUP(A73,INPUT_RANGE,76,FALSE) &amp; " W-L"</f>
    </nc>
  </rcc>
  <rcc rId="3642" sId="5">
    <oc r="AH73">
      <f>VLOOKUP(A73,INPUT_RANGE,81,FALSE)&amp; " saves"</f>
    </oc>
    <nc r="AH73">
      <f>VLOOKUP(A73,INPUT_RANGE,81,FALSE)&amp; " Saves"</f>
    </nc>
  </rcc>
  <rcc rId="3643" sId="5">
    <oc r="AI73">
      <f>VLOOKUP(A73,INPUT_RANGE,83,FALSE) &amp; " h"</f>
    </oc>
    <nc r="AI73">
      <f>VLOOKUP(A73,INPUT_RANGE,83,FALSE) &amp; " H"</f>
    </nc>
  </rcc>
  <rcc rId="3644" sId="5">
    <oc r="AJ73">
      <f>VLOOKUP(A73,INPUT_RANGE,84,FALSE) &amp; " r"</f>
    </oc>
    <nc r="AJ73">
      <f>VLOOKUP(A73,INPUT_RANGE,84,FALSE) &amp; " R"</f>
    </nc>
  </rcc>
  <rcc rId="3645" sId="5">
    <oc r="AK73">
      <f>VLOOKUP(A73,INPUT_RANGE,85,FALSE) &amp;" er"</f>
    </oc>
    <nc r="AK73">
      <f>VLOOKUP(A73,INPUT_RANGE,85,FALSE) &amp;" ER"</f>
    </nc>
  </rcc>
  <rcc rId="3646" sId="5">
    <oc r="AL73">
      <f>VLOOKUP(A73,INPUT_RANGE,88,FALSE) &amp;" hr"</f>
    </oc>
    <nc r="AL73">
      <f>VLOOKUP(A73,INPUT_RANGE,88,FALSE) &amp;" HR"</f>
    </nc>
  </rcc>
  <rcc rId="3647" sId="5">
    <oc r="AM73">
      <f>VLOOKUP(A73,INPUT_RANGE,87,FALSE) &amp; " k"</f>
    </oc>
    <nc r="AM73">
      <f>VLOOKUP(A73,INPUT_RANGE,87,FALSE) &amp; " K"</f>
    </nc>
  </rcc>
  <rcc rId="3648" sId="5">
    <oc r="AN73">
      <f>VLOOKUP(A73,INPUT_RANGE,86,FALSE) &amp; " bb"</f>
    </oc>
    <nc r="AN73">
      <f>VLOOKUP(A73,INPUT_RANGE,86,FALSE) &amp; " BB"</f>
    </nc>
  </rcc>
  <rcc rId="3649" sId="5">
    <oc r="AO73">
      <f>TEXT(AU73,"0.00") &amp; " era"</f>
    </oc>
    <nc r="AO73">
      <f>TEXT(AU73,"0.00") &amp; " ERA"</f>
    </nc>
  </rcc>
  <rcc rId="3650" sId="5">
    <oc r="AP73">
      <f>TEXT(AT73,"0.00") &amp; " whip"</f>
    </oc>
    <nc r="AP73">
      <f>TEXT(AT73,"0.00") &amp; " WHIP"</f>
    </nc>
  </rcc>
  <rcc rId="3651" sId="5">
    <oc r="AQ73">
      <f xml:space="preserve"> IF(LEFT(RIGHT((VLOOKUP(A73,INPUT_RANGE,82,FALSE)),2),1)=".",RIGHT(VLOOKUP(A73,INPUT_RANGE,82,FALSE),1), "X")</f>
    </oc>
    <nc r="AQ73">
      <f xml:space="preserve"> IF(LEFT(RIGHT((VLOOKUP(A73,INPUT_RANGE,82,FALSE)),2),1)=".",RIGHT(VLOOKUP(A73,INPUT_RANGE,82,FALSE),1), "X")</f>
    </nc>
  </rcc>
  <rcc rId="3652" sId="5">
    <oc r="AR73">
      <f>IF(AQ73 ="1",0.333,IF(AQ73="2",0.666,0))</f>
    </oc>
    <nc r="AR73">
      <f>IF(AQ73 ="1",0.333,IF(AQ73="2",0.666,0))</f>
    </nc>
  </rcc>
  <rcc rId="3653" sId="5">
    <oc r="AS73">
      <f>VLOOKUP(A73,INPUT_RANGE,82,FALSE)-(AQ73*0.1)+AR73</f>
    </oc>
    <nc r="AS73">
      <f>VLOOKUP(A73,INPUT_RANGE,82,FALSE)-(AQ73*0.1)+AR73</f>
    </nc>
  </rcc>
  <rcc rId="3654" sId="5">
    <oc r="AT73">
      <f>ROUND((VLOOKUP(A73,INPUT_RANGE,86,FALSE)+VLOOKUP(A73,INPUT_RANGE,83,FALSE))/AS73,2)</f>
    </oc>
    <nc r="AT73">
      <f>ROUND((VLOOKUP(A73,INPUT_RANGE,86,FALSE)+VLOOKUP(A73,INPUT_RANGE,83,FALSE))/AS73,2)</f>
    </nc>
  </rcc>
  <rcc rId="3655" sId="5">
    <oc r="AU73">
      <f>ROUND((VLOOKUP(A73,INPUT_RANGE,85,FALSE)/AS73)*('Team Info'!$H$25),2)</f>
    </oc>
    <nc r="AU73">
      <f>ROUND((VLOOKUP(A73,INPUT_RANGE,85,FALSE)/AS73)*('D:\Data\Softball\[ESPN_BASEBALL_AWAY_OLD.xlsx]Team Info'!$H$25),2)</f>
    </nc>
  </rcc>
  <rcc rId="3656" sId="5">
    <oc r="AW73">
      <f>(VLOOKUP(A73,INPUT_RANGE,54,FALSE)/VLOOKUP(A73,INPUT_RANGE,52,FALSE))</f>
    </oc>
    <nc r="AW73">
      <f>(VLOOKUP(A73,INPUT_RANGE,54,FALSE)/VLOOKUP(A73,INPUT_RANGE,52,FALSE))</f>
    </nc>
  </rcc>
  <rcc rId="3657" sId="5">
    <oc r="AX73">
      <f>((VLOOKUP(A73,INPUT_RANGE,54,FALSE)+VLOOKUP(A73,INPUT_RANGE,60,FALSE)+VLOOKUP(A73,INPUT_RANGE,59,FALSE))/(VLOOKUP(A73,INPUT_RANGE,52,FALSE)+VLOOKUP(A73,INPUT_RANGE,60,FALSE)+VLOOKUP(A73,INPUT_RANGE,59,FALSE)+VLOOKUP(A73,INPUT_RANGE,63,FALSE)))</f>
    </oc>
    <nc r="AX73">
      <f>((VLOOKUP(A73,INPUT_RANGE,54,FALSE)+VLOOKUP(A73,INPUT_RANGE,60,FALSE)+VLOOKUP(A73,INPUT_RANGE,59,FALSE))/(VLOOKUP(A73,INPUT_RANGE,52,FALSE)+VLOOKUP(A73,INPUT_RANGE,60,FALSE)+VLOOKUP(A73,INPUT_RANGE,59,FALSE)+VLOOKUP(A73,INPUT_RANGE,63,FALSE)))</f>
    </nc>
  </rcc>
  <rcc rId="3658" sId="5">
    <oc r="AY73">
      <f>(VLOOKUP(A73,INPUT_RANGE,54)+VLOOKUP(A73,INPUT_RANGE,55)+(VLOOKUP(A73,INPUT_RANGE,56)*2)+(VLOOKUP(A73,INPUT_RANGE,57)*3))/(VLOOKUP(A73,INPUT_RANGE,52))</f>
    </oc>
    <nc r="AY73">
      <f>(VLOOKUP(A73,INPUT_RANGE,54)+VLOOKUP(A73,INPUT_RANGE,55)+(VLOOKUP(A73,INPUT_RANGE,56)*2)+(VLOOKUP(A73,INPUT_RANGE,57)*3))/(VLOOKUP(A73,INPUT_RANGE,52))</f>
    </nc>
  </rcc>
  <rcc rId="3659" sId="5">
    <oc r="AZ73">
      <f>AX73+AY73</f>
    </oc>
    <nc r="AZ73">
      <f>AX73+AY73</f>
    </nc>
  </rcc>
  <rcc rId="3660" sId="5">
    <oc r="BA73">
      <f xml:space="preserve"> TEXT(AZ73,".000") &amp; " ops"</f>
    </oc>
    <nc r="BA73">
      <f xml:space="preserve"> TEXT(AZ73,".000") &amp; " OPS"</f>
    </nc>
  </rcc>
  <rcc rId="3661" sId="5">
    <oc r="BB73">
      <f>VLOOKUP(A73,INPUT_RANGE,78,FALSE)</f>
    </oc>
    <nc r="BB73">
      <f>VLOOKUP(A73,INPUT_RANGE,78,FALSE)</f>
    </nc>
  </rcc>
  <rcc rId="3662" sId="5">
    <oc r="BC73">
      <f>VLOOKUP(A73,INPUT_RANGE,77,FALSE)</f>
    </oc>
    <nc r="BC73">
      <f>VLOOKUP(A73,INPUT_RANGE,77,FALSE)</f>
    </nc>
  </rcc>
  <rcc rId="3663" sId="5">
    <oc r="BD73">
      <f>VLOOKUP(A73,INPUT_RANGE,75,FALSE) &amp; "-" &amp; VLOOKUP(A73,INPUT_RANGE,76,FALSE)</f>
    </oc>
    <nc r="BD73">
      <f>VLOOKUP(A73,INPUT_RANGE,75,FALSE) &amp; "-" &amp; VLOOKUP(A73,INPUT_RANGE,76,FALSE)</f>
    </nc>
  </rcc>
  <rcc rId="3664" sId="5">
    <oc r="BE73">
      <f>AU73</f>
    </oc>
    <nc r="BE73">
      <f>AU73</f>
    </nc>
  </rcc>
  <rcc rId="3665" sId="5">
    <oc r="BF73">
      <f>AA73</f>
    </oc>
    <nc r="BF73">
      <f>AA73</f>
    </nc>
  </rcc>
  <rcc rId="3666" sId="5">
    <oc r="BG73">
      <f>VLOOKUP(A73,INPUT_RANGE,86,FALSE)</f>
    </oc>
    <nc r="BG73">
      <f>VLOOKUP(A73,INPUT_RANGE,86,FALSE)</f>
    </nc>
  </rcc>
  <rcc rId="3667" sId="5">
    <oc r="BH73">
      <f>VLOOKUP(A73,INPUT_RANGE,87,FALSE)</f>
    </oc>
    <nc r="BH73">
      <f>VLOOKUP(A73,INPUT_RANGE,87,FALSE)</f>
    </nc>
  </rcc>
  <rcc rId="3668" sId="5">
    <oc r="BI73">
      <f>VLOOKUP(A73,INPUT_RANGE,81,FALSE) &amp; " SAVES"</f>
    </oc>
    <nc r="BI73">
      <f>VLOOKUP(A73,INPUT_RANGE,81,FALSE) &amp; " SAVES"</f>
    </nc>
  </rcc>
  <rcc rId="3669" sId="5">
    <oc r="BJ73">
      <f>VLOOKUP(A73,INPUT_RANGE,81,FALSE)</f>
    </oc>
    <nc r="BJ73">
      <f>VLOOKUP(A73,INPUT_RANGE,81,FALSE)</f>
    </nc>
  </rcc>
  <rcc rId="3670" sId="5">
    <oc r="BK73">
      <f>VLOOKUP(A73,INPUT_RANGE,83,FALSE)</f>
    </oc>
    <nc r="BK73">
      <f>VLOOKUP(A73,INPUT_RANGE,83,FALSE)</f>
    </nc>
  </rcc>
  <rcc rId="3671" sId="5">
    <oc r="BL73">
      <f>VLOOKUP(A73,INPUT_RANGE,87,FALSE) &amp; "/" &amp; VLOOKUP(A73,INPUT_RANGE,86,FALSE)</f>
    </oc>
    <nc r="BL73">
      <f>VLOOKUP(A73,INPUT_RANGE,87,FALSE) &amp; "/" &amp; VLOOKUP(A73,INPUT_RANGE,86,FALSE)</f>
    </nc>
  </rcc>
  <rcc rId="3672" sId="5">
    <oc r="BM73">
      <f>ROUND((VLOOKUP(A73,INPUT_RANGE,86,FALSE)+VLOOKUP(A73,INPUT_RANGE,83,FALSE))/AS73,2)</f>
    </oc>
    <nc r="BM73">
      <f>ROUND((VLOOKUP(A73,INPUT_RANGE,86,FALSE)+VLOOKUP(A73,INPUT_RANGE,83,FALSE))/AS73,2)</f>
    </nc>
  </rcc>
  <rcc rId="3673" sId="5">
    <oc r="M74">
      <f xml:space="preserve"> TEXT(AW74,".000") &amp; " ba"</f>
    </oc>
    <nc r="M74">
      <f xml:space="preserve"> TEXT(AW74,".000") &amp; " BA"</f>
    </nc>
  </rcc>
  <rcc rId="3674" sId="5">
    <oc r="N74">
      <f>VLOOKUP(A74,INPUT_RANGE,58,FALSE) &amp; " rbi"</f>
    </oc>
    <nc r="N74">
      <f>VLOOKUP(A74,INPUT_RANGE,58,FALSE) &amp; " RBI"</f>
    </nc>
  </rcc>
  <rcc rId="3675" sId="5">
    <oc r="O74">
      <f>VLOOKUP(A74,INPUT_RANGE,60,FALSE) &amp; " bb"</f>
    </oc>
    <nc r="O74">
      <f>VLOOKUP(A74,INPUT_RANGE,60,FALSE) &amp; " BB"</f>
    </nc>
  </rcc>
  <rcc rId="3676" sId="5">
    <oc r="P74">
      <f>VLOOKUP(A74,INPUT_RANGE,61,FALSE) &amp; " k"</f>
    </oc>
    <nc r="P74">
      <f>VLOOKUP(A74,INPUT_RANGE,61,FALSE) &amp; " K"</f>
    </nc>
  </rcc>
  <rcc rId="3677" sId="5">
    <oc r="Q74">
      <f>VLOOKUP(A74,INPUT_RANGE,64,FALSE) &amp; " sb"</f>
    </oc>
    <nc r="Q74">
      <f>VLOOKUP(A74,INPUT_RANGE,64,FALSE) &amp; " SB"</f>
    </nc>
  </rcc>
  <rcc rId="3678" sId="5">
    <oc r="R74">
      <f>VLOOKUP(A74,INPUT_RANGE,55,FALSE) &amp; " 2b"</f>
    </oc>
    <nc r="R74">
      <f>VLOOKUP(A74,INPUT_RANGE,55,FALSE) &amp; " 2B"</f>
    </nc>
  </rcc>
  <rcc rId="3679" sId="5">
    <oc r="S74">
      <f>VLOOKUP(A74,INPUT_RANGE,56,FALSE) &amp; " 3b"</f>
    </oc>
    <nc r="S74">
      <f>VLOOKUP(A74,INPUT_RANGE,56,FALSE) &amp; " 3B"</f>
    </nc>
  </rcc>
  <rcc rId="3680" sId="5">
    <oc r="T74">
      <f>VLOOKUP(A74,INPUT_RANGE,57,FALSE) &amp; " hr"</f>
    </oc>
    <nc r="T74">
      <f>VLOOKUP(A74,INPUT_RANGE,57,FALSE) &amp; " HR"</f>
    </nc>
  </rcc>
  <rcc rId="3681" sId="5">
    <oc r="U74">
      <f>VLOOKUP(A74,INPUT_RANGE,53,FALSE) &amp; " r"</f>
    </oc>
    <nc r="U74">
      <f>VLOOKUP(A74,INPUT_RANGE,53,FALSE) &amp; " R"</f>
    </nc>
  </rcc>
  <rcc rId="3682" sId="5">
    <oc r="V74">
      <f>TEXT(AX74, ".000") &amp; " obp"</f>
    </oc>
    <nc r="V74">
      <f>TEXT(AX74, ".000") &amp; " OBP"</f>
    </nc>
  </rcc>
  <rcc rId="3683" sId="5">
    <oc r="X74">
      <f>VLOOKUP(A74,INPUT_RANGE,77,FALSE)&amp;" games"</f>
    </oc>
    <nc r="X74">
      <f>VLOOKUP(A74,INPUT_RANGE,77,FALSE)&amp;" games"</f>
    </nc>
  </rcc>
  <rcc rId="3684" sId="5">
    <oc r="Y74">
      <f>VLOOKUP(A74,INPUT_RANGE,78,FALSE) &amp; " starts"</f>
    </oc>
    <nc r="Y74">
      <f>VLOOKUP(A74,INPUT_RANGE,78,FALSE) &amp; " starts"</f>
    </nc>
  </rcc>
  <rcc rId="3685" sId="5">
    <oc r="Z74">
      <f>VLOOKUP(A74,INPUT_RANGE,82,FALSE) &amp; " ip"</f>
    </oc>
    <nc r="Z74">
      <f>VLOOKUP(A74,INPUT_RANGE,82,FALSE) &amp; " IP"</f>
    </nc>
  </rcc>
  <rcc rId="3686" sId="5">
    <oc r="AA74">
      <f>TRUNC(VLOOKUP(A74,INPUT_RANGE,82,FALSE)) &amp;  IF(AR74=0.333,"º",IF(AR74=0.666,"»",""))</f>
    </oc>
    <nc r="AA74">
      <f>TRUNC(VLOOKUP(A74,INPUT_RANGE,82,FALSE)) &amp;  IF(AR74=0.333,"º",IF(AR74=0.666,"»",""))</f>
    </nc>
  </rcc>
  <rcc rId="3687" sId="5">
    <oc r="AB74">
      <f>AA74&amp; " ip"</f>
    </oc>
    <nc r="AB74">
      <f>AA74&amp; " IP"</f>
    </nc>
  </rcc>
  <rcc rId="3688" sId="5">
    <oc r="AC74">
      <f>VLOOKUP(A74,INPUT_RANGE,79,FALSE) &amp; " cg"</f>
    </oc>
    <nc r="AC74">
      <f>VLOOKUP(A74,INPUT_RANGE,79,FALSE) &amp; " CG"</f>
    </nc>
  </rcc>
  <rcc rId="3689" sId="5">
    <oc r="AD74">
      <f>VLOOKUP(A74,INPUT_RANGE,80,FALSE) &amp; " sho"</f>
    </oc>
    <nc r="AD74">
      <f>VLOOKUP(A74,INPUT_RANGE,80,FALSE) &amp; " SHO"</f>
    </nc>
  </rcc>
  <rcc rId="3690" sId="5">
    <oc r="AE74">
      <f>VLOOKUP(A74,INPUT_RANGE,75,FALSE) &amp; " win"</f>
    </oc>
    <nc r="AE74">
      <f>VLOOKUP(A74,INPUT_RANGE,75,FALSE) &amp; " Win"</f>
    </nc>
  </rcc>
  <rcc rId="3691" sId="5">
    <oc r="AF74">
      <f>VLOOKUP(A74,INPUT_RANGE,76,FALSE) &amp; " loss"</f>
    </oc>
    <nc r="AF74">
      <f>VLOOKUP(A74,INPUT_RANGE,76,FALSE) &amp; " Loss"</f>
    </nc>
  </rcc>
  <rcc rId="3692" sId="5">
    <oc r="AG74">
      <f>VLOOKUP(A74,INPUT_RANGE,75,FALSE) &amp; "-" &amp; VLOOKUP(A74,INPUT_RANGE,76,FALSE) &amp; " w-l"</f>
    </oc>
    <nc r="AG74">
      <f>VLOOKUP(A74,INPUT_RANGE,75,FALSE) &amp; "-" &amp; VLOOKUP(A74,INPUT_RANGE,76,FALSE) &amp; " W-L"</f>
    </nc>
  </rcc>
  <rcc rId="3693" sId="5">
    <oc r="AH74">
      <f>VLOOKUP(A74,INPUT_RANGE,81,FALSE)&amp; " saves"</f>
    </oc>
    <nc r="AH74">
      <f>VLOOKUP(A74,INPUT_RANGE,81,FALSE)&amp; " Saves"</f>
    </nc>
  </rcc>
  <rcc rId="3694" sId="5">
    <oc r="AI74">
      <f>VLOOKUP(A74,INPUT_RANGE,83,FALSE) &amp; " h"</f>
    </oc>
    <nc r="AI74">
      <f>VLOOKUP(A74,INPUT_RANGE,83,FALSE) &amp; " H"</f>
    </nc>
  </rcc>
  <rcc rId="3695" sId="5">
    <oc r="AJ74">
      <f>VLOOKUP(A74,INPUT_RANGE,84,FALSE) &amp; " r"</f>
    </oc>
    <nc r="AJ74">
      <f>VLOOKUP(A74,INPUT_RANGE,84,FALSE) &amp; " R"</f>
    </nc>
  </rcc>
  <rcc rId="3696" sId="5">
    <oc r="AK74">
      <f>VLOOKUP(A74,INPUT_RANGE,85,FALSE) &amp;" er"</f>
    </oc>
    <nc r="AK74">
      <f>VLOOKUP(A74,INPUT_RANGE,85,FALSE) &amp;" ER"</f>
    </nc>
  </rcc>
  <rcc rId="3697" sId="5">
    <oc r="AL74">
      <f>VLOOKUP(A74,INPUT_RANGE,88,FALSE) &amp;" hr"</f>
    </oc>
    <nc r="AL74">
      <f>VLOOKUP(A74,INPUT_RANGE,88,FALSE) &amp;" HR"</f>
    </nc>
  </rcc>
  <rcc rId="3698" sId="5">
    <oc r="AM74">
      <f>VLOOKUP(A74,INPUT_RANGE,87,FALSE) &amp; " k"</f>
    </oc>
    <nc r="AM74">
      <f>VLOOKUP(A74,INPUT_RANGE,87,FALSE) &amp; " K"</f>
    </nc>
  </rcc>
  <rcc rId="3699" sId="5">
    <oc r="AN74">
      <f>VLOOKUP(A74,INPUT_RANGE,86,FALSE) &amp; " bb"</f>
    </oc>
    <nc r="AN74">
      <f>VLOOKUP(A74,INPUT_RANGE,86,FALSE) &amp; " BB"</f>
    </nc>
  </rcc>
  <rcc rId="3700" sId="5">
    <oc r="AO74">
      <f>TEXT(AU74,"0.00") &amp; " era"</f>
    </oc>
    <nc r="AO74">
      <f>TEXT(AU74,"0.00") &amp; " ERA"</f>
    </nc>
  </rcc>
  <rcc rId="3701" sId="5">
    <oc r="AP74">
      <f>TEXT(AT74,"0.00") &amp; " whip"</f>
    </oc>
    <nc r="AP74">
      <f>TEXT(AT74,"0.00") &amp; " WHIP"</f>
    </nc>
  </rcc>
  <rcc rId="3702" sId="5">
    <oc r="AQ74">
      <f xml:space="preserve"> IF(LEFT(RIGHT((VLOOKUP(A74,INPUT_RANGE,82,FALSE)),2),1)=".",RIGHT(VLOOKUP(A74,INPUT_RANGE,82,FALSE),1), "X")</f>
    </oc>
    <nc r="AQ74">
      <f xml:space="preserve"> IF(LEFT(RIGHT((VLOOKUP(A74,INPUT_RANGE,82,FALSE)),2),1)=".",RIGHT(VLOOKUP(A74,INPUT_RANGE,82,FALSE),1), "X")</f>
    </nc>
  </rcc>
  <rcc rId="3703" sId="5">
    <oc r="AR74">
      <f>IF(AQ74 ="1",0.333,IF(AQ74="2",0.666,0))</f>
    </oc>
    <nc r="AR74">
      <f>IF(AQ74 ="1",0.333,IF(AQ74="2",0.666,0))</f>
    </nc>
  </rcc>
  <rcc rId="3704" sId="5">
    <oc r="AS74">
      <f>VLOOKUP(A74,INPUT_RANGE,82,FALSE)-(AQ74*0.1)+AR74</f>
    </oc>
    <nc r="AS74">
      <f>VLOOKUP(A74,INPUT_RANGE,82,FALSE)-(AQ74*0.1)+AR74</f>
    </nc>
  </rcc>
  <rcc rId="3705" sId="5">
    <oc r="AT74">
      <f>ROUND((VLOOKUP(A74,INPUT_RANGE,86,FALSE)+VLOOKUP(A74,INPUT_RANGE,83,FALSE))/AS74,2)</f>
    </oc>
    <nc r="AT74">
      <f>ROUND((VLOOKUP(A74,INPUT_RANGE,86,FALSE)+VLOOKUP(A74,INPUT_RANGE,83,FALSE))/AS74,2)</f>
    </nc>
  </rcc>
  <rcc rId="3706" sId="5">
    <oc r="AU74">
      <f>ROUND((VLOOKUP(A74,INPUT_RANGE,85,FALSE)/AS74)*('Team Info'!$H$25),2)</f>
    </oc>
    <nc r="AU74">
      <f>ROUND((VLOOKUP(A74,INPUT_RANGE,85,FALSE)/AS74)*('D:\Data\Softball\[ESPN_BASEBALL_AWAY_OLD.xlsx]Team Info'!$H$25),2)</f>
    </nc>
  </rcc>
  <rcc rId="3707" sId="5">
    <oc r="AW74">
      <f>(VLOOKUP(A74,INPUT_RANGE,54,FALSE)/VLOOKUP(A74,INPUT_RANGE,52,FALSE))</f>
    </oc>
    <nc r="AW74">
      <f>(VLOOKUP(A74,INPUT_RANGE,54,FALSE)/VLOOKUP(A74,INPUT_RANGE,52,FALSE))</f>
    </nc>
  </rcc>
  <rcc rId="3708" sId="5">
    <oc r="AX74">
      <f>((VLOOKUP(A74,INPUT_RANGE,54,FALSE)+VLOOKUP(A74,INPUT_RANGE,60,FALSE)+VLOOKUP(A74,INPUT_RANGE,59,FALSE))/(VLOOKUP(A74,INPUT_RANGE,52,FALSE)+VLOOKUP(A74,INPUT_RANGE,60,FALSE)+VLOOKUP(A74,INPUT_RANGE,59,FALSE)+VLOOKUP(A74,INPUT_RANGE,63,FALSE)))</f>
    </oc>
    <nc r="AX74">
      <f>((VLOOKUP(A74,INPUT_RANGE,54,FALSE)+VLOOKUP(A74,INPUT_RANGE,60,FALSE)+VLOOKUP(A74,INPUT_RANGE,59,FALSE))/(VLOOKUP(A74,INPUT_RANGE,52,FALSE)+VLOOKUP(A74,INPUT_RANGE,60,FALSE)+VLOOKUP(A74,INPUT_RANGE,59,FALSE)+VLOOKUP(A74,INPUT_RANGE,63,FALSE)))</f>
    </nc>
  </rcc>
  <rcc rId="3709" sId="5">
    <oc r="AY74">
      <f>(VLOOKUP(A74,INPUT_RANGE,54)+VLOOKUP(A74,INPUT_RANGE,55)+(VLOOKUP(A74,INPUT_RANGE,56)*2)+(VLOOKUP(A74,INPUT_RANGE,57)*3))/(VLOOKUP(A74,INPUT_RANGE,52))</f>
    </oc>
    <nc r="AY74">
      <f>(VLOOKUP(A74,INPUT_RANGE,54)+VLOOKUP(A74,INPUT_RANGE,55)+(VLOOKUP(A74,INPUT_RANGE,56)*2)+(VLOOKUP(A74,INPUT_RANGE,57)*3))/(VLOOKUP(A74,INPUT_RANGE,52))</f>
    </nc>
  </rcc>
  <rcc rId="3710" sId="5">
    <oc r="AZ74">
      <f>AX74+AY74</f>
    </oc>
    <nc r="AZ74">
      <f>AX74+AY74</f>
    </nc>
  </rcc>
  <rcc rId="3711" sId="5">
    <oc r="BA74">
      <f xml:space="preserve"> TEXT(AZ74,".000") &amp; " ops"</f>
    </oc>
    <nc r="BA74">
      <f xml:space="preserve"> TEXT(AZ74,".000") &amp; " OPS"</f>
    </nc>
  </rcc>
  <rcc rId="3712" sId="5">
    <oc r="BB74">
      <f>VLOOKUP(A74,INPUT_RANGE,78,FALSE)</f>
    </oc>
    <nc r="BB74">
      <f>VLOOKUP(A74,INPUT_RANGE,78,FALSE)</f>
    </nc>
  </rcc>
  <rcc rId="3713" sId="5">
    <oc r="BC74">
      <f>VLOOKUP(A74,INPUT_RANGE,77,FALSE)</f>
    </oc>
    <nc r="BC74">
      <f>VLOOKUP(A74,INPUT_RANGE,77,FALSE)</f>
    </nc>
  </rcc>
  <rcc rId="3714" sId="5">
    <oc r="BD74">
      <f>VLOOKUP(A74,INPUT_RANGE,75,FALSE) &amp; "-" &amp; VLOOKUP(A74,INPUT_RANGE,76,FALSE)</f>
    </oc>
    <nc r="BD74">
      <f>VLOOKUP(A74,INPUT_RANGE,75,FALSE) &amp; "-" &amp; VLOOKUP(A74,INPUT_RANGE,76,FALSE)</f>
    </nc>
  </rcc>
  <rcc rId="3715" sId="5">
    <oc r="BE74">
      <f>AU74</f>
    </oc>
    <nc r="BE74">
      <f>AU74</f>
    </nc>
  </rcc>
  <rcc rId="3716" sId="5">
    <oc r="BF74">
      <f>AA74</f>
    </oc>
    <nc r="BF74">
      <f>AA74</f>
    </nc>
  </rcc>
  <rcc rId="3717" sId="5">
    <oc r="BG74">
      <f>VLOOKUP(A74,INPUT_RANGE,86,FALSE)</f>
    </oc>
    <nc r="BG74">
      <f>VLOOKUP(A74,INPUT_RANGE,86,FALSE)</f>
    </nc>
  </rcc>
  <rcc rId="3718" sId="5">
    <oc r="BH74">
      <f>VLOOKUP(A74,INPUT_RANGE,87,FALSE)</f>
    </oc>
    <nc r="BH74">
      <f>VLOOKUP(A74,INPUT_RANGE,87,FALSE)</f>
    </nc>
  </rcc>
  <rcc rId="3719" sId="5">
    <oc r="BI74">
      <f>VLOOKUP(A74,INPUT_RANGE,81,FALSE) &amp; " SAVES"</f>
    </oc>
    <nc r="BI74">
      <f>VLOOKUP(A74,INPUT_RANGE,81,FALSE) &amp; " SAVES"</f>
    </nc>
  </rcc>
  <rcc rId="3720" sId="5">
    <oc r="BJ74">
      <f>VLOOKUP(A74,INPUT_RANGE,81,FALSE)</f>
    </oc>
    <nc r="BJ74">
      <f>VLOOKUP(A74,INPUT_RANGE,81,FALSE)</f>
    </nc>
  </rcc>
  <rcc rId="3721" sId="5">
    <oc r="BK74">
      <f>VLOOKUP(A74,INPUT_RANGE,83,FALSE)</f>
    </oc>
    <nc r="BK74">
      <f>VLOOKUP(A74,INPUT_RANGE,83,FALSE)</f>
    </nc>
  </rcc>
  <rcc rId="3722" sId="5">
    <oc r="BL74">
      <f>VLOOKUP(A74,INPUT_RANGE,87,FALSE) &amp; "/" &amp; VLOOKUP(A74,INPUT_RANGE,86,FALSE)</f>
    </oc>
    <nc r="BL74">
      <f>VLOOKUP(A74,INPUT_RANGE,87,FALSE) &amp; "/" &amp; VLOOKUP(A74,INPUT_RANGE,86,FALSE)</f>
    </nc>
  </rcc>
  <rcc rId="3723" sId="5">
    <oc r="BM74">
      <f>ROUND((VLOOKUP(A74,INPUT_RANGE,86,FALSE)+VLOOKUP(A74,INPUT_RANGE,83,FALSE))/AS74,2)</f>
    </oc>
    <nc r="BM74">
      <f>ROUND((VLOOKUP(A74,INPUT_RANGE,86,FALSE)+VLOOKUP(A74,INPUT_RANGE,83,FALSE))/AS74,2)</f>
    </nc>
  </rcc>
  <rcc rId="3724" sId="5">
    <oc r="M75">
      <f xml:space="preserve"> TEXT(AW75,".000") &amp; " ba"</f>
    </oc>
    <nc r="M75">
      <f xml:space="preserve"> TEXT(AW75,".000") &amp; " BA"</f>
    </nc>
  </rcc>
  <rcc rId="3725" sId="5">
    <oc r="N75">
      <f>VLOOKUP(A75,INPUT_RANGE,58,FALSE) &amp; " rbi"</f>
    </oc>
    <nc r="N75">
      <f>VLOOKUP(A75,INPUT_RANGE,58,FALSE) &amp; " RBI"</f>
    </nc>
  </rcc>
  <rcc rId="3726" sId="5">
    <oc r="O75">
      <f>VLOOKUP(A75,INPUT_RANGE,60,FALSE) &amp; " bb"</f>
    </oc>
    <nc r="O75">
      <f>VLOOKUP(A75,INPUT_RANGE,60,FALSE) &amp; " BB"</f>
    </nc>
  </rcc>
  <rcc rId="3727" sId="5">
    <oc r="P75">
      <f>VLOOKUP(A75,INPUT_RANGE,61,FALSE) &amp; " k"</f>
    </oc>
    <nc r="P75">
      <f>VLOOKUP(A75,INPUT_RANGE,61,FALSE) &amp; " K"</f>
    </nc>
  </rcc>
  <rcc rId="3728" sId="5">
    <oc r="Q75">
      <f>VLOOKUP(A75,INPUT_RANGE,64,FALSE) &amp; " sb"</f>
    </oc>
    <nc r="Q75">
      <f>VLOOKUP(A75,INPUT_RANGE,64,FALSE) &amp; " SB"</f>
    </nc>
  </rcc>
  <rcc rId="3729" sId="5">
    <oc r="R75">
      <f>VLOOKUP(A75,INPUT_RANGE,55,FALSE) &amp; " 2b"</f>
    </oc>
    <nc r="R75">
      <f>VLOOKUP(A75,INPUT_RANGE,55,FALSE) &amp; " 2B"</f>
    </nc>
  </rcc>
  <rcc rId="3730" sId="5">
    <oc r="S75">
      <f>VLOOKUP(A75,INPUT_RANGE,56,FALSE) &amp; " 3b"</f>
    </oc>
    <nc r="S75">
      <f>VLOOKUP(A75,INPUT_RANGE,56,FALSE) &amp; " 3B"</f>
    </nc>
  </rcc>
  <rcc rId="3731" sId="5">
    <oc r="T75">
      <f>VLOOKUP(A75,INPUT_RANGE,57,FALSE) &amp; " hr"</f>
    </oc>
    <nc r="T75">
      <f>VLOOKUP(A75,INPUT_RANGE,57,FALSE) &amp; " HR"</f>
    </nc>
  </rcc>
  <rcc rId="3732" sId="5">
    <oc r="U75">
      <f>VLOOKUP(A75,INPUT_RANGE,53,FALSE) &amp; " r"</f>
    </oc>
    <nc r="U75">
      <f>VLOOKUP(A75,INPUT_RANGE,53,FALSE) &amp; " R"</f>
    </nc>
  </rcc>
  <rcc rId="3733" sId="5">
    <oc r="V75">
      <f>TEXT(AX75, ".000") &amp; " obp"</f>
    </oc>
    <nc r="V75">
      <f>TEXT(AX75, ".000") &amp; " OBP"</f>
    </nc>
  </rcc>
  <rcc rId="3734" sId="5">
    <oc r="X75">
      <f>VLOOKUP(A75,INPUT_RANGE,77,FALSE)&amp;" games"</f>
    </oc>
    <nc r="X75">
      <f>VLOOKUP(A75,INPUT_RANGE,77,FALSE)&amp;" games"</f>
    </nc>
  </rcc>
  <rcc rId="3735" sId="5">
    <oc r="Y75">
      <f>VLOOKUP(A75,INPUT_RANGE,78,FALSE) &amp; " starts"</f>
    </oc>
    <nc r="Y75">
      <f>VLOOKUP(A75,INPUT_RANGE,78,FALSE) &amp; " starts"</f>
    </nc>
  </rcc>
  <rcc rId="3736" sId="5">
    <oc r="Z75">
      <f>VLOOKUP(A75,INPUT_RANGE,82,FALSE) &amp; " ip"</f>
    </oc>
    <nc r="Z75">
      <f>VLOOKUP(A75,INPUT_RANGE,82,FALSE) &amp; " IP"</f>
    </nc>
  </rcc>
  <rcc rId="3737" sId="5">
    <oc r="AA75">
      <f>TRUNC(VLOOKUP(A75,INPUT_RANGE,82,FALSE)) &amp;  IF(AR75=0.333,"º",IF(AR75=0.666,"»",""))</f>
    </oc>
    <nc r="AA75">
      <f>TRUNC(VLOOKUP(A75,INPUT_RANGE,82,FALSE)) &amp;  IF(AR75=0.333,"º",IF(AR75=0.666,"»",""))</f>
    </nc>
  </rcc>
  <rcc rId="3738" sId="5">
    <oc r="AB75">
      <f>AA75&amp; " ip"</f>
    </oc>
    <nc r="AB75">
      <f>AA75&amp; " IP"</f>
    </nc>
  </rcc>
  <rcc rId="3739" sId="5">
    <oc r="AC75">
      <f>VLOOKUP(A75,INPUT_RANGE,79,FALSE) &amp; " cg"</f>
    </oc>
    <nc r="AC75">
      <f>VLOOKUP(A75,INPUT_RANGE,79,FALSE) &amp; " CG"</f>
    </nc>
  </rcc>
  <rcc rId="3740" sId="5">
    <oc r="AD75">
      <f>VLOOKUP(A75,INPUT_RANGE,80,FALSE) &amp; " sho"</f>
    </oc>
    <nc r="AD75">
      <f>VLOOKUP(A75,INPUT_RANGE,80,FALSE) &amp; " SHO"</f>
    </nc>
  </rcc>
  <rcc rId="3741" sId="5">
    <oc r="AE75">
      <f>VLOOKUP(A75,INPUT_RANGE,75,FALSE) &amp; " win"</f>
    </oc>
    <nc r="AE75">
      <f>VLOOKUP(A75,INPUT_RANGE,75,FALSE) &amp; " Win"</f>
    </nc>
  </rcc>
  <rcc rId="3742" sId="5">
    <oc r="AF75">
      <f>VLOOKUP(A75,INPUT_RANGE,76,FALSE) &amp; " loss"</f>
    </oc>
    <nc r="AF75">
      <f>VLOOKUP(A75,INPUT_RANGE,76,FALSE) &amp; " Loss"</f>
    </nc>
  </rcc>
  <rcc rId="3743" sId="5">
    <oc r="AG75">
      <f>VLOOKUP(A75,INPUT_RANGE,75,FALSE) &amp; "-" &amp; VLOOKUP(A75,INPUT_RANGE,76,FALSE) &amp; " w-l"</f>
    </oc>
    <nc r="AG75">
      <f>VLOOKUP(A75,INPUT_RANGE,75,FALSE) &amp; "-" &amp; VLOOKUP(A75,INPUT_RANGE,76,FALSE) &amp; " W-L"</f>
    </nc>
  </rcc>
  <rcc rId="3744" sId="5">
    <oc r="AH75">
      <f>VLOOKUP(A75,INPUT_RANGE,81,FALSE)&amp; " saves"</f>
    </oc>
    <nc r="AH75">
      <f>VLOOKUP(A75,INPUT_RANGE,81,FALSE)&amp; " Saves"</f>
    </nc>
  </rcc>
  <rcc rId="3745" sId="5">
    <oc r="AI75">
      <f>VLOOKUP(A75,INPUT_RANGE,83,FALSE) &amp; " h"</f>
    </oc>
    <nc r="AI75">
      <f>VLOOKUP(A75,INPUT_RANGE,83,FALSE) &amp; " H"</f>
    </nc>
  </rcc>
  <rcc rId="3746" sId="5">
    <oc r="AJ75">
      <f>VLOOKUP(A75,INPUT_RANGE,84,FALSE) &amp; " r"</f>
    </oc>
    <nc r="AJ75">
      <f>VLOOKUP(A75,INPUT_RANGE,84,FALSE) &amp; " R"</f>
    </nc>
  </rcc>
  <rcc rId="3747" sId="5">
    <oc r="AK75">
      <f>VLOOKUP(A75,INPUT_RANGE,85,FALSE) &amp;" er"</f>
    </oc>
    <nc r="AK75">
      <f>VLOOKUP(A75,INPUT_RANGE,85,FALSE) &amp;" ER"</f>
    </nc>
  </rcc>
  <rcc rId="3748" sId="5">
    <oc r="AL75">
      <f>VLOOKUP(A75,INPUT_RANGE,88,FALSE) &amp;" hr"</f>
    </oc>
    <nc r="AL75">
      <f>VLOOKUP(A75,INPUT_RANGE,88,FALSE) &amp;" HR"</f>
    </nc>
  </rcc>
  <rcc rId="3749" sId="5">
    <oc r="AM75">
      <f>VLOOKUP(A75,INPUT_RANGE,87,FALSE) &amp; " k"</f>
    </oc>
    <nc r="AM75">
      <f>VLOOKUP(A75,INPUT_RANGE,87,FALSE) &amp; " K"</f>
    </nc>
  </rcc>
  <rcc rId="3750" sId="5">
    <oc r="AN75">
      <f>VLOOKUP(A75,INPUT_RANGE,86,FALSE) &amp; " bb"</f>
    </oc>
    <nc r="AN75">
      <f>VLOOKUP(A75,INPUT_RANGE,86,FALSE) &amp; " BB"</f>
    </nc>
  </rcc>
  <rcc rId="3751" sId="5">
    <oc r="AO75">
      <f>TEXT(AU75,"0.00") &amp; " era"</f>
    </oc>
    <nc r="AO75">
      <f>TEXT(AU75,"0.00") &amp; " ERA"</f>
    </nc>
  </rcc>
  <rcc rId="3752" sId="5">
    <oc r="AP75">
      <f>TEXT(AT75,"0.00") &amp; " whip"</f>
    </oc>
    <nc r="AP75">
      <f>TEXT(AT75,"0.00") &amp; " WHIP"</f>
    </nc>
  </rcc>
  <rcc rId="3753" sId="5">
    <oc r="AQ75">
      <f xml:space="preserve"> IF(LEFT(RIGHT((VLOOKUP(A75,INPUT_RANGE,82,FALSE)),2),1)=".",RIGHT(VLOOKUP(A75,INPUT_RANGE,82,FALSE),1), "X")</f>
    </oc>
    <nc r="AQ75">
      <f xml:space="preserve"> IF(LEFT(RIGHT((VLOOKUP(A75,INPUT_RANGE,82,FALSE)),2),1)=".",RIGHT(VLOOKUP(A75,INPUT_RANGE,82,FALSE),1), "X")</f>
    </nc>
  </rcc>
  <rcc rId="3754" sId="5">
    <oc r="AR75">
      <f>IF(AQ75 ="1",0.333,IF(AQ75="2",0.666,0))</f>
    </oc>
    <nc r="AR75">
      <f>IF(AQ75 ="1",0.333,IF(AQ75="2",0.666,0))</f>
    </nc>
  </rcc>
  <rcc rId="3755" sId="5">
    <oc r="AS75">
      <f>VLOOKUP(A75,INPUT_RANGE,82,FALSE)-(AQ75*0.1)+AR75</f>
    </oc>
    <nc r="AS75">
      <f>VLOOKUP(A75,INPUT_RANGE,82,FALSE)-(AQ75*0.1)+AR75</f>
    </nc>
  </rcc>
  <rcc rId="3756" sId="5">
    <oc r="AT75">
      <f>ROUND((VLOOKUP(A75,INPUT_RANGE,86,FALSE)+VLOOKUP(A75,INPUT_RANGE,83,FALSE))/AS75,2)</f>
    </oc>
    <nc r="AT75">
      <f>ROUND((VLOOKUP(A75,INPUT_RANGE,86,FALSE)+VLOOKUP(A75,INPUT_RANGE,83,FALSE))/AS75,2)</f>
    </nc>
  </rcc>
  <rcc rId="3757" sId="5">
    <oc r="AU75">
      <f>ROUND((VLOOKUP(A75,INPUT_RANGE,85,FALSE)/AS75)*('Team Info'!$H$25),2)</f>
    </oc>
    <nc r="AU75">
      <f>ROUND((VLOOKUP(A75,INPUT_RANGE,85,FALSE)/AS75)*('D:\Data\Softball\[ESPN_BASEBALL_AWAY_OLD.xlsx]Team Info'!$H$25),2)</f>
    </nc>
  </rcc>
  <rcc rId="3758" sId="5">
    <oc r="AW75">
      <f>(VLOOKUP(A75,INPUT_RANGE,54,FALSE)/VLOOKUP(A75,INPUT_RANGE,52,FALSE))</f>
    </oc>
    <nc r="AW75">
      <f>(VLOOKUP(A75,INPUT_RANGE,54,FALSE)/VLOOKUP(A75,INPUT_RANGE,52,FALSE))</f>
    </nc>
  </rcc>
  <rcc rId="3759" sId="5">
    <oc r="AX75">
      <f>((VLOOKUP(A75,INPUT_RANGE,54,FALSE)+VLOOKUP(A75,INPUT_RANGE,60,FALSE)+VLOOKUP(A75,INPUT_RANGE,59,FALSE))/(VLOOKUP(A75,INPUT_RANGE,52,FALSE)+VLOOKUP(A75,INPUT_RANGE,60,FALSE)+VLOOKUP(A75,INPUT_RANGE,59,FALSE)+VLOOKUP(A75,INPUT_RANGE,63,FALSE)))</f>
    </oc>
    <nc r="AX75">
      <f>((VLOOKUP(A75,INPUT_RANGE,54,FALSE)+VLOOKUP(A75,INPUT_RANGE,60,FALSE)+VLOOKUP(A75,INPUT_RANGE,59,FALSE))/(VLOOKUP(A75,INPUT_RANGE,52,FALSE)+VLOOKUP(A75,INPUT_RANGE,60,FALSE)+VLOOKUP(A75,INPUT_RANGE,59,FALSE)+VLOOKUP(A75,INPUT_RANGE,63,FALSE)))</f>
    </nc>
  </rcc>
  <rcc rId="3760" sId="5">
    <oc r="AY75">
      <f>(VLOOKUP(A75,INPUT_RANGE,54)+VLOOKUP(A75,INPUT_RANGE,55)+(VLOOKUP(A75,INPUT_RANGE,56)*2)+(VLOOKUP(A75,INPUT_RANGE,57)*3))/(VLOOKUP(A75,INPUT_RANGE,52))</f>
    </oc>
    <nc r="AY75">
      <f>(VLOOKUP(A75,INPUT_RANGE,54)+VLOOKUP(A75,INPUT_RANGE,55)+(VLOOKUP(A75,INPUT_RANGE,56)*2)+(VLOOKUP(A75,INPUT_RANGE,57)*3))/(VLOOKUP(A75,INPUT_RANGE,52))</f>
    </nc>
  </rcc>
  <rcc rId="3761" sId="5">
    <oc r="AZ75">
      <f>AX75+AY75</f>
    </oc>
    <nc r="AZ75">
      <f>AX75+AY75</f>
    </nc>
  </rcc>
  <rcc rId="3762" sId="5">
    <oc r="BA75">
      <f xml:space="preserve"> TEXT(AZ75,".000") &amp; " ops"</f>
    </oc>
    <nc r="BA75">
      <f xml:space="preserve"> TEXT(AZ75,".000") &amp; " OPS"</f>
    </nc>
  </rcc>
  <rcc rId="3763" sId="5">
    <oc r="BB75">
      <f>VLOOKUP(A75,INPUT_RANGE,78,FALSE)</f>
    </oc>
    <nc r="BB75">
      <f>VLOOKUP(A75,INPUT_RANGE,78,FALSE)</f>
    </nc>
  </rcc>
  <rcc rId="3764" sId="5">
    <oc r="BC75">
      <f>VLOOKUP(A75,INPUT_RANGE,77,FALSE)</f>
    </oc>
    <nc r="BC75">
      <f>VLOOKUP(A75,INPUT_RANGE,77,FALSE)</f>
    </nc>
  </rcc>
  <rcc rId="3765" sId="5">
    <oc r="BD75">
      <f>VLOOKUP(A75,INPUT_RANGE,75,FALSE) &amp; "-" &amp; VLOOKUP(A75,INPUT_RANGE,76,FALSE)</f>
    </oc>
    <nc r="BD75">
      <f>VLOOKUP(A75,INPUT_RANGE,75,FALSE) &amp; "-" &amp; VLOOKUP(A75,INPUT_RANGE,76,FALSE)</f>
    </nc>
  </rcc>
  <rcc rId="3766" sId="5">
    <oc r="BE75">
      <f>AU75</f>
    </oc>
    <nc r="BE75">
      <f>AU75</f>
    </nc>
  </rcc>
  <rcc rId="3767" sId="5">
    <oc r="BF75">
      <f>AA75</f>
    </oc>
    <nc r="BF75">
      <f>AA75</f>
    </nc>
  </rcc>
  <rcc rId="3768" sId="5">
    <oc r="BG75">
      <f>VLOOKUP(A75,INPUT_RANGE,86,FALSE)</f>
    </oc>
    <nc r="BG75">
      <f>VLOOKUP(A75,INPUT_RANGE,86,FALSE)</f>
    </nc>
  </rcc>
  <rcc rId="3769" sId="5">
    <oc r="BH75">
      <f>VLOOKUP(A75,INPUT_RANGE,87,FALSE)</f>
    </oc>
    <nc r="BH75">
      <f>VLOOKUP(A75,INPUT_RANGE,87,FALSE)</f>
    </nc>
  </rcc>
  <rcc rId="3770" sId="5">
    <oc r="BI75">
      <f>VLOOKUP(A75,INPUT_RANGE,81,FALSE) &amp; " SAVES"</f>
    </oc>
    <nc r="BI75">
      <f>VLOOKUP(A75,INPUT_RANGE,81,FALSE) &amp; " SAVES"</f>
    </nc>
  </rcc>
  <rcc rId="3771" sId="5">
    <oc r="BJ75">
      <f>VLOOKUP(A75,INPUT_RANGE,81,FALSE)</f>
    </oc>
    <nc r="BJ75">
      <f>VLOOKUP(A75,INPUT_RANGE,81,FALSE)</f>
    </nc>
  </rcc>
  <rcc rId="3772" sId="5">
    <oc r="BK75">
      <f>VLOOKUP(A75,INPUT_RANGE,83,FALSE)</f>
    </oc>
    <nc r="BK75">
      <f>VLOOKUP(A75,INPUT_RANGE,83,FALSE)</f>
    </nc>
  </rcc>
  <rcc rId="3773" sId="5">
    <oc r="BL75">
      <f>VLOOKUP(A75,INPUT_RANGE,87,FALSE) &amp; "/" &amp; VLOOKUP(A75,INPUT_RANGE,86,FALSE)</f>
    </oc>
    <nc r="BL75">
      <f>VLOOKUP(A75,INPUT_RANGE,87,FALSE) &amp; "/" &amp; VLOOKUP(A75,INPUT_RANGE,86,FALSE)</f>
    </nc>
  </rcc>
  <rcc rId="3774" sId="5">
    <oc r="BM75">
      <f>ROUND((VLOOKUP(A75,INPUT_RANGE,86,FALSE)+VLOOKUP(A75,INPUT_RANGE,83,FALSE))/AS75,2)</f>
    </oc>
    <nc r="BM75">
      <f>ROUND((VLOOKUP(A75,INPUT_RANGE,86,FALSE)+VLOOKUP(A75,INPUT_RANGE,83,FALSE))/AS75,2)</f>
    </nc>
  </rcc>
  <rcc rId="3775" sId="5">
    <oc r="M76">
      <f xml:space="preserve"> TEXT(AW76,".000") &amp; " ba"</f>
    </oc>
    <nc r="M76">
      <f xml:space="preserve"> TEXT(AW76,".000") &amp; " BA"</f>
    </nc>
  </rcc>
  <rcc rId="3776" sId="5">
    <oc r="N76">
      <f>VLOOKUP(A76,INPUT_RANGE,58,FALSE) &amp; " rbi"</f>
    </oc>
    <nc r="N76">
      <f>VLOOKUP(A76,INPUT_RANGE,58,FALSE) &amp; " RBI"</f>
    </nc>
  </rcc>
  <rcc rId="3777" sId="5">
    <oc r="O76">
      <f>VLOOKUP(A76,INPUT_RANGE,60,FALSE) &amp; " bb"</f>
    </oc>
    <nc r="O76">
      <f>VLOOKUP(A76,INPUT_RANGE,60,FALSE) &amp; " BB"</f>
    </nc>
  </rcc>
  <rcc rId="3778" sId="5">
    <oc r="P76">
      <f>VLOOKUP(A76,INPUT_RANGE,61,FALSE) &amp; " k"</f>
    </oc>
    <nc r="P76">
      <f>VLOOKUP(A76,INPUT_RANGE,61,FALSE) &amp; " K"</f>
    </nc>
  </rcc>
  <rcc rId="3779" sId="5">
    <oc r="Q76">
      <f>VLOOKUP(A76,INPUT_RANGE,64,FALSE) &amp; " sb"</f>
    </oc>
    <nc r="Q76">
      <f>VLOOKUP(A76,INPUT_RANGE,64,FALSE) &amp; " SB"</f>
    </nc>
  </rcc>
  <rcc rId="3780" sId="5">
    <oc r="R76">
      <f>VLOOKUP(A76,INPUT_RANGE,55,FALSE) &amp; " 2b"</f>
    </oc>
    <nc r="R76">
      <f>VLOOKUP(A76,INPUT_RANGE,55,FALSE) &amp; " 2B"</f>
    </nc>
  </rcc>
  <rcc rId="3781" sId="5">
    <oc r="S76">
      <f>VLOOKUP(A76,INPUT_RANGE,56,FALSE) &amp; " 3b"</f>
    </oc>
    <nc r="S76">
      <f>VLOOKUP(A76,INPUT_RANGE,56,FALSE) &amp; " 3B"</f>
    </nc>
  </rcc>
  <rcc rId="3782" sId="5">
    <oc r="T76">
      <f>VLOOKUP(A76,INPUT_RANGE,57,FALSE) &amp; " hr"</f>
    </oc>
    <nc r="T76">
      <f>VLOOKUP(A76,INPUT_RANGE,57,FALSE) &amp; " HR"</f>
    </nc>
  </rcc>
  <rcc rId="3783" sId="5">
    <oc r="U76">
      <f>VLOOKUP(A76,INPUT_RANGE,53,FALSE) &amp; " r"</f>
    </oc>
    <nc r="U76">
      <f>VLOOKUP(A76,INPUT_RANGE,53,FALSE) &amp; " R"</f>
    </nc>
  </rcc>
  <rcc rId="3784" sId="5">
    <oc r="V76">
      <f>TEXT(AX76, ".000") &amp; " obp"</f>
    </oc>
    <nc r="V76">
      <f>TEXT(AX76, ".000") &amp; " OBP"</f>
    </nc>
  </rcc>
  <rcc rId="3785" sId="5">
    <oc r="X76">
      <f>VLOOKUP(A76,INPUT_RANGE,77,FALSE)&amp;" games"</f>
    </oc>
    <nc r="X76">
      <f>VLOOKUP(A76,INPUT_RANGE,77,FALSE)&amp;" games"</f>
    </nc>
  </rcc>
  <rcc rId="3786" sId="5">
    <oc r="Y76">
      <f>VLOOKUP(A76,INPUT_RANGE,78,FALSE) &amp; " starts"</f>
    </oc>
    <nc r="Y76">
      <f>VLOOKUP(A76,INPUT_RANGE,78,FALSE) &amp; " starts"</f>
    </nc>
  </rcc>
  <rcc rId="3787" sId="5">
    <oc r="Z76">
      <f>VLOOKUP(A76,INPUT_RANGE,82,FALSE) &amp; " ip"</f>
    </oc>
    <nc r="Z76">
      <f>VLOOKUP(A76,INPUT_RANGE,82,FALSE) &amp; " IP"</f>
    </nc>
  </rcc>
  <rcc rId="3788" sId="5">
    <oc r="AA76">
      <f>TRUNC(VLOOKUP(A76,INPUT_RANGE,82,FALSE)) &amp;  IF(AR76=0.333,"º",IF(AR76=0.666,"»",""))</f>
    </oc>
    <nc r="AA76">
      <f>TRUNC(VLOOKUP(A76,INPUT_RANGE,82,FALSE)) &amp;  IF(AR76=0.333,"º",IF(AR76=0.666,"»",""))</f>
    </nc>
  </rcc>
  <rcc rId="3789" sId="5">
    <oc r="AB76">
      <f>AA76&amp; " ip"</f>
    </oc>
    <nc r="AB76">
      <f>AA76&amp; " IP"</f>
    </nc>
  </rcc>
  <rcc rId="3790" sId="5">
    <oc r="AC76">
      <f>VLOOKUP(A76,INPUT_RANGE,79,FALSE) &amp; " cg"</f>
    </oc>
    <nc r="AC76">
      <f>VLOOKUP(A76,INPUT_RANGE,79,FALSE) &amp; " CG"</f>
    </nc>
  </rcc>
  <rcc rId="3791" sId="5">
    <oc r="AD76">
      <f>VLOOKUP(A76,INPUT_RANGE,80,FALSE) &amp; " sho"</f>
    </oc>
    <nc r="AD76">
      <f>VLOOKUP(A76,INPUT_RANGE,80,FALSE) &amp; " SHO"</f>
    </nc>
  </rcc>
  <rcc rId="3792" sId="5">
    <oc r="AE76">
      <f>VLOOKUP(A76,INPUT_RANGE,75,FALSE) &amp; " win"</f>
    </oc>
    <nc r="AE76">
      <f>VLOOKUP(A76,INPUT_RANGE,75,FALSE) &amp; " Win"</f>
    </nc>
  </rcc>
  <rcc rId="3793" sId="5">
    <oc r="AF76">
      <f>VLOOKUP(A76,INPUT_RANGE,76,FALSE) &amp; " loss"</f>
    </oc>
    <nc r="AF76">
      <f>VLOOKUP(A76,INPUT_RANGE,76,FALSE) &amp; " Loss"</f>
    </nc>
  </rcc>
  <rcc rId="3794" sId="5">
    <oc r="AG76">
      <f>VLOOKUP(A76,INPUT_RANGE,75,FALSE) &amp; "-" &amp; VLOOKUP(A76,INPUT_RANGE,76,FALSE) &amp; " w-l"</f>
    </oc>
    <nc r="AG76">
      <f>VLOOKUP(A76,INPUT_RANGE,75,FALSE) &amp; "-" &amp; VLOOKUP(A76,INPUT_RANGE,76,FALSE) &amp; " W-L"</f>
    </nc>
  </rcc>
  <rcc rId="3795" sId="5">
    <oc r="AH76">
      <f>VLOOKUP(A76,INPUT_RANGE,81,FALSE)&amp; " saves"</f>
    </oc>
    <nc r="AH76">
      <f>VLOOKUP(A76,INPUT_RANGE,81,FALSE)&amp; " Saves"</f>
    </nc>
  </rcc>
  <rcc rId="3796" sId="5">
    <oc r="AI76">
      <f>VLOOKUP(A76,INPUT_RANGE,83,FALSE) &amp; " h"</f>
    </oc>
    <nc r="AI76">
      <f>VLOOKUP(A76,INPUT_RANGE,83,FALSE) &amp; " H"</f>
    </nc>
  </rcc>
  <rcc rId="3797" sId="5">
    <oc r="AJ76">
      <f>VLOOKUP(A76,INPUT_RANGE,84,FALSE) &amp; " r"</f>
    </oc>
    <nc r="AJ76">
      <f>VLOOKUP(A76,INPUT_RANGE,84,FALSE) &amp; " R"</f>
    </nc>
  </rcc>
  <rcc rId="3798" sId="5">
    <oc r="AK76">
      <f>VLOOKUP(A76,INPUT_RANGE,85,FALSE) &amp;" er"</f>
    </oc>
    <nc r="AK76">
      <f>VLOOKUP(A76,INPUT_RANGE,85,FALSE) &amp;" ER"</f>
    </nc>
  </rcc>
  <rcc rId="3799" sId="5">
    <oc r="AL76">
      <f>VLOOKUP(A76,INPUT_RANGE,88,FALSE) &amp;" hr"</f>
    </oc>
    <nc r="AL76">
      <f>VLOOKUP(A76,INPUT_RANGE,88,FALSE) &amp;" HR"</f>
    </nc>
  </rcc>
  <rcc rId="3800" sId="5">
    <oc r="AM76">
      <f>VLOOKUP(A76,INPUT_RANGE,87,FALSE) &amp; " k"</f>
    </oc>
    <nc r="AM76">
      <f>VLOOKUP(A76,INPUT_RANGE,87,FALSE) &amp; " K"</f>
    </nc>
  </rcc>
  <rcc rId="3801" sId="5">
    <oc r="AN76">
      <f>VLOOKUP(A76,INPUT_RANGE,86,FALSE) &amp; " bb"</f>
    </oc>
    <nc r="AN76">
      <f>VLOOKUP(A76,INPUT_RANGE,86,FALSE) &amp; " BB"</f>
    </nc>
  </rcc>
  <rcc rId="3802" sId="5">
    <oc r="AO76">
      <f>TEXT(AU76,"0.00") &amp; " era"</f>
    </oc>
    <nc r="AO76">
      <f>TEXT(AU76,"0.00") &amp; " ERA"</f>
    </nc>
  </rcc>
  <rcc rId="3803" sId="5">
    <oc r="AP76">
      <f>TEXT(AT76,"0.00") &amp; " whip"</f>
    </oc>
    <nc r="AP76">
      <f>TEXT(AT76,"0.00") &amp; " WHIP"</f>
    </nc>
  </rcc>
  <rcc rId="3804" sId="5">
    <oc r="AQ76">
      <f xml:space="preserve"> IF(LEFT(RIGHT((VLOOKUP(A76,INPUT_RANGE,82,FALSE)),2),1)=".",RIGHT(VLOOKUP(A76,INPUT_RANGE,82,FALSE),1), "X")</f>
    </oc>
    <nc r="AQ76">
      <f xml:space="preserve"> IF(LEFT(RIGHT((VLOOKUP(A76,INPUT_RANGE,82,FALSE)),2),1)=".",RIGHT(VLOOKUP(A76,INPUT_RANGE,82,FALSE),1), "X")</f>
    </nc>
  </rcc>
  <rcc rId="3805" sId="5">
    <oc r="AR76">
      <f>IF(AQ76 ="1",0.333,IF(AQ76="2",0.666,0))</f>
    </oc>
    <nc r="AR76">
      <f>IF(AQ76 ="1",0.333,IF(AQ76="2",0.666,0))</f>
    </nc>
  </rcc>
  <rcc rId="3806" sId="5">
    <oc r="AS76">
      <f>VLOOKUP(A76,INPUT_RANGE,82,FALSE)-(AQ76*0.1)+AR76</f>
    </oc>
    <nc r="AS76">
      <f>VLOOKUP(A76,INPUT_RANGE,82,FALSE)-(AQ76*0.1)+AR76</f>
    </nc>
  </rcc>
  <rcc rId="3807" sId="5">
    <oc r="AT76">
      <f>ROUND((VLOOKUP(A76,INPUT_RANGE,86,FALSE)+VLOOKUP(A76,INPUT_RANGE,83,FALSE))/AS76,2)</f>
    </oc>
    <nc r="AT76">
      <f>ROUND((VLOOKUP(A76,INPUT_RANGE,86,FALSE)+VLOOKUP(A76,INPUT_RANGE,83,FALSE))/AS76,2)</f>
    </nc>
  </rcc>
  <rcc rId="3808" sId="5">
    <oc r="AU76">
      <f>ROUND((VLOOKUP(A76,INPUT_RANGE,85,FALSE)/AS76)*('Team Info'!$H$25),2)</f>
    </oc>
    <nc r="AU76">
      <f>ROUND((VLOOKUP(A76,INPUT_RANGE,85,FALSE)/AS76)*('D:\Data\Softball\[ESPN_BASEBALL_AWAY_OLD.xlsx]Team Info'!$H$25),2)</f>
    </nc>
  </rcc>
  <rcc rId="3809" sId="5">
    <oc r="AW76">
      <f>(VLOOKUP(A76,INPUT_RANGE,54,FALSE)/VLOOKUP(A76,INPUT_RANGE,52,FALSE))</f>
    </oc>
    <nc r="AW76">
      <f>(VLOOKUP(A76,INPUT_RANGE,54,FALSE)/VLOOKUP(A76,INPUT_RANGE,52,FALSE))</f>
    </nc>
  </rcc>
  <rcc rId="3810" sId="5">
    <oc r="AX76">
      <f>((VLOOKUP(A76,INPUT_RANGE,54,FALSE)+VLOOKUP(A76,INPUT_RANGE,60,FALSE)+VLOOKUP(A76,INPUT_RANGE,59,FALSE))/(VLOOKUP(A76,INPUT_RANGE,52,FALSE)+VLOOKUP(A76,INPUT_RANGE,60,FALSE)+VLOOKUP(A76,INPUT_RANGE,59,FALSE)+VLOOKUP(A76,INPUT_RANGE,63,FALSE)))</f>
    </oc>
    <nc r="AX76">
      <f>((VLOOKUP(A76,INPUT_RANGE,54,FALSE)+VLOOKUP(A76,INPUT_RANGE,60,FALSE)+VLOOKUP(A76,INPUT_RANGE,59,FALSE))/(VLOOKUP(A76,INPUT_RANGE,52,FALSE)+VLOOKUP(A76,INPUT_RANGE,60,FALSE)+VLOOKUP(A76,INPUT_RANGE,59,FALSE)+VLOOKUP(A76,INPUT_RANGE,63,FALSE)))</f>
    </nc>
  </rcc>
  <rcc rId="3811" sId="5">
    <oc r="AY76">
      <f>(VLOOKUP(A76,INPUT_RANGE,54)+VLOOKUP(A76,INPUT_RANGE,55)+(VLOOKUP(A76,INPUT_RANGE,56)*2)+(VLOOKUP(A76,INPUT_RANGE,57)*3))/(VLOOKUP(A76,INPUT_RANGE,52))</f>
    </oc>
    <nc r="AY76">
      <f>(VLOOKUP(A76,INPUT_RANGE,54)+VLOOKUP(A76,INPUT_RANGE,55)+(VLOOKUP(A76,INPUT_RANGE,56)*2)+(VLOOKUP(A76,INPUT_RANGE,57)*3))/(VLOOKUP(A76,INPUT_RANGE,52))</f>
    </nc>
  </rcc>
  <rcc rId="3812" sId="5">
    <oc r="AZ76">
      <f>AX76+AY76</f>
    </oc>
    <nc r="AZ76">
      <f>AX76+AY76</f>
    </nc>
  </rcc>
  <rcc rId="3813" sId="5">
    <oc r="BA76">
      <f xml:space="preserve"> TEXT(AZ76,".000") &amp; " ops"</f>
    </oc>
    <nc r="BA76">
      <f xml:space="preserve"> TEXT(AZ76,".000") &amp; " OPS"</f>
    </nc>
  </rcc>
  <rcc rId="3814" sId="5">
    <oc r="BB76">
      <f>VLOOKUP(A76,INPUT_RANGE,78,FALSE)</f>
    </oc>
    <nc r="BB76">
      <f>VLOOKUP(A76,INPUT_RANGE,78,FALSE)</f>
    </nc>
  </rcc>
  <rcc rId="3815" sId="5">
    <oc r="BC76">
      <f>VLOOKUP(A76,INPUT_RANGE,77,FALSE)</f>
    </oc>
    <nc r="BC76">
      <f>VLOOKUP(A76,INPUT_RANGE,77,FALSE)</f>
    </nc>
  </rcc>
  <rcc rId="3816" sId="5">
    <oc r="BD76">
      <f>VLOOKUP(A76,INPUT_RANGE,75,FALSE) &amp; "-" &amp; VLOOKUP(A76,INPUT_RANGE,76,FALSE)</f>
    </oc>
    <nc r="BD76">
      <f>VLOOKUP(A76,INPUT_RANGE,75,FALSE) &amp; "-" &amp; VLOOKUP(A76,INPUT_RANGE,76,FALSE)</f>
    </nc>
  </rcc>
  <rcc rId="3817" sId="5">
    <oc r="BE76">
      <f>AU76</f>
    </oc>
    <nc r="BE76">
      <f>AU76</f>
    </nc>
  </rcc>
  <rcc rId="3818" sId="5">
    <oc r="BF76">
      <f>AA76</f>
    </oc>
    <nc r="BF76">
      <f>AA76</f>
    </nc>
  </rcc>
  <rcc rId="3819" sId="5">
    <oc r="BG76">
      <f>VLOOKUP(A76,INPUT_RANGE,86,FALSE)</f>
    </oc>
    <nc r="BG76">
      <f>VLOOKUP(A76,INPUT_RANGE,86,FALSE)</f>
    </nc>
  </rcc>
  <rcc rId="3820" sId="5">
    <oc r="BH76">
      <f>VLOOKUP(A76,INPUT_RANGE,87,FALSE)</f>
    </oc>
    <nc r="BH76">
      <f>VLOOKUP(A76,INPUT_RANGE,87,FALSE)</f>
    </nc>
  </rcc>
  <rcc rId="3821" sId="5">
    <oc r="BI76">
      <f>VLOOKUP(A76,INPUT_RANGE,81,FALSE) &amp; " SAVES"</f>
    </oc>
    <nc r="BI76">
      <f>VLOOKUP(A76,INPUT_RANGE,81,FALSE) &amp; " SAVES"</f>
    </nc>
  </rcc>
  <rcc rId="3822" sId="5">
    <oc r="BJ76">
      <f>VLOOKUP(A76,INPUT_RANGE,81,FALSE)</f>
    </oc>
    <nc r="BJ76">
      <f>VLOOKUP(A76,INPUT_RANGE,81,FALSE)</f>
    </nc>
  </rcc>
  <rcc rId="3823" sId="5">
    <oc r="BK76">
      <f>VLOOKUP(A76,INPUT_RANGE,83,FALSE)</f>
    </oc>
    <nc r="BK76">
      <f>VLOOKUP(A76,INPUT_RANGE,83,FALSE)</f>
    </nc>
  </rcc>
  <rcc rId="3824" sId="5">
    <oc r="BL76">
      <f>VLOOKUP(A76,INPUT_RANGE,87,FALSE) &amp; "/" &amp; VLOOKUP(A76,INPUT_RANGE,86,FALSE)</f>
    </oc>
    <nc r="BL76">
      <f>VLOOKUP(A76,INPUT_RANGE,87,FALSE) &amp; "/" &amp; VLOOKUP(A76,INPUT_RANGE,86,FALSE)</f>
    </nc>
  </rcc>
  <rcc rId="3825" sId="5">
    <oc r="BM76">
      <f>ROUND((VLOOKUP(A76,INPUT_RANGE,86,FALSE)+VLOOKUP(A76,INPUT_RANGE,83,FALSE))/AS76,2)</f>
    </oc>
    <nc r="BM76">
      <f>ROUND((VLOOKUP(A76,INPUT_RANGE,86,FALSE)+VLOOKUP(A76,INPUT_RANGE,83,FALSE))/AS76,2)</f>
    </nc>
  </rcc>
  <rcc rId="3826" sId="5">
    <oc r="M77">
      <f xml:space="preserve"> TEXT(AW77,".000") &amp; " ba"</f>
    </oc>
    <nc r="M77">
      <f xml:space="preserve"> TEXT(AW77,".000") &amp; " BA"</f>
    </nc>
  </rcc>
  <rcc rId="3827" sId="5">
    <oc r="N77">
      <f>VLOOKUP(A77,INPUT_RANGE,58,FALSE) &amp; " rbi"</f>
    </oc>
    <nc r="N77">
      <f>VLOOKUP(A77,INPUT_RANGE,58,FALSE) &amp; " RBI"</f>
    </nc>
  </rcc>
  <rcc rId="3828" sId="5">
    <oc r="O77">
      <f>VLOOKUP(A77,INPUT_RANGE,60,FALSE) &amp; " bb"</f>
    </oc>
    <nc r="O77">
      <f>VLOOKUP(A77,INPUT_RANGE,60,FALSE) &amp; " BB"</f>
    </nc>
  </rcc>
  <rcc rId="3829" sId="5">
    <oc r="P77">
      <f>VLOOKUP(A77,INPUT_RANGE,61,FALSE) &amp; " k"</f>
    </oc>
    <nc r="P77">
      <f>VLOOKUP(A77,INPUT_RANGE,61,FALSE) &amp; " K"</f>
    </nc>
  </rcc>
  <rcc rId="3830" sId="5">
    <oc r="Q77">
      <f>VLOOKUP(A77,INPUT_RANGE,64,FALSE) &amp; " sb"</f>
    </oc>
    <nc r="Q77">
      <f>VLOOKUP(A77,INPUT_RANGE,64,FALSE) &amp; " SB"</f>
    </nc>
  </rcc>
  <rcc rId="3831" sId="5">
    <oc r="R77">
      <f>VLOOKUP(A77,INPUT_RANGE,55,FALSE) &amp; " 2b"</f>
    </oc>
    <nc r="R77">
      <f>VLOOKUP(A77,INPUT_RANGE,55,FALSE) &amp; " 2B"</f>
    </nc>
  </rcc>
  <rcc rId="3832" sId="5">
    <oc r="S77">
      <f>VLOOKUP(A77,INPUT_RANGE,56,FALSE) &amp; " 3b"</f>
    </oc>
    <nc r="S77">
      <f>VLOOKUP(A77,INPUT_RANGE,56,FALSE) &amp; " 3B"</f>
    </nc>
  </rcc>
  <rcc rId="3833" sId="5">
    <oc r="T77">
      <f>VLOOKUP(A77,INPUT_RANGE,57,FALSE) &amp; " hr"</f>
    </oc>
    <nc r="T77">
      <f>VLOOKUP(A77,INPUT_RANGE,57,FALSE) &amp; " HR"</f>
    </nc>
  </rcc>
  <rcc rId="3834" sId="5">
    <oc r="U77">
      <f>VLOOKUP(A77,INPUT_RANGE,53,FALSE) &amp; " r"</f>
    </oc>
    <nc r="U77">
      <f>VLOOKUP(A77,INPUT_RANGE,53,FALSE) &amp; " R"</f>
    </nc>
  </rcc>
  <rcc rId="3835" sId="5">
    <oc r="V77">
      <f>TEXT(AX77, ".000") &amp; " obp"</f>
    </oc>
    <nc r="V77">
      <f>TEXT(AX77, ".000") &amp; " OBP"</f>
    </nc>
  </rcc>
  <rcc rId="3836" sId="5">
    <oc r="X77">
      <f>VLOOKUP(A77,INPUT_RANGE,77,FALSE)&amp;" games"</f>
    </oc>
    <nc r="X77">
      <f>VLOOKUP(A77,INPUT_RANGE,77,FALSE)&amp;" games"</f>
    </nc>
  </rcc>
  <rcc rId="3837" sId="5">
    <oc r="Y77">
      <f>VLOOKUP(A77,INPUT_RANGE,78,FALSE) &amp; " starts"</f>
    </oc>
    <nc r="Y77">
      <f>VLOOKUP(A77,INPUT_RANGE,78,FALSE) &amp; " starts"</f>
    </nc>
  </rcc>
  <rcc rId="3838" sId="5">
    <oc r="Z77">
      <f>VLOOKUP(A77,INPUT_RANGE,82,FALSE) &amp; " ip"</f>
    </oc>
    <nc r="Z77">
      <f>VLOOKUP(A77,INPUT_RANGE,82,FALSE) &amp; " IP"</f>
    </nc>
  </rcc>
  <rcc rId="3839" sId="5">
    <oc r="AA77">
      <f>TRUNC(VLOOKUP(A77,INPUT_RANGE,82,FALSE)) &amp;  IF(AR77=0.333,"º",IF(AR77=0.666,"»",""))</f>
    </oc>
    <nc r="AA77">
      <f>TRUNC(VLOOKUP(A77,INPUT_RANGE,82,FALSE)) &amp;  IF(AR77=0.333,"º",IF(AR77=0.666,"»",""))</f>
    </nc>
  </rcc>
  <rcc rId="3840" sId="5">
    <oc r="AB77">
      <f>AA77&amp; " ip"</f>
    </oc>
    <nc r="AB77">
      <f>AA77&amp; " IP"</f>
    </nc>
  </rcc>
  <rcc rId="3841" sId="5">
    <oc r="AC77">
      <f>VLOOKUP(A77,INPUT_RANGE,79,FALSE) &amp; " cg"</f>
    </oc>
    <nc r="AC77">
      <f>VLOOKUP(A77,INPUT_RANGE,79,FALSE) &amp; " CG"</f>
    </nc>
  </rcc>
  <rcc rId="3842" sId="5">
    <oc r="AD77">
      <f>VLOOKUP(A77,INPUT_RANGE,80,FALSE) &amp; " sho"</f>
    </oc>
    <nc r="AD77">
      <f>VLOOKUP(A77,INPUT_RANGE,80,FALSE) &amp; " SHO"</f>
    </nc>
  </rcc>
  <rcc rId="3843" sId="5">
    <oc r="AE77">
      <f>VLOOKUP(A77,INPUT_RANGE,75,FALSE) &amp; " win"</f>
    </oc>
    <nc r="AE77">
      <f>VLOOKUP(A77,INPUT_RANGE,75,FALSE) &amp; " Win"</f>
    </nc>
  </rcc>
  <rcc rId="3844" sId="5">
    <oc r="AF77">
      <f>VLOOKUP(A77,INPUT_RANGE,76,FALSE) &amp; " loss"</f>
    </oc>
    <nc r="AF77">
      <f>VLOOKUP(A77,INPUT_RANGE,76,FALSE) &amp; " Loss"</f>
    </nc>
  </rcc>
  <rcc rId="3845" sId="5">
    <oc r="AG77">
      <f>VLOOKUP(A77,INPUT_RANGE,75,FALSE) &amp; "-" &amp; VLOOKUP(A77,INPUT_RANGE,76,FALSE) &amp; " w-l"</f>
    </oc>
    <nc r="AG77">
      <f>VLOOKUP(A77,INPUT_RANGE,75,FALSE) &amp; "-" &amp; VLOOKUP(A77,INPUT_RANGE,76,FALSE) &amp; " W-L"</f>
    </nc>
  </rcc>
  <rcc rId="3846" sId="5">
    <oc r="AH77">
      <f>VLOOKUP(A77,INPUT_RANGE,81,FALSE)&amp; " saves"</f>
    </oc>
    <nc r="AH77">
      <f>VLOOKUP(A77,INPUT_RANGE,81,FALSE)&amp; " Saves"</f>
    </nc>
  </rcc>
  <rcc rId="3847" sId="5">
    <oc r="AI77">
      <f>VLOOKUP(A77,INPUT_RANGE,83,FALSE) &amp; " h"</f>
    </oc>
    <nc r="AI77">
      <f>VLOOKUP(A77,INPUT_RANGE,83,FALSE) &amp; " H"</f>
    </nc>
  </rcc>
  <rcc rId="3848" sId="5">
    <oc r="AJ77">
      <f>VLOOKUP(A77,INPUT_RANGE,84,FALSE) &amp; " r"</f>
    </oc>
    <nc r="AJ77">
      <f>VLOOKUP(A77,INPUT_RANGE,84,FALSE) &amp; " R"</f>
    </nc>
  </rcc>
  <rcc rId="3849" sId="5">
    <oc r="AK77">
      <f>VLOOKUP(A77,INPUT_RANGE,85,FALSE) &amp;" er"</f>
    </oc>
    <nc r="AK77">
      <f>VLOOKUP(A77,INPUT_RANGE,85,FALSE) &amp;" ER"</f>
    </nc>
  </rcc>
  <rcc rId="3850" sId="5">
    <oc r="AL77">
      <f>VLOOKUP(A77,INPUT_RANGE,88,FALSE) &amp;" hr"</f>
    </oc>
    <nc r="AL77">
      <f>VLOOKUP(A77,INPUT_RANGE,88,FALSE) &amp;" HR"</f>
    </nc>
  </rcc>
  <rcc rId="3851" sId="5">
    <oc r="AM77">
      <f>VLOOKUP(A77,INPUT_RANGE,87,FALSE) &amp; " k"</f>
    </oc>
    <nc r="AM77">
      <f>VLOOKUP(A77,INPUT_RANGE,87,FALSE) &amp; " K"</f>
    </nc>
  </rcc>
  <rcc rId="3852" sId="5">
    <oc r="AN77">
      <f>VLOOKUP(A77,INPUT_RANGE,86,FALSE) &amp; " bb"</f>
    </oc>
    <nc r="AN77">
      <f>VLOOKUP(A77,INPUT_RANGE,86,FALSE) &amp; " BB"</f>
    </nc>
  </rcc>
  <rcc rId="3853" sId="5">
    <oc r="AO77">
      <f>TEXT(AU77,"0.00") &amp; " era"</f>
    </oc>
    <nc r="AO77">
      <f>TEXT(AU77,"0.00") &amp; " ERA"</f>
    </nc>
  </rcc>
  <rcc rId="3854" sId="5">
    <oc r="AP77">
      <f>TEXT(AT77,"0.00") &amp; " whip"</f>
    </oc>
    <nc r="AP77">
      <f>TEXT(AT77,"0.00") &amp; " WHIP"</f>
    </nc>
  </rcc>
  <rcc rId="3855" sId="5">
    <oc r="AQ77">
      <f xml:space="preserve"> IF(LEFT(RIGHT((VLOOKUP(A77,INPUT_RANGE,82,FALSE)),2),1)=".",RIGHT(VLOOKUP(A77,INPUT_RANGE,82,FALSE),1), "X")</f>
    </oc>
    <nc r="AQ77">
      <f xml:space="preserve"> IF(LEFT(RIGHT((VLOOKUP(A77,INPUT_RANGE,82,FALSE)),2),1)=".",RIGHT(VLOOKUP(A77,INPUT_RANGE,82,FALSE),1), "X")</f>
    </nc>
  </rcc>
  <rcc rId="3856" sId="5">
    <oc r="AR77">
      <f>IF(AQ77 ="1",0.333,IF(AQ77="2",0.666,0))</f>
    </oc>
    <nc r="AR77">
      <f>IF(AQ77 ="1",0.333,IF(AQ77="2",0.666,0))</f>
    </nc>
  </rcc>
  <rcc rId="3857" sId="5">
    <oc r="AS77">
      <f>VLOOKUP(A77,INPUT_RANGE,82,FALSE)-(AQ77*0.1)+AR77</f>
    </oc>
    <nc r="AS77">
      <f>VLOOKUP(A77,INPUT_RANGE,82,FALSE)-(AQ77*0.1)+AR77</f>
    </nc>
  </rcc>
  <rcc rId="3858" sId="5">
    <oc r="AT77">
      <f>ROUND((VLOOKUP(A77,INPUT_RANGE,86,FALSE)+VLOOKUP(A77,INPUT_RANGE,83,FALSE))/AS77,2)</f>
    </oc>
    <nc r="AT77">
      <f>ROUND((VLOOKUP(A77,INPUT_RANGE,86,FALSE)+VLOOKUP(A77,INPUT_RANGE,83,FALSE))/AS77,2)</f>
    </nc>
  </rcc>
  <rcc rId="3859" sId="5">
    <oc r="AU77">
      <f>ROUND((VLOOKUP(A77,INPUT_RANGE,85,FALSE)/AS77)*('Team Info'!$H$25),2)</f>
    </oc>
    <nc r="AU77">
      <f>ROUND((VLOOKUP(A77,INPUT_RANGE,85,FALSE)/AS77)*('D:\Data\Softball\[ESPN_BASEBALL_AWAY_OLD.xlsx]Team Info'!$H$25),2)</f>
    </nc>
  </rcc>
  <rcc rId="3860" sId="5">
    <oc r="AW77">
      <f>(VLOOKUP(A77,INPUT_RANGE,54,FALSE)/VLOOKUP(A77,INPUT_RANGE,52,FALSE))</f>
    </oc>
    <nc r="AW77">
      <f>(VLOOKUP(A77,INPUT_RANGE,54,FALSE)/VLOOKUP(A77,INPUT_RANGE,52,FALSE))</f>
    </nc>
  </rcc>
  <rcc rId="3861" sId="5">
    <oc r="AX77">
      <f>((VLOOKUP(A77,INPUT_RANGE,54,FALSE)+VLOOKUP(A77,INPUT_RANGE,60,FALSE)+VLOOKUP(A77,INPUT_RANGE,59,FALSE))/(VLOOKUP(A77,INPUT_RANGE,52,FALSE)+VLOOKUP(A77,INPUT_RANGE,60,FALSE)+VLOOKUP(A77,INPUT_RANGE,59,FALSE)+VLOOKUP(A77,INPUT_RANGE,63,FALSE)))</f>
    </oc>
    <nc r="AX77">
      <f>((VLOOKUP(A77,INPUT_RANGE,54,FALSE)+VLOOKUP(A77,INPUT_RANGE,60,FALSE)+VLOOKUP(A77,INPUT_RANGE,59,FALSE))/(VLOOKUP(A77,INPUT_RANGE,52,FALSE)+VLOOKUP(A77,INPUT_RANGE,60,FALSE)+VLOOKUP(A77,INPUT_RANGE,59,FALSE)+VLOOKUP(A77,INPUT_RANGE,63,FALSE)))</f>
    </nc>
  </rcc>
  <rcc rId="3862" sId="5">
    <oc r="AY77">
      <f>(VLOOKUP(A77,INPUT_RANGE,54)+VLOOKUP(A77,INPUT_RANGE,55)+(VLOOKUP(A77,INPUT_RANGE,56)*2)+(VLOOKUP(A77,INPUT_RANGE,57)*3))/(VLOOKUP(A77,INPUT_RANGE,52))</f>
    </oc>
    <nc r="AY77">
      <f>(VLOOKUP(A77,INPUT_RANGE,54)+VLOOKUP(A77,INPUT_RANGE,55)+(VLOOKUP(A77,INPUT_RANGE,56)*2)+(VLOOKUP(A77,INPUT_RANGE,57)*3))/(VLOOKUP(A77,INPUT_RANGE,52))</f>
    </nc>
  </rcc>
  <rcc rId="3863" sId="5">
    <oc r="AZ77">
      <f>AX77+AY77</f>
    </oc>
    <nc r="AZ77">
      <f>AX77+AY77</f>
    </nc>
  </rcc>
  <rcc rId="3864" sId="5">
    <oc r="BA77">
      <f xml:space="preserve"> TEXT(AZ77,".000") &amp; " ops"</f>
    </oc>
    <nc r="BA77">
      <f xml:space="preserve"> TEXT(AZ77,".000") &amp; " OPS"</f>
    </nc>
  </rcc>
  <rcc rId="3865" sId="5">
    <oc r="BB77">
      <f>VLOOKUP(A77,INPUT_RANGE,78,FALSE)</f>
    </oc>
    <nc r="BB77">
      <f>VLOOKUP(A77,INPUT_RANGE,78,FALSE)</f>
    </nc>
  </rcc>
  <rcc rId="3866" sId="5">
    <oc r="BC77">
      <f>VLOOKUP(A77,INPUT_RANGE,77,FALSE)</f>
    </oc>
    <nc r="BC77">
      <f>VLOOKUP(A77,INPUT_RANGE,77,FALSE)</f>
    </nc>
  </rcc>
  <rcc rId="3867" sId="5">
    <oc r="BD77">
      <f>VLOOKUP(A77,INPUT_RANGE,75,FALSE) &amp; "-" &amp; VLOOKUP(A77,INPUT_RANGE,76,FALSE)</f>
    </oc>
    <nc r="BD77">
      <f>VLOOKUP(A77,INPUT_RANGE,75,FALSE) &amp; "-" &amp; VLOOKUP(A77,INPUT_RANGE,76,FALSE)</f>
    </nc>
  </rcc>
  <rcc rId="3868" sId="5">
    <oc r="BE77">
      <f>AU77</f>
    </oc>
    <nc r="BE77">
      <f>AU77</f>
    </nc>
  </rcc>
  <rcc rId="3869" sId="5">
    <oc r="BF77">
      <f>AA77</f>
    </oc>
    <nc r="BF77">
      <f>AA77</f>
    </nc>
  </rcc>
  <rcc rId="3870" sId="5">
    <oc r="BG77">
      <f>VLOOKUP(A77,INPUT_RANGE,86,FALSE)</f>
    </oc>
    <nc r="BG77">
      <f>VLOOKUP(A77,INPUT_RANGE,86,FALSE)</f>
    </nc>
  </rcc>
  <rcc rId="3871" sId="5">
    <oc r="BH77">
      <f>VLOOKUP(A77,INPUT_RANGE,87,FALSE)</f>
    </oc>
    <nc r="BH77">
      <f>VLOOKUP(A77,INPUT_RANGE,87,FALSE)</f>
    </nc>
  </rcc>
  <rcc rId="3872" sId="5">
    <oc r="BI77">
      <f>VLOOKUP(A77,INPUT_RANGE,81,FALSE) &amp; " SAVES"</f>
    </oc>
    <nc r="BI77">
      <f>VLOOKUP(A77,INPUT_RANGE,81,FALSE) &amp; " SAVES"</f>
    </nc>
  </rcc>
  <rcc rId="3873" sId="5">
    <oc r="BJ77">
      <f>VLOOKUP(A77,INPUT_RANGE,81,FALSE)</f>
    </oc>
    <nc r="BJ77">
      <f>VLOOKUP(A77,INPUT_RANGE,81,FALSE)</f>
    </nc>
  </rcc>
  <rcc rId="3874" sId="5">
    <oc r="BK77">
      <f>VLOOKUP(A77,INPUT_RANGE,83,FALSE)</f>
    </oc>
    <nc r="BK77">
      <f>VLOOKUP(A77,INPUT_RANGE,83,FALSE)</f>
    </nc>
  </rcc>
  <rcc rId="3875" sId="5">
    <oc r="BL77">
      <f>VLOOKUP(A77,INPUT_RANGE,87,FALSE) &amp; "/" &amp; VLOOKUP(A77,INPUT_RANGE,86,FALSE)</f>
    </oc>
    <nc r="BL77">
      <f>VLOOKUP(A77,INPUT_RANGE,87,FALSE) &amp; "/" &amp; VLOOKUP(A77,INPUT_RANGE,86,FALSE)</f>
    </nc>
  </rcc>
  <rcc rId="3876" sId="5">
    <oc r="BM77">
      <f>ROUND((VLOOKUP(A77,INPUT_RANGE,86,FALSE)+VLOOKUP(A77,INPUT_RANGE,83,FALSE))/AS77,2)</f>
    </oc>
    <nc r="BM77">
      <f>ROUND((VLOOKUP(A77,INPUT_RANGE,86,FALSE)+VLOOKUP(A77,INPUT_RANGE,83,FALSE))/AS77,2)</f>
    </nc>
  </rcc>
  <rcc rId="3877" sId="5">
    <oc r="M78">
      <f xml:space="preserve"> TEXT(AW78,".000") &amp; " ba"</f>
    </oc>
    <nc r="M78">
      <f xml:space="preserve"> TEXT(AW78,".000") &amp; " BA"</f>
    </nc>
  </rcc>
  <rcc rId="3878" sId="5">
    <oc r="N78">
      <f>VLOOKUP(A78,INPUT_RANGE,58,FALSE) &amp; " rbi"</f>
    </oc>
    <nc r="N78">
      <f>VLOOKUP(A78,INPUT_RANGE,58,FALSE) &amp; " RBI"</f>
    </nc>
  </rcc>
  <rcc rId="3879" sId="5">
    <oc r="O78">
      <f>VLOOKUP(A78,INPUT_RANGE,60,FALSE) &amp; " bb"</f>
    </oc>
    <nc r="O78">
      <f>VLOOKUP(A78,INPUT_RANGE,60,FALSE) &amp; " BB"</f>
    </nc>
  </rcc>
  <rcc rId="3880" sId="5">
    <oc r="P78">
      <f>VLOOKUP(A78,INPUT_RANGE,61,FALSE) &amp; " k"</f>
    </oc>
    <nc r="P78">
      <f>VLOOKUP(A78,INPUT_RANGE,61,FALSE) &amp; " K"</f>
    </nc>
  </rcc>
  <rcc rId="3881" sId="5">
    <oc r="Q78">
      <f>VLOOKUP(A78,INPUT_RANGE,64,FALSE) &amp; " sb"</f>
    </oc>
    <nc r="Q78">
      <f>VLOOKUP(A78,INPUT_RANGE,64,FALSE) &amp; " SB"</f>
    </nc>
  </rcc>
  <rcc rId="3882" sId="5">
    <oc r="R78">
      <f>VLOOKUP(A78,INPUT_RANGE,55,FALSE) &amp; " 2b"</f>
    </oc>
    <nc r="R78">
      <f>VLOOKUP(A78,INPUT_RANGE,55,FALSE) &amp; " 2B"</f>
    </nc>
  </rcc>
  <rcc rId="3883" sId="5">
    <oc r="S78">
      <f>VLOOKUP(A78,INPUT_RANGE,56,FALSE) &amp; " 3b"</f>
    </oc>
    <nc r="S78">
      <f>VLOOKUP(A78,INPUT_RANGE,56,FALSE) &amp; " 3B"</f>
    </nc>
  </rcc>
  <rcc rId="3884" sId="5">
    <oc r="T78">
      <f>VLOOKUP(A78,INPUT_RANGE,57,FALSE) &amp; " hr"</f>
    </oc>
    <nc r="T78">
      <f>VLOOKUP(A78,INPUT_RANGE,57,FALSE) &amp; " HR"</f>
    </nc>
  </rcc>
  <rcc rId="3885" sId="5">
    <oc r="U78">
      <f>VLOOKUP(A78,INPUT_RANGE,53,FALSE) &amp; " r"</f>
    </oc>
    <nc r="U78">
      <f>VLOOKUP(A78,INPUT_RANGE,53,FALSE) &amp; " R"</f>
    </nc>
  </rcc>
  <rcc rId="3886" sId="5">
    <oc r="V78">
      <f>TEXT(AX78, ".000") &amp; " obp"</f>
    </oc>
    <nc r="V78">
      <f>TEXT(AX78, ".000") &amp; " OBP"</f>
    </nc>
  </rcc>
  <rcc rId="3887" sId="5">
    <oc r="X78">
      <f>VLOOKUP(A78,INPUT_RANGE,77,FALSE)&amp;" games"</f>
    </oc>
    <nc r="X78">
      <f>VLOOKUP(A78,INPUT_RANGE,77,FALSE)&amp;" games"</f>
    </nc>
  </rcc>
  <rcc rId="3888" sId="5">
    <oc r="Y78">
      <f>VLOOKUP(A78,INPUT_RANGE,78,FALSE) &amp; " starts"</f>
    </oc>
    <nc r="Y78">
      <f>VLOOKUP(A78,INPUT_RANGE,78,FALSE) &amp; " starts"</f>
    </nc>
  </rcc>
  <rcc rId="3889" sId="5">
    <oc r="Z78">
      <f>VLOOKUP(A78,INPUT_RANGE,82,FALSE) &amp; " ip"</f>
    </oc>
    <nc r="Z78">
      <f>VLOOKUP(A78,INPUT_RANGE,82,FALSE) &amp; " IP"</f>
    </nc>
  </rcc>
  <rcc rId="3890" sId="5">
    <oc r="AA78">
      <f>TRUNC(VLOOKUP(A78,INPUT_RANGE,82,FALSE)) &amp;  IF(AR78=0.333,"º",IF(AR78=0.666,"»",""))</f>
    </oc>
    <nc r="AA78">
      <f>TRUNC(VLOOKUP(A78,INPUT_RANGE,82,FALSE)) &amp;  IF(AR78=0.333,"º",IF(AR78=0.666,"»",""))</f>
    </nc>
  </rcc>
  <rcc rId="3891" sId="5">
    <oc r="AB78">
      <f>AA78&amp; " ip"</f>
    </oc>
    <nc r="AB78">
      <f>AA78&amp; " IP"</f>
    </nc>
  </rcc>
  <rcc rId="3892" sId="5">
    <oc r="AC78">
      <f>VLOOKUP(A78,INPUT_RANGE,79,FALSE) &amp; " cg"</f>
    </oc>
    <nc r="AC78">
      <f>VLOOKUP(A78,INPUT_RANGE,79,FALSE) &amp; " CG"</f>
    </nc>
  </rcc>
  <rcc rId="3893" sId="5">
    <oc r="AD78">
      <f>VLOOKUP(A78,INPUT_RANGE,80,FALSE) &amp; " sho"</f>
    </oc>
    <nc r="AD78">
      <f>VLOOKUP(A78,INPUT_RANGE,80,FALSE) &amp; " SHO"</f>
    </nc>
  </rcc>
  <rcc rId="3894" sId="5">
    <oc r="AE78">
      <f>VLOOKUP(A78,INPUT_RANGE,75,FALSE) &amp; " win"</f>
    </oc>
    <nc r="AE78">
      <f>VLOOKUP(A78,INPUT_RANGE,75,FALSE) &amp; " Win"</f>
    </nc>
  </rcc>
  <rcc rId="3895" sId="5">
    <oc r="AF78">
      <f>VLOOKUP(A78,INPUT_RANGE,76,FALSE) &amp; " loss"</f>
    </oc>
    <nc r="AF78">
      <f>VLOOKUP(A78,INPUT_RANGE,76,FALSE) &amp; " Loss"</f>
    </nc>
  </rcc>
  <rcc rId="3896" sId="5">
    <oc r="AG78">
      <f>VLOOKUP(A78,INPUT_RANGE,75,FALSE) &amp; "-" &amp; VLOOKUP(A78,INPUT_RANGE,76,FALSE) &amp; " w-l"</f>
    </oc>
    <nc r="AG78">
      <f>VLOOKUP(A78,INPUT_RANGE,75,FALSE) &amp; "-" &amp; VLOOKUP(A78,INPUT_RANGE,76,FALSE) &amp; " W-L"</f>
    </nc>
  </rcc>
  <rcc rId="3897" sId="5">
    <oc r="AH78">
      <f>VLOOKUP(A78,INPUT_RANGE,81,FALSE)&amp; " saves"</f>
    </oc>
    <nc r="AH78">
      <f>VLOOKUP(A78,INPUT_RANGE,81,FALSE)&amp; " Saves"</f>
    </nc>
  </rcc>
  <rcc rId="3898" sId="5">
    <oc r="AI78">
      <f>VLOOKUP(A78,INPUT_RANGE,83,FALSE) &amp; " h"</f>
    </oc>
    <nc r="AI78">
      <f>VLOOKUP(A78,INPUT_RANGE,83,FALSE) &amp; " H"</f>
    </nc>
  </rcc>
  <rcc rId="3899" sId="5">
    <oc r="AJ78">
      <f>VLOOKUP(A78,INPUT_RANGE,84,FALSE) &amp; " r"</f>
    </oc>
    <nc r="AJ78">
      <f>VLOOKUP(A78,INPUT_RANGE,84,FALSE) &amp; " R"</f>
    </nc>
  </rcc>
  <rcc rId="3900" sId="5">
    <oc r="AK78">
      <f>VLOOKUP(A78,INPUT_RANGE,85,FALSE) &amp;" er"</f>
    </oc>
    <nc r="AK78">
      <f>VLOOKUP(A78,INPUT_RANGE,85,FALSE) &amp;" ER"</f>
    </nc>
  </rcc>
  <rcc rId="3901" sId="5">
    <oc r="AL78">
      <f>VLOOKUP(A78,INPUT_RANGE,88,FALSE) &amp;" hr"</f>
    </oc>
    <nc r="AL78">
      <f>VLOOKUP(A78,INPUT_RANGE,88,FALSE) &amp;" HR"</f>
    </nc>
  </rcc>
  <rcc rId="3902" sId="5">
    <oc r="AM78">
      <f>VLOOKUP(A78,INPUT_RANGE,87,FALSE) &amp; " k"</f>
    </oc>
    <nc r="AM78">
      <f>VLOOKUP(A78,INPUT_RANGE,87,FALSE) &amp; " K"</f>
    </nc>
  </rcc>
  <rcc rId="3903" sId="5">
    <oc r="AN78">
      <f>VLOOKUP(A78,INPUT_RANGE,86,FALSE) &amp; " bb"</f>
    </oc>
    <nc r="AN78">
      <f>VLOOKUP(A78,INPUT_RANGE,86,FALSE) &amp; " BB"</f>
    </nc>
  </rcc>
  <rcc rId="3904" sId="5">
    <oc r="AO78">
      <f>TEXT(AU78,"0.00") &amp; " era"</f>
    </oc>
    <nc r="AO78">
      <f>TEXT(AU78,"0.00") &amp; " ERA"</f>
    </nc>
  </rcc>
  <rcc rId="3905" sId="5">
    <oc r="AP78">
      <f>TEXT(AT78,"0.00") &amp; " whip"</f>
    </oc>
    <nc r="AP78">
      <f>TEXT(AT78,"0.00") &amp; " WHIP"</f>
    </nc>
  </rcc>
  <rcc rId="3906" sId="5">
    <oc r="AQ78">
      <f xml:space="preserve"> IF(LEFT(RIGHT((VLOOKUP(A78,INPUT_RANGE,82,FALSE)),2),1)=".",RIGHT(VLOOKUP(A78,INPUT_RANGE,82,FALSE),1), "X")</f>
    </oc>
    <nc r="AQ78">
      <f xml:space="preserve"> IF(LEFT(RIGHT((VLOOKUP(A78,INPUT_RANGE,82,FALSE)),2),1)=".",RIGHT(VLOOKUP(A78,INPUT_RANGE,82,FALSE),1), "X")</f>
    </nc>
  </rcc>
  <rcc rId="3907" sId="5">
    <oc r="AR78">
      <f>IF(AQ78 ="1",0.333,IF(AQ78="2",0.666,0))</f>
    </oc>
    <nc r="AR78">
      <f>IF(AQ78 ="1",0.333,IF(AQ78="2",0.666,0))</f>
    </nc>
  </rcc>
  <rcc rId="3908" sId="5">
    <oc r="AS78">
      <f>VLOOKUP(A78,INPUT_RANGE,82,FALSE)-(AQ78*0.1)+AR78</f>
    </oc>
    <nc r="AS78">
      <f>VLOOKUP(A78,INPUT_RANGE,82,FALSE)-(AQ78*0.1)+AR78</f>
    </nc>
  </rcc>
  <rcc rId="3909" sId="5">
    <oc r="AT78">
      <f>ROUND((VLOOKUP(A78,INPUT_RANGE,86,FALSE)+VLOOKUP(A78,INPUT_RANGE,83,FALSE))/AS78,2)</f>
    </oc>
    <nc r="AT78">
      <f>ROUND((VLOOKUP(A78,INPUT_RANGE,86,FALSE)+VLOOKUP(A78,INPUT_RANGE,83,FALSE))/AS78,2)</f>
    </nc>
  </rcc>
  <rcc rId="3910" sId="5">
    <oc r="AU78">
      <f>ROUND((VLOOKUP(A78,INPUT_RANGE,85,FALSE)/AS78)*('Team Info'!$H$25),2)</f>
    </oc>
    <nc r="AU78">
      <f>ROUND((VLOOKUP(A78,INPUT_RANGE,85,FALSE)/AS78)*('D:\Data\Softball\[ESPN_BASEBALL_AWAY_OLD.xlsx]Team Info'!$H$25),2)</f>
    </nc>
  </rcc>
  <rcc rId="3911" sId="5">
    <oc r="AW78">
      <f>(VLOOKUP(A78,INPUT_RANGE,54,FALSE)/VLOOKUP(A78,INPUT_RANGE,52,FALSE))</f>
    </oc>
    <nc r="AW78">
      <f>(VLOOKUP(A78,INPUT_RANGE,54,FALSE)/VLOOKUP(A78,INPUT_RANGE,52,FALSE))</f>
    </nc>
  </rcc>
  <rcc rId="3912" sId="5">
    <oc r="AX78">
      <f>((VLOOKUP(A78,INPUT_RANGE,54,FALSE)+VLOOKUP(A78,INPUT_RANGE,60,FALSE)+VLOOKUP(A78,INPUT_RANGE,59,FALSE))/(VLOOKUP(A78,INPUT_RANGE,52,FALSE)+VLOOKUP(A78,INPUT_RANGE,60,FALSE)+VLOOKUP(A78,INPUT_RANGE,59,FALSE)+VLOOKUP(A78,INPUT_RANGE,63,FALSE)))</f>
    </oc>
    <nc r="AX78">
      <f>((VLOOKUP(A78,INPUT_RANGE,54,FALSE)+VLOOKUP(A78,INPUT_RANGE,60,FALSE)+VLOOKUP(A78,INPUT_RANGE,59,FALSE))/(VLOOKUP(A78,INPUT_RANGE,52,FALSE)+VLOOKUP(A78,INPUT_RANGE,60,FALSE)+VLOOKUP(A78,INPUT_RANGE,59,FALSE)+VLOOKUP(A78,INPUT_RANGE,63,FALSE)))</f>
    </nc>
  </rcc>
  <rcc rId="3913" sId="5">
    <oc r="AY78">
      <f>(VLOOKUP(A78,INPUT_RANGE,54)+VLOOKUP(A78,INPUT_RANGE,55)+(VLOOKUP(A78,INPUT_RANGE,56)*2)+(VLOOKUP(A78,INPUT_RANGE,57)*3))/(VLOOKUP(A78,INPUT_RANGE,52))</f>
    </oc>
    <nc r="AY78">
      <f>(VLOOKUP(A78,INPUT_RANGE,54)+VLOOKUP(A78,INPUT_RANGE,55)+(VLOOKUP(A78,INPUT_RANGE,56)*2)+(VLOOKUP(A78,INPUT_RANGE,57)*3))/(VLOOKUP(A78,INPUT_RANGE,52))</f>
    </nc>
  </rcc>
  <rcc rId="3914" sId="5">
    <oc r="AZ78">
      <f>AX78+AY78</f>
    </oc>
    <nc r="AZ78">
      <f>AX78+AY78</f>
    </nc>
  </rcc>
  <rcc rId="3915" sId="5">
    <oc r="BA78">
      <f xml:space="preserve"> TEXT(AZ78,".000") &amp; " ops"</f>
    </oc>
    <nc r="BA78">
      <f xml:space="preserve"> TEXT(AZ78,".000") &amp; " OPS"</f>
    </nc>
  </rcc>
  <rcc rId="3916" sId="5">
    <oc r="BB78">
      <f>VLOOKUP(A78,INPUT_RANGE,78,FALSE)</f>
    </oc>
    <nc r="BB78">
      <f>VLOOKUP(A78,INPUT_RANGE,78,FALSE)</f>
    </nc>
  </rcc>
  <rcc rId="3917" sId="5">
    <oc r="BC78">
      <f>VLOOKUP(A78,INPUT_RANGE,77,FALSE)</f>
    </oc>
    <nc r="BC78">
      <f>VLOOKUP(A78,INPUT_RANGE,77,FALSE)</f>
    </nc>
  </rcc>
  <rcc rId="3918" sId="5">
    <oc r="BD78">
      <f>VLOOKUP(A78,INPUT_RANGE,75,FALSE) &amp; "-" &amp; VLOOKUP(A78,INPUT_RANGE,76,FALSE)</f>
    </oc>
    <nc r="BD78">
      <f>VLOOKUP(A78,INPUT_RANGE,75,FALSE) &amp; "-" &amp; VLOOKUP(A78,INPUT_RANGE,76,FALSE)</f>
    </nc>
  </rcc>
  <rcc rId="3919" sId="5">
    <oc r="BE78">
      <f>AU78</f>
    </oc>
    <nc r="BE78">
      <f>AU78</f>
    </nc>
  </rcc>
  <rcc rId="3920" sId="5">
    <oc r="BF78">
      <f>AA78</f>
    </oc>
    <nc r="BF78">
      <f>AA78</f>
    </nc>
  </rcc>
  <rcc rId="3921" sId="5">
    <oc r="BG78">
      <f>VLOOKUP(A78,INPUT_RANGE,86,FALSE)</f>
    </oc>
    <nc r="BG78">
      <f>VLOOKUP(A78,INPUT_RANGE,86,FALSE)</f>
    </nc>
  </rcc>
  <rcc rId="3922" sId="5">
    <oc r="BH78">
      <f>VLOOKUP(A78,INPUT_RANGE,87,FALSE)</f>
    </oc>
    <nc r="BH78">
      <f>VLOOKUP(A78,INPUT_RANGE,87,FALSE)</f>
    </nc>
  </rcc>
  <rcc rId="3923" sId="5">
    <oc r="BI78">
      <f>VLOOKUP(A78,INPUT_RANGE,81,FALSE) &amp; " SAVES"</f>
    </oc>
    <nc r="BI78">
      <f>VLOOKUP(A78,INPUT_RANGE,81,FALSE) &amp; " SAVES"</f>
    </nc>
  </rcc>
  <rcc rId="3924" sId="5">
    <oc r="BJ78">
      <f>VLOOKUP(A78,INPUT_RANGE,81,FALSE)</f>
    </oc>
    <nc r="BJ78">
      <f>VLOOKUP(A78,INPUT_RANGE,81,FALSE)</f>
    </nc>
  </rcc>
  <rcc rId="3925" sId="5">
    <oc r="BK78">
      <f>VLOOKUP(A78,INPUT_RANGE,83,FALSE)</f>
    </oc>
    <nc r="BK78">
      <f>VLOOKUP(A78,INPUT_RANGE,83,FALSE)</f>
    </nc>
  </rcc>
  <rcc rId="3926" sId="5">
    <oc r="BL78">
      <f>VLOOKUP(A78,INPUT_RANGE,87,FALSE) &amp; "/" &amp; VLOOKUP(A78,INPUT_RANGE,86,FALSE)</f>
    </oc>
    <nc r="BL78">
      <f>VLOOKUP(A78,INPUT_RANGE,87,FALSE) &amp; "/" &amp; VLOOKUP(A78,INPUT_RANGE,86,FALSE)</f>
    </nc>
  </rcc>
  <rcc rId="3927" sId="5">
    <oc r="BM78">
      <f>ROUND((VLOOKUP(A78,INPUT_RANGE,86,FALSE)+VLOOKUP(A78,INPUT_RANGE,83,FALSE))/AS78,2)</f>
    </oc>
    <nc r="BM78">
      <f>ROUND((VLOOKUP(A78,INPUT_RANGE,86,FALSE)+VLOOKUP(A78,INPUT_RANGE,83,FALSE))/AS78,2)</f>
    </nc>
  </rcc>
  <rcc rId="3928" sId="5">
    <oc r="M79">
      <f xml:space="preserve"> TEXT(AW79,".000") &amp; " ba"</f>
    </oc>
    <nc r="M79">
      <f xml:space="preserve"> TEXT(AW79,".000") &amp; " BA"</f>
    </nc>
  </rcc>
  <rcc rId="3929" sId="5">
    <oc r="N79">
      <f>VLOOKUP(A79,INPUT_RANGE,58,FALSE) &amp; " rbi"</f>
    </oc>
    <nc r="N79">
      <f>VLOOKUP(A79,INPUT_RANGE,58,FALSE) &amp; " RBI"</f>
    </nc>
  </rcc>
  <rcc rId="3930" sId="5">
    <oc r="O79">
      <f>VLOOKUP(A79,INPUT_RANGE,60,FALSE) &amp; " bb"</f>
    </oc>
    <nc r="O79">
      <f>VLOOKUP(A79,INPUT_RANGE,60,FALSE) &amp; " BB"</f>
    </nc>
  </rcc>
  <rcc rId="3931" sId="5">
    <oc r="P79">
      <f>VLOOKUP(A79,INPUT_RANGE,61,FALSE) &amp; " k"</f>
    </oc>
    <nc r="P79">
      <f>VLOOKUP(A79,INPUT_RANGE,61,FALSE) &amp; " K"</f>
    </nc>
  </rcc>
  <rcc rId="3932" sId="5">
    <oc r="Q79">
      <f>VLOOKUP(A79,INPUT_RANGE,64,FALSE) &amp; " sb"</f>
    </oc>
    <nc r="Q79">
      <f>VLOOKUP(A79,INPUT_RANGE,64,FALSE) &amp; " SB"</f>
    </nc>
  </rcc>
  <rcc rId="3933" sId="5">
    <oc r="R79">
      <f>VLOOKUP(A79,INPUT_RANGE,55,FALSE) &amp; " 2b"</f>
    </oc>
    <nc r="R79">
      <f>VLOOKUP(A79,INPUT_RANGE,55,FALSE) &amp; " 2B"</f>
    </nc>
  </rcc>
  <rcc rId="3934" sId="5">
    <oc r="S79">
      <f>VLOOKUP(A79,INPUT_RANGE,56,FALSE) &amp; " 3b"</f>
    </oc>
    <nc r="S79">
      <f>VLOOKUP(A79,INPUT_RANGE,56,FALSE) &amp; " 3B"</f>
    </nc>
  </rcc>
  <rcc rId="3935" sId="5">
    <oc r="T79">
      <f>VLOOKUP(A79,INPUT_RANGE,57,FALSE) &amp; " hr"</f>
    </oc>
    <nc r="T79">
      <f>VLOOKUP(A79,INPUT_RANGE,57,FALSE) &amp; " HR"</f>
    </nc>
  </rcc>
  <rcc rId="3936" sId="5">
    <oc r="U79">
      <f>VLOOKUP(A79,INPUT_RANGE,53,FALSE) &amp; " r"</f>
    </oc>
    <nc r="U79">
      <f>VLOOKUP(A79,INPUT_RANGE,53,FALSE) &amp; " R"</f>
    </nc>
  </rcc>
  <rcc rId="3937" sId="5">
    <oc r="V79">
      <f>TEXT(AX79, ".000") &amp; " obp"</f>
    </oc>
    <nc r="V79">
      <f>TEXT(AX79, ".000") &amp; " OBP"</f>
    </nc>
  </rcc>
  <rcc rId="3938" sId="5">
    <oc r="X79">
      <f>VLOOKUP(A79,INPUT_RANGE,77,FALSE)&amp;" games"</f>
    </oc>
    <nc r="X79">
      <f>VLOOKUP(A79,INPUT_RANGE,77,FALSE)&amp;" games"</f>
    </nc>
  </rcc>
  <rcc rId="3939" sId="5">
    <oc r="Y79">
      <f>VLOOKUP(A79,INPUT_RANGE,78,FALSE) &amp; " starts"</f>
    </oc>
    <nc r="Y79">
      <f>VLOOKUP(A79,INPUT_RANGE,78,FALSE) &amp; " starts"</f>
    </nc>
  </rcc>
  <rcc rId="3940" sId="5">
    <oc r="Z79">
      <f>VLOOKUP(A79,INPUT_RANGE,82,FALSE) &amp; " ip"</f>
    </oc>
    <nc r="Z79">
      <f>VLOOKUP(A79,INPUT_RANGE,82,FALSE) &amp; " IP"</f>
    </nc>
  </rcc>
  <rcc rId="3941" sId="5">
    <oc r="AA79">
      <f>TRUNC(VLOOKUP(A79,INPUT_RANGE,82,FALSE)) &amp;  IF(AR79=0.333,"º",IF(AR79=0.666,"»",""))</f>
    </oc>
    <nc r="AA79">
      <f>TRUNC(VLOOKUP(A79,INPUT_RANGE,82,FALSE)) &amp;  IF(AR79=0.333,"º",IF(AR79=0.666,"»",""))</f>
    </nc>
  </rcc>
  <rcc rId="3942" sId="5">
    <oc r="AB79">
      <f>AA79&amp; " ip"</f>
    </oc>
    <nc r="AB79">
      <f>AA79&amp; " IP"</f>
    </nc>
  </rcc>
  <rcc rId="3943" sId="5">
    <oc r="AC79">
      <f>VLOOKUP(A79,INPUT_RANGE,79,FALSE) &amp; " cg"</f>
    </oc>
    <nc r="AC79">
      <f>VLOOKUP(A79,INPUT_RANGE,79,FALSE) &amp; " CG"</f>
    </nc>
  </rcc>
  <rcc rId="3944" sId="5">
    <oc r="AD79">
      <f>VLOOKUP(A79,INPUT_RANGE,80,FALSE) &amp; " sho"</f>
    </oc>
    <nc r="AD79">
      <f>VLOOKUP(A79,INPUT_RANGE,80,FALSE) &amp; " SHO"</f>
    </nc>
  </rcc>
  <rcc rId="3945" sId="5">
    <oc r="AE79">
      <f>VLOOKUP(A79,INPUT_RANGE,75,FALSE) &amp; " win"</f>
    </oc>
    <nc r="AE79">
      <f>VLOOKUP(A79,INPUT_RANGE,75,FALSE) &amp; " Win"</f>
    </nc>
  </rcc>
  <rcc rId="3946" sId="5">
    <oc r="AF79">
      <f>VLOOKUP(A79,INPUT_RANGE,76,FALSE) &amp; " loss"</f>
    </oc>
    <nc r="AF79">
      <f>VLOOKUP(A79,INPUT_RANGE,76,FALSE) &amp; " Loss"</f>
    </nc>
  </rcc>
  <rcc rId="3947" sId="5">
    <oc r="AG79">
      <f>VLOOKUP(A79,INPUT_RANGE,75,FALSE) &amp; "-" &amp; VLOOKUP(A79,INPUT_RANGE,76,FALSE) &amp; " w-l"</f>
    </oc>
    <nc r="AG79">
      <f>VLOOKUP(A79,INPUT_RANGE,75,FALSE) &amp; "-" &amp; VLOOKUP(A79,INPUT_RANGE,76,FALSE) &amp; " W-L"</f>
    </nc>
  </rcc>
  <rcc rId="3948" sId="5">
    <oc r="AH79">
      <f>VLOOKUP(A79,INPUT_RANGE,81,FALSE)&amp; " saves"</f>
    </oc>
    <nc r="AH79">
      <f>VLOOKUP(A79,INPUT_RANGE,81,FALSE)&amp; " Saves"</f>
    </nc>
  </rcc>
  <rcc rId="3949" sId="5">
    <oc r="AI79">
      <f>VLOOKUP(A79,INPUT_RANGE,83,FALSE) &amp; " h"</f>
    </oc>
    <nc r="AI79">
      <f>VLOOKUP(A79,INPUT_RANGE,83,FALSE) &amp; " H"</f>
    </nc>
  </rcc>
  <rcc rId="3950" sId="5">
    <oc r="AJ79">
      <f>VLOOKUP(A79,INPUT_RANGE,84,FALSE) &amp; " r"</f>
    </oc>
    <nc r="AJ79">
      <f>VLOOKUP(A79,INPUT_RANGE,84,FALSE) &amp; " R"</f>
    </nc>
  </rcc>
  <rcc rId="3951" sId="5">
    <oc r="AK79">
      <f>VLOOKUP(A79,INPUT_RANGE,85,FALSE) &amp;" er"</f>
    </oc>
    <nc r="AK79">
      <f>VLOOKUP(A79,INPUT_RANGE,85,FALSE) &amp;" ER"</f>
    </nc>
  </rcc>
  <rcc rId="3952" sId="5">
    <oc r="AL79">
      <f>VLOOKUP(A79,INPUT_RANGE,88,FALSE) &amp;" hr"</f>
    </oc>
    <nc r="AL79">
      <f>VLOOKUP(A79,INPUT_RANGE,88,FALSE) &amp;" HR"</f>
    </nc>
  </rcc>
  <rcc rId="3953" sId="5">
    <oc r="AM79">
      <f>VLOOKUP(A79,INPUT_RANGE,87,FALSE) &amp; " k"</f>
    </oc>
    <nc r="AM79">
      <f>VLOOKUP(A79,INPUT_RANGE,87,FALSE) &amp; " K"</f>
    </nc>
  </rcc>
  <rcc rId="3954" sId="5">
    <oc r="AN79">
      <f>VLOOKUP(A79,INPUT_RANGE,86,FALSE) &amp; " bb"</f>
    </oc>
    <nc r="AN79">
      <f>VLOOKUP(A79,INPUT_RANGE,86,FALSE) &amp; " BB"</f>
    </nc>
  </rcc>
  <rcc rId="3955" sId="5">
    <oc r="AO79">
      <f>TEXT(AU79,"0.00") &amp; " era"</f>
    </oc>
    <nc r="AO79">
      <f>TEXT(AU79,"0.00") &amp; " ERA"</f>
    </nc>
  </rcc>
  <rcc rId="3956" sId="5">
    <oc r="AP79">
      <f>TEXT(AT79,"0.00") &amp; " whip"</f>
    </oc>
    <nc r="AP79">
      <f>TEXT(AT79,"0.00") &amp; " WHIP"</f>
    </nc>
  </rcc>
  <rcc rId="3957" sId="5">
    <oc r="AQ79">
      <f xml:space="preserve"> IF(LEFT(RIGHT((VLOOKUP(A79,INPUT_RANGE,82,FALSE)),2),1)=".",RIGHT(VLOOKUP(A79,INPUT_RANGE,82,FALSE),1), "X")</f>
    </oc>
    <nc r="AQ79">
      <f xml:space="preserve"> IF(LEFT(RIGHT((VLOOKUP(A79,INPUT_RANGE,82,FALSE)),2),1)=".",RIGHT(VLOOKUP(A79,INPUT_RANGE,82,FALSE),1), "X")</f>
    </nc>
  </rcc>
  <rcc rId="3958" sId="5">
    <oc r="AR79">
      <f>IF(AQ79 ="1",0.333,IF(AQ79="2",0.666,0))</f>
    </oc>
    <nc r="AR79">
      <f>IF(AQ79 ="1",0.333,IF(AQ79="2",0.666,0))</f>
    </nc>
  </rcc>
  <rcc rId="3959" sId="5">
    <oc r="AS79">
      <f>VLOOKUP(A79,INPUT_RANGE,82,FALSE)-(AQ79*0.1)+AR79</f>
    </oc>
    <nc r="AS79">
      <f>VLOOKUP(A79,INPUT_RANGE,82,FALSE)-(AQ79*0.1)+AR79</f>
    </nc>
  </rcc>
  <rcc rId="3960" sId="5">
    <oc r="AT79">
      <f>ROUND((VLOOKUP(A79,INPUT_RANGE,86,FALSE)+VLOOKUP(A79,INPUT_RANGE,83,FALSE))/AS79,2)</f>
    </oc>
    <nc r="AT79">
      <f>ROUND((VLOOKUP(A79,INPUT_RANGE,86,FALSE)+VLOOKUP(A79,INPUT_RANGE,83,FALSE))/AS79,2)</f>
    </nc>
  </rcc>
  <rcc rId="3961" sId="5">
    <oc r="AU79">
      <f>ROUND((VLOOKUP(A79,INPUT_RANGE,85,FALSE)/AS79)*('Team Info'!$H$25),2)</f>
    </oc>
    <nc r="AU79">
      <f>ROUND((VLOOKUP(A79,INPUT_RANGE,85,FALSE)/AS79)*('D:\Data\Softball\[ESPN_BASEBALL_AWAY_OLD.xlsx]Team Info'!$H$25),2)</f>
    </nc>
  </rcc>
  <rcc rId="3962" sId="5">
    <oc r="AW79">
      <f>(VLOOKUP(A79,INPUT_RANGE,54,FALSE)/VLOOKUP(A79,INPUT_RANGE,52,FALSE))</f>
    </oc>
    <nc r="AW79">
      <f>(VLOOKUP(A79,INPUT_RANGE,54,FALSE)/VLOOKUP(A79,INPUT_RANGE,52,FALSE))</f>
    </nc>
  </rcc>
  <rcc rId="3963" sId="5">
    <oc r="AX79">
      <f>((VLOOKUP(A79,INPUT_RANGE,54,FALSE)+VLOOKUP(A79,INPUT_RANGE,60,FALSE)+VLOOKUP(A79,INPUT_RANGE,59,FALSE))/(VLOOKUP(A79,INPUT_RANGE,52,FALSE)+VLOOKUP(A79,INPUT_RANGE,60,FALSE)+VLOOKUP(A79,INPUT_RANGE,59,FALSE)+VLOOKUP(A79,INPUT_RANGE,63,FALSE)))</f>
    </oc>
    <nc r="AX79">
      <f>((VLOOKUP(A79,INPUT_RANGE,54,FALSE)+VLOOKUP(A79,INPUT_RANGE,60,FALSE)+VLOOKUP(A79,INPUT_RANGE,59,FALSE))/(VLOOKUP(A79,INPUT_RANGE,52,FALSE)+VLOOKUP(A79,INPUT_RANGE,60,FALSE)+VLOOKUP(A79,INPUT_RANGE,59,FALSE)+VLOOKUP(A79,INPUT_RANGE,63,FALSE)))</f>
    </nc>
  </rcc>
  <rcc rId="3964" sId="5">
    <oc r="AY79">
      <f>(VLOOKUP(A79,INPUT_RANGE,54)+VLOOKUP(A79,INPUT_RANGE,55)+(VLOOKUP(A79,INPUT_RANGE,56)*2)+(VLOOKUP(A79,INPUT_RANGE,57)*3))/(VLOOKUP(A79,INPUT_RANGE,52))</f>
    </oc>
    <nc r="AY79">
      <f>(VLOOKUP(A79,INPUT_RANGE,54)+VLOOKUP(A79,INPUT_RANGE,55)+(VLOOKUP(A79,INPUT_RANGE,56)*2)+(VLOOKUP(A79,INPUT_RANGE,57)*3))/(VLOOKUP(A79,INPUT_RANGE,52))</f>
    </nc>
  </rcc>
  <rcc rId="3965" sId="5">
    <oc r="AZ79">
      <f>AX79+AY79</f>
    </oc>
    <nc r="AZ79">
      <f>AX79+AY79</f>
    </nc>
  </rcc>
  <rcc rId="3966" sId="5">
    <oc r="BA79">
      <f xml:space="preserve"> TEXT(AZ79,".000") &amp; " ops"</f>
    </oc>
    <nc r="BA79">
      <f xml:space="preserve"> TEXT(AZ79,".000") &amp; " OPS"</f>
    </nc>
  </rcc>
  <rcc rId="3967" sId="5">
    <oc r="BB79">
      <f>VLOOKUP(A79,INPUT_RANGE,78,FALSE)</f>
    </oc>
    <nc r="BB79">
      <f>VLOOKUP(A79,INPUT_RANGE,78,FALSE)</f>
    </nc>
  </rcc>
  <rcc rId="3968" sId="5">
    <oc r="BC79">
      <f>VLOOKUP(A79,INPUT_RANGE,77,FALSE)</f>
    </oc>
    <nc r="BC79">
      <f>VLOOKUP(A79,INPUT_RANGE,77,FALSE)</f>
    </nc>
  </rcc>
  <rcc rId="3969" sId="5">
    <oc r="BD79">
      <f>VLOOKUP(A79,INPUT_RANGE,75,FALSE) &amp; "-" &amp; VLOOKUP(A79,INPUT_RANGE,76,FALSE)</f>
    </oc>
    <nc r="BD79">
      <f>VLOOKUP(A79,INPUT_RANGE,75,FALSE) &amp; "-" &amp; VLOOKUP(A79,INPUT_RANGE,76,FALSE)</f>
    </nc>
  </rcc>
  <rcc rId="3970" sId="5">
    <oc r="BE79">
      <f>AU79</f>
    </oc>
    <nc r="BE79">
      <f>AU79</f>
    </nc>
  </rcc>
  <rcc rId="3971" sId="5">
    <oc r="BF79">
      <f>AA79</f>
    </oc>
    <nc r="BF79">
      <f>AA79</f>
    </nc>
  </rcc>
  <rcc rId="3972" sId="5">
    <oc r="BG79">
      <f>VLOOKUP(A79,INPUT_RANGE,86,FALSE)</f>
    </oc>
    <nc r="BG79">
      <f>VLOOKUP(A79,INPUT_RANGE,86,FALSE)</f>
    </nc>
  </rcc>
  <rcc rId="3973" sId="5">
    <oc r="BH79">
      <f>VLOOKUP(A79,INPUT_RANGE,87,FALSE)</f>
    </oc>
    <nc r="BH79">
      <f>VLOOKUP(A79,INPUT_RANGE,87,FALSE)</f>
    </nc>
  </rcc>
  <rcc rId="3974" sId="5">
    <oc r="BI79">
      <f>VLOOKUP(A79,INPUT_RANGE,81,FALSE) &amp; " SAVES"</f>
    </oc>
    <nc r="BI79">
      <f>VLOOKUP(A79,INPUT_RANGE,81,FALSE) &amp; " SAVES"</f>
    </nc>
  </rcc>
  <rcc rId="3975" sId="5">
    <oc r="BJ79">
      <f>VLOOKUP(A79,INPUT_RANGE,81,FALSE)</f>
    </oc>
    <nc r="BJ79">
      <f>VLOOKUP(A79,INPUT_RANGE,81,FALSE)</f>
    </nc>
  </rcc>
  <rcc rId="3976" sId="5">
    <oc r="BK79">
      <f>VLOOKUP(A79,INPUT_RANGE,83,FALSE)</f>
    </oc>
    <nc r="BK79">
      <f>VLOOKUP(A79,INPUT_RANGE,83,FALSE)</f>
    </nc>
  </rcc>
  <rcc rId="3977" sId="5">
    <oc r="BL79">
      <f>VLOOKUP(A79,INPUT_RANGE,87,FALSE) &amp; "/" &amp; VLOOKUP(A79,INPUT_RANGE,86,FALSE)</f>
    </oc>
    <nc r="BL79">
      <f>VLOOKUP(A79,INPUT_RANGE,87,FALSE) &amp; "/" &amp; VLOOKUP(A79,INPUT_RANGE,86,FALSE)</f>
    </nc>
  </rcc>
  <rcc rId="3978" sId="5">
    <oc r="BM79">
      <f>ROUND((VLOOKUP(A79,INPUT_RANGE,86,FALSE)+VLOOKUP(A79,INPUT_RANGE,83,FALSE))/AS79,2)</f>
    </oc>
    <nc r="BM79">
      <f>ROUND((VLOOKUP(A79,INPUT_RANGE,86,FALSE)+VLOOKUP(A79,INPUT_RANGE,83,FALSE))/AS79,2)</f>
    </nc>
  </rcc>
  <rcc rId="3979" sId="5">
    <oc r="M80">
      <f xml:space="preserve"> TEXT(AW80,".000") &amp; " ba"</f>
    </oc>
    <nc r="M80">
      <f xml:space="preserve"> TEXT(AW80,".000") &amp; " BA"</f>
    </nc>
  </rcc>
  <rcc rId="3980" sId="5">
    <oc r="N80">
      <f>VLOOKUP(A80,INPUT_RANGE,58,FALSE) &amp; " rbi"</f>
    </oc>
    <nc r="N80">
      <f>VLOOKUP(A80,INPUT_RANGE,58,FALSE) &amp; " RBI"</f>
    </nc>
  </rcc>
  <rcc rId="3981" sId="5">
    <oc r="O80">
      <f>VLOOKUP(A80,INPUT_RANGE,60,FALSE) &amp; " bb"</f>
    </oc>
    <nc r="O80">
      <f>VLOOKUP(A80,INPUT_RANGE,60,FALSE) &amp; " BB"</f>
    </nc>
  </rcc>
  <rcc rId="3982" sId="5">
    <oc r="P80">
      <f>VLOOKUP(A80,INPUT_RANGE,61,FALSE) &amp; " k"</f>
    </oc>
    <nc r="P80">
      <f>VLOOKUP(A80,INPUT_RANGE,61,FALSE) &amp; " K"</f>
    </nc>
  </rcc>
  <rcc rId="3983" sId="5">
    <oc r="Q80">
      <f>VLOOKUP(A80,INPUT_RANGE,64,FALSE) &amp; " sb"</f>
    </oc>
    <nc r="Q80">
      <f>VLOOKUP(A80,INPUT_RANGE,64,FALSE) &amp; " SB"</f>
    </nc>
  </rcc>
  <rcc rId="3984" sId="5">
    <oc r="R80">
      <f>VLOOKUP(A80,INPUT_RANGE,55,FALSE) &amp; " 2b"</f>
    </oc>
    <nc r="R80">
      <f>VLOOKUP(A80,INPUT_RANGE,55,FALSE) &amp; " 2B"</f>
    </nc>
  </rcc>
  <rcc rId="3985" sId="5">
    <oc r="S80">
      <f>VLOOKUP(A80,INPUT_RANGE,56,FALSE) &amp; " 3b"</f>
    </oc>
    <nc r="S80">
      <f>VLOOKUP(A80,INPUT_RANGE,56,FALSE) &amp; " 3B"</f>
    </nc>
  </rcc>
  <rcc rId="3986" sId="5">
    <oc r="T80">
      <f>VLOOKUP(A80,INPUT_RANGE,57,FALSE) &amp; " hr"</f>
    </oc>
    <nc r="T80">
      <f>VLOOKUP(A80,INPUT_RANGE,57,FALSE) &amp; " HR"</f>
    </nc>
  </rcc>
  <rcc rId="3987" sId="5">
    <oc r="U80">
      <f>VLOOKUP(A80,INPUT_RANGE,53,FALSE) &amp; " r"</f>
    </oc>
    <nc r="U80">
      <f>VLOOKUP(A80,INPUT_RANGE,53,FALSE) &amp; " R"</f>
    </nc>
  </rcc>
  <rcc rId="3988" sId="5">
    <oc r="V80">
      <f>TEXT(AX80, ".000") &amp; " obp"</f>
    </oc>
    <nc r="V80">
      <f>TEXT(AX80, ".000") &amp; " OBP"</f>
    </nc>
  </rcc>
  <rcc rId="3989" sId="5">
    <oc r="X80">
      <f>VLOOKUP(A80,INPUT_RANGE,77,FALSE)&amp;" games"</f>
    </oc>
    <nc r="X80">
      <f>VLOOKUP(A80,INPUT_RANGE,77,FALSE)&amp;" games"</f>
    </nc>
  </rcc>
  <rcc rId="3990" sId="5">
    <oc r="Y80">
      <f>VLOOKUP(A80,INPUT_RANGE,78,FALSE) &amp; " starts"</f>
    </oc>
    <nc r="Y80">
      <f>VLOOKUP(A80,INPUT_RANGE,78,FALSE) &amp; " starts"</f>
    </nc>
  </rcc>
  <rcc rId="3991" sId="5">
    <oc r="Z80">
      <f>VLOOKUP(A80,INPUT_RANGE,82,FALSE) &amp; " ip"</f>
    </oc>
    <nc r="Z80">
      <f>VLOOKUP(A80,INPUT_RANGE,82,FALSE) &amp; " IP"</f>
    </nc>
  </rcc>
  <rcc rId="3992" sId="5">
    <oc r="AA80">
      <f>TRUNC(VLOOKUP(A80,INPUT_RANGE,82,FALSE)) &amp;  IF(AR80=0.333,"º",IF(AR80=0.666,"»",""))</f>
    </oc>
    <nc r="AA80">
      <f>TRUNC(VLOOKUP(A80,INPUT_RANGE,82,FALSE)) &amp;  IF(AR80=0.333,"º",IF(AR80=0.666,"»",""))</f>
    </nc>
  </rcc>
  <rcc rId="3993" sId="5">
    <oc r="AB80">
      <f>AA80&amp; " ip"</f>
    </oc>
    <nc r="AB80">
      <f>AA80&amp; " IP"</f>
    </nc>
  </rcc>
  <rcc rId="3994" sId="5">
    <oc r="AC80">
      <f>VLOOKUP(A80,INPUT_RANGE,79,FALSE) &amp; " cg"</f>
    </oc>
    <nc r="AC80">
      <f>VLOOKUP(A80,INPUT_RANGE,79,FALSE) &amp; " CG"</f>
    </nc>
  </rcc>
  <rcc rId="3995" sId="5">
    <oc r="AD80">
      <f>VLOOKUP(A80,INPUT_RANGE,80,FALSE) &amp; " sho"</f>
    </oc>
    <nc r="AD80">
      <f>VLOOKUP(A80,INPUT_RANGE,80,FALSE) &amp; " SHO"</f>
    </nc>
  </rcc>
  <rcc rId="3996" sId="5">
    <oc r="AE80">
      <f>VLOOKUP(A80,INPUT_RANGE,75,FALSE) &amp; " win"</f>
    </oc>
    <nc r="AE80">
      <f>VLOOKUP(A80,INPUT_RANGE,75,FALSE) &amp; " Win"</f>
    </nc>
  </rcc>
  <rcc rId="3997" sId="5">
    <oc r="AF80">
      <f>VLOOKUP(A80,INPUT_RANGE,76,FALSE) &amp; " loss"</f>
    </oc>
    <nc r="AF80">
      <f>VLOOKUP(A80,INPUT_RANGE,76,FALSE) &amp; " Loss"</f>
    </nc>
  </rcc>
  <rcc rId="3998" sId="5">
    <oc r="AG80">
      <f>VLOOKUP(A80,INPUT_RANGE,75,FALSE) &amp; "-" &amp; VLOOKUP(A80,INPUT_RANGE,76,FALSE) &amp; " w-l"</f>
    </oc>
    <nc r="AG80">
      <f>VLOOKUP(A80,INPUT_RANGE,75,FALSE) &amp; "-" &amp; VLOOKUP(A80,INPUT_RANGE,76,FALSE) &amp; " W-L"</f>
    </nc>
  </rcc>
  <rcc rId="3999" sId="5">
    <oc r="AH80">
      <f>VLOOKUP(A80,INPUT_RANGE,81,FALSE)&amp; " saves"</f>
    </oc>
    <nc r="AH80">
      <f>VLOOKUP(A80,INPUT_RANGE,81,FALSE)&amp; " Saves"</f>
    </nc>
  </rcc>
  <rcc rId="4000" sId="5">
    <oc r="AI80">
      <f>VLOOKUP(A80,INPUT_RANGE,83,FALSE) &amp; " h"</f>
    </oc>
    <nc r="AI80">
      <f>VLOOKUP(A80,INPUT_RANGE,83,FALSE) &amp; " H"</f>
    </nc>
  </rcc>
  <rcc rId="4001" sId="5">
    <oc r="AJ80">
      <f>VLOOKUP(A80,INPUT_RANGE,84,FALSE) &amp; " r"</f>
    </oc>
    <nc r="AJ80">
      <f>VLOOKUP(A80,INPUT_RANGE,84,FALSE) &amp; " R"</f>
    </nc>
  </rcc>
  <rcc rId="4002" sId="5">
    <oc r="AK80">
      <f>VLOOKUP(A80,INPUT_RANGE,85,FALSE) &amp;" er"</f>
    </oc>
    <nc r="AK80">
      <f>VLOOKUP(A80,INPUT_RANGE,85,FALSE) &amp;" ER"</f>
    </nc>
  </rcc>
  <rcc rId="4003" sId="5">
    <oc r="AL80">
      <f>VLOOKUP(A80,INPUT_RANGE,88,FALSE) &amp;" hr"</f>
    </oc>
    <nc r="AL80">
      <f>VLOOKUP(A80,INPUT_RANGE,88,FALSE) &amp;" HR"</f>
    </nc>
  </rcc>
  <rcc rId="4004" sId="5">
    <oc r="AM80">
      <f>VLOOKUP(A80,INPUT_RANGE,87,FALSE) &amp; " k"</f>
    </oc>
    <nc r="AM80">
      <f>VLOOKUP(A80,INPUT_RANGE,87,FALSE) &amp; " K"</f>
    </nc>
  </rcc>
  <rcc rId="4005" sId="5">
    <oc r="AN80">
      <f>VLOOKUP(A80,INPUT_RANGE,86,FALSE) &amp; " bb"</f>
    </oc>
    <nc r="AN80">
      <f>VLOOKUP(A80,INPUT_RANGE,86,FALSE) &amp; " BB"</f>
    </nc>
  </rcc>
  <rcc rId="4006" sId="5">
    <oc r="AO80">
      <f>TEXT(AU80,"0.00") &amp; " era"</f>
    </oc>
    <nc r="AO80">
      <f>TEXT(AU80,"0.00") &amp; " ERA"</f>
    </nc>
  </rcc>
  <rcc rId="4007" sId="5">
    <oc r="AP80">
      <f>TEXT(AT80,"0.00") &amp; " whip"</f>
    </oc>
    <nc r="AP80">
      <f>TEXT(AT80,"0.00") &amp; " WHIP"</f>
    </nc>
  </rcc>
  <rcc rId="4008" sId="5">
    <oc r="AQ80">
      <f xml:space="preserve"> IF(LEFT(RIGHT((VLOOKUP(A80,INPUT_RANGE,82,FALSE)),2),1)=".",RIGHT(VLOOKUP(A80,INPUT_RANGE,82,FALSE),1), "X")</f>
    </oc>
    <nc r="AQ80">
      <f xml:space="preserve"> IF(LEFT(RIGHT((VLOOKUP(A80,INPUT_RANGE,82,FALSE)),2),1)=".",RIGHT(VLOOKUP(A80,INPUT_RANGE,82,FALSE),1), "X")</f>
    </nc>
  </rcc>
  <rcc rId="4009" sId="5">
    <oc r="AR80">
      <f>IF(AQ80 ="1",0.333,IF(AQ80="2",0.666,0))</f>
    </oc>
    <nc r="AR80">
      <f>IF(AQ80 ="1",0.333,IF(AQ80="2",0.666,0))</f>
    </nc>
  </rcc>
  <rcc rId="4010" sId="5">
    <oc r="AS80">
      <f>VLOOKUP(A80,INPUT_RANGE,82,FALSE)-(AQ80*0.1)+AR80</f>
    </oc>
    <nc r="AS80">
      <f>VLOOKUP(A80,INPUT_RANGE,82,FALSE)-(AQ80*0.1)+AR80</f>
    </nc>
  </rcc>
  <rcc rId="4011" sId="5">
    <oc r="AT80">
      <f>ROUND((VLOOKUP(A80,INPUT_RANGE,86,FALSE)+VLOOKUP(A80,INPUT_RANGE,83,FALSE))/AS80,2)</f>
    </oc>
    <nc r="AT80">
      <f>ROUND((VLOOKUP(A80,INPUT_RANGE,86,FALSE)+VLOOKUP(A80,INPUT_RANGE,83,FALSE))/AS80,2)</f>
    </nc>
  </rcc>
  <rcc rId="4012" sId="5">
    <oc r="AU80">
      <f>ROUND((VLOOKUP(A80,INPUT_RANGE,85,FALSE)/AS80)*('Team Info'!$H$25),2)</f>
    </oc>
    <nc r="AU80">
      <f>ROUND((VLOOKUP(A80,INPUT_RANGE,85,FALSE)/AS80)*('D:\Data\Softball\[ESPN_BASEBALL_AWAY_OLD.xlsx]Team Info'!$H$25),2)</f>
    </nc>
  </rcc>
  <rcc rId="4013" sId="5">
    <oc r="AW80">
      <f>(VLOOKUP(A80,INPUT_RANGE,54,FALSE)/VLOOKUP(A80,INPUT_RANGE,52,FALSE))</f>
    </oc>
    <nc r="AW80">
      <f>(VLOOKUP(A80,INPUT_RANGE,54,FALSE)/VLOOKUP(A80,INPUT_RANGE,52,FALSE))</f>
    </nc>
  </rcc>
  <rcc rId="4014" sId="5">
    <oc r="AX80">
      <f>((VLOOKUP(A80,INPUT_RANGE,54,FALSE)+VLOOKUP(A80,INPUT_RANGE,60,FALSE)+VLOOKUP(A80,INPUT_RANGE,59,FALSE))/(VLOOKUP(A80,INPUT_RANGE,52,FALSE)+VLOOKUP(A80,INPUT_RANGE,60,FALSE)+VLOOKUP(A80,INPUT_RANGE,59,FALSE)+VLOOKUP(A80,INPUT_RANGE,63,FALSE)))</f>
    </oc>
    <nc r="AX80">
      <f>((VLOOKUP(A80,INPUT_RANGE,54,FALSE)+VLOOKUP(A80,INPUT_RANGE,60,FALSE)+VLOOKUP(A80,INPUT_RANGE,59,FALSE))/(VLOOKUP(A80,INPUT_RANGE,52,FALSE)+VLOOKUP(A80,INPUT_RANGE,60,FALSE)+VLOOKUP(A80,INPUT_RANGE,59,FALSE)+VLOOKUP(A80,INPUT_RANGE,63,FALSE)))</f>
    </nc>
  </rcc>
  <rcc rId="4015" sId="5">
    <oc r="AY80">
      <f>(VLOOKUP(A80,INPUT_RANGE,54)+VLOOKUP(A80,INPUT_RANGE,55)+(VLOOKUP(A80,INPUT_RANGE,56)*2)+(VLOOKUP(A80,INPUT_RANGE,57)*3))/(VLOOKUP(A80,INPUT_RANGE,52))</f>
    </oc>
    <nc r="AY80">
      <f>(VLOOKUP(A80,INPUT_RANGE,54)+VLOOKUP(A80,INPUT_RANGE,55)+(VLOOKUP(A80,INPUT_RANGE,56)*2)+(VLOOKUP(A80,INPUT_RANGE,57)*3))/(VLOOKUP(A80,INPUT_RANGE,52))</f>
    </nc>
  </rcc>
  <rcc rId="4016" sId="5">
    <oc r="AZ80">
      <f>AX80+AY80</f>
    </oc>
    <nc r="AZ80">
      <f>AX80+AY80</f>
    </nc>
  </rcc>
  <rcc rId="4017" sId="5">
    <oc r="BA80">
      <f xml:space="preserve"> TEXT(AZ80,".000") &amp; " ops"</f>
    </oc>
    <nc r="BA80">
      <f xml:space="preserve"> TEXT(AZ80,".000") &amp; " OPS"</f>
    </nc>
  </rcc>
  <rcc rId="4018" sId="5">
    <oc r="BB80">
      <f>VLOOKUP(A80,INPUT_RANGE,78,FALSE)</f>
    </oc>
    <nc r="BB80">
      <f>VLOOKUP(A80,INPUT_RANGE,78,FALSE)</f>
    </nc>
  </rcc>
  <rcc rId="4019" sId="5">
    <oc r="BC80">
      <f>VLOOKUP(A80,INPUT_RANGE,77,FALSE)</f>
    </oc>
    <nc r="BC80">
      <f>VLOOKUP(A80,INPUT_RANGE,77,FALSE)</f>
    </nc>
  </rcc>
  <rcc rId="4020" sId="5">
    <oc r="BD80">
      <f>VLOOKUP(A80,INPUT_RANGE,75,FALSE) &amp; "-" &amp; VLOOKUP(A80,INPUT_RANGE,76,FALSE)</f>
    </oc>
    <nc r="BD80">
      <f>VLOOKUP(A80,INPUT_RANGE,75,FALSE) &amp; "-" &amp; VLOOKUP(A80,INPUT_RANGE,76,FALSE)</f>
    </nc>
  </rcc>
  <rcc rId="4021" sId="5">
    <oc r="BE80">
      <f>AU80</f>
    </oc>
    <nc r="BE80">
      <f>AU80</f>
    </nc>
  </rcc>
  <rcc rId="4022" sId="5">
    <oc r="BF80">
      <f>AA80</f>
    </oc>
    <nc r="BF80">
      <f>AA80</f>
    </nc>
  </rcc>
  <rcc rId="4023" sId="5">
    <oc r="BG80">
      <f>VLOOKUP(A80,INPUT_RANGE,86,FALSE)</f>
    </oc>
    <nc r="BG80">
      <f>VLOOKUP(A80,INPUT_RANGE,86,FALSE)</f>
    </nc>
  </rcc>
  <rcc rId="4024" sId="5">
    <oc r="BH80">
      <f>VLOOKUP(A80,INPUT_RANGE,87,FALSE)</f>
    </oc>
    <nc r="BH80">
      <f>VLOOKUP(A80,INPUT_RANGE,87,FALSE)</f>
    </nc>
  </rcc>
  <rcc rId="4025" sId="5">
    <oc r="BI80">
      <f>VLOOKUP(A80,INPUT_RANGE,81,FALSE) &amp; " SAVES"</f>
    </oc>
    <nc r="BI80">
      <f>VLOOKUP(A80,INPUT_RANGE,81,FALSE) &amp; " SAVES"</f>
    </nc>
  </rcc>
  <rcc rId="4026" sId="5">
    <oc r="BJ80">
      <f>VLOOKUP(A80,INPUT_RANGE,81,FALSE)</f>
    </oc>
    <nc r="BJ80">
      <f>VLOOKUP(A80,INPUT_RANGE,81,FALSE)</f>
    </nc>
  </rcc>
  <rcc rId="4027" sId="5">
    <oc r="BK80">
      <f>VLOOKUP(A80,INPUT_RANGE,83,FALSE)</f>
    </oc>
    <nc r="BK80">
      <f>VLOOKUP(A80,INPUT_RANGE,83,FALSE)</f>
    </nc>
  </rcc>
  <rcc rId="4028" sId="5">
    <oc r="BL80">
      <f>VLOOKUP(A80,INPUT_RANGE,87,FALSE) &amp; "/" &amp; VLOOKUP(A80,INPUT_RANGE,86,FALSE)</f>
    </oc>
    <nc r="BL80">
      <f>VLOOKUP(A80,INPUT_RANGE,87,FALSE) &amp; "/" &amp; VLOOKUP(A80,INPUT_RANGE,86,FALSE)</f>
    </nc>
  </rcc>
  <rcc rId="4029" sId="5">
    <oc r="BM80">
      <f>ROUND((VLOOKUP(A80,INPUT_RANGE,86,FALSE)+VLOOKUP(A80,INPUT_RANGE,83,FALSE))/AS80,2)</f>
    </oc>
    <nc r="BM80">
      <f>ROUND((VLOOKUP(A80,INPUT_RANGE,86,FALSE)+VLOOKUP(A80,INPUT_RANGE,83,FALSE))/AS80,2)</f>
    </nc>
  </rcc>
  <rcc rId="4030" sId="5">
    <oc r="M81">
      <f xml:space="preserve"> TEXT(AW81,".000") &amp; " ba"</f>
    </oc>
    <nc r="M81">
      <f xml:space="preserve"> TEXT(AW81,".000") &amp; " BA"</f>
    </nc>
  </rcc>
  <rcc rId="4031" sId="5">
    <oc r="N81">
      <f>VLOOKUP(A81,INPUT_RANGE,58,FALSE) &amp; " rbi"</f>
    </oc>
    <nc r="N81">
      <f>VLOOKUP(A81,INPUT_RANGE,58,FALSE) &amp; " RBI"</f>
    </nc>
  </rcc>
  <rcc rId="4032" sId="5">
    <oc r="O81">
      <f>VLOOKUP(A81,INPUT_RANGE,60,FALSE) &amp; " bb"</f>
    </oc>
    <nc r="O81">
      <f>VLOOKUP(A81,INPUT_RANGE,60,FALSE) &amp; " BB"</f>
    </nc>
  </rcc>
  <rcc rId="4033" sId="5">
    <oc r="P81">
      <f>VLOOKUP(A81,INPUT_RANGE,61,FALSE) &amp; " k"</f>
    </oc>
    <nc r="P81">
      <f>VLOOKUP(A81,INPUT_RANGE,61,FALSE) &amp; " K"</f>
    </nc>
  </rcc>
  <rcc rId="4034" sId="5">
    <oc r="Q81">
      <f>VLOOKUP(A81,INPUT_RANGE,64,FALSE) &amp; " sb"</f>
    </oc>
    <nc r="Q81">
      <f>VLOOKUP(A81,INPUT_RANGE,64,FALSE) &amp; " SB"</f>
    </nc>
  </rcc>
  <rcc rId="4035" sId="5">
    <oc r="R81">
      <f>VLOOKUP(A81,INPUT_RANGE,55,FALSE) &amp; " 2b"</f>
    </oc>
    <nc r="R81">
      <f>VLOOKUP(A81,INPUT_RANGE,55,FALSE) &amp; " 2B"</f>
    </nc>
  </rcc>
  <rcc rId="4036" sId="5">
    <oc r="S81">
      <f>VLOOKUP(A81,INPUT_RANGE,56,FALSE) &amp; " 3b"</f>
    </oc>
    <nc r="S81">
      <f>VLOOKUP(A81,INPUT_RANGE,56,FALSE) &amp; " 3B"</f>
    </nc>
  </rcc>
  <rcc rId="4037" sId="5">
    <oc r="T81">
      <f>VLOOKUP(A81,INPUT_RANGE,57,FALSE) &amp; " hr"</f>
    </oc>
    <nc r="T81">
      <f>VLOOKUP(A81,INPUT_RANGE,57,FALSE) &amp; " HR"</f>
    </nc>
  </rcc>
  <rcc rId="4038" sId="5">
    <oc r="U81">
      <f>VLOOKUP(A81,INPUT_RANGE,53,FALSE) &amp; " r"</f>
    </oc>
    <nc r="U81">
      <f>VLOOKUP(A81,INPUT_RANGE,53,FALSE) &amp; " R"</f>
    </nc>
  </rcc>
  <rcc rId="4039" sId="5">
    <oc r="V81">
      <f>TEXT(AX81, ".000") &amp; " obp"</f>
    </oc>
    <nc r="V81">
      <f>TEXT(AX81, ".000") &amp; " OBP"</f>
    </nc>
  </rcc>
  <rcc rId="4040" sId="5">
    <oc r="X81">
      <f>VLOOKUP(A81,INPUT_RANGE,77,FALSE)&amp;" games"</f>
    </oc>
    <nc r="X81">
      <f>VLOOKUP(A81,INPUT_RANGE,77,FALSE)&amp;" games"</f>
    </nc>
  </rcc>
  <rcc rId="4041" sId="5">
    <oc r="Y81">
      <f>VLOOKUP(A81,INPUT_RANGE,78,FALSE) &amp; " starts"</f>
    </oc>
    <nc r="Y81">
      <f>VLOOKUP(A81,INPUT_RANGE,78,FALSE) &amp; " starts"</f>
    </nc>
  </rcc>
  <rcc rId="4042" sId="5">
    <oc r="Z81">
      <f>VLOOKUP(A81,INPUT_RANGE,82,FALSE) &amp; " ip"</f>
    </oc>
    <nc r="Z81">
      <f>VLOOKUP(A81,INPUT_RANGE,82,FALSE) &amp; " IP"</f>
    </nc>
  </rcc>
  <rcc rId="4043" sId="5">
    <oc r="AA81">
      <f>TRUNC(VLOOKUP(A81,INPUT_RANGE,82,FALSE)) &amp;  IF(AR81=0.333,"º",IF(AR81=0.666,"»",""))</f>
    </oc>
    <nc r="AA81">
      <f>TRUNC(VLOOKUP(A81,INPUT_RANGE,82,FALSE)) &amp;  IF(AR81=0.333,"º",IF(AR81=0.666,"»",""))</f>
    </nc>
  </rcc>
  <rcc rId="4044" sId="5">
    <oc r="AB81">
      <f>AA81&amp; " ip"</f>
    </oc>
    <nc r="AB81">
      <f>AA81&amp; " IP"</f>
    </nc>
  </rcc>
  <rcc rId="4045" sId="5">
    <oc r="AC81">
      <f>VLOOKUP(A81,INPUT_RANGE,79,FALSE) &amp; " cg"</f>
    </oc>
    <nc r="AC81">
      <f>VLOOKUP(A81,INPUT_RANGE,79,FALSE) &amp; " CG"</f>
    </nc>
  </rcc>
  <rcc rId="4046" sId="5">
    <oc r="AD81">
      <f>VLOOKUP(A81,INPUT_RANGE,80,FALSE) &amp; " sho"</f>
    </oc>
    <nc r="AD81">
      <f>VLOOKUP(A81,INPUT_RANGE,80,FALSE) &amp; " SHO"</f>
    </nc>
  </rcc>
  <rcc rId="4047" sId="5">
    <oc r="AE81">
      <f>VLOOKUP(A81,INPUT_RANGE,75,FALSE) &amp; " win"</f>
    </oc>
    <nc r="AE81">
      <f>VLOOKUP(A81,INPUT_RANGE,75,FALSE) &amp; " Win"</f>
    </nc>
  </rcc>
  <rcc rId="4048" sId="5">
    <oc r="AF81">
      <f>VLOOKUP(A81,INPUT_RANGE,76,FALSE) &amp; " loss"</f>
    </oc>
    <nc r="AF81">
      <f>VLOOKUP(A81,INPUT_RANGE,76,FALSE) &amp; " Loss"</f>
    </nc>
  </rcc>
  <rcc rId="4049" sId="5">
    <oc r="AG81">
      <f>VLOOKUP(A81,INPUT_RANGE,75,FALSE) &amp; "-" &amp; VLOOKUP(A81,INPUT_RANGE,76,FALSE) &amp; " w-l"</f>
    </oc>
    <nc r="AG81">
      <f>VLOOKUP(A81,INPUT_RANGE,75,FALSE) &amp; "-" &amp; VLOOKUP(A81,INPUT_RANGE,76,FALSE) &amp; " W-L"</f>
    </nc>
  </rcc>
  <rcc rId="4050" sId="5">
    <oc r="AH81">
      <f>VLOOKUP(A81,INPUT_RANGE,81,FALSE)&amp; " saves"</f>
    </oc>
    <nc r="AH81">
      <f>VLOOKUP(A81,INPUT_RANGE,81,FALSE)&amp; " Saves"</f>
    </nc>
  </rcc>
  <rcc rId="4051" sId="5">
    <oc r="AI81">
      <f>VLOOKUP(A81,INPUT_RANGE,83,FALSE) &amp; " h"</f>
    </oc>
    <nc r="AI81">
      <f>VLOOKUP(A81,INPUT_RANGE,83,FALSE) &amp; " H"</f>
    </nc>
  </rcc>
  <rcc rId="4052" sId="5">
    <oc r="AJ81">
      <f>VLOOKUP(A81,INPUT_RANGE,84,FALSE) &amp; " r"</f>
    </oc>
    <nc r="AJ81">
      <f>VLOOKUP(A81,INPUT_RANGE,84,FALSE) &amp; " R"</f>
    </nc>
  </rcc>
  <rcc rId="4053" sId="5">
    <oc r="AK81">
      <f>VLOOKUP(A81,INPUT_RANGE,85,FALSE) &amp;" er"</f>
    </oc>
    <nc r="AK81">
      <f>VLOOKUP(A81,INPUT_RANGE,85,FALSE) &amp;" ER"</f>
    </nc>
  </rcc>
  <rcc rId="4054" sId="5">
    <oc r="AL81">
      <f>VLOOKUP(A81,INPUT_RANGE,88,FALSE) &amp;" hr"</f>
    </oc>
    <nc r="AL81">
      <f>VLOOKUP(A81,INPUT_RANGE,88,FALSE) &amp;" HR"</f>
    </nc>
  </rcc>
  <rcc rId="4055" sId="5">
    <oc r="AM81">
      <f>VLOOKUP(A81,INPUT_RANGE,87,FALSE) &amp; " k"</f>
    </oc>
    <nc r="AM81">
      <f>VLOOKUP(A81,INPUT_RANGE,87,FALSE) &amp; " K"</f>
    </nc>
  </rcc>
  <rcc rId="4056" sId="5">
    <oc r="AN81">
      <f>VLOOKUP(A81,INPUT_RANGE,86,FALSE) &amp; " bb"</f>
    </oc>
    <nc r="AN81">
      <f>VLOOKUP(A81,INPUT_RANGE,86,FALSE) &amp; " BB"</f>
    </nc>
  </rcc>
  <rcc rId="4057" sId="5">
    <oc r="AO81">
      <f>TEXT(AU81,"0.00") &amp; " era"</f>
    </oc>
    <nc r="AO81">
      <f>TEXT(AU81,"0.00") &amp; " ERA"</f>
    </nc>
  </rcc>
  <rcc rId="4058" sId="5">
    <oc r="AP81">
      <f>TEXT(AT81,"0.00") &amp; " whip"</f>
    </oc>
    <nc r="AP81">
      <f>TEXT(AT81,"0.00") &amp; " WHIP"</f>
    </nc>
  </rcc>
  <rcc rId="4059" sId="5">
    <oc r="AQ81">
      <f xml:space="preserve"> IF(LEFT(RIGHT((VLOOKUP(A81,INPUT_RANGE,82,FALSE)),2),1)=".",RIGHT(VLOOKUP(A81,INPUT_RANGE,82,FALSE),1), "X")</f>
    </oc>
    <nc r="AQ81">
      <f xml:space="preserve"> IF(LEFT(RIGHT((VLOOKUP(A81,INPUT_RANGE,82,FALSE)),2),1)=".",RIGHT(VLOOKUP(A81,INPUT_RANGE,82,FALSE),1), "X")</f>
    </nc>
  </rcc>
  <rcc rId="4060" sId="5">
    <oc r="AR81">
      <f>IF(AQ81 ="1",0.333,IF(AQ81="2",0.666,0))</f>
    </oc>
    <nc r="AR81">
      <f>IF(AQ81 ="1",0.333,IF(AQ81="2",0.666,0))</f>
    </nc>
  </rcc>
  <rcc rId="4061" sId="5">
    <oc r="AS81">
      <f>VLOOKUP(A81,INPUT_RANGE,82,FALSE)-(AQ81*0.1)+AR81</f>
    </oc>
    <nc r="AS81">
      <f>VLOOKUP(A81,INPUT_RANGE,82,FALSE)-(AQ81*0.1)+AR81</f>
    </nc>
  </rcc>
  <rcc rId="4062" sId="5">
    <oc r="AT81">
      <f>ROUND((VLOOKUP(A81,INPUT_RANGE,86,FALSE)+VLOOKUP(A81,INPUT_RANGE,83,FALSE))/AS81,2)</f>
    </oc>
    <nc r="AT81">
      <f>ROUND((VLOOKUP(A81,INPUT_RANGE,86,FALSE)+VLOOKUP(A81,INPUT_RANGE,83,FALSE))/AS81,2)</f>
    </nc>
  </rcc>
  <rcc rId="4063" sId="5">
    <oc r="AU81">
      <f>ROUND((VLOOKUP(A81,INPUT_RANGE,85,FALSE)/AS81)*('Team Info'!$H$25),2)</f>
    </oc>
    <nc r="AU81">
      <f>ROUND((VLOOKUP(A81,INPUT_RANGE,85,FALSE)/AS81)*('D:\Data\Softball\[ESPN_BASEBALL_AWAY_OLD.xlsx]Team Info'!$H$25),2)</f>
    </nc>
  </rcc>
  <rcc rId="4064" sId="5">
    <oc r="AW81">
      <f>(VLOOKUP(A81,INPUT_RANGE,54,FALSE)/VLOOKUP(A81,INPUT_RANGE,52,FALSE))</f>
    </oc>
    <nc r="AW81">
      <f>(VLOOKUP(A81,INPUT_RANGE,54,FALSE)/VLOOKUP(A81,INPUT_RANGE,52,FALSE))</f>
    </nc>
  </rcc>
  <rcc rId="4065" sId="5">
    <oc r="AX81">
      <f>((VLOOKUP(A81,INPUT_RANGE,54,FALSE)+VLOOKUP(A81,INPUT_RANGE,60,FALSE)+VLOOKUP(A81,INPUT_RANGE,59,FALSE))/(VLOOKUP(A81,INPUT_RANGE,52,FALSE)+VLOOKUP(A81,INPUT_RANGE,60,FALSE)+VLOOKUP(A81,INPUT_RANGE,59,FALSE)+VLOOKUP(A81,INPUT_RANGE,63,FALSE)))</f>
    </oc>
    <nc r="AX81">
      <f>((VLOOKUP(A81,INPUT_RANGE,54,FALSE)+VLOOKUP(A81,INPUT_RANGE,60,FALSE)+VLOOKUP(A81,INPUT_RANGE,59,FALSE))/(VLOOKUP(A81,INPUT_RANGE,52,FALSE)+VLOOKUP(A81,INPUT_RANGE,60,FALSE)+VLOOKUP(A81,INPUT_RANGE,59,FALSE)+VLOOKUP(A81,INPUT_RANGE,63,FALSE)))</f>
    </nc>
  </rcc>
  <rcc rId="4066" sId="5">
    <oc r="AY81">
      <f>(VLOOKUP(A81,INPUT_RANGE,54)+VLOOKUP(A81,INPUT_RANGE,55)+(VLOOKUP(A81,INPUT_RANGE,56)*2)+(VLOOKUP(A81,INPUT_RANGE,57)*3))/(VLOOKUP(A81,INPUT_RANGE,52))</f>
    </oc>
    <nc r="AY81">
      <f>(VLOOKUP(A81,INPUT_RANGE,54)+VLOOKUP(A81,INPUT_RANGE,55)+(VLOOKUP(A81,INPUT_RANGE,56)*2)+(VLOOKUP(A81,INPUT_RANGE,57)*3))/(VLOOKUP(A81,INPUT_RANGE,52))</f>
    </nc>
  </rcc>
  <rcc rId="4067" sId="5">
    <oc r="AZ81">
      <f>AX81+AY81</f>
    </oc>
    <nc r="AZ81">
      <f>AX81+AY81</f>
    </nc>
  </rcc>
  <rcc rId="4068" sId="5">
    <oc r="BA81">
      <f xml:space="preserve"> TEXT(AZ81,".000") &amp; " ops"</f>
    </oc>
    <nc r="BA81">
      <f xml:space="preserve"> TEXT(AZ81,".000") &amp; " OPS"</f>
    </nc>
  </rcc>
  <rcc rId="4069" sId="5">
    <oc r="BB81">
      <f>VLOOKUP(A81,INPUT_RANGE,78,FALSE)</f>
    </oc>
    <nc r="BB81">
      <f>VLOOKUP(A81,INPUT_RANGE,78,FALSE)</f>
    </nc>
  </rcc>
  <rcc rId="4070" sId="5">
    <oc r="BC81">
      <f>VLOOKUP(A81,INPUT_RANGE,77,FALSE)</f>
    </oc>
    <nc r="BC81">
      <f>VLOOKUP(A81,INPUT_RANGE,77,FALSE)</f>
    </nc>
  </rcc>
  <rcc rId="4071" sId="5">
    <oc r="BD81">
      <f>VLOOKUP(A81,INPUT_RANGE,75,FALSE) &amp; "-" &amp; VLOOKUP(A81,INPUT_RANGE,76,FALSE)</f>
    </oc>
    <nc r="BD81">
      <f>VLOOKUP(A81,INPUT_RANGE,75,FALSE) &amp; "-" &amp; VLOOKUP(A81,INPUT_RANGE,76,FALSE)</f>
    </nc>
  </rcc>
  <rcc rId="4072" sId="5">
    <oc r="BE81">
      <f>AU81</f>
    </oc>
    <nc r="BE81">
      <f>AU81</f>
    </nc>
  </rcc>
  <rcc rId="4073" sId="5">
    <oc r="BF81">
      <f>AA81</f>
    </oc>
    <nc r="BF81">
      <f>AA81</f>
    </nc>
  </rcc>
  <rcc rId="4074" sId="5">
    <oc r="BG81">
      <f>VLOOKUP(A81,INPUT_RANGE,86,FALSE)</f>
    </oc>
    <nc r="BG81">
      <f>VLOOKUP(A81,INPUT_RANGE,86,FALSE)</f>
    </nc>
  </rcc>
  <rcc rId="4075" sId="5">
    <oc r="BH81">
      <f>VLOOKUP(A81,INPUT_RANGE,87,FALSE)</f>
    </oc>
    <nc r="BH81">
      <f>VLOOKUP(A81,INPUT_RANGE,87,FALSE)</f>
    </nc>
  </rcc>
  <rcc rId="4076" sId="5">
    <oc r="BI81">
      <f>VLOOKUP(A81,INPUT_RANGE,81,FALSE) &amp; " SAVES"</f>
    </oc>
    <nc r="BI81">
      <f>VLOOKUP(A81,INPUT_RANGE,81,FALSE) &amp; " SAVES"</f>
    </nc>
  </rcc>
  <rcc rId="4077" sId="5">
    <oc r="BJ81">
      <f>VLOOKUP(A81,INPUT_RANGE,81,FALSE)</f>
    </oc>
    <nc r="BJ81">
      <f>VLOOKUP(A81,INPUT_RANGE,81,FALSE)</f>
    </nc>
  </rcc>
  <rcc rId="4078" sId="5">
    <oc r="BK81">
      <f>VLOOKUP(A81,INPUT_RANGE,83,FALSE)</f>
    </oc>
    <nc r="BK81">
      <f>VLOOKUP(A81,INPUT_RANGE,83,FALSE)</f>
    </nc>
  </rcc>
  <rcc rId="4079" sId="5">
    <oc r="BL81">
      <f>VLOOKUP(A81,INPUT_RANGE,87,FALSE) &amp; "/" &amp; VLOOKUP(A81,INPUT_RANGE,86,FALSE)</f>
    </oc>
    <nc r="BL81">
      <f>VLOOKUP(A81,INPUT_RANGE,87,FALSE) &amp; "/" &amp; VLOOKUP(A81,INPUT_RANGE,86,FALSE)</f>
    </nc>
  </rcc>
  <rcc rId="4080" sId="5">
    <oc r="BM81">
      <f>ROUND((VLOOKUP(A81,INPUT_RANGE,86,FALSE)+VLOOKUP(A81,INPUT_RANGE,83,FALSE))/AS81,2)</f>
    </oc>
    <nc r="BM81">
      <f>ROUND((VLOOKUP(A81,INPUT_RANGE,86,FALSE)+VLOOKUP(A81,INPUT_RANGE,83,FALSE))/AS81,2)</f>
    </nc>
  </rcc>
  <rcc rId="4081" sId="5">
    <oc r="M82">
      <f xml:space="preserve"> TEXT(AW82,".000") &amp; " ba"</f>
    </oc>
    <nc r="M82">
      <f xml:space="preserve"> TEXT(AW82,".000") &amp; " BA"</f>
    </nc>
  </rcc>
  <rcc rId="4082" sId="5">
    <oc r="N82">
      <f>VLOOKUP(A82,INPUT_RANGE,58,FALSE) &amp; " rbi"</f>
    </oc>
    <nc r="N82">
      <f>VLOOKUP(A82,INPUT_RANGE,58,FALSE) &amp; " RBI"</f>
    </nc>
  </rcc>
  <rcc rId="4083" sId="5">
    <oc r="O82">
      <f>VLOOKUP(A82,INPUT_RANGE,60,FALSE) &amp; " bb"</f>
    </oc>
    <nc r="O82">
      <f>VLOOKUP(A82,INPUT_RANGE,60,FALSE) &amp; " BB"</f>
    </nc>
  </rcc>
  <rcc rId="4084" sId="5">
    <oc r="P82">
      <f>VLOOKUP(A82,INPUT_RANGE,61,FALSE) &amp; " k"</f>
    </oc>
    <nc r="P82">
      <f>VLOOKUP(A82,INPUT_RANGE,61,FALSE) &amp; " K"</f>
    </nc>
  </rcc>
  <rcc rId="4085" sId="5">
    <oc r="Q82">
      <f>VLOOKUP(A82,INPUT_RANGE,64,FALSE) &amp; " sb"</f>
    </oc>
    <nc r="Q82">
      <f>VLOOKUP(A82,INPUT_RANGE,64,FALSE) &amp; " SB"</f>
    </nc>
  </rcc>
  <rcc rId="4086" sId="5">
    <oc r="R82">
      <f>VLOOKUP(A82,INPUT_RANGE,55,FALSE) &amp; " 2b"</f>
    </oc>
    <nc r="R82">
      <f>VLOOKUP(A82,INPUT_RANGE,55,FALSE) &amp; " 2B"</f>
    </nc>
  </rcc>
  <rcc rId="4087" sId="5">
    <oc r="S82">
      <f>VLOOKUP(A82,INPUT_RANGE,56,FALSE) &amp; " 3b"</f>
    </oc>
    <nc r="S82">
      <f>VLOOKUP(A82,INPUT_RANGE,56,FALSE) &amp; " 3B"</f>
    </nc>
  </rcc>
  <rcc rId="4088" sId="5">
    <oc r="T82">
      <f>VLOOKUP(A82,INPUT_RANGE,57,FALSE) &amp; " hr"</f>
    </oc>
    <nc r="T82">
      <f>VLOOKUP(A82,INPUT_RANGE,57,FALSE) &amp; " HR"</f>
    </nc>
  </rcc>
  <rcc rId="4089" sId="5">
    <oc r="U82">
      <f>VLOOKUP(A82,INPUT_RANGE,53,FALSE) &amp; " r"</f>
    </oc>
    <nc r="U82">
      <f>VLOOKUP(A82,INPUT_RANGE,53,FALSE) &amp; " R"</f>
    </nc>
  </rcc>
  <rcc rId="4090" sId="5">
    <oc r="V82">
      <f>TEXT(AX82, ".000") &amp; " obp"</f>
    </oc>
    <nc r="V82">
      <f>TEXT(AX82, ".000") &amp; " OBP"</f>
    </nc>
  </rcc>
  <rcc rId="4091" sId="5">
    <oc r="X82">
      <f>VLOOKUP(A82,INPUT_RANGE,77,FALSE)&amp;" games"</f>
    </oc>
    <nc r="X82">
      <f>VLOOKUP(A82,INPUT_RANGE,77,FALSE)&amp;" games"</f>
    </nc>
  </rcc>
  <rcc rId="4092" sId="5">
    <oc r="Y82">
      <f>VLOOKUP(A82,INPUT_RANGE,78,FALSE) &amp; " starts"</f>
    </oc>
    <nc r="Y82">
      <f>VLOOKUP(A82,INPUT_RANGE,78,FALSE) &amp; " starts"</f>
    </nc>
  </rcc>
  <rcc rId="4093" sId="5">
    <oc r="Z82">
      <f>VLOOKUP(A82,INPUT_RANGE,82,FALSE) &amp; " ip"</f>
    </oc>
    <nc r="Z82">
      <f>VLOOKUP(A82,INPUT_RANGE,82,FALSE) &amp; " IP"</f>
    </nc>
  </rcc>
  <rcc rId="4094" sId="5">
    <oc r="AA82">
      <f>TRUNC(VLOOKUP(A82,INPUT_RANGE,82,FALSE)) &amp;  IF(AR82=0.333,"º",IF(AR82=0.666,"»",""))</f>
    </oc>
    <nc r="AA82">
      <f>TRUNC(VLOOKUP(A82,INPUT_RANGE,82,FALSE)) &amp;  IF(AR82=0.333,"º",IF(AR82=0.666,"»",""))</f>
    </nc>
  </rcc>
  <rcc rId="4095" sId="5">
    <oc r="AB82">
      <f>AA82&amp; " ip"</f>
    </oc>
    <nc r="AB82">
      <f>AA82&amp; " IP"</f>
    </nc>
  </rcc>
  <rcc rId="4096" sId="5">
    <oc r="AC82">
      <f>VLOOKUP(A82,INPUT_RANGE,79,FALSE) &amp; " cg"</f>
    </oc>
    <nc r="AC82">
      <f>VLOOKUP(A82,INPUT_RANGE,79,FALSE) &amp; " CG"</f>
    </nc>
  </rcc>
  <rcc rId="4097" sId="5">
    <oc r="AD82">
      <f>VLOOKUP(A82,INPUT_RANGE,80,FALSE) &amp; " sho"</f>
    </oc>
    <nc r="AD82">
      <f>VLOOKUP(A82,INPUT_RANGE,80,FALSE) &amp; " SHO"</f>
    </nc>
  </rcc>
  <rcc rId="4098" sId="5">
    <oc r="AE82">
      <f>VLOOKUP(A82,INPUT_RANGE,75,FALSE) &amp; " win"</f>
    </oc>
    <nc r="AE82">
      <f>VLOOKUP(A82,INPUT_RANGE,75,FALSE) &amp; " Win"</f>
    </nc>
  </rcc>
  <rcc rId="4099" sId="5">
    <oc r="AF82">
      <f>VLOOKUP(A82,INPUT_RANGE,76,FALSE) &amp; " loss"</f>
    </oc>
    <nc r="AF82">
      <f>VLOOKUP(A82,INPUT_RANGE,76,FALSE) &amp; " Loss"</f>
    </nc>
  </rcc>
  <rcc rId="4100" sId="5">
    <oc r="AG82">
      <f>VLOOKUP(A82,INPUT_RANGE,75,FALSE) &amp; "-" &amp; VLOOKUP(A82,INPUT_RANGE,76,FALSE) &amp; " w-l"</f>
    </oc>
    <nc r="AG82">
      <f>VLOOKUP(A82,INPUT_RANGE,75,FALSE) &amp; "-" &amp; VLOOKUP(A82,INPUT_RANGE,76,FALSE) &amp; " W-L"</f>
    </nc>
  </rcc>
  <rcc rId="4101" sId="5">
    <oc r="AH82">
      <f>VLOOKUP(A82,INPUT_RANGE,81,FALSE)&amp; " saves"</f>
    </oc>
    <nc r="AH82">
      <f>VLOOKUP(A82,INPUT_RANGE,81,FALSE)&amp; " Saves"</f>
    </nc>
  </rcc>
  <rcc rId="4102" sId="5">
    <oc r="AI82">
      <f>VLOOKUP(A82,INPUT_RANGE,83,FALSE) &amp; " h"</f>
    </oc>
    <nc r="AI82">
      <f>VLOOKUP(A82,INPUT_RANGE,83,FALSE) &amp; " H"</f>
    </nc>
  </rcc>
  <rcc rId="4103" sId="5">
    <oc r="AJ82">
      <f>VLOOKUP(A82,INPUT_RANGE,84,FALSE) &amp; " r"</f>
    </oc>
    <nc r="AJ82">
      <f>VLOOKUP(A82,INPUT_RANGE,84,FALSE) &amp; " R"</f>
    </nc>
  </rcc>
  <rcc rId="4104" sId="5">
    <oc r="AK82">
      <f>VLOOKUP(A82,INPUT_RANGE,85,FALSE) &amp;" er"</f>
    </oc>
    <nc r="AK82">
      <f>VLOOKUP(A82,INPUT_RANGE,85,FALSE) &amp;" ER"</f>
    </nc>
  </rcc>
  <rcc rId="4105" sId="5">
    <oc r="AL82">
      <f>VLOOKUP(A82,INPUT_RANGE,88,FALSE) &amp;" hr"</f>
    </oc>
    <nc r="AL82">
      <f>VLOOKUP(A82,INPUT_RANGE,88,FALSE) &amp;" HR"</f>
    </nc>
  </rcc>
  <rcc rId="4106" sId="5">
    <oc r="AM82">
      <f>VLOOKUP(A82,INPUT_RANGE,87,FALSE) &amp; " k"</f>
    </oc>
    <nc r="AM82">
      <f>VLOOKUP(A82,INPUT_RANGE,87,FALSE) &amp; " K"</f>
    </nc>
  </rcc>
  <rcc rId="4107" sId="5">
    <oc r="AN82">
      <f>VLOOKUP(A82,INPUT_RANGE,86,FALSE) &amp; " bb"</f>
    </oc>
    <nc r="AN82">
      <f>VLOOKUP(A82,INPUT_RANGE,86,FALSE) &amp; " BB"</f>
    </nc>
  </rcc>
  <rcc rId="4108" sId="5">
    <oc r="AO82">
      <f>TEXT(AU82,"0.00") &amp; " era"</f>
    </oc>
    <nc r="AO82">
      <f>TEXT(AU82,"0.00") &amp; " ERA"</f>
    </nc>
  </rcc>
  <rcc rId="4109" sId="5">
    <oc r="AP82">
      <f>TEXT(AT82,"0.00") &amp; " whip"</f>
    </oc>
    <nc r="AP82">
      <f>TEXT(AT82,"0.00") &amp; " WHIP"</f>
    </nc>
  </rcc>
  <rcc rId="4110" sId="5">
    <oc r="AQ82">
      <f xml:space="preserve"> IF(LEFT(RIGHT((VLOOKUP(A82,INPUT_RANGE,82,FALSE)),2),1)=".",RIGHT(VLOOKUP(A82,INPUT_RANGE,82,FALSE),1), "X")</f>
    </oc>
    <nc r="AQ82">
      <f xml:space="preserve"> IF(LEFT(RIGHT((VLOOKUP(A82,INPUT_RANGE,82,FALSE)),2),1)=".",RIGHT(VLOOKUP(A82,INPUT_RANGE,82,FALSE),1), "X")</f>
    </nc>
  </rcc>
  <rcc rId="4111" sId="5">
    <oc r="AR82">
      <f>IF(AQ82 ="1",0.333,IF(AQ82="2",0.666,0))</f>
    </oc>
    <nc r="AR82">
      <f>IF(AQ82 ="1",0.333,IF(AQ82="2",0.666,0))</f>
    </nc>
  </rcc>
  <rcc rId="4112" sId="5">
    <oc r="AS82">
      <f>VLOOKUP(A82,INPUT_RANGE,82,FALSE)-(AQ82*0.1)+AR82</f>
    </oc>
    <nc r="AS82">
      <f>VLOOKUP(A82,INPUT_RANGE,82,FALSE)-(AQ82*0.1)+AR82</f>
    </nc>
  </rcc>
  <rcc rId="4113" sId="5">
    <oc r="AT82">
      <f>ROUND((VLOOKUP(A82,INPUT_RANGE,86,FALSE)+VLOOKUP(A82,INPUT_RANGE,83,FALSE))/AS82,2)</f>
    </oc>
    <nc r="AT82">
      <f>ROUND((VLOOKUP(A82,INPUT_RANGE,86,FALSE)+VLOOKUP(A82,INPUT_RANGE,83,FALSE))/AS82,2)</f>
    </nc>
  </rcc>
  <rcc rId="4114" sId="5">
    <oc r="AU82">
      <f>ROUND((VLOOKUP(A82,INPUT_RANGE,85,FALSE)/AS82)*('Team Info'!$H$25),2)</f>
    </oc>
    <nc r="AU82">
      <f>ROUND((VLOOKUP(A82,INPUT_RANGE,85,FALSE)/AS82)*('D:\Data\Softball\[ESPN_BASEBALL_AWAY_OLD.xlsx]Team Info'!$H$25),2)</f>
    </nc>
  </rcc>
  <rcc rId="4115" sId="5">
    <oc r="AW82">
      <f>(VLOOKUP(A82,INPUT_RANGE,54,FALSE)/VLOOKUP(A82,INPUT_RANGE,52,FALSE))</f>
    </oc>
    <nc r="AW82">
      <f>(VLOOKUP(A82,INPUT_RANGE,54,FALSE)/VLOOKUP(A82,INPUT_RANGE,52,FALSE))</f>
    </nc>
  </rcc>
  <rcc rId="4116" sId="5">
    <oc r="AX82">
      <f>((VLOOKUP(A82,INPUT_RANGE,54,FALSE)+VLOOKUP(A82,INPUT_RANGE,60,FALSE)+VLOOKUP(A82,INPUT_RANGE,59,FALSE))/(VLOOKUP(A82,INPUT_RANGE,52,FALSE)+VLOOKUP(A82,INPUT_RANGE,60,FALSE)+VLOOKUP(A82,INPUT_RANGE,59,FALSE)+VLOOKUP(A82,INPUT_RANGE,63,FALSE)))</f>
    </oc>
    <nc r="AX82">
      <f>((VLOOKUP(A82,INPUT_RANGE,54,FALSE)+VLOOKUP(A82,INPUT_RANGE,60,FALSE)+VLOOKUP(A82,INPUT_RANGE,59,FALSE))/(VLOOKUP(A82,INPUT_RANGE,52,FALSE)+VLOOKUP(A82,INPUT_RANGE,60,FALSE)+VLOOKUP(A82,INPUT_RANGE,59,FALSE)+VLOOKUP(A82,INPUT_RANGE,63,FALSE)))</f>
    </nc>
  </rcc>
  <rcc rId="4117" sId="5">
    <oc r="AY82">
      <f>(VLOOKUP(A82,INPUT_RANGE,54)+VLOOKUP(A82,INPUT_RANGE,55)+(VLOOKUP(A82,INPUT_RANGE,56)*2)+(VLOOKUP(A82,INPUT_RANGE,57)*3))/(VLOOKUP(A82,INPUT_RANGE,52))</f>
    </oc>
    <nc r="AY82">
      <f>(VLOOKUP(A82,INPUT_RANGE,54)+VLOOKUP(A82,INPUT_RANGE,55)+(VLOOKUP(A82,INPUT_RANGE,56)*2)+(VLOOKUP(A82,INPUT_RANGE,57)*3))/(VLOOKUP(A82,INPUT_RANGE,52))</f>
    </nc>
  </rcc>
  <rcc rId="4118" sId="5">
    <oc r="AZ82">
      <f>AX82+AY82</f>
    </oc>
    <nc r="AZ82">
      <f>AX82+AY82</f>
    </nc>
  </rcc>
  <rcc rId="4119" sId="5">
    <oc r="BA82">
      <f xml:space="preserve"> TEXT(AZ82,".000") &amp; " ops"</f>
    </oc>
    <nc r="BA82">
      <f xml:space="preserve"> TEXT(AZ82,".000") &amp; " OPS"</f>
    </nc>
  </rcc>
  <rcc rId="4120" sId="5">
    <oc r="BB82">
      <f>VLOOKUP(A82,INPUT_RANGE,78,FALSE)</f>
    </oc>
    <nc r="BB82">
      <f>VLOOKUP(A82,INPUT_RANGE,78,FALSE)</f>
    </nc>
  </rcc>
  <rcc rId="4121" sId="5">
    <oc r="BC82">
      <f>VLOOKUP(A82,INPUT_RANGE,77,FALSE)</f>
    </oc>
    <nc r="BC82">
      <f>VLOOKUP(A82,INPUT_RANGE,77,FALSE)</f>
    </nc>
  </rcc>
  <rcc rId="4122" sId="5">
    <oc r="BD82">
      <f>VLOOKUP(A82,INPUT_RANGE,75,FALSE) &amp; "-" &amp; VLOOKUP(A82,INPUT_RANGE,76,FALSE)</f>
    </oc>
    <nc r="BD82">
      <f>VLOOKUP(A82,INPUT_RANGE,75,FALSE) &amp; "-" &amp; VLOOKUP(A82,INPUT_RANGE,76,FALSE)</f>
    </nc>
  </rcc>
  <rcc rId="4123" sId="5">
    <oc r="BE82">
      <f>AU82</f>
    </oc>
    <nc r="BE82">
      <f>AU82</f>
    </nc>
  </rcc>
  <rcc rId="4124" sId="5">
    <oc r="BF82">
      <f>AA82</f>
    </oc>
    <nc r="BF82">
      <f>AA82</f>
    </nc>
  </rcc>
  <rcc rId="4125" sId="5">
    <oc r="BG82">
      <f>VLOOKUP(A82,INPUT_RANGE,86,FALSE)</f>
    </oc>
    <nc r="BG82">
      <f>VLOOKUP(A82,INPUT_RANGE,86,FALSE)</f>
    </nc>
  </rcc>
  <rcc rId="4126" sId="5">
    <oc r="BH82">
      <f>VLOOKUP(A82,INPUT_RANGE,87,FALSE)</f>
    </oc>
    <nc r="BH82">
      <f>VLOOKUP(A82,INPUT_RANGE,87,FALSE)</f>
    </nc>
  </rcc>
  <rcc rId="4127" sId="5">
    <oc r="BI82">
      <f>VLOOKUP(A82,INPUT_RANGE,81,FALSE) &amp; " SAVES"</f>
    </oc>
    <nc r="BI82">
      <f>VLOOKUP(A82,INPUT_RANGE,81,FALSE) &amp; " SAVES"</f>
    </nc>
  </rcc>
  <rcc rId="4128" sId="5">
    <oc r="BJ82">
      <f>VLOOKUP(A82,INPUT_RANGE,81,FALSE)</f>
    </oc>
    <nc r="BJ82">
      <f>VLOOKUP(A82,INPUT_RANGE,81,FALSE)</f>
    </nc>
  </rcc>
  <rcc rId="4129" sId="5">
    <oc r="BK82">
      <f>VLOOKUP(A82,INPUT_RANGE,83,FALSE)</f>
    </oc>
    <nc r="BK82">
      <f>VLOOKUP(A82,INPUT_RANGE,83,FALSE)</f>
    </nc>
  </rcc>
  <rcc rId="4130" sId="5">
    <oc r="BL82">
      <f>VLOOKUP(A82,INPUT_RANGE,87,FALSE) &amp; "/" &amp; VLOOKUP(A82,INPUT_RANGE,86,FALSE)</f>
    </oc>
    <nc r="BL82">
      <f>VLOOKUP(A82,INPUT_RANGE,87,FALSE) &amp; "/" &amp; VLOOKUP(A82,INPUT_RANGE,86,FALSE)</f>
    </nc>
  </rcc>
  <rcc rId="4131" sId="5">
    <oc r="BM82">
      <f>ROUND((VLOOKUP(A82,INPUT_RANGE,86,FALSE)+VLOOKUP(A82,INPUT_RANGE,83,FALSE))/AS82,2)</f>
    </oc>
    <nc r="BM82">
      <f>ROUND((VLOOKUP(A82,INPUT_RANGE,86,FALSE)+VLOOKUP(A82,INPUT_RANGE,83,FALSE))/AS82,2)</f>
    </nc>
  </rcc>
  <rcc rId="4132" sId="5">
    <oc r="M83">
      <f xml:space="preserve"> TEXT(AW83,".000") &amp; " ba"</f>
    </oc>
    <nc r="M83">
      <f xml:space="preserve"> TEXT(AW83,".000") &amp; " BA"</f>
    </nc>
  </rcc>
  <rcc rId="4133" sId="5">
    <oc r="N83">
      <f>VLOOKUP(A83,INPUT_RANGE,58,FALSE) &amp; " rbi"</f>
    </oc>
    <nc r="N83">
      <f>VLOOKUP(A83,INPUT_RANGE,58,FALSE) &amp; " RBI"</f>
    </nc>
  </rcc>
  <rcc rId="4134" sId="5">
    <oc r="O83">
      <f>VLOOKUP(A83,INPUT_RANGE,60,FALSE) &amp; " bb"</f>
    </oc>
    <nc r="O83">
      <f>VLOOKUP(A83,INPUT_RANGE,60,FALSE) &amp; " BB"</f>
    </nc>
  </rcc>
  <rcc rId="4135" sId="5">
    <oc r="P83">
      <f>VLOOKUP(A83,INPUT_RANGE,61,FALSE) &amp; " k"</f>
    </oc>
    <nc r="P83">
      <f>VLOOKUP(A83,INPUT_RANGE,61,FALSE) &amp; " K"</f>
    </nc>
  </rcc>
  <rcc rId="4136" sId="5">
    <oc r="Q83">
      <f>VLOOKUP(A83,INPUT_RANGE,64,FALSE) &amp; " sb"</f>
    </oc>
    <nc r="Q83">
      <f>VLOOKUP(A83,INPUT_RANGE,64,FALSE) &amp; " SB"</f>
    </nc>
  </rcc>
  <rcc rId="4137" sId="5">
    <oc r="R83">
      <f>VLOOKUP(A83,INPUT_RANGE,55,FALSE) &amp; " 2b"</f>
    </oc>
    <nc r="R83">
      <f>VLOOKUP(A83,INPUT_RANGE,55,FALSE) &amp; " 2B"</f>
    </nc>
  </rcc>
  <rcc rId="4138" sId="5">
    <oc r="S83">
      <f>VLOOKUP(A83,INPUT_RANGE,56,FALSE) &amp; " 3b"</f>
    </oc>
    <nc r="S83">
      <f>VLOOKUP(A83,INPUT_RANGE,56,FALSE) &amp; " 3B"</f>
    </nc>
  </rcc>
  <rcc rId="4139" sId="5">
    <oc r="T83">
      <f>VLOOKUP(A83,INPUT_RANGE,57,FALSE) &amp; " hr"</f>
    </oc>
    <nc r="T83">
      <f>VLOOKUP(A83,INPUT_RANGE,57,FALSE) &amp; " HR"</f>
    </nc>
  </rcc>
  <rcc rId="4140" sId="5">
    <oc r="U83">
      <f>VLOOKUP(A83,INPUT_RANGE,53,FALSE) &amp; " r"</f>
    </oc>
    <nc r="U83">
      <f>VLOOKUP(A83,INPUT_RANGE,53,FALSE) &amp; " R"</f>
    </nc>
  </rcc>
  <rcc rId="4141" sId="5">
    <oc r="V83">
      <f>TEXT(AX83, ".000") &amp; " obp"</f>
    </oc>
    <nc r="V83">
      <f>TEXT(AX83, ".000") &amp; " OBP"</f>
    </nc>
  </rcc>
  <rcc rId="4142" sId="5">
    <oc r="X83">
      <f>VLOOKUP(A83,INPUT_RANGE,77,FALSE)&amp;" games"</f>
    </oc>
    <nc r="X83">
      <f>VLOOKUP(A83,INPUT_RANGE,77,FALSE)&amp;" games"</f>
    </nc>
  </rcc>
  <rcc rId="4143" sId="5">
    <oc r="Y83">
      <f>VLOOKUP(A83,INPUT_RANGE,78,FALSE) &amp; " starts"</f>
    </oc>
    <nc r="Y83">
      <f>VLOOKUP(A83,INPUT_RANGE,78,FALSE) &amp; " starts"</f>
    </nc>
  </rcc>
  <rcc rId="4144" sId="5">
    <oc r="Z83">
      <f>VLOOKUP(A83,INPUT_RANGE,82,FALSE) &amp; " ip"</f>
    </oc>
    <nc r="Z83">
      <f>VLOOKUP(A83,INPUT_RANGE,82,FALSE) &amp; " IP"</f>
    </nc>
  </rcc>
  <rcc rId="4145" sId="5">
    <oc r="AA83">
      <f>TRUNC(VLOOKUP(A83,INPUT_RANGE,82,FALSE)) &amp;  IF(AR83=0.333,"º",IF(AR83=0.666,"»",""))</f>
    </oc>
    <nc r="AA83">
      <f>TRUNC(VLOOKUP(A83,INPUT_RANGE,82,FALSE)) &amp;  IF(AR83=0.333,"º",IF(AR83=0.666,"»",""))</f>
    </nc>
  </rcc>
  <rcc rId="4146" sId="5">
    <oc r="AB83">
      <f>AA83&amp; " ip"</f>
    </oc>
    <nc r="AB83">
      <f>AA83&amp; " IP"</f>
    </nc>
  </rcc>
  <rcc rId="4147" sId="5">
    <oc r="AC83">
      <f>VLOOKUP(A83,INPUT_RANGE,79,FALSE) &amp; " cg"</f>
    </oc>
    <nc r="AC83">
      <f>VLOOKUP(A83,INPUT_RANGE,79,FALSE) &amp; " CG"</f>
    </nc>
  </rcc>
  <rcc rId="4148" sId="5">
    <oc r="AD83">
      <f>VLOOKUP(A83,INPUT_RANGE,80,FALSE) &amp; " sho"</f>
    </oc>
    <nc r="AD83">
      <f>VLOOKUP(A83,INPUT_RANGE,80,FALSE) &amp; " SHO"</f>
    </nc>
  </rcc>
  <rcc rId="4149" sId="5">
    <oc r="AE83">
      <f>VLOOKUP(A83,INPUT_RANGE,75,FALSE) &amp; " win"</f>
    </oc>
    <nc r="AE83">
      <f>VLOOKUP(A83,INPUT_RANGE,75,FALSE) &amp; " Win"</f>
    </nc>
  </rcc>
  <rcc rId="4150" sId="5">
    <oc r="AF83">
      <f>VLOOKUP(A83,INPUT_RANGE,76,FALSE) &amp; " loss"</f>
    </oc>
    <nc r="AF83">
      <f>VLOOKUP(A83,INPUT_RANGE,76,FALSE) &amp; " Loss"</f>
    </nc>
  </rcc>
  <rcc rId="4151" sId="5">
    <oc r="AG83">
      <f>VLOOKUP(A83,INPUT_RANGE,75,FALSE) &amp; "-" &amp; VLOOKUP(A83,INPUT_RANGE,76,FALSE) &amp; " w-l"</f>
    </oc>
    <nc r="AG83">
      <f>VLOOKUP(A83,INPUT_RANGE,75,FALSE) &amp; "-" &amp; VLOOKUP(A83,INPUT_RANGE,76,FALSE) &amp; " W-L"</f>
    </nc>
  </rcc>
  <rcc rId="4152" sId="5">
    <oc r="AH83">
      <f>VLOOKUP(A83,INPUT_RANGE,81,FALSE)&amp; " saves"</f>
    </oc>
    <nc r="AH83">
      <f>VLOOKUP(A83,INPUT_RANGE,81,FALSE)&amp; " Saves"</f>
    </nc>
  </rcc>
  <rcc rId="4153" sId="5">
    <oc r="AI83">
      <f>VLOOKUP(A83,INPUT_RANGE,83,FALSE) &amp; " h"</f>
    </oc>
    <nc r="AI83">
      <f>VLOOKUP(A83,INPUT_RANGE,83,FALSE) &amp; " H"</f>
    </nc>
  </rcc>
  <rcc rId="4154" sId="5">
    <oc r="AJ83">
      <f>VLOOKUP(A83,INPUT_RANGE,84,FALSE) &amp; " r"</f>
    </oc>
    <nc r="AJ83">
      <f>VLOOKUP(A83,INPUT_RANGE,84,FALSE) &amp; " R"</f>
    </nc>
  </rcc>
  <rcc rId="4155" sId="5">
    <oc r="AK83">
      <f>VLOOKUP(A83,INPUT_RANGE,85,FALSE) &amp;" er"</f>
    </oc>
    <nc r="AK83">
      <f>VLOOKUP(A83,INPUT_RANGE,85,FALSE) &amp;" ER"</f>
    </nc>
  </rcc>
  <rcc rId="4156" sId="5">
    <oc r="AL83">
      <f>VLOOKUP(A83,INPUT_RANGE,88,FALSE) &amp;" hr"</f>
    </oc>
    <nc r="AL83">
      <f>VLOOKUP(A83,INPUT_RANGE,88,FALSE) &amp;" HR"</f>
    </nc>
  </rcc>
  <rcc rId="4157" sId="5">
    <oc r="AM83">
      <f>VLOOKUP(A83,INPUT_RANGE,87,FALSE) &amp; " k"</f>
    </oc>
    <nc r="AM83">
      <f>VLOOKUP(A83,INPUT_RANGE,87,FALSE) &amp; " K"</f>
    </nc>
  </rcc>
  <rcc rId="4158" sId="5">
    <oc r="AN83">
      <f>VLOOKUP(A83,INPUT_RANGE,86,FALSE) &amp; " bb"</f>
    </oc>
    <nc r="AN83">
      <f>VLOOKUP(A83,INPUT_RANGE,86,FALSE) &amp; " BB"</f>
    </nc>
  </rcc>
  <rcc rId="4159" sId="5">
    <oc r="AO83">
      <f>TEXT(AU83,"0.00") &amp; " era"</f>
    </oc>
    <nc r="AO83">
      <f>TEXT(AU83,"0.00") &amp; " ERA"</f>
    </nc>
  </rcc>
  <rcc rId="4160" sId="5">
    <oc r="AP83">
      <f>TEXT(AT83,"0.00") &amp; " whip"</f>
    </oc>
    <nc r="AP83">
      <f>TEXT(AT83,"0.00") &amp; " WHIP"</f>
    </nc>
  </rcc>
  <rcc rId="4161" sId="5">
    <oc r="AQ83">
      <f xml:space="preserve"> IF(LEFT(RIGHT((VLOOKUP(A83,INPUT_RANGE,82,FALSE)),2),1)=".",RIGHT(VLOOKUP(A83,INPUT_RANGE,82,FALSE),1), "X")</f>
    </oc>
    <nc r="AQ83">
      <f xml:space="preserve"> IF(LEFT(RIGHT((VLOOKUP(A83,INPUT_RANGE,82,FALSE)),2),1)=".",RIGHT(VLOOKUP(A83,INPUT_RANGE,82,FALSE),1), "X")</f>
    </nc>
  </rcc>
  <rcc rId="4162" sId="5">
    <oc r="AR83">
      <f>IF(AQ83 ="1",0.333,IF(AQ83="2",0.666,0))</f>
    </oc>
    <nc r="AR83">
      <f>IF(AQ83 ="1",0.333,IF(AQ83="2",0.666,0))</f>
    </nc>
  </rcc>
  <rcc rId="4163" sId="5">
    <oc r="AS83">
      <f>VLOOKUP(A83,INPUT_RANGE,82,FALSE)-(AQ83*0.1)+AR83</f>
    </oc>
    <nc r="AS83">
      <f>VLOOKUP(A83,INPUT_RANGE,82,FALSE)-(AQ83*0.1)+AR83</f>
    </nc>
  </rcc>
  <rcc rId="4164" sId="5">
    <oc r="AT83">
      <f>ROUND((VLOOKUP(A83,INPUT_RANGE,86,FALSE)+VLOOKUP(A83,INPUT_RANGE,83,FALSE))/AS83,2)</f>
    </oc>
    <nc r="AT83">
      <f>ROUND((VLOOKUP(A83,INPUT_RANGE,86,FALSE)+VLOOKUP(A83,INPUT_RANGE,83,FALSE))/AS83,2)</f>
    </nc>
  </rcc>
  <rcc rId="4165" sId="5">
    <oc r="AU83">
      <f>ROUND((VLOOKUP(A83,INPUT_RANGE,85,FALSE)/AS83)*('Team Info'!$H$25),2)</f>
    </oc>
    <nc r="AU83">
      <f>ROUND((VLOOKUP(A83,INPUT_RANGE,85,FALSE)/AS83)*('D:\Data\Softball\[ESPN_BASEBALL_AWAY_OLD.xlsx]Team Info'!$H$25),2)</f>
    </nc>
  </rcc>
  <rcc rId="4166" sId="5">
    <oc r="AW83">
      <f>(VLOOKUP(A83,INPUT_RANGE,54,FALSE)/VLOOKUP(A83,INPUT_RANGE,52,FALSE))</f>
    </oc>
    <nc r="AW83">
      <f>(VLOOKUP(A83,INPUT_RANGE,54,FALSE)/VLOOKUP(A83,INPUT_RANGE,52,FALSE))</f>
    </nc>
  </rcc>
  <rcc rId="4167" sId="5">
    <oc r="AX83">
      <f>((VLOOKUP(A83,INPUT_RANGE,54,FALSE)+VLOOKUP(A83,INPUT_RANGE,60,FALSE)+VLOOKUP(A83,INPUT_RANGE,59,FALSE))/(VLOOKUP(A83,INPUT_RANGE,52,FALSE)+VLOOKUP(A83,INPUT_RANGE,60,FALSE)+VLOOKUP(A83,INPUT_RANGE,59,FALSE)+VLOOKUP(A83,INPUT_RANGE,63,FALSE)))</f>
    </oc>
    <nc r="AX83">
      <f>((VLOOKUP(A83,INPUT_RANGE,54,FALSE)+VLOOKUP(A83,INPUT_RANGE,60,FALSE)+VLOOKUP(A83,INPUT_RANGE,59,FALSE))/(VLOOKUP(A83,INPUT_RANGE,52,FALSE)+VLOOKUP(A83,INPUT_RANGE,60,FALSE)+VLOOKUP(A83,INPUT_RANGE,59,FALSE)+VLOOKUP(A83,INPUT_RANGE,63,FALSE)))</f>
    </nc>
  </rcc>
  <rcc rId="4168" sId="5">
    <oc r="AY83">
      <f>(VLOOKUP(A83,INPUT_RANGE,54)+VLOOKUP(A83,INPUT_RANGE,55)+(VLOOKUP(A83,INPUT_RANGE,56)*2)+(VLOOKUP(A83,INPUT_RANGE,57)*3))/(VLOOKUP(A83,INPUT_RANGE,52))</f>
    </oc>
    <nc r="AY83">
      <f>(VLOOKUP(A83,INPUT_RANGE,54)+VLOOKUP(A83,INPUT_RANGE,55)+(VLOOKUP(A83,INPUT_RANGE,56)*2)+(VLOOKUP(A83,INPUT_RANGE,57)*3))/(VLOOKUP(A83,INPUT_RANGE,52))</f>
    </nc>
  </rcc>
  <rcc rId="4169" sId="5">
    <oc r="AZ83">
      <f>AX83+AY83</f>
    </oc>
    <nc r="AZ83">
      <f>AX83+AY83</f>
    </nc>
  </rcc>
  <rcc rId="4170" sId="5">
    <oc r="BA83">
      <f xml:space="preserve"> TEXT(AZ83,".000") &amp; " ops"</f>
    </oc>
    <nc r="BA83">
      <f xml:space="preserve"> TEXT(AZ83,".000") &amp; " OPS"</f>
    </nc>
  </rcc>
  <rcc rId="4171" sId="5">
    <oc r="BB83">
      <f>VLOOKUP(A83,INPUT_RANGE,78,FALSE)</f>
    </oc>
    <nc r="BB83">
      <f>VLOOKUP(A83,INPUT_RANGE,78,FALSE)</f>
    </nc>
  </rcc>
  <rcc rId="4172" sId="5">
    <oc r="BC83">
      <f>VLOOKUP(A83,INPUT_RANGE,77,FALSE)</f>
    </oc>
    <nc r="BC83">
      <f>VLOOKUP(A83,INPUT_RANGE,77,FALSE)</f>
    </nc>
  </rcc>
  <rcc rId="4173" sId="5">
    <oc r="BD83">
      <f>VLOOKUP(A83,INPUT_RANGE,75,FALSE) &amp; "-" &amp; VLOOKUP(A83,INPUT_RANGE,76,FALSE)</f>
    </oc>
    <nc r="BD83">
      <f>VLOOKUP(A83,INPUT_RANGE,75,FALSE) &amp; "-" &amp; VLOOKUP(A83,INPUT_RANGE,76,FALSE)</f>
    </nc>
  </rcc>
  <rcc rId="4174" sId="5">
    <oc r="BE83">
      <f>AU83</f>
    </oc>
    <nc r="BE83">
      <f>AU83</f>
    </nc>
  </rcc>
  <rcc rId="4175" sId="5">
    <oc r="BF83">
      <f>AA83</f>
    </oc>
    <nc r="BF83">
      <f>AA83</f>
    </nc>
  </rcc>
  <rcc rId="4176" sId="5">
    <oc r="BG83">
      <f>VLOOKUP(A83,INPUT_RANGE,86,FALSE)</f>
    </oc>
    <nc r="BG83">
      <f>VLOOKUP(A83,INPUT_RANGE,86,FALSE)</f>
    </nc>
  </rcc>
  <rcc rId="4177" sId="5">
    <oc r="BH83">
      <f>VLOOKUP(A83,INPUT_RANGE,87,FALSE)</f>
    </oc>
    <nc r="BH83">
      <f>VLOOKUP(A83,INPUT_RANGE,87,FALSE)</f>
    </nc>
  </rcc>
  <rcc rId="4178" sId="5">
    <oc r="BI83">
      <f>VLOOKUP(A83,INPUT_RANGE,81,FALSE) &amp; " SAVES"</f>
    </oc>
    <nc r="BI83">
      <f>VLOOKUP(A83,INPUT_RANGE,81,FALSE) &amp; " SAVES"</f>
    </nc>
  </rcc>
  <rcc rId="4179" sId="5">
    <oc r="BJ83">
      <f>VLOOKUP(A83,INPUT_RANGE,81,FALSE)</f>
    </oc>
    <nc r="BJ83">
      <f>VLOOKUP(A83,INPUT_RANGE,81,FALSE)</f>
    </nc>
  </rcc>
  <rcc rId="4180" sId="5">
    <oc r="BK83">
      <f>VLOOKUP(A83,INPUT_RANGE,83,FALSE)</f>
    </oc>
    <nc r="BK83">
      <f>VLOOKUP(A83,INPUT_RANGE,83,FALSE)</f>
    </nc>
  </rcc>
  <rcc rId="4181" sId="5">
    <oc r="BL83">
      <f>VLOOKUP(A83,INPUT_RANGE,87,FALSE) &amp; "/" &amp; VLOOKUP(A83,INPUT_RANGE,86,FALSE)</f>
    </oc>
    <nc r="BL83">
      <f>VLOOKUP(A83,INPUT_RANGE,87,FALSE) &amp; "/" &amp; VLOOKUP(A83,INPUT_RANGE,86,FALSE)</f>
    </nc>
  </rcc>
  <rcc rId="4182" sId="5">
    <oc r="BM83">
      <f>ROUND((VLOOKUP(A83,INPUT_RANGE,86,FALSE)+VLOOKUP(A83,INPUT_RANGE,83,FALSE))/AS83,2)</f>
    </oc>
    <nc r="BM83">
      <f>ROUND((VLOOKUP(A83,INPUT_RANGE,86,FALSE)+VLOOKUP(A83,INPUT_RANGE,83,FALSE))/AS83,2)</f>
    </nc>
  </rcc>
  <rcc rId="4183" sId="5">
    <oc r="M84">
      <f xml:space="preserve"> TEXT(AW84,".000") &amp; " ba"</f>
    </oc>
    <nc r="M84">
      <f xml:space="preserve"> TEXT(AW84,".000") &amp; " BA"</f>
    </nc>
  </rcc>
  <rcc rId="4184" sId="5">
    <oc r="N84">
      <f>VLOOKUP(A84,INPUT_RANGE,58,FALSE) &amp; " rbi"</f>
    </oc>
    <nc r="N84">
      <f>VLOOKUP(A84,INPUT_RANGE,58,FALSE) &amp; " RBI"</f>
    </nc>
  </rcc>
  <rcc rId="4185" sId="5">
    <oc r="O84">
      <f>VLOOKUP(A84,INPUT_RANGE,60,FALSE) &amp; " bb"</f>
    </oc>
    <nc r="O84">
      <f>VLOOKUP(A84,INPUT_RANGE,60,FALSE) &amp; " BB"</f>
    </nc>
  </rcc>
  <rcc rId="4186" sId="5">
    <oc r="P84">
      <f>VLOOKUP(A84,INPUT_RANGE,61,FALSE) &amp; " k"</f>
    </oc>
    <nc r="P84">
      <f>VLOOKUP(A84,INPUT_RANGE,61,FALSE) &amp; " K"</f>
    </nc>
  </rcc>
  <rcc rId="4187" sId="5">
    <oc r="Q84">
      <f>VLOOKUP(A84,INPUT_RANGE,64,FALSE) &amp; " sb"</f>
    </oc>
    <nc r="Q84">
      <f>VLOOKUP(A84,INPUT_RANGE,64,FALSE) &amp; " SB"</f>
    </nc>
  </rcc>
  <rcc rId="4188" sId="5">
    <oc r="R84">
      <f>VLOOKUP(A84,INPUT_RANGE,55,FALSE) &amp; " 2b"</f>
    </oc>
    <nc r="R84">
      <f>VLOOKUP(A84,INPUT_RANGE,55,FALSE) &amp; " 2B"</f>
    </nc>
  </rcc>
  <rcc rId="4189" sId="5">
    <oc r="S84">
      <f>VLOOKUP(A84,INPUT_RANGE,56,FALSE) &amp; " 3b"</f>
    </oc>
    <nc r="S84">
      <f>VLOOKUP(A84,INPUT_RANGE,56,FALSE) &amp; " 3B"</f>
    </nc>
  </rcc>
  <rcc rId="4190" sId="5">
    <oc r="T84">
      <f>VLOOKUP(A84,INPUT_RANGE,57,FALSE) &amp; " hr"</f>
    </oc>
    <nc r="T84">
      <f>VLOOKUP(A84,INPUT_RANGE,57,FALSE) &amp; " HR"</f>
    </nc>
  </rcc>
  <rcc rId="4191" sId="5">
    <oc r="U84">
      <f>VLOOKUP(A84,INPUT_RANGE,53,FALSE) &amp; " r"</f>
    </oc>
    <nc r="U84">
      <f>VLOOKUP(A84,INPUT_RANGE,53,FALSE) &amp; " R"</f>
    </nc>
  </rcc>
  <rcc rId="4192" sId="5">
    <oc r="V84">
      <f>TEXT(AX84, ".000") &amp; " obp"</f>
    </oc>
    <nc r="V84">
      <f>TEXT(AX84, ".000") &amp; " OBP"</f>
    </nc>
  </rcc>
  <rcc rId="4193" sId="5">
    <oc r="X84">
      <f>VLOOKUP(A84,INPUT_RANGE,77,FALSE)&amp;" games"</f>
    </oc>
    <nc r="X84">
      <f>VLOOKUP(A84,INPUT_RANGE,77,FALSE)&amp;" games"</f>
    </nc>
  </rcc>
  <rcc rId="4194" sId="5">
    <oc r="Y84">
      <f>VLOOKUP(A84,INPUT_RANGE,78,FALSE) &amp; " starts"</f>
    </oc>
    <nc r="Y84">
      <f>VLOOKUP(A84,INPUT_RANGE,78,FALSE) &amp; " starts"</f>
    </nc>
  </rcc>
  <rcc rId="4195" sId="5">
    <oc r="Z84">
      <f>VLOOKUP(A84,INPUT_RANGE,82,FALSE) &amp; " ip"</f>
    </oc>
    <nc r="Z84">
      <f>VLOOKUP(A84,INPUT_RANGE,82,FALSE) &amp; " IP"</f>
    </nc>
  </rcc>
  <rcc rId="4196" sId="5">
    <oc r="AA84">
      <f>TRUNC(VLOOKUP(A84,INPUT_RANGE,82,FALSE)) &amp;  IF(AR84=0.333,"º",IF(AR84=0.666,"»",""))</f>
    </oc>
    <nc r="AA84">
      <f>TRUNC(VLOOKUP(A84,INPUT_RANGE,82,FALSE)) &amp;  IF(AR84=0.333,"º",IF(AR84=0.666,"»",""))</f>
    </nc>
  </rcc>
  <rcc rId="4197" sId="5">
    <oc r="AB84">
      <f>AA84&amp; " ip"</f>
    </oc>
    <nc r="AB84">
      <f>AA84&amp; " IP"</f>
    </nc>
  </rcc>
  <rcc rId="4198" sId="5">
    <oc r="AC84">
      <f>VLOOKUP(A84,INPUT_RANGE,79,FALSE) &amp; " cg"</f>
    </oc>
    <nc r="AC84">
      <f>VLOOKUP(A84,INPUT_RANGE,79,FALSE) &amp; " CG"</f>
    </nc>
  </rcc>
  <rcc rId="4199" sId="5">
    <oc r="AD84">
      <f>VLOOKUP(A84,INPUT_RANGE,80,FALSE) &amp; " sho"</f>
    </oc>
    <nc r="AD84">
      <f>VLOOKUP(A84,INPUT_RANGE,80,FALSE) &amp; " SHO"</f>
    </nc>
  </rcc>
  <rcc rId="4200" sId="5">
    <oc r="AE84">
      <f>VLOOKUP(A84,INPUT_RANGE,75,FALSE) &amp; " win"</f>
    </oc>
    <nc r="AE84">
      <f>VLOOKUP(A84,INPUT_RANGE,75,FALSE) &amp; " Win"</f>
    </nc>
  </rcc>
  <rcc rId="4201" sId="5">
    <oc r="AF84">
      <f>VLOOKUP(A84,INPUT_RANGE,76,FALSE) &amp; " loss"</f>
    </oc>
    <nc r="AF84">
      <f>VLOOKUP(A84,INPUT_RANGE,76,FALSE) &amp; " Loss"</f>
    </nc>
  </rcc>
  <rcc rId="4202" sId="5">
    <oc r="AG84">
      <f>VLOOKUP(A84,INPUT_RANGE,75,FALSE) &amp; "-" &amp; VLOOKUP(A84,INPUT_RANGE,76,FALSE) &amp; " w-l"</f>
    </oc>
    <nc r="AG84">
      <f>VLOOKUP(A84,INPUT_RANGE,75,FALSE) &amp; "-" &amp; VLOOKUP(A84,INPUT_RANGE,76,FALSE) &amp; " W-L"</f>
    </nc>
  </rcc>
  <rcc rId="4203" sId="5">
    <oc r="AH84">
      <f>VLOOKUP(A84,INPUT_RANGE,81,FALSE)&amp; " saves"</f>
    </oc>
    <nc r="AH84">
      <f>VLOOKUP(A84,INPUT_RANGE,81,FALSE)&amp; " Saves"</f>
    </nc>
  </rcc>
  <rcc rId="4204" sId="5">
    <oc r="AI84">
      <f>VLOOKUP(A84,INPUT_RANGE,83,FALSE) &amp; " h"</f>
    </oc>
    <nc r="AI84">
      <f>VLOOKUP(A84,INPUT_RANGE,83,FALSE) &amp; " H"</f>
    </nc>
  </rcc>
  <rcc rId="4205" sId="5">
    <oc r="AJ84">
      <f>VLOOKUP(A84,INPUT_RANGE,84,FALSE) &amp; " r"</f>
    </oc>
    <nc r="AJ84">
      <f>VLOOKUP(A84,INPUT_RANGE,84,FALSE) &amp; " R"</f>
    </nc>
  </rcc>
  <rcc rId="4206" sId="5">
    <oc r="AK84">
      <f>VLOOKUP(A84,INPUT_RANGE,85,FALSE) &amp;" er"</f>
    </oc>
    <nc r="AK84">
      <f>VLOOKUP(A84,INPUT_RANGE,85,FALSE) &amp;" ER"</f>
    </nc>
  </rcc>
  <rcc rId="4207" sId="5">
    <oc r="AL84">
      <f>VLOOKUP(A84,INPUT_RANGE,88,FALSE) &amp;" hr"</f>
    </oc>
    <nc r="AL84">
      <f>VLOOKUP(A84,INPUT_RANGE,88,FALSE) &amp;" HR"</f>
    </nc>
  </rcc>
  <rcc rId="4208" sId="5">
    <oc r="AM84">
      <f>VLOOKUP(A84,INPUT_RANGE,87,FALSE) &amp; " k"</f>
    </oc>
    <nc r="AM84">
      <f>VLOOKUP(A84,INPUT_RANGE,87,FALSE) &amp; " K"</f>
    </nc>
  </rcc>
  <rcc rId="4209" sId="5">
    <oc r="AN84">
      <f>VLOOKUP(A84,INPUT_RANGE,86,FALSE) &amp; " bb"</f>
    </oc>
    <nc r="AN84">
      <f>VLOOKUP(A84,INPUT_RANGE,86,FALSE) &amp; " BB"</f>
    </nc>
  </rcc>
  <rcc rId="4210" sId="5">
    <oc r="AO84">
      <f>TEXT(AU84,"0.00") &amp; " era"</f>
    </oc>
    <nc r="AO84">
      <f>TEXT(AU84,"0.00") &amp; " ERA"</f>
    </nc>
  </rcc>
  <rcc rId="4211" sId="5">
    <oc r="AP84">
      <f>TEXT(AT84,"0.00") &amp; " whip"</f>
    </oc>
    <nc r="AP84">
      <f>TEXT(AT84,"0.00") &amp; " WHIP"</f>
    </nc>
  </rcc>
  <rcc rId="4212" sId="5">
    <oc r="AQ84">
      <f xml:space="preserve"> IF(LEFT(RIGHT((VLOOKUP(A84,INPUT_RANGE,82,FALSE)),2),1)=".",RIGHT(VLOOKUP(A84,INPUT_RANGE,82,FALSE),1), "X")</f>
    </oc>
    <nc r="AQ84">
      <f xml:space="preserve"> IF(LEFT(RIGHT((VLOOKUP(A84,INPUT_RANGE,82,FALSE)),2),1)=".",RIGHT(VLOOKUP(A84,INPUT_RANGE,82,FALSE),1), "X")</f>
    </nc>
  </rcc>
  <rcc rId="4213" sId="5">
    <oc r="AR84">
      <f>IF(AQ84 ="1",0.333,IF(AQ84="2",0.666,0))</f>
    </oc>
    <nc r="AR84">
      <f>IF(AQ84 ="1",0.333,IF(AQ84="2",0.666,0))</f>
    </nc>
  </rcc>
  <rcc rId="4214" sId="5">
    <oc r="AS84">
      <f>VLOOKUP(A84,INPUT_RANGE,82,FALSE)-(AQ84*0.1)+AR84</f>
    </oc>
    <nc r="AS84">
      <f>VLOOKUP(A84,INPUT_RANGE,82,FALSE)-(AQ84*0.1)+AR84</f>
    </nc>
  </rcc>
  <rcc rId="4215" sId="5">
    <oc r="AT84">
      <f>ROUND((VLOOKUP(A84,INPUT_RANGE,86,FALSE)+VLOOKUP(A84,INPUT_RANGE,83,FALSE))/AS84,2)</f>
    </oc>
    <nc r="AT84">
      <f>ROUND((VLOOKUP(A84,INPUT_RANGE,86,FALSE)+VLOOKUP(A84,INPUT_RANGE,83,FALSE))/AS84,2)</f>
    </nc>
  </rcc>
  <rcc rId="4216" sId="5">
    <oc r="AU84">
      <f>ROUND((VLOOKUP(A84,INPUT_RANGE,85,FALSE)/AS84)*('Team Info'!$H$25),2)</f>
    </oc>
    <nc r="AU84">
      <f>ROUND((VLOOKUP(A84,INPUT_RANGE,85,FALSE)/AS84)*('D:\Data\Softball\[ESPN_BASEBALL_AWAY_OLD.xlsx]Team Info'!$H$25),2)</f>
    </nc>
  </rcc>
  <rcc rId="4217" sId="5">
    <oc r="AW84">
      <f>(VLOOKUP(A84,INPUT_RANGE,54,FALSE)/VLOOKUP(A84,INPUT_RANGE,52,FALSE))</f>
    </oc>
    <nc r="AW84">
      <f>(VLOOKUP(A84,INPUT_RANGE,54,FALSE)/VLOOKUP(A84,INPUT_RANGE,52,FALSE))</f>
    </nc>
  </rcc>
  <rcc rId="4218" sId="5">
    <oc r="AX84">
      <f>((VLOOKUP(A84,INPUT_RANGE,54,FALSE)+VLOOKUP(A84,INPUT_RANGE,60,FALSE)+VLOOKUP(A84,INPUT_RANGE,59,FALSE))/(VLOOKUP(A84,INPUT_RANGE,52,FALSE)+VLOOKUP(A84,INPUT_RANGE,60,FALSE)+VLOOKUP(A84,INPUT_RANGE,59,FALSE)+VLOOKUP(A84,INPUT_RANGE,63,FALSE)))</f>
    </oc>
    <nc r="AX84">
      <f>((VLOOKUP(A84,INPUT_RANGE,54,FALSE)+VLOOKUP(A84,INPUT_RANGE,60,FALSE)+VLOOKUP(A84,INPUT_RANGE,59,FALSE))/(VLOOKUP(A84,INPUT_RANGE,52,FALSE)+VLOOKUP(A84,INPUT_RANGE,60,FALSE)+VLOOKUP(A84,INPUT_RANGE,59,FALSE)+VLOOKUP(A84,INPUT_RANGE,63,FALSE)))</f>
    </nc>
  </rcc>
  <rcc rId="4219" sId="5">
    <oc r="AY84">
      <f>(VLOOKUP(A84,INPUT_RANGE,54)+VLOOKUP(A84,INPUT_RANGE,55)+(VLOOKUP(A84,INPUT_RANGE,56)*2)+(VLOOKUP(A84,INPUT_RANGE,57)*3))/(VLOOKUP(A84,INPUT_RANGE,52))</f>
    </oc>
    <nc r="AY84">
      <f>(VLOOKUP(A84,INPUT_RANGE,54)+VLOOKUP(A84,INPUT_RANGE,55)+(VLOOKUP(A84,INPUT_RANGE,56)*2)+(VLOOKUP(A84,INPUT_RANGE,57)*3))/(VLOOKUP(A84,INPUT_RANGE,52))</f>
    </nc>
  </rcc>
  <rcc rId="4220" sId="5">
    <oc r="AZ84">
      <f>AX84+AY84</f>
    </oc>
    <nc r="AZ84">
      <f>AX84+AY84</f>
    </nc>
  </rcc>
  <rcc rId="4221" sId="5">
    <oc r="BA84">
      <f xml:space="preserve"> TEXT(AZ84,".000") &amp; " ops"</f>
    </oc>
    <nc r="BA84">
      <f xml:space="preserve"> TEXT(AZ84,".000") &amp; " OPS"</f>
    </nc>
  </rcc>
  <rcc rId="4222" sId="5">
    <oc r="BB84">
      <f>VLOOKUP(A84,INPUT_RANGE,78,FALSE)</f>
    </oc>
    <nc r="BB84">
      <f>VLOOKUP(A84,INPUT_RANGE,78,FALSE)</f>
    </nc>
  </rcc>
  <rcc rId="4223" sId="5">
    <oc r="BC84">
      <f>VLOOKUP(A84,INPUT_RANGE,77,FALSE)</f>
    </oc>
    <nc r="BC84">
      <f>VLOOKUP(A84,INPUT_RANGE,77,FALSE)</f>
    </nc>
  </rcc>
  <rcc rId="4224" sId="5">
    <oc r="BD84">
      <f>VLOOKUP(A84,INPUT_RANGE,75,FALSE) &amp; "-" &amp; VLOOKUP(A84,INPUT_RANGE,76,FALSE)</f>
    </oc>
    <nc r="BD84">
      <f>VLOOKUP(A84,INPUT_RANGE,75,FALSE) &amp; "-" &amp; VLOOKUP(A84,INPUT_RANGE,76,FALSE)</f>
    </nc>
  </rcc>
  <rcc rId="4225" sId="5">
    <oc r="BE84">
      <f>AU84</f>
    </oc>
    <nc r="BE84">
      <f>AU84</f>
    </nc>
  </rcc>
  <rcc rId="4226" sId="5">
    <oc r="BF84">
      <f>AA84</f>
    </oc>
    <nc r="BF84">
      <f>AA84</f>
    </nc>
  </rcc>
  <rcc rId="4227" sId="5">
    <oc r="BG84">
      <f>VLOOKUP(A84,INPUT_RANGE,86,FALSE)</f>
    </oc>
    <nc r="BG84">
      <f>VLOOKUP(A84,INPUT_RANGE,86,FALSE)</f>
    </nc>
  </rcc>
  <rcc rId="4228" sId="5">
    <oc r="BH84">
      <f>VLOOKUP(A84,INPUT_RANGE,87,FALSE)</f>
    </oc>
    <nc r="BH84">
      <f>VLOOKUP(A84,INPUT_RANGE,87,FALSE)</f>
    </nc>
  </rcc>
  <rcc rId="4229" sId="5">
    <oc r="BI84">
      <f>VLOOKUP(A84,INPUT_RANGE,81,FALSE) &amp; " SAVES"</f>
    </oc>
    <nc r="BI84">
      <f>VLOOKUP(A84,INPUT_RANGE,81,FALSE) &amp; " SAVES"</f>
    </nc>
  </rcc>
  <rcc rId="4230" sId="5">
    <oc r="BJ84">
      <f>VLOOKUP(A84,INPUT_RANGE,81,FALSE)</f>
    </oc>
    <nc r="BJ84">
      <f>VLOOKUP(A84,INPUT_RANGE,81,FALSE)</f>
    </nc>
  </rcc>
  <rcc rId="4231" sId="5">
    <oc r="BK84">
      <f>VLOOKUP(A84,INPUT_RANGE,83,FALSE)</f>
    </oc>
    <nc r="BK84">
      <f>VLOOKUP(A84,INPUT_RANGE,83,FALSE)</f>
    </nc>
  </rcc>
  <rcc rId="4232" sId="5">
    <oc r="BL84">
      <f>VLOOKUP(A84,INPUT_RANGE,87,FALSE) &amp; "/" &amp; VLOOKUP(A84,INPUT_RANGE,86,FALSE)</f>
    </oc>
    <nc r="BL84">
      <f>VLOOKUP(A84,INPUT_RANGE,87,FALSE) &amp; "/" &amp; VLOOKUP(A84,INPUT_RANGE,86,FALSE)</f>
    </nc>
  </rcc>
  <rcc rId="4233" sId="5">
    <oc r="BM84">
      <f>ROUND((VLOOKUP(A84,INPUT_RANGE,86,FALSE)+VLOOKUP(A84,INPUT_RANGE,83,FALSE))/AS84,2)</f>
    </oc>
    <nc r="BM84">
      <f>ROUND((VLOOKUP(A84,INPUT_RANGE,86,FALSE)+VLOOKUP(A84,INPUT_RANGE,83,FALSE))/AS84,2)</f>
    </nc>
  </rcc>
  <rcc rId="4234" sId="5">
    <oc r="M85">
      <f xml:space="preserve"> TEXT(AW85,".000") &amp; " ba"</f>
    </oc>
    <nc r="M85">
      <f xml:space="preserve"> TEXT(AW85,".000") &amp; " BA"</f>
    </nc>
  </rcc>
  <rcc rId="4235" sId="5">
    <oc r="N85">
      <f>VLOOKUP(A85,INPUT_RANGE,58,FALSE) &amp; " rbi"</f>
    </oc>
    <nc r="N85">
      <f>VLOOKUP(A85,INPUT_RANGE,58,FALSE) &amp; " RBI"</f>
    </nc>
  </rcc>
  <rcc rId="4236" sId="5">
    <oc r="O85">
      <f>VLOOKUP(A85,INPUT_RANGE,60,FALSE) &amp; " bb"</f>
    </oc>
    <nc r="O85">
      <f>VLOOKUP(A85,INPUT_RANGE,60,FALSE) &amp; " BB"</f>
    </nc>
  </rcc>
  <rcc rId="4237" sId="5">
    <oc r="P85">
      <f>VLOOKUP(A85,INPUT_RANGE,61,FALSE) &amp; " k"</f>
    </oc>
    <nc r="P85">
      <f>VLOOKUP(A85,INPUT_RANGE,61,FALSE) &amp; " K"</f>
    </nc>
  </rcc>
  <rcc rId="4238" sId="5">
    <oc r="Q85">
      <f>VLOOKUP(A85,INPUT_RANGE,64,FALSE) &amp; " sb"</f>
    </oc>
    <nc r="Q85">
      <f>VLOOKUP(A85,INPUT_RANGE,64,FALSE) &amp; " SB"</f>
    </nc>
  </rcc>
  <rcc rId="4239" sId="5">
    <oc r="R85">
      <f>VLOOKUP(A85,INPUT_RANGE,55,FALSE) &amp; " 2b"</f>
    </oc>
    <nc r="R85">
      <f>VLOOKUP(A85,INPUT_RANGE,55,FALSE) &amp; " 2B"</f>
    </nc>
  </rcc>
  <rcc rId="4240" sId="5">
    <oc r="S85">
      <f>VLOOKUP(A85,INPUT_RANGE,56,FALSE) &amp; " 3b"</f>
    </oc>
    <nc r="S85">
      <f>VLOOKUP(A85,INPUT_RANGE,56,FALSE) &amp; " 3B"</f>
    </nc>
  </rcc>
  <rcc rId="4241" sId="5">
    <oc r="T85">
      <f>VLOOKUP(A85,INPUT_RANGE,57,FALSE) &amp; " hr"</f>
    </oc>
    <nc r="T85">
      <f>VLOOKUP(A85,INPUT_RANGE,57,FALSE) &amp; " HR"</f>
    </nc>
  </rcc>
  <rcc rId="4242" sId="5">
    <oc r="U85">
      <f>VLOOKUP(A85,INPUT_RANGE,53,FALSE) &amp; " r"</f>
    </oc>
    <nc r="U85">
      <f>VLOOKUP(A85,INPUT_RANGE,53,FALSE) &amp; " R"</f>
    </nc>
  </rcc>
  <rcc rId="4243" sId="5">
    <oc r="V85">
      <f>TEXT(AX85, ".000") &amp; " obp"</f>
    </oc>
    <nc r="V85">
      <f>TEXT(AX85, ".000") &amp; " OBP"</f>
    </nc>
  </rcc>
  <rcc rId="4244" sId="5">
    <oc r="X85">
      <f>VLOOKUP(A85,INPUT_RANGE,77,FALSE)&amp;" games"</f>
    </oc>
    <nc r="X85">
      <f>VLOOKUP(A85,INPUT_RANGE,77,FALSE)&amp;" games"</f>
    </nc>
  </rcc>
  <rcc rId="4245" sId="5">
    <oc r="Y85">
      <f>VLOOKUP(A85,INPUT_RANGE,78,FALSE) &amp; " starts"</f>
    </oc>
    <nc r="Y85">
      <f>VLOOKUP(A85,INPUT_RANGE,78,FALSE) &amp; " starts"</f>
    </nc>
  </rcc>
  <rcc rId="4246" sId="5">
    <oc r="Z85">
      <f>VLOOKUP(A85,INPUT_RANGE,82,FALSE) &amp; " ip"</f>
    </oc>
    <nc r="Z85">
      <f>VLOOKUP(A85,INPUT_RANGE,82,FALSE) &amp; " IP"</f>
    </nc>
  </rcc>
  <rcc rId="4247" sId="5">
    <oc r="AA85">
      <f>TRUNC(VLOOKUP(A85,INPUT_RANGE,82,FALSE)) &amp;  IF(AR85=0.333,"º",IF(AR85=0.666,"»",""))</f>
    </oc>
    <nc r="AA85">
      <f>TRUNC(VLOOKUP(A85,INPUT_RANGE,82,FALSE)) &amp;  IF(AR85=0.333,"º",IF(AR85=0.666,"»",""))</f>
    </nc>
  </rcc>
  <rcc rId="4248" sId="5">
    <oc r="AB85">
      <f>AA85&amp; " ip"</f>
    </oc>
    <nc r="AB85">
      <f>AA85&amp; " IP"</f>
    </nc>
  </rcc>
  <rcc rId="4249" sId="5">
    <oc r="AC85">
      <f>VLOOKUP(A85,INPUT_RANGE,79,FALSE) &amp; " cg"</f>
    </oc>
    <nc r="AC85">
      <f>VLOOKUP(A85,INPUT_RANGE,79,FALSE) &amp; " CG"</f>
    </nc>
  </rcc>
  <rcc rId="4250" sId="5">
    <oc r="AD85">
      <f>VLOOKUP(A85,INPUT_RANGE,80,FALSE) &amp; " sho"</f>
    </oc>
    <nc r="AD85">
      <f>VLOOKUP(A85,INPUT_RANGE,80,FALSE) &amp; " SHO"</f>
    </nc>
  </rcc>
  <rcc rId="4251" sId="5">
    <oc r="AE85">
      <f>VLOOKUP(A85,INPUT_RANGE,75,FALSE) &amp; " win"</f>
    </oc>
    <nc r="AE85">
      <f>VLOOKUP(A85,INPUT_RANGE,75,FALSE) &amp; " Win"</f>
    </nc>
  </rcc>
  <rcc rId="4252" sId="5">
    <oc r="AF85">
      <f>VLOOKUP(A85,INPUT_RANGE,76,FALSE) &amp; " loss"</f>
    </oc>
    <nc r="AF85">
      <f>VLOOKUP(A85,INPUT_RANGE,76,FALSE) &amp; " Loss"</f>
    </nc>
  </rcc>
  <rcc rId="4253" sId="5">
    <oc r="AG85">
      <f>VLOOKUP(A85,INPUT_RANGE,75,FALSE) &amp; "-" &amp; VLOOKUP(A85,INPUT_RANGE,76,FALSE) &amp; " w-l"</f>
    </oc>
    <nc r="AG85">
      <f>VLOOKUP(A85,INPUT_RANGE,75,FALSE) &amp; "-" &amp; VLOOKUP(A85,INPUT_RANGE,76,FALSE) &amp; " W-L"</f>
    </nc>
  </rcc>
  <rcc rId="4254" sId="5">
    <oc r="AH85">
      <f>VLOOKUP(A85,INPUT_RANGE,81,FALSE)&amp; " saves"</f>
    </oc>
    <nc r="AH85">
      <f>VLOOKUP(A85,INPUT_RANGE,81,FALSE)&amp; " Saves"</f>
    </nc>
  </rcc>
  <rcc rId="4255" sId="5">
    <oc r="AI85">
      <f>VLOOKUP(A85,INPUT_RANGE,83,FALSE) &amp; " h"</f>
    </oc>
    <nc r="AI85">
      <f>VLOOKUP(A85,INPUT_RANGE,83,FALSE) &amp; " H"</f>
    </nc>
  </rcc>
  <rcc rId="4256" sId="5">
    <oc r="AJ85">
      <f>VLOOKUP(A85,INPUT_RANGE,84,FALSE) &amp; " r"</f>
    </oc>
    <nc r="AJ85">
      <f>VLOOKUP(A85,INPUT_RANGE,84,FALSE) &amp; " R"</f>
    </nc>
  </rcc>
  <rcc rId="4257" sId="5">
    <oc r="AK85">
      <f>VLOOKUP(A85,INPUT_RANGE,85,FALSE) &amp;" er"</f>
    </oc>
    <nc r="AK85">
      <f>VLOOKUP(A85,INPUT_RANGE,85,FALSE) &amp;" ER"</f>
    </nc>
  </rcc>
  <rcc rId="4258" sId="5">
    <oc r="AL85">
      <f>VLOOKUP(A85,INPUT_RANGE,88,FALSE) &amp;" hr"</f>
    </oc>
    <nc r="AL85">
      <f>VLOOKUP(A85,INPUT_RANGE,88,FALSE) &amp;" HR"</f>
    </nc>
  </rcc>
  <rcc rId="4259" sId="5">
    <oc r="AM85">
      <f>VLOOKUP(A85,INPUT_RANGE,87,FALSE) &amp; " k"</f>
    </oc>
    <nc r="AM85">
      <f>VLOOKUP(A85,INPUT_RANGE,87,FALSE) &amp; " K"</f>
    </nc>
  </rcc>
  <rcc rId="4260" sId="5">
    <oc r="AN85">
      <f>VLOOKUP(A85,INPUT_RANGE,86,FALSE) &amp; " bb"</f>
    </oc>
    <nc r="AN85">
      <f>VLOOKUP(A85,INPUT_RANGE,86,FALSE) &amp; " BB"</f>
    </nc>
  </rcc>
  <rcc rId="4261" sId="5">
    <oc r="AO85">
      <f>TEXT(AU85,"0.00") &amp; " era"</f>
    </oc>
    <nc r="AO85">
      <f>TEXT(AU85,"0.00") &amp; " ERA"</f>
    </nc>
  </rcc>
  <rcc rId="4262" sId="5">
    <oc r="AP85">
      <f>TEXT(AT85,"0.00") &amp; " whip"</f>
    </oc>
    <nc r="AP85">
      <f>TEXT(AT85,"0.00") &amp; " WHIP"</f>
    </nc>
  </rcc>
  <rcc rId="4263" sId="5">
    <oc r="AQ85">
      <f xml:space="preserve"> IF(LEFT(RIGHT((VLOOKUP(A85,INPUT_RANGE,82,FALSE)),2),1)=".",RIGHT(VLOOKUP(A85,INPUT_RANGE,82,FALSE),1), "X")</f>
    </oc>
    <nc r="AQ85">
      <f xml:space="preserve"> IF(LEFT(RIGHT((VLOOKUP(A85,INPUT_RANGE,82,FALSE)),2),1)=".",RIGHT(VLOOKUP(A85,INPUT_RANGE,82,FALSE),1), "X")</f>
    </nc>
  </rcc>
  <rcc rId="4264" sId="5">
    <oc r="AR85">
      <f>IF(AQ85 ="1",0.333,IF(AQ85="2",0.666,0))</f>
    </oc>
    <nc r="AR85">
      <f>IF(AQ85 ="1",0.333,IF(AQ85="2",0.666,0))</f>
    </nc>
  </rcc>
  <rcc rId="4265" sId="5">
    <oc r="AS85">
      <f>VLOOKUP(A85,INPUT_RANGE,82,FALSE)-(AQ85*0.1)+AR85</f>
    </oc>
    <nc r="AS85">
      <f>VLOOKUP(A85,INPUT_RANGE,82,FALSE)-(AQ85*0.1)+AR85</f>
    </nc>
  </rcc>
  <rcc rId="4266" sId="5">
    <oc r="AT85">
      <f>ROUND((VLOOKUP(A85,INPUT_RANGE,86,FALSE)+VLOOKUP(A85,INPUT_RANGE,83,FALSE))/AS85,2)</f>
    </oc>
    <nc r="AT85">
      <f>ROUND((VLOOKUP(A85,INPUT_RANGE,86,FALSE)+VLOOKUP(A85,INPUT_RANGE,83,FALSE))/AS85,2)</f>
    </nc>
  </rcc>
  <rcc rId="4267" sId="5">
    <oc r="AU85">
      <f>ROUND((VLOOKUP(A85,INPUT_RANGE,85,FALSE)/AS85)*('Team Info'!$H$25),2)</f>
    </oc>
    <nc r="AU85">
      <f>ROUND((VLOOKUP(A85,INPUT_RANGE,85,FALSE)/AS85)*('D:\Data\Softball\[ESPN_BASEBALL_AWAY_OLD.xlsx]Team Info'!$H$25),2)</f>
    </nc>
  </rcc>
  <rcc rId="4268" sId="5">
    <oc r="AW85">
      <f>(VLOOKUP(A85,INPUT_RANGE,54,FALSE)/VLOOKUP(A85,INPUT_RANGE,52,FALSE))</f>
    </oc>
    <nc r="AW85">
      <f>(VLOOKUP(A85,INPUT_RANGE,54,FALSE)/VLOOKUP(A85,INPUT_RANGE,52,FALSE))</f>
    </nc>
  </rcc>
  <rcc rId="4269" sId="5">
    <oc r="AX85">
      <f>((VLOOKUP(A85,INPUT_RANGE,54,FALSE)+VLOOKUP(A85,INPUT_RANGE,60,FALSE)+VLOOKUP(A85,INPUT_RANGE,59,FALSE))/(VLOOKUP(A85,INPUT_RANGE,52,FALSE)+VLOOKUP(A85,INPUT_RANGE,60,FALSE)+VLOOKUP(A85,INPUT_RANGE,59,FALSE)+VLOOKUP(A85,INPUT_RANGE,63,FALSE)))</f>
    </oc>
    <nc r="AX85">
      <f>((VLOOKUP(A85,INPUT_RANGE,54,FALSE)+VLOOKUP(A85,INPUT_RANGE,60,FALSE)+VLOOKUP(A85,INPUT_RANGE,59,FALSE))/(VLOOKUP(A85,INPUT_RANGE,52,FALSE)+VLOOKUP(A85,INPUT_RANGE,60,FALSE)+VLOOKUP(A85,INPUT_RANGE,59,FALSE)+VLOOKUP(A85,INPUT_RANGE,63,FALSE)))</f>
    </nc>
  </rcc>
  <rcc rId="4270" sId="5">
    <oc r="AY85">
      <f>(VLOOKUP(A85,INPUT_RANGE,54)+VLOOKUP(A85,INPUT_RANGE,55)+(VLOOKUP(A85,INPUT_RANGE,56)*2)+(VLOOKUP(A85,INPUT_RANGE,57)*3))/(VLOOKUP(A85,INPUT_RANGE,52))</f>
    </oc>
    <nc r="AY85">
      <f>(VLOOKUP(A85,INPUT_RANGE,54)+VLOOKUP(A85,INPUT_RANGE,55)+(VLOOKUP(A85,INPUT_RANGE,56)*2)+(VLOOKUP(A85,INPUT_RANGE,57)*3))/(VLOOKUP(A85,INPUT_RANGE,52))</f>
    </nc>
  </rcc>
  <rcc rId="4271" sId="5">
    <oc r="AZ85">
      <f>AX85+AY85</f>
    </oc>
    <nc r="AZ85">
      <f>AX85+AY85</f>
    </nc>
  </rcc>
  <rcc rId="4272" sId="5">
    <oc r="BA85">
      <f xml:space="preserve"> TEXT(AZ85,".000") &amp; " ops"</f>
    </oc>
    <nc r="BA85">
      <f xml:space="preserve"> TEXT(AZ85,".000") &amp; " OPS"</f>
    </nc>
  </rcc>
  <rcc rId="4273" sId="5">
    <oc r="BB85">
      <f>VLOOKUP(A85,INPUT_RANGE,78,FALSE)</f>
    </oc>
    <nc r="BB85">
      <f>VLOOKUP(A85,INPUT_RANGE,78,FALSE)</f>
    </nc>
  </rcc>
  <rcc rId="4274" sId="5">
    <oc r="BC85">
      <f>VLOOKUP(A85,INPUT_RANGE,77,FALSE)</f>
    </oc>
    <nc r="BC85">
      <f>VLOOKUP(A85,INPUT_RANGE,77,FALSE)</f>
    </nc>
  </rcc>
  <rcc rId="4275" sId="5">
    <oc r="BD85">
      <f>VLOOKUP(A85,INPUT_RANGE,75,FALSE) &amp; "-" &amp; VLOOKUP(A85,INPUT_RANGE,76,FALSE)</f>
    </oc>
    <nc r="BD85">
      <f>VLOOKUP(A85,INPUT_RANGE,75,FALSE) &amp; "-" &amp; VLOOKUP(A85,INPUT_RANGE,76,FALSE)</f>
    </nc>
  </rcc>
  <rcc rId="4276" sId="5">
    <oc r="BE85">
      <f>AU85</f>
    </oc>
    <nc r="BE85">
      <f>AU85</f>
    </nc>
  </rcc>
  <rcc rId="4277" sId="5">
    <oc r="BF85">
      <f>AA85</f>
    </oc>
    <nc r="BF85">
      <f>AA85</f>
    </nc>
  </rcc>
  <rcc rId="4278" sId="5">
    <oc r="BG85">
      <f>VLOOKUP(A85,INPUT_RANGE,86,FALSE)</f>
    </oc>
    <nc r="BG85">
      <f>VLOOKUP(A85,INPUT_RANGE,86,FALSE)</f>
    </nc>
  </rcc>
  <rcc rId="4279" sId="5">
    <oc r="BH85">
      <f>VLOOKUP(A85,INPUT_RANGE,87,FALSE)</f>
    </oc>
    <nc r="BH85">
      <f>VLOOKUP(A85,INPUT_RANGE,87,FALSE)</f>
    </nc>
  </rcc>
  <rcc rId="4280" sId="5">
    <oc r="BI85">
      <f>VLOOKUP(A85,INPUT_RANGE,81,FALSE) &amp; " SAVES"</f>
    </oc>
    <nc r="BI85">
      <f>VLOOKUP(A85,INPUT_RANGE,81,FALSE) &amp; " SAVES"</f>
    </nc>
  </rcc>
  <rcc rId="4281" sId="5">
    <oc r="BJ85">
      <f>VLOOKUP(A85,INPUT_RANGE,81,FALSE)</f>
    </oc>
    <nc r="BJ85">
      <f>VLOOKUP(A85,INPUT_RANGE,81,FALSE)</f>
    </nc>
  </rcc>
  <rcc rId="4282" sId="5">
    <oc r="BK85">
      <f>VLOOKUP(A85,INPUT_RANGE,83,FALSE)</f>
    </oc>
    <nc r="BK85">
      <f>VLOOKUP(A85,INPUT_RANGE,83,FALSE)</f>
    </nc>
  </rcc>
  <rcc rId="4283" sId="5">
    <oc r="BL85">
      <f>VLOOKUP(A85,INPUT_RANGE,87,FALSE) &amp; "/" &amp; VLOOKUP(A85,INPUT_RANGE,86,FALSE)</f>
    </oc>
    <nc r="BL85">
      <f>VLOOKUP(A85,INPUT_RANGE,87,FALSE) &amp; "/" &amp; VLOOKUP(A85,INPUT_RANGE,86,FALSE)</f>
    </nc>
  </rcc>
  <rcc rId="4284" sId="5">
    <oc r="BM85">
      <f>ROUND((VLOOKUP(A85,INPUT_RANGE,86,FALSE)+VLOOKUP(A85,INPUT_RANGE,83,FALSE))/AS85,2)</f>
    </oc>
    <nc r="BM85">
      <f>ROUND((VLOOKUP(A85,INPUT_RANGE,86,FALSE)+VLOOKUP(A85,INPUT_RANGE,83,FALSE))/AS85,2)</f>
    </nc>
  </rcc>
  <rcc rId="4285" sId="5">
    <oc r="M86">
      <f xml:space="preserve"> TEXT(AW86,".000") &amp; " ba"</f>
    </oc>
    <nc r="M86">
      <f xml:space="preserve"> TEXT(AW86,".000") &amp; " BA"</f>
    </nc>
  </rcc>
  <rcc rId="4286" sId="5">
    <oc r="N86">
      <f>VLOOKUP(A86,INPUT_RANGE,58,FALSE) &amp; " rbi"</f>
    </oc>
    <nc r="N86">
      <f>VLOOKUP(A86,INPUT_RANGE,58,FALSE) &amp; " RBI"</f>
    </nc>
  </rcc>
  <rcc rId="4287" sId="5">
    <oc r="O86">
      <f>VLOOKUP(A86,INPUT_RANGE,60,FALSE) &amp; " bb"</f>
    </oc>
    <nc r="O86">
      <f>VLOOKUP(A86,INPUT_RANGE,60,FALSE) &amp; " BB"</f>
    </nc>
  </rcc>
  <rcc rId="4288" sId="5">
    <oc r="P86">
      <f>VLOOKUP(A86,INPUT_RANGE,61,FALSE) &amp; " k"</f>
    </oc>
    <nc r="P86">
      <f>VLOOKUP(A86,INPUT_RANGE,61,FALSE) &amp; " K"</f>
    </nc>
  </rcc>
  <rcc rId="4289" sId="5">
    <oc r="Q86">
      <f>VLOOKUP(A86,INPUT_RANGE,64,FALSE) &amp; " sb"</f>
    </oc>
    <nc r="Q86">
      <f>VLOOKUP(A86,INPUT_RANGE,64,FALSE) &amp; " SB"</f>
    </nc>
  </rcc>
  <rcc rId="4290" sId="5">
    <oc r="R86">
      <f>VLOOKUP(A86,INPUT_RANGE,55,FALSE) &amp; " 2b"</f>
    </oc>
    <nc r="R86">
      <f>VLOOKUP(A86,INPUT_RANGE,55,FALSE) &amp; " 2B"</f>
    </nc>
  </rcc>
  <rcc rId="4291" sId="5">
    <oc r="S86">
      <f>VLOOKUP(A86,INPUT_RANGE,56,FALSE) &amp; " 3b"</f>
    </oc>
    <nc r="S86">
      <f>VLOOKUP(A86,INPUT_RANGE,56,FALSE) &amp; " 3B"</f>
    </nc>
  </rcc>
  <rcc rId="4292" sId="5">
    <oc r="T86">
      <f>VLOOKUP(A86,INPUT_RANGE,57,FALSE) &amp; " hr"</f>
    </oc>
    <nc r="T86">
      <f>VLOOKUP(A86,INPUT_RANGE,57,FALSE) &amp; " HR"</f>
    </nc>
  </rcc>
  <rcc rId="4293" sId="5">
    <oc r="U86">
      <f>VLOOKUP(A86,INPUT_RANGE,53,FALSE) &amp; " r"</f>
    </oc>
    <nc r="U86">
      <f>VLOOKUP(A86,INPUT_RANGE,53,FALSE) &amp; " R"</f>
    </nc>
  </rcc>
  <rcc rId="4294" sId="5">
    <oc r="V86">
      <f>TEXT(AX86, ".000") &amp; " obp"</f>
    </oc>
    <nc r="V86">
      <f>TEXT(AX86, ".000") &amp; " OBP"</f>
    </nc>
  </rcc>
  <rcc rId="4295" sId="5">
    <oc r="X86">
      <f>VLOOKUP(A86,INPUT_RANGE,77,FALSE)&amp;" games"</f>
    </oc>
    <nc r="X86">
      <f>VLOOKUP(A86,INPUT_RANGE,77,FALSE)&amp;" games"</f>
    </nc>
  </rcc>
  <rcc rId="4296" sId="5">
    <oc r="Y86">
      <f>VLOOKUP(A86,INPUT_RANGE,78,FALSE) &amp; " starts"</f>
    </oc>
    <nc r="Y86">
      <f>VLOOKUP(A86,INPUT_RANGE,78,FALSE) &amp; " starts"</f>
    </nc>
  </rcc>
  <rcc rId="4297" sId="5">
    <oc r="Z86">
      <f>VLOOKUP(A86,INPUT_RANGE,82,FALSE) &amp; " ip"</f>
    </oc>
    <nc r="Z86">
      <f>VLOOKUP(A86,INPUT_RANGE,82,FALSE) &amp; " IP"</f>
    </nc>
  </rcc>
  <rcc rId="4298" sId="5">
    <oc r="AA86">
      <f>TRUNC(VLOOKUP(A86,INPUT_RANGE,82,FALSE)) &amp;  IF(AR86=0.333,"º",IF(AR86=0.666,"»",""))</f>
    </oc>
    <nc r="AA86">
      <f>TRUNC(VLOOKUP(A86,INPUT_RANGE,82,FALSE)) &amp;  IF(AR86=0.333,"º",IF(AR86=0.666,"»",""))</f>
    </nc>
  </rcc>
  <rcc rId="4299" sId="5">
    <oc r="AB86">
      <f>AA86&amp; " ip"</f>
    </oc>
    <nc r="AB86">
      <f>AA86&amp; " IP"</f>
    </nc>
  </rcc>
  <rcc rId="4300" sId="5">
    <oc r="AC86">
      <f>VLOOKUP(A86,INPUT_RANGE,79,FALSE) &amp; " cg"</f>
    </oc>
    <nc r="AC86">
      <f>VLOOKUP(A86,INPUT_RANGE,79,FALSE) &amp; " CG"</f>
    </nc>
  </rcc>
  <rcc rId="4301" sId="5">
    <oc r="AD86">
      <f>VLOOKUP(A86,INPUT_RANGE,80,FALSE) &amp; " sho"</f>
    </oc>
    <nc r="AD86">
      <f>VLOOKUP(A86,INPUT_RANGE,80,FALSE) &amp; " SHO"</f>
    </nc>
  </rcc>
  <rcc rId="4302" sId="5">
    <oc r="AE86">
      <f>VLOOKUP(A86,INPUT_RANGE,75,FALSE) &amp; " win"</f>
    </oc>
    <nc r="AE86">
      <f>VLOOKUP(A86,INPUT_RANGE,75,FALSE) &amp; " Win"</f>
    </nc>
  </rcc>
  <rcc rId="4303" sId="5">
    <oc r="AF86">
      <f>VLOOKUP(A86,INPUT_RANGE,76,FALSE) &amp; " loss"</f>
    </oc>
    <nc r="AF86">
      <f>VLOOKUP(A86,INPUT_RANGE,76,FALSE) &amp; " Loss"</f>
    </nc>
  </rcc>
  <rcc rId="4304" sId="5">
    <oc r="AG86">
      <f>VLOOKUP(A86,INPUT_RANGE,75,FALSE) &amp; "-" &amp; VLOOKUP(A86,INPUT_RANGE,76,FALSE) &amp; " w-l"</f>
    </oc>
    <nc r="AG86">
      <f>VLOOKUP(A86,INPUT_RANGE,75,FALSE) &amp; "-" &amp; VLOOKUP(A86,INPUT_RANGE,76,FALSE) &amp; " W-L"</f>
    </nc>
  </rcc>
  <rcc rId="4305" sId="5">
    <oc r="AH86">
      <f>VLOOKUP(A86,INPUT_RANGE,81,FALSE)&amp; " saves"</f>
    </oc>
    <nc r="AH86">
      <f>VLOOKUP(A86,INPUT_RANGE,81,FALSE)&amp; " Saves"</f>
    </nc>
  </rcc>
  <rcc rId="4306" sId="5">
    <oc r="AI86">
      <f>VLOOKUP(A86,INPUT_RANGE,83,FALSE) &amp; " h"</f>
    </oc>
    <nc r="AI86">
      <f>VLOOKUP(A86,INPUT_RANGE,83,FALSE) &amp; " H"</f>
    </nc>
  </rcc>
  <rcc rId="4307" sId="5">
    <oc r="AJ86">
      <f>VLOOKUP(A86,INPUT_RANGE,84,FALSE) &amp; " r"</f>
    </oc>
    <nc r="AJ86">
      <f>VLOOKUP(A86,INPUT_RANGE,84,FALSE) &amp; " R"</f>
    </nc>
  </rcc>
  <rcc rId="4308" sId="5">
    <oc r="AK86">
      <f>VLOOKUP(A86,INPUT_RANGE,85,FALSE) &amp;" er"</f>
    </oc>
    <nc r="AK86">
      <f>VLOOKUP(A86,INPUT_RANGE,85,FALSE) &amp;" ER"</f>
    </nc>
  </rcc>
  <rcc rId="4309" sId="5">
    <oc r="AL86">
      <f>VLOOKUP(A86,INPUT_RANGE,88,FALSE) &amp;" hr"</f>
    </oc>
    <nc r="AL86">
      <f>VLOOKUP(A86,INPUT_RANGE,88,FALSE) &amp;" HR"</f>
    </nc>
  </rcc>
  <rcc rId="4310" sId="5">
    <oc r="AM86">
      <f>VLOOKUP(A86,INPUT_RANGE,87,FALSE) &amp; " k"</f>
    </oc>
    <nc r="AM86">
      <f>VLOOKUP(A86,INPUT_RANGE,87,FALSE) &amp; " K"</f>
    </nc>
  </rcc>
  <rcc rId="4311" sId="5">
    <oc r="AN86">
      <f>VLOOKUP(A86,INPUT_RANGE,86,FALSE) &amp; " bb"</f>
    </oc>
    <nc r="AN86">
      <f>VLOOKUP(A86,INPUT_RANGE,86,FALSE) &amp; " BB"</f>
    </nc>
  </rcc>
  <rcc rId="4312" sId="5">
    <oc r="AO86">
      <f>TEXT(AU86,"0.00") &amp; " era"</f>
    </oc>
    <nc r="AO86">
      <f>TEXT(AU86,"0.00") &amp; " ERA"</f>
    </nc>
  </rcc>
  <rcc rId="4313" sId="5">
    <oc r="AP86">
      <f>TEXT(AT86,"0.00") &amp; " whip"</f>
    </oc>
    <nc r="AP86">
      <f>TEXT(AT86,"0.00") &amp; " WHIP"</f>
    </nc>
  </rcc>
  <rcc rId="4314" sId="5">
    <oc r="AQ86">
      <f xml:space="preserve"> IF(LEFT(RIGHT((VLOOKUP(A86,INPUT_RANGE,82,FALSE)),2),1)=".",RIGHT(VLOOKUP(A86,INPUT_RANGE,82,FALSE),1), "X")</f>
    </oc>
    <nc r="AQ86">
      <f xml:space="preserve"> IF(LEFT(RIGHT((VLOOKUP(A86,INPUT_RANGE,82,FALSE)),2),1)=".",RIGHT(VLOOKUP(A86,INPUT_RANGE,82,FALSE),1), "X")</f>
    </nc>
  </rcc>
  <rcc rId="4315" sId="5">
    <oc r="AR86">
      <f>IF(AQ86 ="1",0.333,IF(AQ86="2",0.666,0))</f>
    </oc>
    <nc r="AR86">
      <f>IF(AQ86 ="1",0.333,IF(AQ86="2",0.666,0))</f>
    </nc>
  </rcc>
  <rcc rId="4316" sId="5">
    <oc r="AS86">
      <f>VLOOKUP(A86,INPUT_RANGE,82,FALSE)-(AQ86*0.1)+AR86</f>
    </oc>
    <nc r="AS86">
      <f>VLOOKUP(A86,INPUT_RANGE,82,FALSE)-(AQ86*0.1)+AR86</f>
    </nc>
  </rcc>
  <rcc rId="4317" sId="5">
    <oc r="AT86">
      <f>ROUND((VLOOKUP(A86,INPUT_RANGE,86,FALSE)+VLOOKUP(A86,INPUT_RANGE,83,FALSE))/AS86,2)</f>
    </oc>
    <nc r="AT86">
      <f>ROUND((VLOOKUP(A86,INPUT_RANGE,86,FALSE)+VLOOKUP(A86,INPUT_RANGE,83,FALSE))/AS86,2)</f>
    </nc>
  </rcc>
  <rcc rId="4318" sId="5">
    <oc r="AU86">
      <f>ROUND((VLOOKUP(A86,INPUT_RANGE,85,FALSE)/AS86)*('Team Info'!$H$25),2)</f>
    </oc>
    <nc r="AU86">
      <f>ROUND((VLOOKUP(A86,INPUT_RANGE,85,FALSE)/AS86)*('D:\Data\Softball\[ESPN_BASEBALL_AWAY_OLD.xlsx]Team Info'!$H$25),2)</f>
    </nc>
  </rcc>
  <rcc rId="4319" sId="5">
    <oc r="AW86">
      <f>(VLOOKUP(A86,INPUT_RANGE,54,FALSE)/VLOOKUP(A86,INPUT_RANGE,52,FALSE))</f>
    </oc>
    <nc r="AW86">
      <f>(VLOOKUP(A86,INPUT_RANGE,54,FALSE)/VLOOKUP(A86,INPUT_RANGE,52,FALSE))</f>
    </nc>
  </rcc>
  <rcc rId="4320" sId="5">
    <oc r="AX86">
      <f>((VLOOKUP(A86,INPUT_RANGE,54,FALSE)+VLOOKUP(A86,INPUT_RANGE,60,FALSE)+VLOOKUP(A86,INPUT_RANGE,59,FALSE))/(VLOOKUP(A86,INPUT_RANGE,52,FALSE)+VLOOKUP(A86,INPUT_RANGE,60,FALSE)+VLOOKUP(A86,INPUT_RANGE,59,FALSE)+VLOOKUP(A86,INPUT_RANGE,63,FALSE)))</f>
    </oc>
    <nc r="AX86">
      <f>((VLOOKUP(A86,INPUT_RANGE,54,FALSE)+VLOOKUP(A86,INPUT_RANGE,60,FALSE)+VLOOKUP(A86,INPUT_RANGE,59,FALSE))/(VLOOKUP(A86,INPUT_RANGE,52,FALSE)+VLOOKUP(A86,INPUT_RANGE,60,FALSE)+VLOOKUP(A86,INPUT_RANGE,59,FALSE)+VLOOKUP(A86,INPUT_RANGE,63,FALSE)))</f>
    </nc>
  </rcc>
  <rcc rId="4321" sId="5">
    <oc r="AY86">
      <f>(VLOOKUP(A86,INPUT_RANGE,54)+VLOOKUP(A86,INPUT_RANGE,55)+(VLOOKUP(A86,INPUT_RANGE,56)*2)+(VLOOKUP(A86,INPUT_RANGE,57)*3))/(VLOOKUP(A86,INPUT_RANGE,52))</f>
    </oc>
    <nc r="AY86">
      <f>(VLOOKUP(A86,INPUT_RANGE,54)+VLOOKUP(A86,INPUT_RANGE,55)+(VLOOKUP(A86,INPUT_RANGE,56)*2)+(VLOOKUP(A86,INPUT_RANGE,57)*3))/(VLOOKUP(A86,INPUT_RANGE,52))</f>
    </nc>
  </rcc>
  <rcc rId="4322" sId="5">
    <oc r="AZ86">
      <f>AX86+AY86</f>
    </oc>
    <nc r="AZ86">
      <f>AX86+AY86</f>
    </nc>
  </rcc>
  <rcc rId="4323" sId="5">
    <oc r="BA86">
      <f xml:space="preserve"> TEXT(AZ86,".000") &amp; " ops"</f>
    </oc>
    <nc r="BA86">
      <f xml:space="preserve"> TEXT(AZ86,".000") &amp; " OPS"</f>
    </nc>
  </rcc>
  <rcc rId="4324" sId="5">
    <oc r="BB86">
      <f>VLOOKUP(A86,INPUT_RANGE,78,FALSE)</f>
    </oc>
    <nc r="BB86">
      <f>VLOOKUP(A86,INPUT_RANGE,78,FALSE)</f>
    </nc>
  </rcc>
  <rcc rId="4325" sId="5">
    <oc r="BC86">
      <f>VLOOKUP(A86,INPUT_RANGE,77,FALSE)</f>
    </oc>
    <nc r="BC86">
      <f>VLOOKUP(A86,INPUT_RANGE,77,FALSE)</f>
    </nc>
  </rcc>
  <rcc rId="4326" sId="5">
    <oc r="BD86">
      <f>VLOOKUP(A86,INPUT_RANGE,75,FALSE) &amp; "-" &amp; VLOOKUP(A86,INPUT_RANGE,76,FALSE)</f>
    </oc>
    <nc r="BD86">
      <f>VLOOKUP(A86,INPUT_RANGE,75,FALSE) &amp; "-" &amp; VLOOKUP(A86,INPUT_RANGE,76,FALSE)</f>
    </nc>
  </rcc>
  <rcc rId="4327" sId="5">
    <oc r="BE86">
      <f>AU86</f>
    </oc>
    <nc r="BE86">
      <f>AU86</f>
    </nc>
  </rcc>
  <rcc rId="4328" sId="5">
    <oc r="BF86">
      <f>AA86</f>
    </oc>
    <nc r="BF86">
      <f>AA86</f>
    </nc>
  </rcc>
  <rcc rId="4329" sId="5">
    <oc r="BG86">
      <f>VLOOKUP(A86,INPUT_RANGE,86,FALSE)</f>
    </oc>
    <nc r="BG86">
      <f>VLOOKUP(A86,INPUT_RANGE,86,FALSE)</f>
    </nc>
  </rcc>
  <rcc rId="4330" sId="5">
    <oc r="BH86">
      <f>VLOOKUP(A86,INPUT_RANGE,87,FALSE)</f>
    </oc>
    <nc r="BH86">
      <f>VLOOKUP(A86,INPUT_RANGE,87,FALSE)</f>
    </nc>
  </rcc>
  <rcc rId="4331" sId="5">
    <oc r="BI86">
      <f>VLOOKUP(A86,INPUT_RANGE,81,FALSE) &amp; " SAVES"</f>
    </oc>
    <nc r="BI86">
      <f>VLOOKUP(A86,INPUT_RANGE,81,FALSE) &amp; " SAVES"</f>
    </nc>
  </rcc>
  <rcc rId="4332" sId="5">
    <oc r="BJ86">
      <f>VLOOKUP(A86,INPUT_RANGE,81,FALSE)</f>
    </oc>
    <nc r="BJ86">
      <f>VLOOKUP(A86,INPUT_RANGE,81,FALSE)</f>
    </nc>
  </rcc>
  <rcc rId="4333" sId="5">
    <oc r="BK86">
      <f>VLOOKUP(A86,INPUT_RANGE,83,FALSE)</f>
    </oc>
    <nc r="BK86">
      <f>VLOOKUP(A86,INPUT_RANGE,83,FALSE)</f>
    </nc>
  </rcc>
  <rcc rId="4334" sId="5">
    <oc r="BL86">
      <f>VLOOKUP(A86,INPUT_RANGE,87,FALSE) &amp; "/" &amp; VLOOKUP(A86,INPUT_RANGE,86,FALSE)</f>
    </oc>
    <nc r="BL86">
      <f>VLOOKUP(A86,INPUT_RANGE,87,FALSE) &amp; "/" &amp; VLOOKUP(A86,INPUT_RANGE,86,FALSE)</f>
    </nc>
  </rcc>
  <rcc rId="4335" sId="5">
    <oc r="BM86">
      <f>ROUND((VLOOKUP(A86,INPUT_RANGE,86,FALSE)+VLOOKUP(A86,INPUT_RANGE,83,FALSE))/AS86,2)</f>
    </oc>
    <nc r="BM86">
      <f>ROUND((VLOOKUP(A86,INPUT_RANGE,86,FALSE)+VLOOKUP(A86,INPUT_RANGE,83,FALSE))/AS86,2)</f>
    </nc>
  </rcc>
  <rcc rId="4336" sId="5">
    <oc r="M87">
      <f xml:space="preserve"> TEXT(AW87,".000") &amp; " ba"</f>
    </oc>
    <nc r="M87">
      <f xml:space="preserve"> TEXT(AW87,".000") &amp; " BA"</f>
    </nc>
  </rcc>
  <rcc rId="4337" sId="5">
    <oc r="N87">
      <f>VLOOKUP(A87,INPUT_RANGE,58,FALSE) &amp; " rbi"</f>
    </oc>
    <nc r="N87">
      <f>VLOOKUP(A87,INPUT_RANGE,58,FALSE) &amp; " RBI"</f>
    </nc>
  </rcc>
  <rcc rId="4338" sId="5">
    <oc r="O87">
      <f>VLOOKUP(A87,INPUT_RANGE,60,FALSE) &amp; " bb"</f>
    </oc>
    <nc r="O87">
      <f>VLOOKUP(A87,INPUT_RANGE,60,FALSE) &amp; " BB"</f>
    </nc>
  </rcc>
  <rcc rId="4339" sId="5">
    <oc r="P87">
      <f>VLOOKUP(A87,INPUT_RANGE,61,FALSE) &amp; " k"</f>
    </oc>
    <nc r="P87">
      <f>VLOOKUP(A87,INPUT_RANGE,61,FALSE) &amp; " K"</f>
    </nc>
  </rcc>
  <rcc rId="4340" sId="5">
    <oc r="Q87">
      <f>VLOOKUP(A87,INPUT_RANGE,64,FALSE) &amp; " sb"</f>
    </oc>
    <nc r="Q87">
      <f>VLOOKUP(A87,INPUT_RANGE,64,FALSE) &amp; " SB"</f>
    </nc>
  </rcc>
  <rcc rId="4341" sId="5">
    <oc r="R87">
      <f>VLOOKUP(A87,INPUT_RANGE,55,FALSE) &amp; " 2b"</f>
    </oc>
    <nc r="R87">
      <f>VLOOKUP(A87,INPUT_RANGE,55,FALSE) &amp; " 2B"</f>
    </nc>
  </rcc>
  <rcc rId="4342" sId="5">
    <oc r="S87">
      <f>VLOOKUP(A87,INPUT_RANGE,56,FALSE) &amp; " 3b"</f>
    </oc>
    <nc r="S87">
      <f>VLOOKUP(A87,INPUT_RANGE,56,FALSE) &amp; " 3B"</f>
    </nc>
  </rcc>
  <rcc rId="4343" sId="5">
    <oc r="T87">
      <f>VLOOKUP(A87,INPUT_RANGE,57,FALSE) &amp; " hr"</f>
    </oc>
    <nc r="T87">
      <f>VLOOKUP(A87,INPUT_RANGE,57,FALSE) &amp; " HR"</f>
    </nc>
  </rcc>
  <rcc rId="4344" sId="5">
    <oc r="U87">
      <f>VLOOKUP(A87,INPUT_RANGE,53,FALSE) &amp; " r"</f>
    </oc>
    <nc r="U87">
      <f>VLOOKUP(A87,INPUT_RANGE,53,FALSE) &amp; " R"</f>
    </nc>
  </rcc>
  <rcc rId="4345" sId="5">
    <oc r="V87">
      <f>TEXT(AX87, ".000") &amp; " obp"</f>
    </oc>
    <nc r="V87">
      <f>TEXT(AX87, ".000") &amp; " OBP"</f>
    </nc>
  </rcc>
  <rcc rId="4346" sId="5">
    <oc r="X87">
      <f>VLOOKUP(A87,INPUT_RANGE,77,FALSE)&amp;" games"</f>
    </oc>
    <nc r="X87">
      <f>VLOOKUP(A87,INPUT_RANGE,77,FALSE)&amp;" games"</f>
    </nc>
  </rcc>
  <rcc rId="4347" sId="5">
    <oc r="Y87">
      <f>VLOOKUP(A87,INPUT_RANGE,78,FALSE) &amp; " starts"</f>
    </oc>
    <nc r="Y87">
      <f>VLOOKUP(A87,INPUT_RANGE,78,FALSE) &amp; " starts"</f>
    </nc>
  </rcc>
  <rcc rId="4348" sId="5">
    <oc r="Z87">
      <f>VLOOKUP(A87,INPUT_RANGE,82,FALSE) &amp; " ip"</f>
    </oc>
    <nc r="Z87">
      <f>VLOOKUP(A87,INPUT_RANGE,82,FALSE) &amp; " IP"</f>
    </nc>
  </rcc>
  <rcc rId="4349" sId="5">
    <oc r="AA87">
      <f>TRUNC(VLOOKUP(A87,INPUT_RANGE,82,FALSE)) &amp;  IF(AR87=0.333,"º",IF(AR87=0.666,"»",""))</f>
    </oc>
    <nc r="AA87">
      <f>TRUNC(VLOOKUP(A87,INPUT_RANGE,82,FALSE)) &amp;  IF(AR87=0.333,"º",IF(AR87=0.666,"»",""))</f>
    </nc>
  </rcc>
  <rcc rId="4350" sId="5">
    <oc r="AB87">
      <f>AA87&amp; " ip"</f>
    </oc>
    <nc r="AB87">
      <f>AA87&amp; " IP"</f>
    </nc>
  </rcc>
  <rcc rId="4351" sId="5">
    <oc r="AC87">
      <f>VLOOKUP(A87,INPUT_RANGE,79,FALSE) &amp; " cg"</f>
    </oc>
    <nc r="AC87">
      <f>VLOOKUP(A87,INPUT_RANGE,79,FALSE) &amp; " CG"</f>
    </nc>
  </rcc>
  <rcc rId="4352" sId="5">
    <oc r="AD87">
      <f>VLOOKUP(A87,INPUT_RANGE,80,FALSE) &amp; " sho"</f>
    </oc>
    <nc r="AD87">
      <f>VLOOKUP(A87,INPUT_RANGE,80,FALSE) &amp; " SHO"</f>
    </nc>
  </rcc>
  <rcc rId="4353" sId="5">
    <oc r="AE87">
      <f>VLOOKUP(A87,INPUT_RANGE,75,FALSE) &amp; " win"</f>
    </oc>
    <nc r="AE87">
      <f>VLOOKUP(A87,INPUT_RANGE,75,FALSE) &amp; " Win"</f>
    </nc>
  </rcc>
  <rcc rId="4354" sId="5">
    <oc r="AF87">
      <f>VLOOKUP(A87,INPUT_RANGE,76,FALSE) &amp; " loss"</f>
    </oc>
    <nc r="AF87">
      <f>VLOOKUP(A87,INPUT_RANGE,76,FALSE) &amp; " Loss"</f>
    </nc>
  </rcc>
  <rcc rId="4355" sId="5">
    <oc r="AG87">
      <f>VLOOKUP(A87,INPUT_RANGE,75,FALSE) &amp; "-" &amp; VLOOKUP(A87,INPUT_RANGE,76,FALSE) &amp; " w-l"</f>
    </oc>
    <nc r="AG87">
      <f>VLOOKUP(A87,INPUT_RANGE,75,FALSE) &amp; "-" &amp; VLOOKUP(A87,INPUT_RANGE,76,FALSE) &amp; " W-L"</f>
    </nc>
  </rcc>
  <rcc rId="4356" sId="5">
    <oc r="AH87">
      <f>VLOOKUP(A87,INPUT_RANGE,81,FALSE)&amp; " saves"</f>
    </oc>
    <nc r="AH87">
      <f>VLOOKUP(A87,INPUT_RANGE,81,FALSE)&amp; " Saves"</f>
    </nc>
  </rcc>
  <rcc rId="4357" sId="5">
    <oc r="AI87">
      <f>VLOOKUP(A87,INPUT_RANGE,83,FALSE) &amp; " h"</f>
    </oc>
    <nc r="AI87">
      <f>VLOOKUP(A87,INPUT_RANGE,83,FALSE) &amp; " H"</f>
    </nc>
  </rcc>
  <rcc rId="4358" sId="5">
    <oc r="AJ87">
      <f>VLOOKUP(A87,INPUT_RANGE,84,FALSE) &amp; " r"</f>
    </oc>
    <nc r="AJ87">
      <f>VLOOKUP(A87,INPUT_RANGE,84,FALSE) &amp; " R"</f>
    </nc>
  </rcc>
  <rcc rId="4359" sId="5">
    <oc r="AK87">
      <f>VLOOKUP(A87,INPUT_RANGE,85,FALSE) &amp;" er"</f>
    </oc>
    <nc r="AK87">
      <f>VLOOKUP(A87,INPUT_RANGE,85,FALSE) &amp;" ER"</f>
    </nc>
  </rcc>
  <rcc rId="4360" sId="5">
    <oc r="AL87">
      <f>VLOOKUP(A87,INPUT_RANGE,88,FALSE) &amp;" hr"</f>
    </oc>
    <nc r="AL87">
      <f>VLOOKUP(A87,INPUT_RANGE,88,FALSE) &amp;" HR"</f>
    </nc>
  </rcc>
  <rcc rId="4361" sId="5">
    <oc r="AM87">
      <f>VLOOKUP(A87,INPUT_RANGE,87,FALSE) &amp; " k"</f>
    </oc>
    <nc r="AM87">
      <f>VLOOKUP(A87,INPUT_RANGE,87,FALSE) &amp; " K"</f>
    </nc>
  </rcc>
  <rcc rId="4362" sId="5">
    <oc r="AN87">
      <f>VLOOKUP(A87,INPUT_RANGE,86,FALSE) &amp; " bb"</f>
    </oc>
    <nc r="AN87">
      <f>VLOOKUP(A87,INPUT_RANGE,86,FALSE) &amp; " BB"</f>
    </nc>
  </rcc>
  <rcc rId="4363" sId="5">
    <oc r="AO87">
      <f>TEXT(AU87,"0.00") &amp; " era"</f>
    </oc>
    <nc r="AO87">
      <f>TEXT(AU87,"0.00") &amp; " ERA"</f>
    </nc>
  </rcc>
  <rcc rId="4364" sId="5">
    <oc r="AP87">
      <f>TEXT(AT87,"0.00") &amp; " whip"</f>
    </oc>
    <nc r="AP87">
      <f>TEXT(AT87,"0.00") &amp; " WHIP"</f>
    </nc>
  </rcc>
  <rcc rId="4365" sId="5">
    <oc r="AQ87">
      <f xml:space="preserve"> IF(LEFT(RIGHT((VLOOKUP(A87,INPUT_RANGE,82,FALSE)),2),1)=".",RIGHT(VLOOKUP(A87,INPUT_RANGE,82,FALSE),1), "X")</f>
    </oc>
    <nc r="AQ87">
      <f xml:space="preserve"> IF(LEFT(RIGHT((VLOOKUP(A87,INPUT_RANGE,82,FALSE)),2),1)=".",RIGHT(VLOOKUP(A87,INPUT_RANGE,82,FALSE),1), "X")</f>
    </nc>
  </rcc>
  <rcc rId="4366" sId="5">
    <oc r="AR87">
      <f>IF(AQ87 ="1",0.333,IF(AQ87="2",0.666,0))</f>
    </oc>
    <nc r="AR87">
      <f>IF(AQ87 ="1",0.333,IF(AQ87="2",0.666,0))</f>
    </nc>
  </rcc>
  <rcc rId="4367" sId="5">
    <oc r="AS87">
      <f>VLOOKUP(A87,INPUT_RANGE,82,FALSE)-(AQ87*0.1)+AR87</f>
    </oc>
    <nc r="AS87">
      <f>VLOOKUP(A87,INPUT_RANGE,82,FALSE)-(AQ87*0.1)+AR87</f>
    </nc>
  </rcc>
  <rcc rId="4368" sId="5">
    <oc r="AT87">
      <f>ROUND((VLOOKUP(A87,INPUT_RANGE,86,FALSE)+VLOOKUP(A87,INPUT_RANGE,83,FALSE))/AS87,2)</f>
    </oc>
    <nc r="AT87">
      <f>ROUND((VLOOKUP(A87,INPUT_RANGE,86,FALSE)+VLOOKUP(A87,INPUT_RANGE,83,FALSE))/AS87,2)</f>
    </nc>
  </rcc>
  <rcc rId="4369" sId="5">
    <oc r="AU87">
      <f>ROUND((VLOOKUP(A87,INPUT_RANGE,85,FALSE)/AS87)*('Team Info'!$H$25),2)</f>
    </oc>
    <nc r="AU87">
      <f>ROUND((VLOOKUP(A87,INPUT_RANGE,85,FALSE)/AS87)*('D:\Data\Softball\[ESPN_BASEBALL_AWAY_OLD.xlsx]Team Info'!$H$25),2)</f>
    </nc>
  </rcc>
  <rcc rId="4370" sId="5">
    <oc r="AW87">
      <f>(VLOOKUP(A87,INPUT_RANGE,54,FALSE)/VLOOKUP(A87,INPUT_RANGE,52,FALSE))</f>
    </oc>
    <nc r="AW87">
      <f>(VLOOKUP(A87,INPUT_RANGE,54,FALSE)/VLOOKUP(A87,INPUT_RANGE,52,FALSE))</f>
    </nc>
  </rcc>
  <rcc rId="4371" sId="5">
    <oc r="AX87">
      <f>((VLOOKUP(A87,INPUT_RANGE,54,FALSE)+VLOOKUP(A87,INPUT_RANGE,60,FALSE)+VLOOKUP(A87,INPUT_RANGE,59,FALSE))/(VLOOKUP(A87,INPUT_RANGE,52,FALSE)+VLOOKUP(A87,INPUT_RANGE,60,FALSE)+VLOOKUP(A87,INPUT_RANGE,59,FALSE)+VLOOKUP(A87,INPUT_RANGE,63,FALSE)))</f>
    </oc>
    <nc r="AX87">
      <f>((VLOOKUP(A87,INPUT_RANGE,54,FALSE)+VLOOKUP(A87,INPUT_RANGE,60,FALSE)+VLOOKUP(A87,INPUT_RANGE,59,FALSE))/(VLOOKUP(A87,INPUT_RANGE,52,FALSE)+VLOOKUP(A87,INPUT_RANGE,60,FALSE)+VLOOKUP(A87,INPUT_RANGE,59,FALSE)+VLOOKUP(A87,INPUT_RANGE,63,FALSE)))</f>
    </nc>
  </rcc>
  <rcc rId="4372" sId="5">
    <oc r="AY87">
      <f>(VLOOKUP(A87,INPUT_RANGE,54)+VLOOKUP(A87,INPUT_RANGE,55)+(VLOOKUP(A87,INPUT_RANGE,56)*2)+(VLOOKUP(A87,INPUT_RANGE,57)*3))/(VLOOKUP(A87,INPUT_RANGE,52))</f>
    </oc>
    <nc r="AY87">
      <f>(VLOOKUP(A87,INPUT_RANGE,54)+VLOOKUP(A87,INPUT_RANGE,55)+(VLOOKUP(A87,INPUT_RANGE,56)*2)+(VLOOKUP(A87,INPUT_RANGE,57)*3))/(VLOOKUP(A87,INPUT_RANGE,52))</f>
    </nc>
  </rcc>
  <rcc rId="4373" sId="5">
    <oc r="AZ87">
      <f>AX87+AY87</f>
    </oc>
    <nc r="AZ87">
      <f>AX87+AY87</f>
    </nc>
  </rcc>
  <rcc rId="4374" sId="5">
    <oc r="BA87">
      <f xml:space="preserve"> TEXT(AZ87,".000") &amp; " ops"</f>
    </oc>
    <nc r="BA87">
      <f xml:space="preserve"> TEXT(AZ87,".000") &amp; " OPS"</f>
    </nc>
  </rcc>
  <rcc rId="4375" sId="5">
    <oc r="BB87">
      <f>VLOOKUP(A87,INPUT_RANGE,78,FALSE)</f>
    </oc>
    <nc r="BB87">
      <f>VLOOKUP(A87,INPUT_RANGE,78,FALSE)</f>
    </nc>
  </rcc>
  <rcc rId="4376" sId="5">
    <oc r="BC87">
      <f>VLOOKUP(A87,INPUT_RANGE,77,FALSE)</f>
    </oc>
    <nc r="BC87">
      <f>VLOOKUP(A87,INPUT_RANGE,77,FALSE)</f>
    </nc>
  </rcc>
  <rcc rId="4377" sId="5">
    <oc r="BD87">
      <f>VLOOKUP(A87,INPUT_RANGE,75,FALSE) &amp; "-" &amp; VLOOKUP(A87,INPUT_RANGE,76,FALSE)</f>
    </oc>
    <nc r="BD87">
      <f>VLOOKUP(A87,INPUT_RANGE,75,FALSE) &amp; "-" &amp; VLOOKUP(A87,INPUT_RANGE,76,FALSE)</f>
    </nc>
  </rcc>
  <rcc rId="4378" sId="5">
    <oc r="BE87">
      <f>AU87</f>
    </oc>
    <nc r="BE87">
      <f>AU87</f>
    </nc>
  </rcc>
  <rcc rId="4379" sId="5">
    <oc r="BF87">
      <f>AA87</f>
    </oc>
    <nc r="BF87">
      <f>AA87</f>
    </nc>
  </rcc>
  <rcc rId="4380" sId="5">
    <oc r="BG87">
      <f>VLOOKUP(A87,INPUT_RANGE,86,FALSE)</f>
    </oc>
    <nc r="BG87">
      <f>VLOOKUP(A87,INPUT_RANGE,86,FALSE)</f>
    </nc>
  </rcc>
  <rcc rId="4381" sId="5">
    <oc r="BH87">
      <f>VLOOKUP(A87,INPUT_RANGE,87,FALSE)</f>
    </oc>
    <nc r="BH87">
      <f>VLOOKUP(A87,INPUT_RANGE,87,FALSE)</f>
    </nc>
  </rcc>
  <rcc rId="4382" sId="5">
    <oc r="BI87">
      <f>VLOOKUP(A87,INPUT_RANGE,81,FALSE) &amp; " SAVES"</f>
    </oc>
    <nc r="BI87">
      <f>VLOOKUP(A87,INPUT_RANGE,81,FALSE) &amp; " SAVES"</f>
    </nc>
  </rcc>
  <rcc rId="4383" sId="5">
    <oc r="BJ87">
      <f>VLOOKUP(A87,INPUT_RANGE,81,FALSE)</f>
    </oc>
    <nc r="BJ87">
      <f>VLOOKUP(A87,INPUT_RANGE,81,FALSE)</f>
    </nc>
  </rcc>
  <rcc rId="4384" sId="5">
    <oc r="BK87">
      <f>VLOOKUP(A87,INPUT_RANGE,83,FALSE)</f>
    </oc>
    <nc r="BK87">
      <f>VLOOKUP(A87,INPUT_RANGE,83,FALSE)</f>
    </nc>
  </rcc>
  <rcc rId="4385" sId="5">
    <oc r="BL87">
      <f>VLOOKUP(A87,INPUT_RANGE,87,FALSE) &amp; "/" &amp; VLOOKUP(A87,INPUT_RANGE,86,FALSE)</f>
    </oc>
    <nc r="BL87">
      <f>VLOOKUP(A87,INPUT_RANGE,87,FALSE) &amp; "/" &amp; VLOOKUP(A87,INPUT_RANGE,86,FALSE)</f>
    </nc>
  </rcc>
  <rcc rId="4386" sId="5">
    <oc r="BM87">
      <f>ROUND((VLOOKUP(A87,INPUT_RANGE,86,FALSE)+VLOOKUP(A87,INPUT_RANGE,83,FALSE))/AS87,2)</f>
    </oc>
    <nc r="BM87">
      <f>ROUND((VLOOKUP(A87,INPUT_RANGE,86,FALSE)+VLOOKUP(A87,INPUT_RANGE,83,FALSE))/AS87,2)</f>
    </nc>
  </rcc>
  <rcc rId="4387" sId="5">
    <oc r="M88">
      <f xml:space="preserve"> TEXT(AW88,".000") &amp; " ba"</f>
    </oc>
    <nc r="M88">
      <f xml:space="preserve"> TEXT(AW88,".000") &amp; " BA"</f>
    </nc>
  </rcc>
  <rcc rId="4388" sId="5">
    <oc r="N88">
      <f>VLOOKUP(A88,INPUT_RANGE,58,FALSE) &amp; " rbi"</f>
    </oc>
    <nc r="N88">
      <f>VLOOKUP(A88,INPUT_RANGE,58,FALSE) &amp; " RBI"</f>
    </nc>
  </rcc>
  <rcc rId="4389" sId="5">
    <oc r="O88">
      <f>VLOOKUP(A88,INPUT_RANGE,60,FALSE) &amp; " bb"</f>
    </oc>
    <nc r="O88">
      <f>VLOOKUP(A88,INPUT_RANGE,60,FALSE) &amp; " BB"</f>
    </nc>
  </rcc>
  <rcc rId="4390" sId="5">
    <oc r="P88">
      <f>VLOOKUP(A88,INPUT_RANGE,61,FALSE) &amp; " k"</f>
    </oc>
    <nc r="P88">
      <f>VLOOKUP(A88,INPUT_RANGE,61,FALSE) &amp; " K"</f>
    </nc>
  </rcc>
  <rcc rId="4391" sId="5">
    <oc r="Q88">
      <f>VLOOKUP(A88,INPUT_RANGE,64,FALSE) &amp; " sb"</f>
    </oc>
    <nc r="Q88">
      <f>VLOOKUP(A88,INPUT_RANGE,64,FALSE) &amp; " SB"</f>
    </nc>
  </rcc>
  <rcc rId="4392" sId="5">
    <oc r="R88">
      <f>VLOOKUP(A88,INPUT_RANGE,55,FALSE) &amp; " 2b"</f>
    </oc>
    <nc r="R88">
      <f>VLOOKUP(A88,INPUT_RANGE,55,FALSE) &amp; " 2B"</f>
    </nc>
  </rcc>
  <rcc rId="4393" sId="5">
    <oc r="S88">
      <f>VLOOKUP(A88,INPUT_RANGE,56,FALSE) &amp; " 3b"</f>
    </oc>
    <nc r="S88">
      <f>VLOOKUP(A88,INPUT_RANGE,56,FALSE) &amp; " 3B"</f>
    </nc>
  </rcc>
  <rcc rId="4394" sId="5">
    <oc r="T88">
      <f>VLOOKUP(A88,INPUT_RANGE,57,FALSE) &amp; " hr"</f>
    </oc>
    <nc r="T88">
      <f>VLOOKUP(A88,INPUT_RANGE,57,FALSE) &amp; " HR"</f>
    </nc>
  </rcc>
  <rcc rId="4395" sId="5">
    <oc r="U88">
      <f>VLOOKUP(A88,INPUT_RANGE,53,FALSE) &amp; " r"</f>
    </oc>
    <nc r="U88">
      <f>VLOOKUP(A88,INPUT_RANGE,53,FALSE) &amp; " R"</f>
    </nc>
  </rcc>
  <rcc rId="4396" sId="5">
    <oc r="V88">
      <f>TEXT(AX88, ".000") &amp; " obp"</f>
    </oc>
    <nc r="V88">
      <f>TEXT(AX88, ".000") &amp; " OBP"</f>
    </nc>
  </rcc>
  <rcc rId="4397" sId="5">
    <oc r="X88">
      <f>VLOOKUP(A88,INPUT_RANGE,77,FALSE)&amp;" games"</f>
    </oc>
    <nc r="X88">
      <f>VLOOKUP(A88,INPUT_RANGE,77,FALSE)&amp;" games"</f>
    </nc>
  </rcc>
  <rcc rId="4398" sId="5">
    <oc r="Y88">
      <f>VLOOKUP(A88,INPUT_RANGE,78,FALSE) &amp; " starts"</f>
    </oc>
    <nc r="Y88">
      <f>VLOOKUP(A88,INPUT_RANGE,78,FALSE) &amp; " starts"</f>
    </nc>
  </rcc>
  <rcc rId="4399" sId="5">
    <oc r="Z88">
      <f>VLOOKUP(A88,INPUT_RANGE,82,FALSE) &amp; " ip"</f>
    </oc>
    <nc r="Z88">
      <f>VLOOKUP(A88,INPUT_RANGE,82,FALSE) &amp; " IP"</f>
    </nc>
  </rcc>
  <rcc rId="4400" sId="5">
    <oc r="AA88">
      <f>TRUNC(VLOOKUP(A88,INPUT_RANGE,82,FALSE)) &amp;  IF(AR88=0.333,"º",IF(AR88=0.666,"»",""))</f>
    </oc>
    <nc r="AA88">
      <f>TRUNC(VLOOKUP(A88,INPUT_RANGE,82,FALSE)) &amp;  IF(AR88=0.333,"º",IF(AR88=0.666,"»",""))</f>
    </nc>
  </rcc>
  <rcc rId="4401" sId="5">
    <oc r="AB88">
      <f>AA88&amp; " ip"</f>
    </oc>
    <nc r="AB88">
      <f>AA88&amp; " IP"</f>
    </nc>
  </rcc>
  <rcc rId="4402" sId="5">
    <oc r="AC88">
      <f>VLOOKUP(A88,INPUT_RANGE,79,FALSE) &amp; " cg"</f>
    </oc>
    <nc r="AC88">
      <f>VLOOKUP(A88,INPUT_RANGE,79,FALSE) &amp; " CG"</f>
    </nc>
  </rcc>
  <rcc rId="4403" sId="5">
    <oc r="AD88">
      <f>VLOOKUP(A88,INPUT_RANGE,80,FALSE) &amp; " sho"</f>
    </oc>
    <nc r="AD88">
      <f>VLOOKUP(A88,INPUT_RANGE,80,FALSE) &amp; " SHO"</f>
    </nc>
  </rcc>
  <rcc rId="4404" sId="5">
    <oc r="AE88">
      <f>VLOOKUP(A88,INPUT_RANGE,75,FALSE) &amp; " win"</f>
    </oc>
    <nc r="AE88">
      <f>VLOOKUP(A88,INPUT_RANGE,75,FALSE) &amp; " Win"</f>
    </nc>
  </rcc>
  <rcc rId="4405" sId="5">
    <oc r="AF88">
      <f>VLOOKUP(A88,INPUT_RANGE,76,FALSE) &amp; " loss"</f>
    </oc>
    <nc r="AF88">
      <f>VLOOKUP(A88,INPUT_RANGE,76,FALSE) &amp; " Loss"</f>
    </nc>
  </rcc>
  <rcc rId="4406" sId="5">
    <oc r="AG88">
      <f>VLOOKUP(A88,INPUT_RANGE,75,FALSE) &amp; "-" &amp; VLOOKUP(A88,INPUT_RANGE,76,FALSE) &amp; " w-l"</f>
    </oc>
    <nc r="AG88">
      <f>VLOOKUP(A88,INPUT_RANGE,75,FALSE) &amp; "-" &amp; VLOOKUP(A88,INPUT_RANGE,76,FALSE) &amp; " W-L"</f>
    </nc>
  </rcc>
  <rcc rId="4407" sId="5">
    <oc r="AH88">
      <f>VLOOKUP(A88,INPUT_RANGE,81,FALSE)&amp; " saves"</f>
    </oc>
    <nc r="AH88">
      <f>VLOOKUP(A88,INPUT_RANGE,81,FALSE)&amp; " Saves"</f>
    </nc>
  </rcc>
  <rcc rId="4408" sId="5">
    <oc r="AI88">
      <f>VLOOKUP(A88,INPUT_RANGE,83,FALSE) &amp; " h"</f>
    </oc>
    <nc r="AI88">
      <f>VLOOKUP(A88,INPUT_RANGE,83,FALSE) &amp; " H"</f>
    </nc>
  </rcc>
  <rcc rId="4409" sId="5">
    <oc r="AJ88">
      <f>VLOOKUP(A88,INPUT_RANGE,84,FALSE) &amp; " r"</f>
    </oc>
    <nc r="AJ88">
      <f>VLOOKUP(A88,INPUT_RANGE,84,FALSE) &amp; " R"</f>
    </nc>
  </rcc>
  <rcc rId="4410" sId="5">
    <oc r="AK88">
      <f>VLOOKUP(A88,INPUT_RANGE,85,FALSE) &amp;" er"</f>
    </oc>
    <nc r="AK88">
      <f>VLOOKUP(A88,INPUT_RANGE,85,FALSE) &amp;" ER"</f>
    </nc>
  </rcc>
  <rcc rId="4411" sId="5">
    <oc r="AL88">
      <f>VLOOKUP(A88,INPUT_RANGE,88,FALSE) &amp;" hr"</f>
    </oc>
    <nc r="AL88">
      <f>VLOOKUP(A88,INPUT_RANGE,88,FALSE) &amp;" HR"</f>
    </nc>
  </rcc>
  <rcc rId="4412" sId="5">
    <oc r="AM88">
      <f>VLOOKUP(A88,INPUT_RANGE,87,FALSE) &amp; " k"</f>
    </oc>
    <nc r="AM88">
      <f>VLOOKUP(A88,INPUT_RANGE,87,FALSE) &amp; " K"</f>
    </nc>
  </rcc>
  <rcc rId="4413" sId="5">
    <oc r="AN88">
      <f>VLOOKUP(A88,INPUT_RANGE,86,FALSE) &amp; " bb"</f>
    </oc>
    <nc r="AN88">
      <f>VLOOKUP(A88,INPUT_RANGE,86,FALSE) &amp; " BB"</f>
    </nc>
  </rcc>
  <rcc rId="4414" sId="5">
    <oc r="AO88">
      <f>TEXT(AU88,"0.00") &amp; " era"</f>
    </oc>
    <nc r="AO88">
      <f>TEXT(AU88,"0.00") &amp; " ERA"</f>
    </nc>
  </rcc>
  <rcc rId="4415" sId="5">
    <oc r="AP88">
      <f>TEXT(AT88,"0.00") &amp; " whip"</f>
    </oc>
    <nc r="AP88">
      <f>TEXT(AT88,"0.00") &amp; " WHIP"</f>
    </nc>
  </rcc>
  <rcc rId="4416" sId="5">
    <oc r="AQ88">
      <f xml:space="preserve"> IF(LEFT(RIGHT((VLOOKUP(A88,INPUT_RANGE,82,FALSE)),2),1)=".",RIGHT(VLOOKUP(A88,INPUT_RANGE,82,FALSE),1), "X")</f>
    </oc>
    <nc r="AQ88">
      <f xml:space="preserve"> IF(LEFT(RIGHT((VLOOKUP(A88,INPUT_RANGE,82,FALSE)),2),1)=".",RIGHT(VLOOKUP(A88,INPUT_RANGE,82,FALSE),1), "X")</f>
    </nc>
  </rcc>
  <rcc rId="4417" sId="5">
    <oc r="AR88">
      <f>IF(AQ88 ="1",0.333,IF(AQ88="2",0.666,0))</f>
    </oc>
    <nc r="AR88">
      <f>IF(AQ88 ="1",0.333,IF(AQ88="2",0.666,0))</f>
    </nc>
  </rcc>
  <rcc rId="4418" sId="5">
    <oc r="AS88">
      <f>VLOOKUP(A88,INPUT_RANGE,82,FALSE)-(AQ88*0.1)+AR88</f>
    </oc>
    <nc r="AS88">
      <f>VLOOKUP(A88,INPUT_RANGE,82,FALSE)-(AQ88*0.1)+AR88</f>
    </nc>
  </rcc>
  <rcc rId="4419" sId="5">
    <oc r="AT88">
      <f>ROUND((VLOOKUP(A88,INPUT_RANGE,86,FALSE)+VLOOKUP(A88,INPUT_RANGE,83,FALSE))/AS88,2)</f>
    </oc>
    <nc r="AT88">
      <f>ROUND((VLOOKUP(A88,INPUT_RANGE,86,FALSE)+VLOOKUP(A88,INPUT_RANGE,83,FALSE))/AS88,2)</f>
    </nc>
  </rcc>
  <rcc rId="4420" sId="5">
    <oc r="AU88">
      <f>ROUND((VLOOKUP(A88,INPUT_RANGE,85,FALSE)/AS88)*('Team Info'!$H$25),2)</f>
    </oc>
    <nc r="AU88">
      <f>ROUND((VLOOKUP(A88,INPUT_RANGE,85,FALSE)/AS88)*('D:\Data\Softball\[ESPN_BASEBALL_AWAY_OLD.xlsx]Team Info'!$H$25),2)</f>
    </nc>
  </rcc>
  <rcc rId="4421" sId="5">
    <oc r="AW88">
      <f>(VLOOKUP(A88,INPUT_RANGE,54,FALSE)/VLOOKUP(A88,INPUT_RANGE,52,FALSE))</f>
    </oc>
    <nc r="AW88">
      <f>(VLOOKUP(A88,INPUT_RANGE,54,FALSE)/VLOOKUP(A88,INPUT_RANGE,52,FALSE))</f>
    </nc>
  </rcc>
  <rcc rId="4422" sId="5">
    <oc r="AX88">
      <f>((VLOOKUP(A88,INPUT_RANGE,54,FALSE)+VLOOKUP(A88,INPUT_RANGE,60,FALSE)+VLOOKUP(A88,INPUT_RANGE,59,FALSE))/(VLOOKUP(A88,INPUT_RANGE,52,FALSE)+VLOOKUP(A88,INPUT_RANGE,60,FALSE)+VLOOKUP(A88,INPUT_RANGE,59,FALSE)+VLOOKUP(A88,INPUT_RANGE,63,FALSE)))</f>
    </oc>
    <nc r="AX88">
      <f>((VLOOKUP(A88,INPUT_RANGE,54,FALSE)+VLOOKUP(A88,INPUT_RANGE,60,FALSE)+VLOOKUP(A88,INPUT_RANGE,59,FALSE))/(VLOOKUP(A88,INPUT_RANGE,52,FALSE)+VLOOKUP(A88,INPUT_RANGE,60,FALSE)+VLOOKUP(A88,INPUT_RANGE,59,FALSE)+VLOOKUP(A88,INPUT_RANGE,63,FALSE)))</f>
    </nc>
  </rcc>
  <rcc rId="4423" sId="5">
    <oc r="AY88">
      <f>(VLOOKUP(A88,INPUT_RANGE,54)+VLOOKUP(A88,INPUT_RANGE,55)+(VLOOKUP(A88,INPUT_RANGE,56)*2)+(VLOOKUP(A88,INPUT_RANGE,57)*3))/(VLOOKUP(A88,INPUT_RANGE,52))</f>
    </oc>
    <nc r="AY88">
      <f>(VLOOKUP(A88,INPUT_RANGE,54)+VLOOKUP(A88,INPUT_RANGE,55)+(VLOOKUP(A88,INPUT_RANGE,56)*2)+(VLOOKUP(A88,INPUT_RANGE,57)*3))/(VLOOKUP(A88,INPUT_RANGE,52))</f>
    </nc>
  </rcc>
  <rcc rId="4424" sId="5">
    <oc r="AZ88">
      <f>AX88+AY88</f>
    </oc>
    <nc r="AZ88">
      <f>AX88+AY88</f>
    </nc>
  </rcc>
  <rcc rId="4425" sId="5">
    <oc r="BA88">
      <f xml:space="preserve"> TEXT(AZ88,".000") &amp; " ops"</f>
    </oc>
    <nc r="BA88">
      <f xml:space="preserve"> TEXT(AZ88,".000") &amp; " OPS"</f>
    </nc>
  </rcc>
  <rcc rId="4426" sId="5">
    <oc r="BB88">
      <f>VLOOKUP(A88,INPUT_RANGE,78,FALSE)</f>
    </oc>
    <nc r="BB88">
      <f>VLOOKUP(A88,INPUT_RANGE,78,FALSE)</f>
    </nc>
  </rcc>
  <rcc rId="4427" sId="5">
    <oc r="BC88">
      <f>VLOOKUP(A88,INPUT_RANGE,77,FALSE)</f>
    </oc>
    <nc r="BC88">
      <f>VLOOKUP(A88,INPUT_RANGE,77,FALSE)</f>
    </nc>
  </rcc>
  <rcc rId="4428" sId="5">
    <oc r="BD88">
      <f>VLOOKUP(A88,INPUT_RANGE,75,FALSE) &amp; "-" &amp; VLOOKUP(A88,INPUT_RANGE,76,FALSE)</f>
    </oc>
    <nc r="BD88">
      <f>VLOOKUP(A88,INPUT_RANGE,75,FALSE) &amp; "-" &amp; VLOOKUP(A88,INPUT_RANGE,76,FALSE)</f>
    </nc>
  </rcc>
  <rcc rId="4429" sId="5">
    <oc r="BE88">
      <f>AU88</f>
    </oc>
    <nc r="BE88">
      <f>AU88</f>
    </nc>
  </rcc>
  <rcc rId="4430" sId="5">
    <oc r="BF88">
      <f>AA88</f>
    </oc>
    <nc r="BF88">
      <f>AA88</f>
    </nc>
  </rcc>
  <rcc rId="4431" sId="5">
    <oc r="BG88">
      <f>VLOOKUP(A88,INPUT_RANGE,86,FALSE)</f>
    </oc>
    <nc r="BG88">
      <f>VLOOKUP(A88,INPUT_RANGE,86,FALSE)</f>
    </nc>
  </rcc>
  <rcc rId="4432" sId="5">
    <oc r="BH88">
      <f>VLOOKUP(A88,INPUT_RANGE,87,FALSE)</f>
    </oc>
    <nc r="BH88">
      <f>VLOOKUP(A88,INPUT_RANGE,87,FALSE)</f>
    </nc>
  </rcc>
  <rcc rId="4433" sId="5">
    <oc r="BI88">
      <f>VLOOKUP(A88,INPUT_RANGE,81,FALSE) &amp; " SAVES"</f>
    </oc>
    <nc r="BI88">
      <f>VLOOKUP(A88,INPUT_RANGE,81,FALSE) &amp; " SAVES"</f>
    </nc>
  </rcc>
  <rcc rId="4434" sId="5">
    <oc r="BJ88">
      <f>VLOOKUP(A88,INPUT_RANGE,81,FALSE)</f>
    </oc>
    <nc r="BJ88">
      <f>VLOOKUP(A88,INPUT_RANGE,81,FALSE)</f>
    </nc>
  </rcc>
  <rcc rId="4435" sId="5">
    <oc r="BK88">
      <f>VLOOKUP(A88,INPUT_RANGE,83,FALSE)</f>
    </oc>
    <nc r="BK88">
      <f>VLOOKUP(A88,INPUT_RANGE,83,FALSE)</f>
    </nc>
  </rcc>
  <rcc rId="4436" sId="5">
    <oc r="BL88">
      <f>VLOOKUP(A88,INPUT_RANGE,87,FALSE) &amp; "/" &amp; VLOOKUP(A88,INPUT_RANGE,86,FALSE)</f>
    </oc>
    <nc r="BL88">
      <f>VLOOKUP(A88,INPUT_RANGE,87,FALSE) &amp; "/" &amp; VLOOKUP(A88,INPUT_RANGE,86,FALSE)</f>
    </nc>
  </rcc>
  <rcc rId="4437" sId="5">
    <oc r="BM88">
      <f>ROUND((VLOOKUP(A88,INPUT_RANGE,86,FALSE)+VLOOKUP(A88,INPUT_RANGE,83,FALSE))/AS88,2)</f>
    </oc>
    <nc r="BM88">
      <f>ROUND((VLOOKUP(A88,INPUT_RANGE,86,FALSE)+VLOOKUP(A88,INPUT_RANGE,83,FALSE))/AS88,2)</f>
    </nc>
  </rcc>
  <rcc rId="4438" sId="5">
    <oc r="M89">
      <f xml:space="preserve"> TEXT(AW89,".000") &amp; " ba"</f>
    </oc>
    <nc r="M89">
      <f xml:space="preserve"> TEXT(AW89,".000") &amp; " BA"</f>
    </nc>
  </rcc>
  <rcc rId="4439" sId="5">
    <oc r="N89">
      <f>VLOOKUP(A89,INPUT_RANGE,58,FALSE) &amp; " rbi"</f>
    </oc>
    <nc r="N89">
      <f>VLOOKUP(A89,INPUT_RANGE,58,FALSE) &amp; " RBI"</f>
    </nc>
  </rcc>
  <rcc rId="4440" sId="5">
    <oc r="O89">
      <f>VLOOKUP(A89,INPUT_RANGE,60,FALSE) &amp; " bb"</f>
    </oc>
    <nc r="O89">
      <f>VLOOKUP(A89,INPUT_RANGE,60,FALSE) &amp; " BB"</f>
    </nc>
  </rcc>
  <rcc rId="4441" sId="5">
    <oc r="P89">
      <f>VLOOKUP(A89,INPUT_RANGE,61,FALSE) &amp; " k"</f>
    </oc>
    <nc r="P89">
      <f>VLOOKUP(A89,INPUT_RANGE,61,FALSE) &amp; " K"</f>
    </nc>
  </rcc>
  <rcc rId="4442" sId="5">
    <oc r="Q89">
      <f>VLOOKUP(A89,INPUT_RANGE,64,FALSE) &amp; " sb"</f>
    </oc>
    <nc r="Q89">
      <f>VLOOKUP(A89,INPUT_RANGE,64,FALSE) &amp; " SB"</f>
    </nc>
  </rcc>
  <rcc rId="4443" sId="5">
    <oc r="R89">
      <f>VLOOKUP(A89,INPUT_RANGE,55,FALSE) &amp; " 2b"</f>
    </oc>
    <nc r="R89">
      <f>VLOOKUP(A89,INPUT_RANGE,55,FALSE) &amp; " 2B"</f>
    </nc>
  </rcc>
  <rcc rId="4444" sId="5">
    <oc r="S89">
      <f>VLOOKUP(A89,INPUT_RANGE,56,FALSE) &amp; " 3b"</f>
    </oc>
    <nc r="S89">
      <f>VLOOKUP(A89,INPUT_RANGE,56,FALSE) &amp; " 3B"</f>
    </nc>
  </rcc>
  <rcc rId="4445" sId="5">
    <oc r="T89">
      <f>VLOOKUP(A89,INPUT_RANGE,57,FALSE) &amp; " hr"</f>
    </oc>
    <nc r="T89">
      <f>VLOOKUP(A89,INPUT_RANGE,57,FALSE) &amp; " HR"</f>
    </nc>
  </rcc>
  <rcc rId="4446" sId="5">
    <oc r="U89">
      <f>VLOOKUP(A89,INPUT_RANGE,53,FALSE) &amp; " r"</f>
    </oc>
    <nc r="U89">
      <f>VLOOKUP(A89,INPUT_RANGE,53,FALSE) &amp; " R"</f>
    </nc>
  </rcc>
  <rcc rId="4447" sId="5">
    <oc r="V89">
      <f>TEXT(AX89, ".000") &amp; " obp"</f>
    </oc>
    <nc r="V89">
      <f>TEXT(AX89, ".000") &amp; " OBP"</f>
    </nc>
  </rcc>
  <rcc rId="4448" sId="5">
    <oc r="X89">
      <f>VLOOKUP(A89,INPUT_RANGE,77,FALSE)&amp;" games"</f>
    </oc>
    <nc r="X89">
      <f>VLOOKUP(A89,INPUT_RANGE,77,FALSE)&amp;" games"</f>
    </nc>
  </rcc>
  <rcc rId="4449" sId="5">
    <oc r="Y89">
      <f>VLOOKUP(A89,INPUT_RANGE,78,FALSE) &amp; " starts"</f>
    </oc>
    <nc r="Y89">
      <f>VLOOKUP(A89,INPUT_RANGE,78,FALSE) &amp; " starts"</f>
    </nc>
  </rcc>
  <rcc rId="4450" sId="5">
    <oc r="Z89">
      <f>VLOOKUP(A89,INPUT_RANGE,82,FALSE) &amp; " ip"</f>
    </oc>
    <nc r="Z89">
      <f>VLOOKUP(A89,INPUT_RANGE,82,FALSE) &amp; " IP"</f>
    </nc>
  </rcc>
  <rcc rId="4451" sId="5">
    <oc r="AA89">
      <f>TRUNC(VLOOKUP(A89,INPUT_RANGE,82,FALSE)) &amp;  IF(AR89=0.333,"º",IF(AR89=0.666,"»",""))</f>
    </oc>
    <nc r="AA89">
      <f>TRUNC(VLOOKUP(A89,INPUT_RANGE,82,FALSE)) &amp;  IF(AR89=0.333,"º",IF(AR89=0.666,"»",""))</f>
    </nc>
  </rcc>
  <rcc rId="4452" sId="5">
    <oc r="AB89">
      <f>AA89&amp; " ip"</f>
    </oc>
    <nc r="AB89">
      <f>AA89&amp; " IP"</f>
    </nc>
  </rcc>
  <rcc rId="4453" sId="5">
    <oc r="AC89">
      <f>VLOOKUP(A89,INPUT_RANGE,79,FALSE) &amp; " cg"</f>
    </oc>
    <nc r="AC89">
      <f>VLOOKUP(A89,INPUT_RANGE,79,FALSE) &amp; " CG"</f>
    </nc>
  </rcc>
  <rcc rId="4454" sId="5">
    <oc r="AD89">
      <f>VLOOKUP(A89,INPUT_RANGE,80,FALSE) &amp; " sho"</f>
    </oc>
    <nc r="AD89">
      <f>VLOOKUP(A89,INPUT_RANGE,80,FALSE) &amp; " SHO"</f>
    </nc>
  </rcc>
  <rcc rId="4455" sId="5">
    <oc r="AE89">
      <f>VLOOKUP(A89,INPUT_RANGE,75,FALSE) &amp; " win"</f>
    </oc>
    <nc r="AE89">
      <f>VLOOKUP(A89,INPUT_RANGE,75,FALSE) &amp; " Win"</f>
    </nc>
  </rcc>
  <rcc rId="4456" sId="5">
    <oc r="AF89">
      <f>VLOOKUP(A89,INPUT_RANGE,76,FALSE) &amp; " loss"</f>
    </oc>
    <nc r="AF89">
      <f>VLOOKUP(A89,INPUT_RANGE,76,FALSE) &amp; " Loss"</f>
    </nc>
  </rcc>
  <rcc rId="4457" sId="5">
    <oc r="AG89">
      <f>VLOOKUP(A89,INPUT_RANGE,75,FALSE) &amp; "-" &amp; VLOOKUP(A89,INPUT_RANGE,76,FALSE) &amp; " w-l"</f>
    </oc>
    <nc r="AG89">
      <f>VLOOKUP(A89,INPUT_RANGE,75,FALSE) &amp; "-" &amp; VLOOKUP(A89,INPUT_RANGE,76,FALSE) &amp; " W-L"</f>
    </nc>
  </rcc>
  <rcc rId="4458" sId="5">
    <oc r="AH89">
      <f>VLOOKUP(A89,INPUT_RANGE,81,FALSE)&amp; " saves"</f>
    </oc>
    <nc r="AH89">
      <f>VLOOKUP(A89,INPUT_RANGE,81,FALSE)&amp; " Saves"</f>
    </nc>
  </rcc>
  <rcc rId="4459" sId="5">
    <oc r="AI89">
      <f>VLOOKUP(A89,INPUT_RANGE,83,FALSE) &amp; " h"</f>
    </oc>
    <nc r="AI89">
      <f>VLOOKUP(A89,INPUT_RANGE,83,FALSE) &amp; " H"</f>
    </nc>
  </rcc>
  <rcc rId="4460" sId="5">
    <oc r="AJ89">
      <f>VLOOKUP(A89,INPUT_RANGE,84,FALSE) &amp; " r"</f>
    </oc>
    <nc r="AJ89">
      <f>VLOOKUP(A89,INPUT_RANGE,84,FALSE) &amp; " R"</f>
    </nc>
  </rcc>
  <rcc rId="4461" sId="5">
    <oc r="AK89">
      <f>VLOOKUP(A89,INPUT_RANGE,85,FALSE) &amp;" er"</f>
    </oc>
    <nc r="AK89">
      <f>VLOOKUP(A89,INPUT_RANGE,85,FALSE) &amp;" ER"</f>
    </nc>
  </rcc>
  <rcc rId="4462" sId="5">
    <oc r="AL89">
      <f>VLOOKUP(A89,INPUT_RANGE,88,FALSE) &amp;" hr"</f>
    </oc>
    <nc r="AL89">
      <f>VLOOKUP(A89,INPUT_RANGE,88,FALSE) &amp;" HR"</f>
    </nc>
  </rcc>
  <rcc rId="4463" sId="5">
    <oc r="AM89">
      <f>VLOOKUP(A89,INPUT_RANGE,87,FALSE) &amp; " k"</f>
    </oc>
    <nc r="AM89">
      <f>VLOOKUP(A89,INPUT_RANGE,87,FALSE) &amp; " K"</f>
    </nc>
  </rcc>
  <rcc rId="4464" sId="5">
    <oc r="AN89">
      <f>VLOOKUP(A89,INPUT_RANGE,86,FALSE) &amp; " bb"</f>
    </oc>
    <nc r="AN89">
      <f>VLOOKUP(A89,INPUT_RANGE,86,FALSE) &amp; " BB"</f>
    </nc>
  </rcc>
  <rcc rId="4465" sId="5">
    <oc r="AO89">
      <f>TEXT(AU89,"0.00") &amp; " era"</f>
    </oc>
    <nc r="AO89">
      <f>TEXT(AU89,"0.00") &amp; " ERA"</f>
    </nc>
  </rcc>
  <rcc rId="4466" sId="5">
    <oc r="AP89">
      <f>TEXT(AT89,"0.00") &amp; " whip"</f>
    </oc>
    <nc r="AP89">
      <f>TEXT(AT89,"0.00") &amp; " WHIP"</f>
    </nc>
  </rcc>
  <rcc rId="4467" sId="5">
    <oc r="AQ89">
      <f xml:space="preserve"> IF(LEFT(RIGHT((VLOOKUP(A89,INPUT_RANGE,82,FALSE)),2),1)=".",RIGHT(VLOOKUP(A89,INPUT_RANGE,82,FALSE),1), "X")</f>
    </oc>
    <nc r="AQ89">
      <f xml:space="preserve"> IF(LEFT(RIGHT((VLOOKUP(A89,INPUT_RANGE,82,FALSE)),2),1)=".",RIGHT(VLOOKUP(A89,INPUT_RANGE,82,FALSE),1), "X")</f>
    </nc>
  </rcc>
  <rcc rId="4468" sId="5">
    <oc r="AR89">
      <f>IF(AQ89 ="1",0.333,IF(AQ89="2",0.666,0))</f>
    </oc>
    <nc r="AR89">
      <f>IF(AQ89 ="1",0.333,IF(AQ89="2",0.666,0))</f>
    </nc>
  </rcc>
  <rcc rId="4469" sId="5">
    <oc r="AS89">
      <f>VLOOKUP(A89,INPUT_RANGE,82,FALSE)-(AQ89*0.1)+AR89</f>
    </oc>
    <nc r="AS89">
      <f>VLOOKUP(A89,INPUT_RANGE,82,FALSE)-(AQ89*0.1)+AR89</f>
    </nc>
  </rcc>
  <rcc rId="4470" sId="5">
    <oc r="AT89">
      <f>ROUND((VLOOKUP(A89,INPUT_RANGE,86,FALSE)+VLOOKUP(A89,INPUT_RANGE,83,FALSE))/AS89,2)</f>
    </oc>
    <nc r="AT89">
      <f>ROUND((VLOOKUP(A89,INPUT_RANGE,86,FALSE)+VLOOKUP(A89,INPUT_RANGE,83,FALSE))/AS89,2)</f>
    </nc>
  </rcc>
  <rcc rId="4471" sId="5">
    <oc r="AU89">
      <f>ROUND((VLOOKUP(A89,INPUT_RANGE,85,FALSE)/AS89)*('Team Info'!$H$25),2)</f>
    </oc>
    <nc r="AU89">
      <f>ROUND((VLOOKUP(A89,INPUT_RANGE,85,FALSE)/AS89)*('D:\Data\Softball\[ESPN_BASEBALL_AWAY_OLD.xlsx]Team Info'!$H$25),2)</f>
    </nc>
  </rcc>
  <rcc rId="4472" sId="5">
    <oc r="AW89">
      <f>(VLOOKUP(A89,INPUT_RANGE,54,FALSE)/VLOOKUP(A89,INPUT_RANGE,52,FALSE))</f>
    </oc>
    <nc r="AW89">
      <f>(VLOOKUP(A89,INPUT_RANGE,54,FALSE)/VLOOKUP(A89,INPUT_RANGE,52,FALSE))</f>
    </nc>
  </rcc>
  <rcc rId="4473" sId="5">
    <oc r="AX89">
      <f>((VLOOKUP(A89,INPUT_RANGE,54,FALSE)+VLOOKUP(A89,INPUT_RANGE,60,FALSE)+VLOOKUP(A89,INPUT_RANGE,59,FALSE))/(VLOOKUP(A89,INPUT_RANGE,52,FALSE)+VLOOKUP(A89,INPUT_RANGE,60,FALSE)+VLOOKUP(A89,INPUT_RANGE,59,FALSE)+VLOOKUP(A89,INPUT_RANGE,63,FALSE)))</f>
    </oc>
    <nc r="AX89">
      <f>((VLOOKUP(A89,INPUT_RANGE,54,FALSE)+VLOOKUP(A89,INPUT_RANGE,60,FALSE)+VLOOKUP(A89,INPUT_RANGE,59,FALSE))/(VLOOKUP(A89,INPUT_RANGE,52,FALSE)+VLOOKUP(A89,INPUT_RANGE,60,FALSE)+VLOOKUP(A89,INPUT_RANGE,59,FALSE)+VLOOKUP(A89,INPUT_RANGE,63,FALSE)))</f>
    </nc>
  </rcc>
  <rcc rId="4474" sId="5">
    <oc r="AY89">
      <f>(VLOOKUP(A89,INPUT_RANGE,54)+VLOOKUP(A89,INPUT_RANGE,55)+(VLOOKUP(A89,INPUT_RANGE,56)*2)+(VLOOKUP(A89,INPUT_RANGE,57)*3))/(VLOOKUP(A89,INPUT_RANGE,52))</f>
    </oc>
    <nc r="AY89">
      <f>(VLOOKUP(A89,INPUT_RANGE,54)+VLOOKUP(A89,INPUT_RANGE,55)+(VLOOKUP(A89,INPUT_RANGE,56)*2)+(VLOOKUP(A89,INPUT_RANGE,57)*3))/(VLOOKUP(A89,INPUT_RANGE,52))</f>
    </nc>
  </rcc>
  <rcc rId="4475" sId="5">
    <oc r="AZ89">
      <f>AX89+AY89</f>
    </oc>
    <nc r="AZ89">
      <f>AX89+AY89</f>
    </nc>
  </rcc>
  <rcc rId="4476" sId="5">
    <oc r="BA89">
      <f xml:space="preserve"> TEXT(AZ89,".000") &amp; " ops"</f>
    </oc>
    <nc r="BA89">
      <f xml:space="preserve"> TEXT(AZ89,".000") &amp; " OPS"</f>
    </nc>
  </rcc>
  <rcc rId="4477" sId="5">
    <oc r="BB89">
      <f>VLOOKUP(A89,INPUT_RANGE,78,FALSE)</f>
    </oc>
    <nc r="BB89">
      <f>VLOOKUP(A89,INPUT_RANGE,78,FALSE)</f>
    </nc>
  </rcc>
  <rcc rId="4478" sId="5">
    <oc r="BC89">
      <f>VLOOKUP(A89,INPUT_RANGE,77,FALSE)</f>
    </oc>
    <nc r="BC89">
      <f>VLOOKUP(A89,INPUT_RANGE,77,FALSE)</f>
    </nc>
  </rcc>
  <rcc rId="4479" sId="5">
    <oc r="BD89">
      <f>VLOOKUP(A89,INPUT_RANGE,75,FALSE) &amp; "-" &amp; VLOOKUP(A89,INPUT_RANGE,76,FALSE)</f>
    </oc>
    <nc r="BD89">
      <f>VLOOKUP(A89,INPUT_RANGE,75,FALSE) &amp; "-" &amp; VLOOKUP(A89,INPUT_RANGE,76,FALSE)</f>
    </nc>
  </rcc>
  <rcc rId="4480" sId="5">
    <oc r="BE89">
      <f>AU89</f>
    </oc>
    <nc r="BE89">
      <f>AU89</f>
    </nc>
  </rcc>
  <rcc rId="4481" sId="5">
    <oc r="BF89">
      <f>AA89</f>
    </oc>
    <nc r="BF89">
      <f>AA89</f>
    </nc>
  </rcc>
  <rcc rId="4482" sId="5">
    <oc r="BG89">
      <f>VLOOKUP(A89,INPUT_RANGE,86,FALSE)</f>
    </oc>
    <nc r="BG89">
      <f>VLOOKUP(A89,INPUT_RANGE,86,FALSE)</f>
    </nc>
  </rcc>
  <rcc rId="4483" sId="5">
    <oc r="BH89">
      <f>VLOOKUP(A89,INPUT_RANGE,87,FALSE)</f>
    </oc>
    <nc r="BH89">
      <f>VLOOKUP(A89,INPUT_RANGE,87,FALSE)</f>
    </nc>
  </rcc>
  <rcc rId="4484" sId="5">
    <oc r="BI89">
      <f>VLOOKUP(A89,INPUT_RANGE,81,FALSE) &amp; " SAVES"</f>
    </oc>
    <nc r="BI89">
      <f>VLOOKUP(A89,INPUT_RANGE,81,FALSE) &amp; " SAVES"</f>
    </nc>
  </rcc>
  <rcc rId="4485" sId="5">
    <oc r="BJ89">
      <f>VLOOKUP(A89,INPUT_RANGE,81,FALSE)</f>
    </oc>
    <nc r="BJ89">
      <f>VLOOKUP(A89,INPUT_RANGE,81,FALSE)</f>
    </nc>
  </rcc>
  <rcc rId="4486" sId="5">
    <oc r="BK89">
      <f>VLOOKUP(A89,INPUT_RANGE,83,FALSE)</f>
    </oc>
    <nc r="BK89">
      <f>VLOOKUP(A89,INPUT_RANGE,83,FALSE)</f>
    </nc>
  </rcc>
  <rcc rId="4487" sId="5">
    <oc r="BL89">
      <f>VLOOKUP(A89,INPUT_RANGE,87,FALSE) &amp; "/" &amp; VLOOKUP(A89,INPUT_RANGE,86,FALSE)</f>
    </oc>
    <nc r="BL89">
      <f>VLOOKUP(A89,INPUT_RANGE,87,FALSE) &amp; "/" &amp; VLOOKUP(A89,INPUT_RANGE,86,FALSE)</f>
    </nc>
  </rcc>
  <rcc rId="4488" sId="5">
    <oc r="BM89">
      <f>ROUND((VLOOKUP(A89,INPUT_RANGE,86,FALSE)+VLOOKUP(A89,INPUT_RANGE,83,FALSE))/AS89,2)</f>
    </oc>
    <nc r="BM89">
      <f>ROUND((VLOOKUP(A89,INPUT_RANGE,86,FALSE)+VLOOKUP(A89,INPUT_RANGE,83,FALSE))/AS89,2)</f>
    </nc>
  </rcc>
  <rcc rId="4489" sId="5">
    <oc r="M90">
      <f xml:space="preserve"> TEXT(AW90,".000") &amp; " ba"</f>
    </oc>
    <nc r="M90">
      <f xml:space="preserve"> TEXT(AW90,".000") &amp; " BA"</f>
    </nc>
  </rcc>
  <rcc rId="4490" sId="5">
    <oc r="N90">
      <f>VLOOKUP(A90,INPUT_RANGE,58,FALSE) &amp; " rbi"</f>
    </oc>
    <nc r="N90">
      <f>VLOOKUP(A90,INPUT_RANGE,58,FALSE) &amp; " RBI"</f>
    </nc>
  </rcc>
  <rcc rId="4491" sId="5">
    <oc r="O90">
      <f>VLOOKUP(A90,INPUT_RANGE,60,FALSE) &amp; " bb"</f>
    </oc>
    <nc r="O90">
      <f>VLOOKUP(A90,INPUT_RANGE,60,FALSE) &amp; " BB"</f>
    </nc>
  </rcc>
  <rcc rId="4492" sId="5">
    <oc r="P90">
      <f>VLOOKUP(A90,INPUT_RANGE,61,FALSE) &amp; " k"</f>
    </oc>
    <nc r="P90">
      <f>VLOOKUP(A90,INPUT_RANGE,61,FALSE) &amp; " K"</f>
    </nc>
  </rcc>
  <rcc rId="4493" sId="5">
    <oc r="Q90">
      <f>VLOOKUP(A90,INPUT_RANGE,64,FALSE) &amp; " sb"</f>
    </oc>
    <nc r="Q90">
      <f>VLOOKUP(A90,INPUT_RANGE,64,FALSE) &amp; " SB"</f>
    </nc>
  </rcc>
  <rcc rId="4494" sId="5">
    <oc r="R90">
      <f>VLOOKUP(A90,INPUT_RANGE,55,FALSE) &amp; " 2b"</f>
    </oc>
    <nc r="R90">
      <f>VLOOKUP(A90,INPUT_RANGE,55,FALSE) &amp; " 2B"</f>
    </nc>
  </rcc>
  <rcc rId="4495" sId="5">
    <oc r="S90">
      <f>VLOOKUP(A90,INPUT_RANGE,56,FALSE) &amp; " 3b"</f>
    </oc>
    <nc r="S90">
      <f>VLOOKUP(A90,INPUT_RANGE,56,FALSE) &amp; " 3B"</f>
    </nc>
  </rcc>
  <rcc rId="4496" sId="5">
    <oc r="T90">
      <f>VLOOKUP(A90,INPUT_RANGE,57,FALSE) &amp; " hr"</f>
    </oc>
    <nc r="T90">
      <f>VLOOKUP(A90,INPUT_RANGE,57,FALSE) &amp; " HR"</f>
    </nc>
  </rcc>
  <rcc rId="4497" sId="5">
    <oc r="U90">
      <f>VLOOKUP(A90,INPUT_RANGE,53,FALSE) &amp; " r"</f>
    </oc>
    <nc r="U90">
      <f>VLOOKUP(A90,INPUT_RANGE,53,FALSE) &amp; " R"</f>
    </nc>
  </rcc>
  <rcc rId="4498" sId="5">
    <oc r="V90">
      <f>TEXT(AX90, ".000") &amp; " obp"</f>
    </oc>
    <nc r="V90">
      <f>TEXT(AX90, ".000") &amp; " OBP"</f>
    </nc>
  </rcc>
  <rcc rId="4499" sId="5">
    <oc r="X90">
      <f>VLOOKUP(A90,INPUT_RANGE,77,FALSE)&amp;" games"</f>
    </oc>
    <nc r="X90">
      <f>VLOOKUP(A90,INPUT_RANGE,77,FALSE)&amp;" games"</f>
    </nc>
  </rcc>
  <rcc rId="4500" sId="5">
    <oc r="Y90">
      <f>VLOOKUP(A90,INPUT_RANGE,78,FALSE) &amp; " starts"</f>
    </oc>
    <nc r="Y90">
      <f>VLOOKUP(A90,INPUT_RANGE,78,FALSE) &amp; " starts"</f>
    </nc>
  </rcc>
  <rcc rId="4501" sId="5">
    <oc r="Z90">
      <f>VLOOKUP(A90,INPUT_RANGE,82,FALSE) &amp; " ip"</f>
    </oc>
    <nc r="Z90">
      <f>VLOOKUP(A90,INPUT_RANGE,82,FALSE) &amp; " IP"</f>
    </nc>
  </rcc>
  <rcc rId="4502" sId="5">
    <oc r="AA90">
      <f>TRUNC(VLOOKUP(A90,INPUT_RANGE,82,FALSE)) &amp;  IF(AR90=0.333,"º",IF(AR90=0.666,"»",""))</f>
    </oc>
    <nc r="AA90">
      <f>TRUNC(VLOOKUP(A90,INPUT_RANGE,82,FALSE)) &amp;  IF(AR90=0.333,"º",IF(AR90=0.666,"»",""))</f>
    </nc>
  </rcc>
  <rcc rId="4503" sId="5">
    <oc r="AB90">
      <f>AA90&amp; " ip"</f>
    </oc>
    <nc r="AB90">
      <f>AA90&amp; " IP"</f>
    </nc>
  </rcc>
  <rcc rId="4504" sId="5">
    <oc r="AC90">
      <f>VLOOKUP(A90,INPUT_RANGE,79,FALSE) &amp; " cg"</f>
    </oc>
    <nc r="AC90">
      <f>VLOOKUP(A90,INPUT_RANGE,79,FALSE) &amp; " CG"</f>
    </nc>
  </rcc>
  <rcc rId="4505" sId="5">
    <oc r="AD90">
      <f>VLOOKUP(A90,INPUT_RANGE,80,FALSE) &amp; " sho"</f>
    </oc>
    <nc r="AD90">
      <f>VLOOKUP(A90,INPUT_RANGE,80,FALSE) &amp; " SHO"</f>
    </nc>
  </rcc>
  <rcc rId="4506" sId="5">
    <oc r="AE90">
      <f>VLOOKUP(A90,INPUT_RANGE,75,FALSE) &amp; " win"</f>
    </oc>
    <nc r="AE90">
      <f>VLOOKUP(A90,INPUT_RANGE,75,FALSE) &amp; " Win"</f>
    </nc>
  </rcc>
  <rcc rId="4507" sId="5">
    <oc r="AF90">
      <f>VLOOKUP(A90,INPUT_RANGE,76,FALSE) &amp; " loss"</f>
    </oc>
    <nc r="AF90">
      <f>VLOOKUP(A90,INPUT_RANGE,76,FALSE) &amp; " Loss"</f>
    </nc>
  </rcc>
  <rcc rId="4508" sId="5">
    <oc r="AG90">
      <f>VLOOKUP(A90,INPUT_RANGE,75,FALSE) &amp; "-" &amp; VLOOKUP(A90,INPUT_RANGE,76,FALSE) &amp; " w-l"</f>
    </oc>
    <nc r="AG90">
      <f>VLOOKUP(A90,INPUT_RANGE,75,FALSE) &amp; "-" &amp; VLOOKUP(A90,INPUT_RANGE,76,FALSE) &amp; " W-L"</f>
    </nc>
  </rcc>
  <rcc rId="4509" sId="5">
    <oc r="AH90">
      <f>VLOOKUP(A90,INPUT_RANGE,81,FALSE)&amp; " saves"</f>
    </oc>
    <nc r="AH90">
      <f>VLOOKUP(A90,INPUT_RANGE,81,FALSE)&amp; " Saves"</f>
    </nc>
  </rcc>
  <rcc rId="4510" sId="5">
    <oc r="AI90">
      <f>VLOOKUP(A90,INPUT_RANGE,83,FALSE) &amp; " h"</f>
    </oc>
    <nc r="AI90">
      <f>VLOOKUP(A90,INPUT_RANGE,83,FALSE) &amp; " H"</f>
    </nc>
  </rcc>
  <rcc rId="4511" sId="5">
    <oc r="AJ90">
      <f>VLOOKUP(A90,INPUT_RANGE,84,FALSE) &amp; " r"</f>
    </oc>
    <nc r="AJ90">
      <f>VLOOKUP(A90,INPUT_RANGE,84,FALSE) &amp; " R"</f>
    </nc>
  </rcc>
  <rcc rId="4512" sId="5">
    <oc r="AK90">
      <f>VLOOKUP(A90,INPUT_RANGE,85,FALSE) &amp;" er"</f>
    </oc>
    <nc r="AK90">
      <f>VLOOKUP(A90,INPUT_RANGE,85,FALSE) &amp;" ER"</f>
    </nc>
  </rcc>
  <rcc rId="4513" sId="5">
    <oc r="AL90">
      <f>VLOOKUP(A90,INPUT_RANGE,88,FALSE) &amp;" hr"</f>
    </oc>
    <nc r="AL90">
      <f>VLOOKUP(A90,INPUT_RANGE,88,FALSE) &amp;" HR"</f>
    </nc>
  </rcc>
  <rcc rId="4514" sId="5">
    <oc r="AM90">
      <f>VLOOKUP(A90,INPUT_RANGE,87,FALSE) &amp; " k"</f>
    </oc>
    <nc r="AM90">
      <f>VLOOKUP(A90,INPUT_RANGE,87,FALSE) &amp; " K"</f>
    </nc>
  </rcc>
  <rcc rId="4515" sId="5">
    <oc r="AN90">
      <f>VLOOKUP(A90,INPUT_RANGE,86,FALSE) &amp; " bb"</f>
    </oc>
    <nc r="AN90">
      <f>VLOOKUP(A90,INPUT_RANGE,86,FALSE) &amp; " BB"</f>
    </nc>
  </rcc>
  <rcc rId="4516" sId="5">
    <oc r="AO90">
      <f>TEXT(AU90,"0.00") &amp; " era"</f>
    </oc>
    <nc r="AO90">
      <f>TEXT(AU90,"0.00") &amp; " ERA"</f>
    </nc>
  </rcc>
  <rcc rId="4517" sId="5">
    <oc r="AP90">
      <f>TEXT(AT90,"0.00") &amp; " whip"</f>
    </oc>
    <nc r="AP90">
      <f>TEXT(AT90,"0.00") &amp; " WHIP"</f>
    </nc>
  </rcc>
  <rcc rId="4518" sId="5">
    <oc r="AQ90">
      <f xml:space="preserve"> IF(LEFT(RIGHT((VLOOKUP(A90,INPUT_RANGE,82,FALSE)),2),1)=".",RIGHT(VLOOKUP(A90,INPUT_RANGE,82,FALSE),1), "X")</f>
    </oc>
    <nc r="AQ90">
      <f xml:space="preserve"> IF(LEFT(RIGHT((VLOOKUP(A90,INPUT_RANGE,82,FALSE)),2),1)=".",RIGHT(VLOOKUP(A90,INPUT_RANGE,82,FALSE),1), "X")</f>
    </nc>
  </rcc>
  <rcc rId="4519" sId="5">
    <oc r="AR90">
      <f>IF(AQ90 ="1",0.333,IF(AQ90="2",0.666,0))</f>
    </oc>
    <nc r="AR90">
      <f>IF(AQ90 ="1",0.333,IF(AQ90="2",0.666,0))</f>
    </nc>
  </rcc>
  <rcc rId="4520" sId="5">
    <oc r="AS90">
      <f>VLOOKUP(A90,INPUT_RANGE,82,FALSE)-(AQ90*0.1)+AR90</f>
    </oc>
    <nc r="AS90">
      <f>VLOOKUP(A90,INPUT_RANGE,82,FALSE)-(AQ90*0.1)+AR90</f>
    </nc>
  </rcc>
  <rcc rId="4521" sId="5">
    <oc r="AT90">
      <f>ROUND((VLOOKUP(A90,INPUT_RANGE,86,FALSE)+VLOOKUP(A90,INPUT_RANGE,83,FALSE))/AS90,2)</f>
    </oc>
    <nc r="AT90">
      <f>ROUND((VLOOKUP(A90,INPUT_RANGE,86,FALSE)+VLOOKUP(A90,INPUT_RANGE,83,FALSE))/AS90,2)</f>
    </nc>
  </rcc>
  <rcc rId="4522" sId="5">
    <oc r="AU90">
      <f>ROUND((VLOOKUP(A90,INPUT_RANGE,85,FALSE)/AS90)*('Team Info'!$H$25),2)</f>
    </oc>
    <nc r="AU90">
      <f>ROUND((VLOOKUP(A90,INPUT_RANGE,85,FALSE)/AS90)*('D:\Data\Softball\[ESPN_BASEBALL_AWAY_OLD.xlsx]Team Info'!$H$25),2)</f>
    </nc>
  </rcc>
  <rcc rId="4523" sId="5">
    <oc r="AW90">
      <f>(VLOOKUP(A90,INPUT_RANGE,54,FALSE)/VLOOKUP(A90,INPUT_RANGE,52,FALSE))</f>
    </oc>
    <nc r="AW90">
      <f>(VLOOKUP(A90,INPUT_RANGE,54,FALSE)/VLOOKUP(A90,INPUT_RANGE,52,FALSE))</f>
    </nc>
  </rcc>
  <rcc rId="4524" sId="5">
    <oc r="AX90">
      <f>((VLOOKUP(A90,INPUT_RANGE,54,FALSE)+VLOOKUP(A90,INPUT_RANGE,60,FALSE)+VLOOKUP(A90,INPUT_RANGE,59,FALSE))/(VLOOKUP(A90,INPUT_RANGE,52,FALSE)+VLOOKUP(A90,INPUT_RANGE,60,FALSE)+VLOOKUP(A90,INPUT_RANGE,59,FALSE)+VLOOKUP(A90,INPUT_RANGE,63,FALSE)))</f>
    </oc>
    <nc r="AX90">
      <f>((VLOOKUP(A90,INPUT_RANGE,54,FALSE)+VLOOKUP(A90,INPUT_RANGE,60,FALSE)+VLOOKUP(A90,INPUT_RANGE,59,FALSE))/(VLOOKUP(A90,INPUT_RANGE,52,FALSE)+VLOOKUP(A90,INPUT_RANGE,60,FALSE)+VLOOKUP(A90,INPUT_RANGE,59,FALSE)+VLOOKUP(A90,INPUT_RANGE,63,FALSE)))</f>
    </nc>
  </rcc>
  <rcc rId="4525" sId="5">
    <oc r="AY90">
      <f>(VLOOKUP(A90,INPUT_RANGE,54)+VLOOKUP(A90,INPUT_RANGE,55)+(VLOOKUP(A90,INPUT_RANGE,56)*2)+(VLOOKUP(A90,INPUT_RANGE,57)*3))/(VLOOKUP(A90,INPUT_RANGE,52))</f>
    </oc>
    <nc r="AY90">
      <f>(VLOOKUP(A90,INPUT_RANGE,54)+VLOOKUP(A90,INPUT_RANGE,55)+(VLOOKUP(A90,INPUT_RANGE,56)*2)+(VLOOKUP(A90,INPUT_RANGE,57)*3))/(VLOOKUP(A90,INPUT_RANGE,52))</f>
    </nc>
  </rcc>
  <rcc rId="4526" sId="5">
    <oc r="AZ90">
      <f>AX90+AY90</f>
    </oc>
    <nc r="AZ90">
      <f>AX90+AY90</f>
    </nc>
  </rcc>
  <rcc rId="4527" sId="5">
    <oc r="BA90">
      <f xml:space="preserve"> TEXT(AZ90,".000") &amp; " ops"</f>
    </oc>
    <nc r="BA90">
      <f xml:space="preserve"> TEXT(AZ90,".000") &amp; " OPS"</f>
    </nc>
  </rcc>
  <rcc rId="4528" sId="5">
    <oc r="BB90">
      <f>VLOOKUP(A90,INPUT_RANGE,78,FALSE)</f>
    </oc>
    <nc r="BB90">
      <f>VLOOKUP(A90,INPUT_RANGE,78,FALSE)</f>
    </nc>
  </rcc>
  <rcc rId="4529" sId="5">
    <oc r="BC90">
      <f>VLOOKUP(A90,INPUT_RANGE,77,FALSE)</f>
    </oc>
    <nc r="BC90">
      <f>VLOOKUP(A90,INPUT_RANGE,77,FALSE)</f>
    </nc>
  </rcc>
  <rcc rId="4530" sId="5">
    <oc r="BD90">
      <f>VLOOKUP(A90,INPUT_RANGE,75,FALSE) &amp; "-" &amp; VLOOKUP(A90,INPUT_RANGE,76,FALSE)</f>
    </oc>
    <nc r="BD90">
      <f>VLOOKUP(A90,INPUT_RANGE,75,FALSE) &amp; "-" &amp; VLOOKUP(A90,INPUT_RANGE,76,FALSE)</f>
    </nc>
  </rcc>
  <rcc rId="4531" sId="5">
    <oc r="BE90">
      <f>AU90</f>
    </oc>
    <nc r="BE90">
      <f>AU90</f>
    </nc>
  </rcc>
  <rcc rId="4532" sId="5">
    <oc r="BF90">
      <f>AA90</f>
    </oc>
    <nc r="BF90">
      <f>AA90</f>
    </nc>
  </rcc>
  <rcc rId="4533" sId="5">
    <oc r="BG90">
      <f>VLOOKUP(A90,INPUT_RANGE,86,FALSE)</f>
    </oc>
    <nc r="BG90">
      <f>VLOOKUP(A90,INPUT_RANGE,86,FALSE)</f>
    </nc>
  </rcc>
  <rcc rId="4534" sId="5">
    <oc r="BH90">
      <f>VLOOKUP(A90,INPUT_RANGE,87,FALSE)</f>
    </oc>
    <nc r="BH90">
      <f>VLOOKUP(A90,INPUT_RANGE,87,FALSE)</f>
    </nc>
  </rcc>
  <rcc rId="4535" sId="5">
    <oc r="BI90">
      <f>VLOOKUP(A90,INPUT_RANGE,81,FALSE) &amp; " SAVES"</f>
    </oc>
    <nc r="BI90">
      <f>VLOOKUP(A90,INPUT_RANGE,81,FALSE) &amp; " SAVES"</f>
    </nc>
  </rcc>
  <rcc rId="4536" sId="5">
    <oc r="BJ90">
      <f>VLOOKUP(A90,INPUT_RANGE,81,FALSE)</f>
    </oc>
    <nc r="BJ90">
      <f>VLOOKUP(A90,INPUT_RANGE,81,FALSE)</f>
    </nc>
  </rcc>
  <rcc rId="4537" sId="5">
    <oc r="BK90">
      <f>VLOOKUP(A90,INPUT_RANGE,83,FALSE)</f>
    </oc>
    <nc r="BK90">
      <f>VLOOKUP(A90,INPUT_RANGE,83,FALSE)</f>
    </nc>
  </rcc>
  <rcc rId="4538" sId="5">
    <oc r="BL90">
      <f>VLOOKUP(A90,INPUT_RANGE,87,FALSE) &amp; "/" &amp; VLOOKUP(A90,INPUT_RANGE,86,FALSE)</f>
    </oc>
    <nc r="BL90">
      <f>VLOOKUP(A90,INPUT_RANGE,87,FALSE) &amp; "/" &amp; VLOOKUP(A90,INPUT_RANGE,86,FALSE)</f>
    </nc>
  </rcc>
  <rcc rId="4539" sId="5">
    <oc r="BM90">
      <f>ROUND((VLOOKUP(A90,INPUT_RANGE,86,FALSE)+VLOOKUP(A90,INPUT_RANGE,83,FALSE))/AS90,2)</f>
    </oc>
    <nc r="BM90">
      <f>ROUND((VLOOKUP(A90,INPUT_RANGE,86,FALSE)+VLOOKUP(A90,INPUT_RANGE,83,FALSE))/AS90,2)</f>
    </nc>
  </rcc>
  <rcc rId="4540" sId="5" odxf="1" dxf="1">
    <oc r="M91">
      <f>M$104</f>
    </oc>
    <nc r="M91">
      <f xml:space="preserve"> TEXT(AW91,".000") &amp; " BA"</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164" formatCode=".000\ ###"/>
      <fill>
        <patternFill>
          <bgColor theme="0" tint="-4.9989318521683403E-2"/>
        </patternFill>
      </fill>
      <alignment horizontal="general" vertical="bottom"/>
    </ndxf>
  </rcc>
  <rcc rId="4541" sId="5" odxf="1" dxf="1">
    <oc r="N91">
      <f>N$104</f>
    </oc>
    <nc r="N91">
      <f>VLOOKUP(A91,INPUT_RANGE,58,FALSE) &amp; " RBI"</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2" sId="5" odxf="1" dxf="1">
    <oc r="O91">
      <f>O$104</f>
    </oc>
    <nc r="O91">
      <f>VLOOKUP(A91,INPUT_RANGE,60,FALSE) &amp; " BB"</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3" sId="5" odxf="1" dxf="1">
    <oc r="P91">
      <f>P$104</f>
    </oc>
    <nc r="P91">
      <f>VLOOKUP(A91,INPUT_RANGE,61,FALSE) &amp; " K"</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4" sId="5" odxf="1" dxf="1">
    <oc r="Q91">
      <f>Q$104</f>
    </oc>
    <nc r="Q91">
      <f>VLOOKUP(A91,INPUT_RANGE,64,FALSE) &amp; " SB"</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5" sId="5" odxf="1" dxf="1">
    <oc r="R91">
      <f>R$104</f>
    </oc>
    <nc r="R91">
      <f>VLOOKUP(A91,INPUT_RANGE,55,FALSE) &amp; " 2B"</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6" sId="5" odxf="1" dxf="1">
    <oc r="S91">
      <f>S$104</f>
    </oc>
    <nc r="S91">
      <f>VLOOKUP(A91,INPUT_RANGE,56,FALSE) &amp; " 3B"</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7" sId="5" odxf="1" dxf="1">
    <oc r="T91">
      <f>T$104</f>
    </oc>
    <nc r="T91">
      <f>VLOOKUP(A91,INPUT_RANGE,57,FALSE) &amp; " HR"</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8" sId="5" odxf="1" dxf="1">
    <oc r="U91">
      <f>U$104</f>
    </oc>
    <nc r="U91">
      <f>VLOOKUP(A91,INPUT_RANGE,53,FALSE) &amp; " R"</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49" sId="5" odxf="1" dxf="1">
    <oc r="V91">
      <f>V$104</f>
    </oc>
    <nc r="V91">
      <f>TEXT(AX91, ".000") &amp; " OBP"</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0" sId="5" odxf="1" dxf="1">
    <oc r="X91">
      <f>X$104</f>
    </oc>
    <nc r="X91">
      <f>VLOOKUP(A91,INPUT_RANGE,77,FALSE)&amp;" games"</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1" sId="5" odxf="1" dxf="1">
    <oc r="Y91">
      <f>Y$104</f>
    </oc>
    <nc r="Y91">
      <f>VLOOKUP(A91,INPUT_RANGE,78,FALSE) &amp; " starts"</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2" sId="5" odxf="1" dxf="1">
    <oc r="Z91">
      <f>Z$104</f>
    </oc>
    <nc r="Z91">
      <f>VLOOKUP(A91,INPUT_RANGE,82,FALSE) &amp; " IP"</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3" sId="5">
    <oc r="AA91">
      <f>TRUNC(VLOOKUP(A91,INPUT_RANGE,82,FALSE)) &amp;  IF(AR91=0.333,"º",IF(AR91=0.666,"»",""))</f>
    </oc>
    <nc r="AA91">
      <f>TRUNC(VLOOKUP(A91,INPUT_RANGE,82,FALSE)) &amp;  IF(AR91=0.333,"º",IF(AR91=0.666,"»",""))</f>
    </nc>
  </rcc>
  <rcc rId="4554" sId="5">
    <oc r="AB91">
      <f>AA91&amp; " ip"</f>
    </oc>
    <nc r="AB91">
      <f>AA91&amp; " IP"</f>
    </nc>
  </rcc>
  <rcc rId="4555" sId="5" odxf="1" dxf="1">
    <oc r="AC91">
      <f>AC$104</f>
    </oc>
    <nc r="AC91">
      <f>VLOOKUP(A91,INPUT_RANGE,79,FALSE) &amp; " CG"</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6" sId="5" odxf="1" dxf="1">
    <oc r="AD91">
      <f>AD$104</f>
    </oc>
    <nc r="AD91">
      <f>VLOOKUP(A91,INPUT_RANGE,80,FALSE) &amp; " SHO"</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7" sId="5" odxf="1" dxf="1">
    <oc r="AE91">
      <f>AE$104</f>
    </oc>
    <nc r="AE91">
      <f>VLOOKUP(A91,INPUT_RANGE,75,FALSE) &amp; " Win"</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8" sId="5" odxf="1" dxf="1">
    <oc r="AF91">
      <f>AF$104</f>
    </oc>
    <nc r="AF91">
      <f>VLOOKUP(A91,INPUT_RANGE,76,FALSE) &amp; " Loss"</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59" sId="5" odxf="1" dxf="1">
    <oc r="AG91">
      <f>AG$104</f>
    </oc>
    <nc r="AG91">
      <f>VLOOKUP(A91,INPUT_RANGE,75,FALSE) &amp; "-" &amp; VLOOKUP(A91,INPUT_RANGE,76,FALSE) &amp; " W-L"</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0" sId="5" odxf="1" dxf="1">
    <oc r="AH91">
      <f>AH$104</f>
    </oc>
    <nc r="AH91">
      <f>VLOOKUP(A91,INPUT_RANGE,81,FALSE)&amp; " Saves"</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1" sId="5" odxf="1" dxf="1">
    <oc r="AI91">
      <f>AI$104</f>
    </oc>
    <nc r="AI91">
      <f>VLOOKUP(A91,INPUT_RANGE,83,FALSE) &amp; " H"</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2" sId="5" odxf="1" dxf="1">
    <oc r="AJ91">
      <f>AJ$104</f>
    </oc>
    <nc r="AJ91">
      <f>VLOOKUP(A91,INPUT_RANGE,84,FALSE) &amp; " R"</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3" sId="5" odxf="1" dxf="1">
    <oc r="AK91">
      <f>AK$104</f>
    </oc>
    <nc r="AK91">
      <f>VLOOKUP(A91,INPUT_RANGE,85,FALSE) &amp;" ER"</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4" sId="5" odxf="1" dxf="1">
    <oc r="AL91">
      <f>AL$104</f>
    </oc>
    <nc r="AL91">
      <f>VLOOKUP(A91,INPUT_RANGE,88,FALSE) &amp;" HR"</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5" sId="5" odxf="1" dxf="1">
    <oc r="AM91">
      <f>AM$104</f>
    </oc>
    <nc r="AM91">
      <f>VLOOKUP(A91,INPUT_RANGE,87,FALSE) &amp; " K"</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6" sId="5" odxf="1" dxf="1">
    <oc r="AN91">
      <f>AN$104</f>
    </oc>
    <nc r="AN91">
      <f>VLOOKUP(A91,INPUT_RANGE,86,FALSE) &amp; " BB"</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7" sId="5" odxf="1" dxf="1">
    <oc r="AO91">
      <f>AO$104</f>
    </oc>
    <nc r="AO91">
      <f>TEXT(AU91,"0.00") &amp; " ERA"</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8" sId="5" odxf="1" dxf="1">
    <oc r="AP91">
      <f>AP$104</f>
    </oc>
    <nc r="AP91">
      <f>TEXT(AT91,"0.00") &amp; " WHIP"</f>
    </nc>
    <odxf>
      <font>
        <sz val="10"/>
        <color auto="1"/>
        <name val="Arial"/>
        <scheme val="none"/>
      </font>
      <numFmt numFmtId="30" formatCode="@"/>
      <fill>
        <patternFill>
          <bgColor theme="0" tint="-0.14999847407452621"/>
        </patternFill>
      </fill>
      <alignment horizontal="center" vertical="center"/>
    </odxf>
    <ndxf>
      <font>
        <sz val="11"/>
        <color theme="1"/>
        <name val="Calibri"/>
        <family val="2"/>
        <scheme val="minor"/>
      </font>
      <numFmt numFmtId="0" formatCode="General"/>
      <fill>
        <patternFill>
          <bgColor theme="0" tint="-4.9989318521683403E-2"/>
        </patternFill>
      </fill>
      <alignment horizontal="general" vertical="bottom"/>
    </ndxf>
  </rcc>
  <rcc rId="4569" sId="5">
    <oc r="AQ91">
      <f>AQ$104</f>
    </oc>
    <nc r="AQ91">
      <f>AQ$104</f>
    </nc>
  </rcc>
  <rcc rId="4570" sId="5">
    <oc r="AR91">
      <f>AR$104</f>
    </oc>
    <nc r="AR91">
      <f>AR$104</f>
    </nc>
  </rcc>
  <rcc rId="4571" sId="5">
    <oc r="AS91">
      <f>AS$104</f>
    </oc>
    <nc r="AS91">
      <f>AS$104</f>
    </nc>
  </rcc>
  <rcc rId="4572" sId="5">
    <oc r="AT91">
      <f>ROUND((VLOOKUP(A91,INPUT_RANGE,86,FALSE)+VLOOKUP(A91,INPUT_RANGE,83,FALSE))/AS91,2)</f>
    </oc>
    <nc r="AT91">
      <f>ROUND((VLOOKUP(A91,INPUT_RANGE,86,FALSE)+VLOOKUP(A91,INPUT_RANGE,83,FALSE))/AS91,2)</f>
    </nc>
  </rcc>
  <rcc rId="4573" sId="5">
    <oc r="AU91">
      <f>AU$104</f>
    </oc>
    <nc r="AU91">
      <f>AU$104</f>
    </nc>
  </rcc>
  <rcc rId="4574" sId="5">
    <oc r="AW91">
      <f>AW$104</f>
    </oc>
    <nc r="AW91">
      <f>AW$104</f>
    </nc>
  </rcc>
  <rcc rId="4575" sId="5">
    <oc r="AX91">
      <f>AX$104</f>
    </oc>
    <nc r="AX91">
      <f>AX$104</f>
    </nc>
  </rcc>
  <rcc rId="4576" sId="5">
    <oc r="AY91">
      <f>AY100</f>
    </oc>
    <nc r="AY91">
      <f>AY100</f>
    </nc>
  </rcc>
  <rcc rId="4577" sId="5">
    <oc r="AZ91">
      <f>AX91+AY91</f>
    </oc>
    <nc r="AZ91">
      <f>AX91+AY91</f>
    </nc>
  </rcc>
  <rcc rId="4578" sId="5">
    <oc r="BA91">
      <f xml:space="preserve"> TEXT(AZ91,".000") &amp; " ops"</f>
    </oc>
    <nc r="BA91">
      <f xml:space="preserve"> TEXT(AZ91,".000") &amp; " OPS"</f>
    </nc>
  </rcc>
  <rcc rId="4579" sId="5">
    <oc r="BB91">
      <f>BB104</f>
    </oc>
    <nc r="BB91">
      <f>BB104</f>
    </nc>
  </rcc>
  <rcc rId="4580" sId="5">
    <oc r="BC91">
      <f>BC104</f>
    </oc>
    <nc r="BC91">
      <f>BC104</f>
    </nc>
  </rcc>
  <rcc rId="4581" sId="5">
    <oc r="BD91">
      <f>BD104</f>
    </oc>
    <nc r="BD91">
      <f>BD104</f>
    </nc>
  </rcc>
  <rcc rId="4582" sId="5">
    <oc r="BE91">
      <f>BE104</f>
    </oc>
    <nc r="BE91">
      <f>BE104</f>
    </nc>
  </rcc>
  <rcc rId="4583" sId="5">
    <oc r="BF91">
      <f>BF104</f>
    </oc>
    <nc r="BF91">
      <f>BF104</f>
    </nc>
  </rcc>
  <rcc rId="4584" sId="5">
    <oc r="BG91">
      <f>BG104</f>
    </oc>
    <nc r="BG91">
      <f>BG104</f>
    </nc>
  </rcc>
  <rcc rId="4585" sId="5">
    <oc r="BH91">
      <f>BH104</f>
    </oc>
    <nc r="BH91">
      <f>BH104</f>
    </nc>
  </rcc>
  <rcc rId="4586" sId="5">
    <oc r="BI91">
      <f>BI104</f>
    </oc>
    <nc r="BI91">
      <f>BI104</f>
    </nc>
  </rcc>
  <rcc rId="4587" sId="5">
    <oc r="BJ91">
      <f>BJ104</f>
    </oc>
    <nc r="BJ91">
      <f>BJ104</f>
    </nc>
  </rcc>
  <rcc rId="4588" sId="5">
    <oc r="BK91">
      <f>BK104</f>
    </oc>
    <nc r="BK91">
      <f>BK104</f>
    </nc>
  </rcc>
  <rcc rId="4589" sId="5">
    <oc r="BL91">
      <f>BL104</f>
    </oc>
    <nc r="BL91">
      <f>BL104</f>
    </nc>
  </rcc>
  <rcc rId="4590" sId="5">
    <oc r="BM91">
      <f>ROUND((VLOOKUP(A91,INPUT_RANGE,86,FALSE)+VLOOKUP(A91,INPUT_RANGE,83,FALSE))/AS91,2)</f>
    </oc>
    <nc r="BM91">
      <f>ROUND((VLOOKUP(A91,INPUT_RANGE,86,FALSE)+VLOOKUP(A91,INPUT_RANGE,83,FALSE))/AS91,2)</f>
    </nc>
  </rcc>
  <rcc rId="4591" sId="5">
    <oc r="M92">
      <f xml:space="preserve"> TEXT(AW92,".000") &amp; " ba"</f>
    </oc>
    <nc r="M92">
      <f xml:space="preserve"> TEXT(AW92,".000") &amp; " BA"</f>
    </nc>
  </rcc>
  <rcc rId="4592" sId="5">
    <oc r="N92">
      <f>VLOOKUP(A92,INPUT_RANGE,58,FALSE) &amp; " rbi"</f>
    </oc>
    <nc r="N92">
      <f>VLOOKUP(A92,INPUT_RANGE,58,FALSE) &amp; " RBI"</f>
    </nc>
  </rcc>
  <rcc rId="4593" sId="5">
    <oc r="O92">
      <f>VLOOKUP(A92,INPUT_RANGE,60,FALSE) &amp; " bb"</f>
    </oc>
    <nc r="O92">
      <f>VLOOKUP(A92,INPUT_RANGE,60,FALSE) &amp; " BB"</f>
    </nc>
  </rcc>
  <rcc rId="4594" sId="5">
    <oc r="P92">
      <f>VLOOKUP(A92,INPUT_RANGE,61,FALSE) &amp; " k"</f>
    </oc>
    <nc r="P92">
      <f>VLOOKUP(A92,INPUT_RANGE,61,FALSE) &amp; " K"</f>
    </nc>
  </rcc>
  <rcc rId="4595" sId="5">
    <oc r="Q92">
      <f>VLOOKUP(A92,INPUT_RANGE,64,FALSE) &amp; " sb"</f>
    </oc>
    <nc r="Q92">
      <f>VLOOKUP(A92,INPUT_RANGE,64,FALSE) &amp; " SB"</f>
    </nc>
  </rcc>
  <rcc rId="4596" sId="5">
    <oc r="R92">
      <f>VLOOKUP(A92,INPUT_RANGE,55,FALSE) &amp; " 2b"</f>
    </oc>
    <nc r="R92">
      <f>VLOOKUP(A92,INPUT_RANGE,55,FALSE) &amp; " 2B"</f>
    </nc>
  </rcc>
  <rcc rId="4597" sId="5">
    <oc r="S92">
      <f>VLOOKUP(A92,INPUT_RANGE,56,FALSE) &amp; " 3b"</f>
    </oc>
    <nc r="S92">
      <f>VLOOKUP(A92,INPUT_RANGE,56,FALSE) &amp; " 3B"</f>
    </nc>
  </rcc>
  <rcc rId="4598" sId="5">
    <oc r="T92">
      <f>VLOOKUP(A92,INPUT_RANGE,57,FALSE) &amp; " hr"</f>
    </oc>
    <nc r="T92">
      <f>VLOOKUP(A92,INPUT_RANGE,57,FALSE) &amp; " HR"</f>
    </nc>
  </rcc>
  <rcc rId="4599" sId="5">
    <oc r="U92">
      <f>VLOOKUP(A92,INPUT_RANGE,53,FALSE) &amp; " r"</f>
    </oc>
    <nc r="U92">
      <f>VLOOKUP(A92,INPUT_RANGE,53,FALSE) &amp; " R"</f>
    </nc>
  </rcc>
  <rcc rId="4600" sId="5">
    <oc r="V92">
      <f>TEXT(AX92, ".000") &amp; " obp"</f>
    </oc>
    <nc r="V92">
      <f>TEXT(AX92, ".000") &amp; " OBP"</f>
    </nc>
  </rcc>
  <rcc rId="4601" sId="5">
    <oc r="X92">
      <f>VLOOKUP(A92,INPUT_RANGE,77,FALSE)&amp;" games"</f>
    </oc>
    <nc r="X92">
      <f>VLOOKUP(A92,INPUT_RANGE,77,FALSE)&amp;" games"</f>
    </nc>
  </rcc>
  <rcc rId="4602" sId="5">
    <oc r="Y92">
      <f>VLOOKUP(A92,INPUT_RANGE,78,FALSE) &amp; " starts"</f>
    </oc>
    <nc r="Y92">
      <f>VLOOKUP(A92,INPUT_RANGE,78,FALSE) &amp; " starts"</f>
    </nc>
  </rcc>
  <rcc rId="4603" sId="5">
    <oc r="Z92">
      <f>VLOOKUP(A92,INPUT_RANGE,82,FALSE) &amp; " ip"</f>
    </oc>
    <nc r="Z92">
      <f>VLOOKUP(A92,INPUT_RANGE,82,FALSE) &amp; " IP"</f>
    </nc>
  </rcc>
  <rcc rId="4604" sId="5">
    <oc r="AA92">
      <f>TRUNC(VLOOKUP(A92,INPUT_RANGE,82,FALSE)) &amp;  IF(AR92=0.333,"º",IF(AR92=0.666,"»",""))</f>
    </oc>
    <nc r="AA92">
      <f>TRUNC(VLOOKUP(A92,INPUT_RANGE,82,FALSE)) &amp;  IF(AR92=0.333,"º",IF(AR92=0.666,"»",""))</f>
    </nc>
  </rcc>
  <rcc rId="4605" sId="5">
    <oc r="AB92">
      <f>AA92&amp; " ip"</f>
    </oc>
    <nc r="AB92">
      <f>AA92&amp; " IP"</f>
    </nc>
  </rcc>
  <rcc rId="4606" sId="5">
    <oc r="AC92">
      <f>VLOOKUP(A92,INPUT_RANGE,79,FALSE) &amp; " cg"</f>
    </oc>
    <nc r="AC92">
      <f>VLOOKUP(A92,INPUT_RANGE,79,FALSE) &amp; " CG"</f>
    </nc>
  </rcc>
  <rcc rId="4607" sId="5">
    <oc r="AD92">
      <f>VLOOKUP(A92,INPUT_RANGE,80,FALSE) &amp; " sho"</f>
    </oc>
    <nc r="AD92">
      <f>VLOOKUP(A92,INPUT_RANGE,80,FALSE) &amp; " SHO"</f>
    </nc>
  </rcc>
  <rcc rId="4608" sId="5">
    <oc r="AE92">
      <f>VLOOKUP(A92,INPUT_RANGE,75,FALSE) &amp; " win"</f>
    </oc>
    <nc r="AE92">
      <f>VLOOKUP(A92,INPUT_RANGE,75,FALSE) &amp; " Win"</f>
    </nc>
  </rcc>
  <rcc rId="4609" sId="5">
    <oc r="AF92">
      <f>VLOOKUP(A92,INPUT_RANGE,76,FALSE) &amp; " loss"</f>
    </oc>
    <nc r="AF92">
      <f>VLOOKUP(A92,INPUT_RANGE,76,FALSE) &amp; " Loss"</f>
    </nc>
  </rcc>
  <rcc rId="4610" sId="5">
    <oc r="AG92">
      <f>VLOOKUP(A92,INPUT_RANGE,75,FALSE) &amp; "-" &amp; VLOOKUP(A92,INPUT_RANGE,76,FALSE) &amp; " w-l"</f>
    </oc>
    <nc r="AG92">
      <f>VLOOKUP(A92,INPUT_RANGE,75,FALSE) &amp; "-" &amp; VLOOKUP(A92,INPUT_RANGE,76,FALSE) &amp; " W-L"</f>
    </nc>
  </rcc>
  <rcc rId="4611" sId="5">
    <oc r="AH92">
      <f>VLOOKUP(A92,INPUT_RANGE,81,FALSE)&amp; " saves"</f>
    </oc>
    <nc r="AH92">
      <f>VLOOKUP(A92,INPUT_RANGE,81,FALSE)&amp; " Saves"</f>
    </nc>
  </rcc>
  <rcc rId="4612" sId="5">
    <oc r="AI92">
      <f>VLOOKUP(A92,INPUT_RANGE,83,FALSE) &amp; " h"</f>
    </oc>
    <nc r="AI92">
      <f>VLOOKUP(A92,INPUT_RANGE,83,FALSE) &amp; " H"</f>
    </nc>
  </rcc>
  <rcc rId="4613" sId="5">
    <oc r="AJ92">
      <f>VLOOKUP(A92,INPUT_RANGE,84,FALSE) &amp; " r"</f>
    </oc>
    <nc r="AJ92">
      <f>VLOOKUP(A92,INPUT_RANGE,84,FALSE) &amp; " R"</f>
    </nc>
  </rcc>
  <rcc rId="4614" sId="5">
    <oc r="AK92">
      <f>VLOOKUP(A92,INPUT_RANGE,85,FALSE) &amp;" er"</f>
    </oc>
    <nc r="AK92">
      <f>VLOOKUP(A92,INPUT_RANGE,85,FALSE) &amp;" ER"</f>
    </nc>
  </rcc>
  <rcc rId="4615" sId="5">
    <oc r="AL92">
      <f>VLOOKUP(A92,INPUT_RANGE,88,FALSE) &amp;" hr"</f>
    </oc>
    <nc r="AL92">
      <f>VLOOKUP(A92,INPUT_RANGE,88,FALSE) &amp;" HR"</f>
    </nc>
  </rcc>
  <rcc rId="4616" sId="5">
    <oc r="AM92">
      <f>VLOOKUP(A92,INPUT_RANGE,87,FALSE) &amp; " k"</f>
    </oc>
    <nc r="AM92">
      <f>VLOOKUP(A92,INPUT_RANGE,87,FALSE) &amp; " K"</f>
    </nc>
  </rcc>
  <rcc rId="4617" sId="5">
    <oc r="AN92">
      <f>VLOOKUP(A92,INPUT_RANGE,86,FALSE) &amp; " bb"</f>
    </oc>
    <nc r="AN92">
      <f>VLOOKUP(A92,INPUT_RANGE,86,FALSE) &amp; " BB"</f>
    </nc>
  </rcc>
  <rcc rId="4618" sId="5">
    <oc r="AO92">
      <f>TEXT(AU92,"0.00") &amp; " era"</f>
    </oc>
    <nc r="AO92">
      <f>TEXT(AU92,"0.00") &amp; " ERA"</f>
    </nc>
  </rcc>
  <rcc rId="4619" sId="5">
    <oc r="AP92">
      <f>TEXT(AT92,"0.00") &amp; " whip"</f>
    </oc>
    <nc r="AP92">
      <f>TEXT(AT92,"0.00") &amp; " WHIP"</f>
    </nc>
  </rcc>
  <rcc rId="4620" sId="5">
    <oc r="AQ92">
      <f xml:space="preserve"> IF(LEFT(RIGHT((VLOOKUP(A92,INPUT_RANGE,82,FALSE)),2),1)=".",RIGHT(VLOOKUP(A92,INPUT_RANGE,82,FALSE),1), "X")</f>
    </oc>
    <nc r="AQ92">
      <f xml:space="preserve"> IF(LEFT(RIGHT((VLOOKUP(A92,INPUT_RANGE,82,FALSE)),2),1)=".",RIGHT(VLOOKUP(A92,INPUT_RANGE,82,FALSE),1), "X")</f>
    </nc>
  </rcc>
  <rcc rId="4621" sId="5">
    <oc r="AR92">
      <f>IF(AQ92 ="1",0.333,IF(AQ92="2",0.666,0))</f>
    </oc>
    <nc r="AR92">
      <f>IF(AQ92 ="1",0.333,IF(AQ92="2",0.666,0))</f>
    </nc>
  </rcc>
  <rcc rId="4622" sId="5">
    <oc r="AS92">
      <f>VLOOKUP(A92,INPUT_RANGE,82,FALSE)-(AQ92*0.1)+AR92</f>
    </oc>
    <nc r="AS92">
      <f>VLOOKUP(A92,INPUT_RANGE,82,FALSE)-(AQ92*0.1)+AR92</f>
    </nc>
  </rcc>
  <rcc rId="4623" sId="5">
    <oc r="AT92">
      <f>ROUND((VLOOKUP(A92,INPUT_RANGE,86,FALSE)+VLOOKUP(A92,INPUT_RANGE,83,FALSE))/AS92,2)</f>
    </oc>
    <nc r="AT92">
      <f>ROUND((VLOOKUP(A92,INPUT_RANGE,86,FALSE)+VLOOKUP(A92,INPUT_RANGE,83,FALSE))/AS92,2)</f>
    </nc>
  </rcc>
  <rcc rId="4624" sId="5">
    <oc r="AU92">
      <f>ROUND((VLOOKUP(A92,INPUT_RANGE,85,FALSE)/AS92)*('Team Info'!$H$25),2)</f>
    </oc>
    <nc r="AU92">
      <f>ROUND((VLOOKUP(A92,INPUT_RANGE,85,FALSE)/AS92)*('D:\Data\Softball\[ESPN_BASEBALL_AWAY_OLD.xlsx]Team Info'!$H$25),2)</f>
    </nc>
  </rcc>
  <rcc rId="4625" sId="5">
    <oc r="AW92">
      <f>(VLOOKUP(A92,INPUT_RANGE,54,FALSE)/VLOOKUP(A92,INPUT_RANGE,52,FALSE))</f>
    </oc>
    <nc r="AW92">
      <f>(VLOOKUP(A92,INPUT_RANGE,54,FALSE)/VLOOKUP(A92,INPUT_RANGE,52,FALSE))</f>
    </nc>
  </rcc>
  <rcc rId="4626" sId="5">
    <oc r="AX92">
      <f>((VLOOKUP(A92,INPUT_RANGE,54,FALSE)+VLOOKUP(A92,INPUT_RANGE,60,FALSE)+VLOOKUP(A92,INPUT_RANGE,59,FALSE))/(VLOOKUP(A92,INPUT_RANGE,52,FALSE)+VLOOKUP(A92,INPUT_RANGE,60,FALSE)+VLOOKUP(A92,INPUT_RANGE,59,FALSE)+VLOOKUP(A92,INPUT_RANGE,63,FALSE)))</f>
    </oc>
    <nc r="AX92">
      <f>((VLOOKUP(A92,INPUT_RANGE,54,FALSE)+VLOOKUP(A92,INPUT_RANGE,60,FALSE)+VLOOKUP(A92,INPUT_RANGE,59,FALSE))/(VLOOKUP(A92,INPUT_RANGE,52,FALSE)+VLOOKUP(A92,INPUT_RANGE,60,FALSE)+VLOOKUP(A92,INPUT_RANGE,59,FALSE)+VLOOKUP(A92,INPUT_RANGE,63,FALSE)))</f>
    </nc>
  </rcc>
  <rcc rId="4627" sId="5">
    <oc r="AY92">
      <f>(VLOOKUP(A92,INPUT_RANGE,54)+VLOOKUP(A92,INPUT_RANGE,55)+(VLOOKUP(A92,INPUT_RANGE,56)*2)+(VLOOKUP(A92,INPUT_RANGE,57)*3))/(VLOOKUP(A92,INPUT_RANGE,52))</f>
    </oc>
    <nc r="AY92">
      <f>(VLOOKUP(A92,INPUT_RANGE,54)+VLOOKUP(A92,INPUT_RANGE,55)+(VLOOKUP(A92,INPUT_RANGE,56)*2)+(VLOOKUP(A92,INPUT_RANGE,57)*3))/(VLOOKUP(A92,INPUT_RANGE,52))</f>
    </nc>
  </rcc>
  <rcc rId="4628" sId="5">
    <oc r="AZ92">
      <f>AX92+AY92</f>
    </oc>
    <nc r="AZ92">
      <f>AX92+AY92</f>
    </nc>
  </rcc>
  <rcc rId="4629" sId="5">
    <oc r="BA92">
      <f xml:space="preserve"> TEXT(AZ92,".000") &amp; " ops"</f>
    </oc>
    <nc r="BA92">
      <f xml:space="preserve"> TEXT(AZ92,".000") &amp; " OPS"</f>
    </nc>
  </rcc>
  <rcc rId="4630" sId="5">
    <oc r="BB92">
      <f>VLOOKUP(A92,INPUT_RANGE,78,FALSE)</f>
    </oc>
    <nc r="BB92">
      <f>VLOOKUP(A92,INPUT_RANGE,78,FALSE)</f>
    </nc>
  </rcc>
  <rcc rId="4631" sId="5">
    <oc r="BC92">
      <f>VLOOKUP(A92,INPUT_RANGE,77,FALSE)</f>
    </oc>
    <nc r="BC92">
      <f>VLOOKUP(A92,INPUT_RANGE,77,FALSE)</f>
    </nc>
  </rcc>
  <rcc rId="4632" sId="5">
    <oc r="BD92">
      <f>VLOOKUP(A92,INPUT_RANGE,75,FALSE) &amp; "-" &amp; VLOOKUP(A92,INPUT_RANGE,76,FALSE)</f>
    </oc>
    <nc r="BD92">
      <f>VLOOKUP(A92,INPUT_RANGE,75,FALSE) &amp; "-" &amp; VLOOKUP(A92,INPUT_RANGE,76,FALSE)</f>
    </nc>
  </rcc>
  <rcc rId="4633" sId="5">
    <oc r="BE92">
      <f>AU92</f>
    </oc>
    <nc r="BE92">
      <f>AU92</f>
    </nc>
  </rcc>
  <rcc rId="4634" sId="5">
    <oc r="BF92">
      <f>AA92</f>
    </oc>
    <nc r="BF92">
      <f>AA92</f>
    </nc>
  </rcc>
  <rcc rId="4635" sId="5">
    <oc r="BG92">
      <f>VLOOKUP(A92,INPUT_RANGE,86,FALSE)</f>
    </oc>
    <nc r="BG92">
      <f>VLOOKUP(A92,INPUT_RANGE,86,FALSE)</f>
    </nc>
  </rcc>
  <rcc rId="4636" sId="5">
    <oc r="BH92">
      <f>VLOOKUP(A92,INPUT_RANGE,87,FALSE)</f>
    </oc>
    <nc r="BH92">
      <f>VLOOKUP(A92,INPUT_RANGE,87,FALSE)</f>
    </nc>
  </rcc>
  <rcc rId="4637" sId="5">
    <oc r="BI92">
      <f>VLOOKUP(A92,INPUT_RANGE,81,FALSE) &amp; " SAVES"</f>
    </oc>
    <nc r="BI92">
      <f>VLOOKUP(A92,INPUT_RANGE,81,FALSE) &amp; " SAVES"</f>
    </nc>
  </rcc>
  <rcc rId="4638" sId="5">
    <oc r="BJ92">
      <f>VLOOKUP(A92,INPUT_RANGE,81,FALSE)</f>
    </oc>
    <nc r="BJ92">
      <f>VLOOKUP(A92,INPUT_RANGE,81,FALSE)</f>
    </nc>
  </rcc>
  <rcc rId="4639" sId="5">
    <oc r="BK92">
      <f>VLOOKUP(A92,INPUT_RANGE,83,FALSE)</f>
    </oc>
    <nc r="BK92">
      <f>VLOOKUP(A92,INPUT_RANGE,83,FALSE)</f>
    </nc>
  </rcc>
  <rcc rId="4640" sId="5">
    <oc r="BL92">
      <f>VLOOKUP(A92,INPUT_RANGE,87,FALSE) &amp; "/" &amp; VLOOKUP(A92,INPUT_RANGE,86,FALSE)</f>
    </oc>
    <nc r="BL92">
      <f>VLOOKUP(A92,INPUT_RANGE,87,FALSE) &amp; "/" &amp; VLOOKUP(A92,INPUT_RANGE,86,FALSE)</f>
    </nc>
  </rcc>
  <rcc rId="4641" sId="5">
    <oc r="BM92">
      <f>ROUND((VLOOKUP(A92,INPUT_RANGE,86,FALSE)+VLOOKUP(A92,INPUT_RANGE,83,FALSE))/AS92,2)</f>
    </oc>
    <nc r="BM92">
      <f>ROUND((VLOOKUP(A92,INPUT_RANGE,86,FALSE)+VLOOKUP(A92,INPUT_RANGE,83,FALSE))/AS92,2)</f>
    </nc>
  </rcc>
  <rcc rId="4642" sId="5">
    <oc r="M93">
      <f xml:space="preserve"> TEXT(AW93,".000") &amp; " ba"</f>
    </oc>
    <nc r="M93">
      <f xml:space="preserve"> TEXT(AW93,".000") &amp; " BA"</f>
    </nc>
  </rcc>
  <rcc rId="4643" sId="5">
    <oc r="N93">
      <f>VLOOKUP(A93,INPUT_RANGE,58,FALSE) &amp; " rbi"</f>
    </oc>
    <nc r="N93">
      <f>VLOOKUP(A93,INPUT_RANGE,58,FALSE) &amp; " RBI"</f>
    </nc>
  </rcc>
  <rcc rId="4644" sId="5">
    <oc r="O93">
      <f>VLOOKUP(A93,INPUT_RANGE,60,FALSE) &amp; " bb"</f>
    </oc>
    <nc r="O93">
      <f>VLOOKUP(A93,INPUT_RANGE,60,FALSE) &amp; " BB"</f>
    </nc>
  </rcc>
  <rcc rId="4645" sId="5">
    <oc r="P93">
      <f>VLOOKUP(A93,INPUT_RANGE,61,FALSE) &amp; " k"</f>
    </oc>
    <nc r="P93">
      <f>VLOOKUP(A93,INPUT_RANGE,61,FALSE) &amp; " K"</f>
    </nc>
  </rcc>
  <rcc rId="4646" sId="5">
    <oc r="Q93">
      <f>VLOOKUP(A93,INPUT_RANGE,64,FALSE) &amp; " sb"</f>
    </oc>
    <nc r="Q93">
      <f>VLOOKUP(A93,INPUT_RANGE,64,FALSE) &amp; " SB"</f>
    </nc>
  </rcc>
  <rcc rId="4647" sId="5">
    <oc r="R93">
      <f>VLOOKUP(A93,INPUT_RANGE,55,FALSE) &amp; " 2b"</f>
    </oc>
    <nc r="R93">
      <f>VLOOKUP(A93,INPUT_RANGE,55,FALSE) &amp; " 2B"</f>
    </nc>
  </rcc>
  <rcc rId="4648" sId="5">
    <oc r="S93">
      <f>VLOOKUP(A93,INPUT_RANGE,56,FALSE) &amp; " 3b"</f>
    </oc>
    <nc r="S93">
      <f>VLOOKUP(A93,INPUT_RANGE,56,FALSE) &amp; " 3B"</f>
    </nc>
  </rcc>
  <rcc rId="4649" sId="5">
    <oc r="T93">
      <f>VLOOKUP(A93,INPUT_RANGE,57,FALSE) &amp; " hr"</f>
    </oc>
    <nc r="T93">
      <f>VLOOKUP(A93,INPUT_RANGE,57,FALSE) &amp; " HR"</f>
    </nc>
  </rcc>
  <rcc rId="4650" sId="5">
    <oc r="U93">
      <f>VLOOKUP(A93,INPUT_RANGE,53,FALSE) &amp; " r"</f>
    </oc>
    <nc r="U93">
      <f>VLOOKUP(A93,INPUT_RANGE,53,FALSE) &amp; " R"</f>
    </nc>
  </rcc>
  <rcc rId="4651" sId="5">
    <oc r="V93">
      <f>TEXT(AX93, ".000") &amp; " obp"</f>
    </oc>
    <nc r="V93">
      <f>TEXT(AX93, ".000") &amp; " OBP"</f>
    </nc>
  </rcc>
  <rcc rId="4652" sId="5">
    <oc r="X93">
      <f>VLOOKUP(A93,INPUT_RANGE,77,FALSE)&amp;" games"</f>
    </oc>
    <nc r="X93">
      <f>VLOOKUP(A93,INPUT_RANGE,77,FALSE)&amp;" games"</f>
    </nc>
  </rcc>
  <rcc rId="4653" sId="5">
    <oc r="Y93">
      <f>VLOOKUP(A93,INPUT_RANGE,78,FALSE) &amp; " starts"</f>
    </oc>
    <nc r="Y93">
      <f>VLOOKUP(A93,INPUT_RANGE,78,FALSE) &amp; " starts"</f>
    </nc>
  </rcc>
  <rcc rId="4654" sId="5">
    <oc r="Z93">
      <f>VLOOKUP(A93,INPUT_RANGE,82,FALSE) &amp; " ip"</f>
    </oc>
    <nc r="Z93">
      <f>VLOOKUP(A93,INPUT_RANGE,82,FALSE) &amp; " IP"</f>
    </nc>
  </rcc>
  <rcc rId="4655" sId="5">
    <oc r="AA93">
      <f>TRUNC(VLOOKUP(A93,INPUT_RANGE,82,FALSE)) &amp;  IF(AR93=0.333,"º",IF(AR93=0.666,"»",""))</f>
    </oc>
    <nc r="AA93">
      <f>TRUNC(VLOOKUP(A93,INPUT_RANGE,82,FALSE)) &amp;  IF(AR93=0.333,"º",IF(AR93=0.666,"»",""))</f>
    </nc>
  </rcc>
  <rcc rId="4656" sId="5">
    <oc r="AB93">
      <f>AA93&amp; " ip"</f>
    </oc>
    <nc r="AB93">
      <f>AA93&amp; " IP"</f>
    </nc>
  </rcc>
  <rcc rId="4657" sId="5">
    <oc r="AC93">
      <f>VLOOKUP(A93,INPUT_RANGE,79,FALSE) &amp; " cg"</f>
    </oc>
    <nc r="AC93">
      <f>VLOOKUP(A93,INPUT_RANGE,79,FALSE) &amp; " CG"</f>
    </nc>
  </rcc>
  <rcc rId="4658" sId="5">
    <oc r="AD93">
      <f>VLOOKUP(A93,INPUT_RANGE,80,FALSE) &amp; " sho"</f>
    </oc>
    <nc r="AD93">
      <f>VLOOKUP(A93,INPUT_RANGE,80,FALSE) &amp; " SHO"</f>
    </nc>
  </rcc>
  <rcc rId="4659" sId="5">
    <oc r="AE93">
      <f>VLOOKUP(A93,INPUT_RANGE,75,FALSE) &amp; " win"</f>
    </oc>
    <nc r="AE93">
      <f>VLOOKUP(A93,INPUT_RANGE,75,FALSE) &amp; " Win"</f>
    </nc>
  </rcc>
  <rcc rId="4660" sId="5">
    <oc r="AF93">
      <f>VLOOKUP(A93,INPUT_RANGE,76,FALSE) &amp; " loss"</f>
    </oc>
    <nc r="AF93">
      <f>VLOOKUP(A93,INPUT_RANGE,76,FALSE) &amp; " Loss"</f>
    </nc>
  </rcc>
  <rcc rId="4661" sId="5">
    <oc r="AG93">
      <f>VLOOKUP(A93,INPUT_RANGE,75,FALSE) &amp; "-" &amp; VLOOKUP(A93,INPUT_RANGE,76,FALSE) &amp; " w-l"</f>
    </oc>
    <nc r="AG93">
      <f>VLOOKUP(A93,INPUT_RANGE,75,FALSE) &amp; "-" &amp; VLOOKUP(A93,INPUT_RANGE,76,FALSE) &amp; " W-L"</f>
    </nc>
  </rcc>
  <rcc rId="4662" sId="5">
    <oc r="AH93">
      <f>VLOOKUP(A93,INPUT_RANGE,81,FALSE)&amp; " saves"</f>
    </oc>
    <nc r="AH93">
      <f>VLOOKUP(A93,INPUT_RANGE,81,FALSE)&amp; " Saves"</f>
    </nc>
  </rcc>
  <rcc rId="4663" sId="5">
    <oc r="AI93">
      <f>VLOOKUP(A93,INPUT_RANGE,83,FALSE) &amp; " h"</f>
    </oc>
    <nc r="AI93">
      <f>VLOOKUP(A93,INPUT_RANGE,83,FALSE) &amp; " H"</f>
    </nc>
  </rcc>
  <rcc rId="4664" sId="5">
    <oc r="AJ93">
      <f>VLOOKUP(A93,INPUT_RANGE,84,FALSE) &amp; " r"</f>
    </oc>
    <nc r="AJ93">
      <f>VLOOKUP(A93,INPUT_RANGE,84,FALSE) &amp; " R"</f>
    </nc>
  </rcc>
  <rcc rId="4665" sId="5">
    <oc r="AK93">
      <f>VLOOKUP(A93,INPUT_RANGE,85,FALSE) &amp;" er"</f>
    </oc>
    <nc r="AK93">
      <f>VLOOKUP(A93,INPUT_RANGE,85,FALSE) &amp;" ER"</f>
    </nc>
  </rcc>
  <rcc rId="4666" sId="5">
    <oc r="AL93">
      <f>VLOOKUP(A93,INPUT_RANGE,88,FALSE) &amp;" hr"</f>
    </oc>
    <nc r="AL93">
      <f>VLOOKUP(A93,INPUT_RANGE,88,FALSE) &amp;" HR"</f>
    </nc>
  </rcc>
  <rcc rId="4667" sId="5">
    <oc r="AM93">
      <f>VLOOKUP(A93,INPUT_RANGE,87,FALSE) &amp; " k"</f>
    </oc>
    <nc r="AM93">
      <f>VLOOKUP(A93,INPUT_RANGE,87,FALSE) &amp; " K"</f>
    </nc>
  </rcc>
  <rcc rId="4668" sId="5">
    <oc r="AN93">
      <f>VLOOKUP(A93,INPUT_RANGE,86,FALSE) &amp; " bb"</f>
    </oc>
    <nc r="AN93">
      <f>VLOOKUP(A93,INPUT_RANGE,86,FALSE) &amp; " BB"</f>
    </nc>
  </rcc>
  <rcc rId="4669" sId="5">
    <oc r="AO93">
      <f>TEXT(AU93,"0.00") &amp; " era"</f>
    </oc>
    <nc r="AO93">
      <f>TEXT(AU93,"0.00") &amp; " ERA"</f>
    </nc>
  </rcc>
  <rcc rId="4670" sId="5">
    <oc r="AP93">
      <f>TEXT(AT93,"0.00") &amp; " whip"</f>
    </oc>
    <nc r="AP93">
      <f>TEXT(AT93,"0.00") &amp; " WHIP"</f>
    </nc>
  </rcc>
  <rcc rId="4671" sId="5">
    <oc r="AQ93">
      <f xml:space="preserve"> IF(LEFT(RIGHT((VLOOKUP(A93,INPUT_RANGE,82,FALSE)),2),1)=".",RIGHT(VLOOKUP(A93,INPUT_RANGE,82,FALSE),1), "X")</f>
    </oc>
    <nc r="AQ93">
      <f xml:space="preserve"> IF(LEFT(RIGHT((VLOOKUP(A93,INPUT_RANGE,82,FALSE)),2),1)=".",RIGHT(VLOOKUP(A93,INPUT_RANGE,82,FALSE),1), "X")</f>
    </nc>
  </rcc>
  <rcc rId="4672" sId="5">
    <oc r="AR93">
      <f>IF(AQ93 ="1",0.333,IF(AQ93="2",0.666,0))</f>
    </oc>
    <nc r="AR93">
      <f>IF(AQ93 ="1",0.333,IF(AQ93="2",0.666,0))</f>
    </nc>
  </rcc>
  <rcc rId="4673" sId="5">
    <oc r="AS93">
      <f>VLOOKUP(A93,INPUT_RANGE,82,FALSE)-(AQ93*0.1)+AR93</f>
    </oc>
    <nc r="AS93">
      <f>VLOOKUP(A93,INPUT_RANGE,82,FALSE)-(AQ93*0.1)+AR93</f>
    </nc>
  </rcc>
  <rcc rId="4674" sId="5">
    <oc r="AT93">
      <f>ROUND((VLOOKUP(A93,INPUT_RANGE,86,FALSE)+VLOOKUP(A93,INPUT_RANGE,83,FALSE))/AS93,2)</f>
    </oc>
    <nc r="AT93">
      <f>ROUND((VLOOKUP(A93,INPUT_RANGE,86,FALSE)+VLOOKUP(A93,INPUT_RANGE,83,FALSE))/AS93,2)</f>
    </nc>
  </rcc>
  <rcc rId="4675" sId="5">
    <oc r="AU93">
      <f>ROUND((VLOOKUP(A93,INPUT_RANGE,85,FALSE)/AS93)*('Team Info'!$H$25),2)</f>
    </oc>
    <nc r="AU93">
      <f>ROUND((VLOOKUP(A93,INPUT_RANGE,85,FALSE)/AS93)*('D:\Data\Softball\[ESPN_BASEBALL_AWAY_OLD.xlsx]Team Info'!$H$25),2)</f>
    </nc>
  </rcc>
  <rcc rId="4676" sId="5">
    <oc r="AW93">
      <f>(VLOOKUP(A93,INPUT_RANGE,54,FALSE)/VLOOKUP(A93,INPUT_RANGE,52,FALSE))</f>
    </oc>
    <nc r="AW93">
      <f>(VLOOKUP(A93,INPUT_RANGE,54,FALSE)/VLOOKUP(A93,INPUT_RANGE,52,FALSE))</f>
    </nc>
  </rcc>
  <rcc rId="4677" sId="5">
    <oc r="AX93">
      <f>((VLOOKUP(A93,INPUT_RANGE,54,FALSE)+VLOOKUP(A93,INPUT_RANGE,60,FALSE)+VLOOKUP(A93,INPUT_RANGE,59,FALSE))/(VLOOKUP(A93,INPUT_RANGE,52,FALSE)+VLOOKUP(A93,INPUT_RANGE,60,FALSE)+VLOOKUP(A93,INPUT_RANGE,59,FALSE)+VLOOKUP(A93,INPUT_RANGE,63,FALSE)))</f>
    </oc>
    <nc r="AX93">
      <f>((VLOOKUP(A93,INPUT_RANGE,54,FALSE)+VLOOKUP(A93,INPUT_RANGE,60,FALSE)+VLOOKUP(A93,INPUT_RANGE,59,FALSE))/(VLOOKUP(A93,INPUT_RANGE,52,FALSE)+VLOOKUP(A93,INPUT_RANGE,60,FALSE)+VLOOKUP(A93,INPUT_RANGE,59,FALSE)+VLOOKUP(A93,INPUT_RANGE,63,FALSE)))</f>
    </nc>
  </rcc>
  <rcc rId="4678" sId="5">
    <oc r="AY93">
      <f>(VLOOKUP(A93,INPUT_RANGE,54)+VLOOKUP(A93,INPUT_RANGE,55)+(VLOOKUP(A93,INPUT_RANGE,56)*2)+(VLOOKUP(A93,INPUT_RANGE,57)*3))/(VLOOKUP(A93,INPUT_RANGE,52))</f>
    </oc>
    <nc r="AY93">
      <f>(VLOOKUP(A93,INPUT_RANGE,54)+VLOOKUP(A93,INPUT_RANGE,55)+(VLOOKUP(A93,INPUT_RANGE,56)*2)+(VLOOKUP(A93,INPUT_RANGE,57)*3))/(VLOOKUP(A93,INPUT_RANGE,52))</f>
    </nc>
  </rcc>
  <rcc rId="4679" sId="5">
    <oc r="AZ93">
      <f>AX93+AY93</f>
    </oc>
    <nc r="AZ93">
      <f>AX93+AY93</f>
    </nc>
  </rcc>
  <rcc rId="4680" sId="5">
    <oc r="BA93">
      <f xml:space="preserve"> TEXT(AZ93,".000") &amp; " ops"</f>
    </oc>
    <nc r="BA93">
      <f xml:space="preserve"> TEXT(AZ93,".000") &amp; " OPS"</f>
    </nc>
  </rcc>
  <rcc rId="4681" sId="5">
    <oc r="BB93">
      <f>VLOOKUP(A93,INPUT_RANGE,78,FALSE)</f>
    </oc>
    <nc r="BB93">
      <f>VLOOKUP(A93,INPUT_RANGE,78,FALSE)</f>
    </nc>
  </rcc>
  <rcc rId="4682" sId="5">
    <oc r="BC93">
      <f>VLOOKUP(A93,INPUT_RANGE,77,FALSE)</f>
    </oc>
    <nc r="BC93">
      <f>VLOOKUP(A93,INPUT_RANGE,77,FALSE)</f>
    </nc>
  </rcc>
  <rcc rId="4683" sId="5">
    <oc r="BD93">
      <f>VLOOKUP(A93,INPUT_RANGE,75,FALSE) &amp; "-" &amp; VLOOKUP(A93,INPUT_RANGE,76,FALSE)</f>
    </oc>
    <nc r="BD93">
      <f>VLOOKUP(A93,INPUT_RANGE,75,FALSE) &amp; "-" &amp; VLOOKUP(A93,INPUT_RANGE,76,FALSE)</f>
    </nc>
  </rcc>
  <rcc rId="4684" sId="5">
    <oc r="BE93">
      <f>AU93</f>
    </oc>
    <nc r="BE93">
      <f>AU93</f>
    </nc>
  </rcc>
  <rcc rId="4685" sId="5">
    <oc r="BF93">
      <f>AA93</f>
    </oc>
    <nc r="BF93">
      <f>AA93</f>
    </nc>
  </rcc>
  <rcc rId="4686" sId="5">
    <oc r="BG93">
      <f>VLOOKUP(A93,INPUT_RANGE,86,FALSE)</f>
    </oc>
    <nc r="BG93">
      <f>VLOOKUP(A93,INPUT_RANGE,86,FALSE)</f>
    </nc>
  </rcc>
  <rcc rId="4687" sId="5">
    <oc r="BH93">
      <f>VLOOKUP(A93,INPUT_RANGE,87,FALSE)</f>
    </oc>
    <nc r="BH93">
      <f>VLOOKUP(A93,INPUT_RANGE,87,FALSE)</f>
    </nc>
  </rcc>
  <rcc rId="4688" sId="5">
    <oc r="BI93">
      <f>VLOOKUP(A93,INPUT_RANGE,81,FALSE) &amp; " SAVES"</f>
    </oc>
    <nc r="BI93">
      <f>VLOOKUP(A93,INPUT_RANGE,81,FALSE) &amp; " SAVES"</f>
    </nc>
  </rcc>
  <rcc rId="4689" sId="5">
    <oc r="BJ93">
      <f>VLOOKUP(A93,INPUT_RANGE,81,FALSE)</f>
    </oc>
    <nc r="BJ93">
      <f>VLOOKUP(A93,INPUT_RANGE,81,FALSE)</f>
    </nc>
  </rcc>
  <rcc rId="4690" sId="5">
    <oc r="BK93">
      <f>VLOOKUP(A93,INPUT_RANGE,83,FALSE)</f>
    </oc>
    <nc r="BK93">
      <f>VLOOKUP(A93,INPUT_RANGE,83,FALSE)</f>
    </nc>
  </rcc>
  <rcc rId="4691" sId="5">
    <oc r="BL93">
      <f>VLOOKUP(A93,INPUT_RANGE,87,FALSE) &amp; "/" &amp; VLOOKUP(A93,INPUT_RANGE,86,FALSE)</f>
    </oc>
    <nc r="BL93">
      <f>VLOOKUP(A93,INPUT_RANGE,87,FALSE) &amp; "/" &amp; VLOOKUP(A93,INPUT_RANGE,86,FALSE)</f>
    </nc>
  </rcc>
  <rcc rId="4692" sId="5">
    <oc r="BM93">
      <f>ROUND((VLOOKUP(A93,INPUT_RANGE,86,FALSE)+VLOOKUP(A93,INPUT_RANGE,83,FALSE))/AS93,2)</f>
    </oc>
    <nc r="BM93">
      <f>ROUND((VLOOKUP(A93,INPUT_RANGE,86,FALSE)+VLOOKUP(A93,INPUT_RANGE,83,FALSE))/AS93,2)</f>
    </nc>
  </rcc>
  <rcc rId="4693" sId="5">
    <oc r="M94">
      <f xml:space="preserve"> TEXT(AW94,".000") &amp; " ba"</f>
    </oc>
    <nc r="M94">
      <f xml:space="preserve"> TEXT(AW94,".000") &amp; " BA"</f>
    </nc>
  </rcc>
  <rcc rId="4694" sId="5">
    <oc r="N94">
      <f>VLOOKUP(A94,INPUT_RANGE,58,FALSE) &amp; " rbi"</f>
    </oc>
    <nc r="N94">
      <f>VLOOKUP(A94,INPUT_RANGE,58,FALSE) &amp; " RBI"</f>
    </nc>
  </rcc>
  <rcc rId="4695" sId="5">
    <oc r="O94">
      <f>VLOOKUP(A94,INPUT_RANGE,60,FALSE) &amp; " bb"</f>
    </oc>
    <nc r="O94">
      <f>VLOOKUP(A94,INPUT_RANGE,60,FALSE) &amp; " BB"</f>
    </nc>
  </rcc>
  <rcc rId="4696" sId="5">
    <oc r="P94">
      <f>VLOOKUP(A94,INPUT_RANGE,61,FALSE) &amp; " k"</f>
    </oc>
    <nc r="P94">
      <f>VLOOKUP(A94,INPUT_RANGE,61,FALSE) &amp; " K"</f>
    </nc>
  </rcc>
  <rcc rId="4697" sId="5">
    <oc r="Q94">
      <f>VLOOKUP(A94,INPUT_RANGE,64,FALSE) &amp; " sb"</f>
    </oc>
    <nc r="Q94">
      <f>VLOOKUP(A94,INPUT_RANGE,64,FALSE) &amp; " SB"</f>
    </nc>
  </rcc>
  <rcc rId="4698" sId="5">
    <oc r="R94">
      <f>VLOOKUP(A94,INPUT_RANGE,55,FALSE) &amp; " 2b"</f>
    </oc>
    <nc r="R94">
      <f>VLOOKUP(A94,INPUT_RANGE,55,FALSE) &amp; " 2B"</f>
    </nc>
  </rcc>
  <rcc rId="4699" sId="5">
    <oc r="S94">
      <f>VLOOKUP(A94,INPUT_RANGE,56,FALSE) &amp; " 3b"</f>
    </oc>
    <nc r="S94">
      <f>VLOOKUP(A94,INPUT_RANGE,56,FALSE) &amp; " 3B"</f>
    </nc>
  </rcc>
  <rcc rId="4700" sId="5">
    <oc r="T94">
      <f>VLOOKUP(A94,INPUT_RANGE,57,FALSE) &amp; " hr"</f>
    </oc>
    <nc r="T94">
      <f>VLOOKUP(A94,INPUT_RANGE,57,FALSE) &amp; " HR"</f>
    </nc>
  </rcc>
  <rcc rId="4701" sId="5">
    <oc r="U94">
      <f>VLOOKUP(A94,INPUT_RANGE,53,FALSE) &amp; " r"</f>
    </oc>
    <nc r="U94">
      <f>VLOOKUP(A94,INPUT_RANGE,53,FALSE) &amp; " R"</f>
    </nc>
  </rcc>
  <rcc rId="4702" sId="5">
    <oc r="V94">
      <f>TEXT(AX94, ".000") &amp; " obp"</f>
    </oc>
    <nc r="V94">
      <f>TEXT(AX94, ".000") &amp; " OBP"</f>
    </nc>
  </rcc>
  <rcc rId="4703" sId="5">
    <oc r="X94">
      <f>VLOOKUP(A94,INPUT_RANGE,77,FALSE)&amp;" games"</f>
    </oc>
    <nc r="X94">
      <f>VLOOKUP(A94,INPUT_RANGE,77,FALSE)&amp;" games"</f>
    </nc>
  </rcc>
  <rcc rId="4704" sId="5">
    <oc r="Y94">
      <f>VLOOKUP(A94,INPUT_RANGE,78,FALSE) &amp; " starts"</f>
    </oc>
    <nc r="Y94">
      <f>VLOOKUP(A94,INPUT_RANGE,78,FALSE) &amp; " starts"</f>
    </nc>
  </rcc>
  <rcc rId="4705" sId="5">
    <oc r="Z94">
      <f>VLOOKUP(A94,INPUT_RANGE,82,FALSE) &amp; " ip"</f>
    </oc>
    <nc r="Z94">
      <f>VLOOKUP(A94,INPUT_RANGE,82,FALSE) &amp; " IP"</f>
    </nc>
  </rcc>
  <rcc rId="4706" sId="5">
    <oc r="AA94">
      <f>TRUNC(VLOOKUP(A94,INPUT_RANGE,82,FALSE)) &amp;  IF(AR94=0.333,"º",IF(AR94=0.666,"»",""))</f>
    </oc>
    <nc r="AA94">
      <f>TRUNC(VLOOKUP(A94,INPUT_RANGE,82,FALSE)) &amp;  IF(AR94=0.333,"º",IF(AR94=0.666,"»",""))</f>
    </nc>
  </rcc>
  <rcc rId="4707" sId="5">
    <oc r="AB94">
      <f>AA94&amp; " ip"</f>
    </oc>
    <nc r="AB94">
      <f>AA94&amp; " IP"</f>
    </nc>
  </rcc>
  <rcc rId="4708" sId="5">
    <oc r="AC94">
      <f>VLOOKUP(A94,INPUT_RANGE,79,FALSE) &amp; " cg"</f>
    </oc>
    <nc r="AC94">
      <f>VLOOKUP(A94,INPUT_RANGE,79,FALSE) &amp; " CG"</f>
    </nc>
  </rcc>
  <rcc rId="4709" sId="5">
    <oc r="AD94">
      <f>VLOOKUP(A94,INPUT_RANGE,80,FALSE) &amp; " sho"</f>
    </oc>
    <nc r="AD94">
      <f>VLOOKUP(A94,INPUT_RANGE,80,FALSE) &amp; " SHO"</f>
    </nc>
  </rcc>
  <rcc rId="4710" sId="5">
    <oc r="AE94">
      <f>VLOOKUP(A94,INPUT_RANGE,75,FALSE) &amp; " win"</f>
    </oc>
    <nc r="AE94">
      <f>VLOOKUP(A94,INPUT_RANGE,75,FALSE) &amp; " Win"</f>
    </nc>
  </rcc>
  <rcc rId="4711" sId="5">
    <oc r="AF94">
      <f>VLOOKUP(A94,INPUT_RANGE,76,FALSE) &amp; " loss"</f>
    </oc>
    <nc r="AF94">
      <f>VLOOKUP(A94,INPUT_RANGE,76,FALSE) &amp; " Loss"</f>
    </nc>
  </rcc>
  <rcc rId="4712" sId="5">
    <oc r="AG94">
      <f>VLOOKUP(A94,INPUT_RANGE,75,FALSE) &amp; "-" &amp; VLOOKUP(A94,INPUT_RANGE,76,FALSE) &amp; " w-l"</f>
    </oc>
    <nc r="AG94">
      <f>VLOOKUP(A94,INPUT_RANGE,75,FALSE) &amp; "-" &amp; VLOOKUP(A94,INPUT_RANGE,76,FALSE) &amp; " W-L"</f>
    </nc>
  </rcc>
  <rcc rId="4713" sId="5">
    <oc r="AH94">
      <f>VLOOKUP(A94,INPUT_RANGE,81,FALSE)&amp; " saves"</f>
    </oc>
    <nc r="AH94">
      <f>VLOOKUP(A94,INPUT_RANGE,81,FALSE)&amp; " Saves"</f>
    </nc>
  </rcc>
  <rcc rId="4714" sId="5">
    <oc r="AI94">
      <f>VLOOKUP(A94,INPUT_RANGE,83,FALSE) &amp; " h"</f>
    </oc>
    <nc r="AI94">
      <f>VLOOKUP(A94,INPUT_RANGE,83,FALSE) &amp; " H"</f>
    </nc>
  </rcc>
  <rcc rId="4715" sId="5">
    <oc r="AJ94">
      <f>VLOOKUP(A94,INPUT_RANGE,84,FALSE) &amp; " r"</f>
    </oc>
    <nc r="AJ94">
      <f>VLOOKUP(A94,INPUT_RANGE,84,FALSE) &amp; " R"</f>
    </nc>
  </rcc>
  <rcc rId="4716" sId="5">
    <oc r="AK94">
      <f>VLOOKUP(A94,INPUT_RANGE,85,FALSE) &amp;" er"</f>
    </oc>
    <nc r="AK94">
      <f>VLOOKUP(A94,INPUT_RANGE,85,FALSE) &amp;" ER"</f>
    </nc>
  </rcc>
  <rcc rId="4717" sId="5">
    <oc r="AL94">
      <f>VLOOKUP(A94,INPUT_RANGE,88,FALSE) &amp;" hr"</f>
    </oc>
    <nc r="AL94">
      <f>VLOOKUP(A94,INPUT_RANGE,88,FALSE) &amp;" HR"</f>
    </nc>
  </rcc>
  <rcc rId="4718" sId="5">
    <oc r="AM94">
      <f>VLOOKUP(A94,INPUT_RANGE,87,FALSE) &amp; " k"</f>
    </oc>
    <nc r="AM94">
      <f>VLOOKUP(A94,INPUT_RANGE,87,FALSE) &amp; " K"</f>
    </nc>
  </rcc>
  <rcc rId="4719" sId="5">
    <oc r="AN94">
      <f>VLOOKUP(A94,INPUT_RANGE,86,FALSE) &amp; " bb"</f>
    </oc>
    <nc r="AN94">
      <f>VLOOKUP(A94,INPUT_RANGE,86,FALSE) &amp; " BB"</f>
    </nc>
  </rcc>
  <rcc rId="4720" sId="5">
    <oc r="AO94">
      <f>TEXT(AU94,"0.00") &amp; " era"</f>
    </oc>
    <nc r="AO94">
      <f>TEXT(AU94,"0.00") &amp; " ERA"</f>
    </nc>
  </rcc>
  <rcc rId="4721" sId="5">
    <oc r="AP94">
      <f>TEXT(AT94,"0.00") &amp; " whip"</f>
    </oc>
    <nc r="AP94">
      <f>TEXT(AT94,"0.00") &amp; " WHIP"</f>
    </nc>
  </rcc>
  <rcc rId="4722" sId="5">
    <oc r="AQ94">
      <f xml:space="preserve"> IF(LEFT(RIGHT((VLOOKUP(A94,INPUT_RANGE,82,FALSE)),2),1)=".",RIGHT(VLOOKUP(A94,INPUT_RANGE,82,FALSE),1), "X")</f>
    </oc>
    <nc r="AQ94">
      <f xml:space="preserve"> IF(LEFT(RIGHT((VLOOKUP(A94,INPUT_RANGE,82,FALSE)),2),1)=".",RIGHT(VLOOKUP(A94,INPUT_RANGE,82,FALSE),1), "X")</f>
    </nc>
  </rcc>
  <rcc rId="4723" sId="5">
    <oc r="AR94">
      <f>IF(AQ94 ="1",0.333,IF(AQ94="2",0.666,0))</f>
    </oc>
    <nc r="AR94">
      <f>IF(AQ94 ="1",0.333,IF(AQ94="2",0.666,0))</f>
    </nc>
  </rcc>
  <rcc rId="4724" sId="5">
    <oc r="AS94">
      <f>VLOOKUP(A94,INPUT_RANGE,82,FALSE)-(AQ94*0.1)+AR94</f>
    </oc>
    <nc r="AS94">
      <f>VLOOKUP(A94,INPUT_RANGE,82,FALSE)-(AQ94*0.1)+AR94</f>
    </nc>
  </rcc>
  <rcc rId="4725" sId="5">
    <oc r="AT94">
      <f>ROUND((VLOOKUP(A94,INPUT_RANGE,86,FALSE)+VLOOKUP(A94,INPUT_RANGE,83,FALSE))/AS94,2)</f>
    </oc>
    <nc r="AT94">
      <f>ROUND((VLOOKUP(A94,INPUT_RANGE,86,FALSE)+VLOOKUP(A94,INPUT_RANGE,83,FALSE))/AS94,2)</f>
    </nc>
  </rcc>
  <rcc rId="4726" sId="5">
    <oc r="AU94">
      <f>ROUND((VLOOKUP(A94,INPUT_RANGE,85,FALSE)/AS94)*('Team Info'!$H$25),2)</f>
    </oc>
    <nc r="AU94">
      <f>ROUND((VLOOKUP(A94,INPUT_RANGE,85,FALSE)/AS94)*('D:\Data\Softball\[ESPN_BASEBALL_AWAY_OLD.xlsx]Team Info'!$H$25),2)</f>
    </nc>
  </rcc>
  <rcc rId="4727" sId="5">
    <oc r="AW94">
      <f>(VLOOKUP(A94,INPUT_RANGE,54,FALSE)/VLOOKUP(A94,INPUT_RANGE,52,FALSE))</f>
    </oc>
    <nc r="AW94">
      <f>(VLOOKUP(A94,INPUT_RANGE,54,FALSE)/VLOOKUP(A94,INPUT_RANGE,52,FALSE))</f>
    </nc>
  </rcc>
  <rcc rId="4728" sId="5">
    <oc r="AX94">
      <f>((VLOOKUP(A94,INPUT_RANGE,54,FALSE)+VLOOKUP(A94,INPUT_RANGE,60,FALSE)+VLOOKUP(A94,INPUT_RANGE,59,FALSE))/(VLOOKUP(A94,INPUT_RANGE,52,FALSE)+VLOOKUP(A94,INPUT_RANGE,60,FALSE)+VLOOKUP(A94,INPUT_RANGE,59,FALSE)+VLOOKUP(A94,INPUT_RANGE,63,FALSE)))</f>
    </oc>
    <nc r="AX94">
      <f>((VLOOKUP(A94,INPUT_RANGE,54,FALSE)+VLOOKUP(A94,INPUT_RANGE,60,FALSE)+VLOOKUP(A94,INPUT_RANGE,59,FALSE))/(VLOOKUP(A94,INPUT_RANGE,52,FALSE)+VLOOKUP(A94,INPUT_RANGE,60,FALSE)+VLOOKUP(A94,INPUT_RANGE,59,FALSE)+VLOOKUP(A94,INPUT_RANGE,63,FALSE)))</f>
    </nc>
  </rcc>
  <rcc rId="4729" sId="5">
    <oc r="AY94">
      <f>(VLOOKUP(A94,INPUT_RANGE,54)+VLOOKUP(A94,INPUT_RANGE,55)+(VLOOKUP(A94,INPUT_RANGE,56)*2)+(VLOOKUP(A94,INPUT_RANGE,57)*3))/(VLOOKUP(A94,INPUT_RANGE,52))</f>
    </oc>
    <nc r="AY94">
      <f>(VLOOKUP(A94,INPUT_RANGE,54)+VLOOKUP(A94,INPUT_RANGE,55)+(VLOOKUP(A94,INPUT_RANGE,56)*2)+(VLOOKUP(A94,INPUT_RANGE,57)*3))/(VLOOKUP(A94,INPUT_RANGE,52))</f>
    </nc>
  </rcc>
  <rcc rId="4730" sId="5">
    <oc r="AZ94">
      <f>AX94+AY94</f>
    </oc>
    <nc r="AZ94">
      <f>AX94+AY94</f>
    </nc>
  </rcc>
  <rcc rId="4731" sId="5">
    <oc r="BA94">
      <f xml:space="preserve"> TEXT(AZ94,".000") &amp; " ops"</f>
    </oc>
    <nc r="BA94">
      <f xml:space="preserve"> TEXT(AZ94,".000") &amp; " OPS"</f>
    </nc>
  </rcc>
  <rcc rId="4732" sId="5">
    <oc r="BB94">
      <f>VLOOKUP(A94,INPUT_RANGE,78,FALSE)</f>
    </oc>
    <nc r="BB94">
      <f>VLOOKUP(A94,INPUT_RANGE,78,FALSE)</f>
    </nc>
  </rcc>
  <rcc rId="4733" sId="5">
    <oc r="BC94">
      <f>VLOOKUP(A94,INPUT_RANGE,77,FALSE)</f>
    </oc>
    <nc r="BC94">
      <f>VLOOKUP(A94,INPUT_RANGE,77,FALSE)</f>
    </nc>
  </rcc>
  <rcc rId="4734" sId="5">
    <oc r="BD94">
      <f>VLOOKUP(A94,INPUT_RANGE,75,FALSE) &amp; "-" &amp; VLOOKUP(A94,INPUT_RANGE,76,FALSE)</f>
    </oc>
    <nc r="BD94">
      <f>VLOOKUP(A94,INPUT_RANGE,75,FALSE) &amp; "-" &amp; VLOOKUP(A94,INPUT_RANGE,76,FALSE)</f>
    </nc>
  </rcc>
  <rcc rId="4735" sId="5">
    <oc r="BE94">
      <f>AU94</f>
    </oc>
    <nc r="BE94">
      <f>AU94</f>
    </nc>
  </rcc>
  <rcc rId="4736" sId="5">
    <oc r="BF94">
      <f>AA94</f>
    </oc>
    <nc r="BF94">
      <f>AA94</f>
    </nc>
  </rcc>
  <rcc rId="4737" sId="5">
    <oc r="BG94">
      <f>VLOOKUP(A94,INPUT_RANGE,86,FALSE)</f>
    </oc>
    <nc r="BG94">
      <f>VLOOKUP(A94,INPUT_RANGE,86,FALSE)</f>
    </nc>
  </rcc>
  <rcc rId="4738" sId="5">
    <oc r="BH94">
      <f>VLOOKUP(A94,INPUT_RANGE,87,FALSE)</f>
    </oc>
    <nc r="BH94">
      <f>VLOOKUP(A94,INPUT_RANGE,87,FALSE)</f>
    </nc>
  </rcc>
  <rcc rId="4739" sId="5">
    <oc r="BI94">
      <f>VLOOKUP(A94,INPUT_RANGE,81,FALSE) &amp; " SAVES"</f>
    </oc>
    <nc r="BI94">
      <f>VLOOKUP(A94,INPUT_RANGE,81,FALSE) &amp; " SAVES"</f>
    </nc>
  </rcc>
  <rcc rId="4740" sId="5">
    <oc r="BJ94">
      <f>VLOOKUP(A94,INPUT_RANGE,81,FALSE)</f>
    </oc>
    <nc r="BJ94">
      <f>VLOOKUP(A94,INPUT_RANGE,81,FALSE)</f>
    </nc>
  </rcc>
  <rcc rId="4741" sId="5">
    <oc r="BK94">
      <f>VLOOKUP(A94,INPUT_RANGE,83,FALSE)</f>
    </oc>
    <nc r="BK94">
      <f>VLOOKUP(A94,INPUT_RANGE,83,FALSE)</f>
    </nc>
  </rcc>
  <rcc rId="4742" sId="5">
    <oc r="BL94">
      <f>VLOOKUP(A94,INPUT_RANGE,87,FALSE) &amp; "/" &amp; VLOOKUP(A94,INPUT_RANGE,86,FALSE)</f>
    </oc>
    <nc r="BL94">
      <f>VLOOKUP(A94,INPUT_RANGE,87,FALSE) &amp; "/" &amp; VLOOKUP(A94,INPUT_RANGE,86,FALSE)</f>
    </nc>
  </rcc>
  <rcc rId="4743" sId="5">
    <oc r="BM94">
      <f>ROUND((VLOOKUP(A94,INPUT_RANGE,86,FALSE)+VLOOKUP(A94,INPUT_RANGE,83,FALSE))/AS94,2)</f>
    </oc>
    <nc r="BM94">
      <f>ROUND((VLOOKUP(A94,INPUT_RANGE,86,FALSE)+VLOOKUP(A94,INPUT_RANGE,83,FALSE))/AS94,2)</f>
    </nc>
  </rcc>
  <rcc rId="4744" sId="5">
    <oc r="M95">
      <f xml:space="preserve"> TEXT(AW95,".000") &amp; " ba"</f>
    </oc>
    <nc r="M95">
      <f xml:space="preserve"> TEXT(AW95,".000") &amp; " BA"</f>
    </nc>
  </rcc>
  <rcc rId="4745" sId="5">
    <oc r="N95">
      <f>VLOOKUP(A95,INPUT_RANGE,58,FALSE) &amp; " rbi"</f>
    </oc>
    <nc r="N95">
      <f>VLOOKUP(A95,INPUT_RANGE,58,FALSE) &amp; " RBI"</f>
    </nc>
  </rcc>
  <rcc rId="4746" sId="5">
    <oc r="O95">
      <f>VLOOKUP(A95,INPUT_RANGE,60,FALSE) &amp; " bb"</f>
    </oc>
    <nc r="O95">
      <f>VLOOKUP(A95,INPUT_RANGE,60,FALSE) &amp; " BB"</f>
    </nc>
  </rcc>
  <rcc rId="4747" sId="5">
    <oc r="P95">
      <f>VLOOKUP(A95,INPUT_RANGE,61,FALSE) &amp; " k"</f>
    </oc>
    <nc r="P95">
      <f>VLOOKUP(A95,INPUT_RANGE,61,FALSE) &amp; " K"</f>
    </nc>
  </rcc>
  <rcc rId="4748" sId="5">
    <oc r="Q95">
      <f>VLOOKUP(A95,INPUT_RANGE,64,FALSE) &amp; " sb"</f>
    </oc>
    <nc r="Q95">
      <f>VLOOKUP(A95,INPUT_RANGE,64,FALSE) &amp; " SB"</f>
    </nc>
  </rcc>
  <rcc rId="4749" sId="5">
    <oc r="R95">
      <f>VLOOKUP(A95,INPUT_RANGE,55,FALSE) &amp; " 2b"</f>
    </oc>
    <nc r="R95">
      <f>VLOOKUP(A95,INPUT_RANGE,55,FALSE) &amp; " 2B"</f>
    </nc>
  </rcc>
  <rcc rId="4750" sId="5">
    <oc r="S95">
      <f>VLOOKUP(A95,INPUT_RANGE,56,FALSE) &amp; " 3b"</f>
    </oc>
    <nc r="S95">
      <f>VLOOKUP(A95,INPUT_RANGE,56,FALSE) &amp; " 3B"</f>
    </nc>
  </rcc>
  <rcc rId="4751" sId="5">
    <oc r="T95">
      <f>VLOOKUP(A95,INPUT_RANGE,57,FALSE) &amp; " hr"</f>
    </oc>
    <nc r="T95">
      <f>VLOOKUP(A95,INPUT_RANGE,57,FALSE) &amp; " HR"</f>
    </nc>
  </rcc>
  <rcc rId="4752" sId="5">
    <oc r="U95">
      <f>VLOOKUP(A95,INPUT_RANGE,53,FALSE) &amp; " r"</f>
    </oc>
    <nc r="U95">
      <f>VLOOKUP(A95,INPUT_RANGE,53,FALSE) &amp; " R"</f>
    </nc>
  </rcc>
  <rcc rId="4753" sId="5">
    <oc r="V95">
      <f>TEXT(AX95, ".000") &amp; " obp"</f>
    </oc>
    <nc r="V95">
      <f>TEXT(AX95, ".000") &amp; " OBP"</f>
    </nc>
  </rcc>
  <rcc rId="4754" sId="5">
    <oc r="X95">
      <f>VLOOKUP(A95,INPUT_RANGE,77,FALSE)&amp;" games"</f>
    </oc>
    <nc r="X95">
      <f>VLOOKUP(A95,INPUT_RANGE,77,FALSE)&amp;" games"</f>
    </nc>
  </rcc>
  <rcc rId="4755" sId="5">
    <oc r="Y95">
      <f>VLOOKUP(A95,INPUT_RANGE,78,FALSE) &amp; " starts"</f>
    </oc>
    <nc r="Y95">
      <f>VLOOKUP(A95,INPUT_RANGE,78,FALSE) &amp; " starts"</f>
    </nc>
  </rcc>
  <rcc rId="4756" sId="5">
    <oc r="Z95">
      <f>VLOOKUP(A95,INPUT_RANGE,82,FALSE) &amp; " ip"</f>
    </oc>
    <nc r="Z95">
      <f>VLOOKUP(A95,INPUT_RANGE,82,FALSE) &amp; " IP"</f>
    </nc>
  </rcc>
  <rcc rId="4757" sId="5">
    <oc r="AA95">
      <f>TRUNC(VLOOKUP(A95,INPUT_RANGE,82,FALSE)) &amp;  IF(AR95=0.333,"º",IF(AR95=0.666,"»",""))</f>
    </oc>
    <nc r="AA95">
      <f>TRUNC(VLOOKUP(A95,INPUT_RANGE,82,FALSE)) &amp;  IF(AR95=0.333,"º",IF(AR95=0.666,"»",""))</f>
    </nc>
  </rcc>
  <rcc rId="4758" sId="5">
    <oc r="AB95">
      <f>AA95&amp; " ip"</f>
    </oc>
    <nc r="AB95">
      <f>AA95&amp; " IP"</f>
    </nc>
  </rcc>
  <rcc rId="4759" sId="5">
    <oc r="AC95">
      <f>VLOOKUP(A95,INPUT_RANGE,79,FALSE) &amp; " cg"</f>
    </oc>
    <nc r="AC95">
      <f>VLOOKUP(A95,INPUT_RANGE,79,FALSE) &amp; " CG"</f>
    </nc>
  </rcc>
  <rcc rId="4760" sId="5">
    <oc r="AD95">
      <f>VLOOKUP(A95,INPUT_RANGE,80,FALSE) &amp; " sho"</f>
    </oc>
    <nc r="AD95">
      <f>VLOOKUP(A95,INPUT_RANGE,80,FALSE) &amp; " SHO"</f>
    </nc>
  </rcc>
  <rcc rId="4761" sId="5">
    <oc r="AE95">
      <f>VLOOKUP(A95,INPUT_RANGE,75,FALSE) &amp; " win"</f>
    </oc>
    <nc r="AE95">
      <f>VLOOKUP(A95,INPUT_RANGE,75,FALSE) &amp; " Win"</f>
    </nc>
  </rcc>
  <rcc rId="4762" sId="5">
    <oc r="AF95">
      <f>VLOOKUP(A95,INPUT_RANGE,76,FALSE) &amp; " loss"</f>
    </oc>
    <nc r="AF95">
      <f>VLOOKUP(A95,INPUT_RANGE,76,FALSE) &amp; " Loss"</f>
    </nc>
  </rcc>
  <rcc rId="4763" sId="5">
    <oc r="AG95">
      <f>VLOOKUP(A95,INPUT_RANGE,75,FALSE) &amp; "-" &amp; VLOOKUP(A95,INPUT_RANGE,76,FALSE) &amp; " w-l"</f>
    </oc>
    <nc r="AG95">
      <f>VLOOKUP(A95,INPUT_RANGE,75,FALSE) &amp; "-" &amp; VLOOKUP(A95,INPUT_RANGE,76,FALSE) &amp; " W-L"</f>
    </nc>
  </rcc>
  <rcc rId="4764" sId="5">
    <oc r="AH95">
      <f>VLOOKUP(A95,INPUT_RANGE,81,FALSE)&amp; " saves"</f>
    </oc>
    <nc r="AH95">
      <f>VLOOKUP(A95,INPUT_RANGE,81,FALSE)&amp; " Saves"</f>
    </nc>
  </rcc>
  <rcc rId="4765" sId="5">
    <oc r="AI95">
      <f>VLOOKUP(A95,INPUT_RANGE,83,FALSE) &amp; " h"</f>
    </oc>
    <nc r="AI95">
      <f>VLOOKUP(A95,INPUT_RANGE,83,FALSE) &amp; " H"</f>
    </nc>
  </rcc>
  <rcc rId="4766" sId="5">
    <oc r="AJ95">
      <f>VLOOKUP(A95,INPUT_RANGE,84,FALSE) &amp; " r"</f>
    </oc>
    <nc r="AJ95">
      <f>VLOOKUP(A95,INPUT_RANGE,84,FALSE) &amp; " R"</f>
    </nc>
  </rcc>
  <rcc rId="4767" sId="5">
    <oc r="AK95">
      <f>VLOOKUP(A95,INPUT_RANGE,85,FALSE) &amp;" er"</f>
    </oc>
    <nc r="AK95">
      <f>VLOOKUP(A95,INPUT_RANGE,85,FALSE) &amp;" ER"</f>
    </nc>
  </rcc>
  <rcc rId="4768" sId="5">
    <oc r="AL95">
      <f>VLOOKUP(A95,INPUT_RANGE,88,FALSE) &amp;" hr"</f>
    </oc>
    <nc r="AL95">
      <f>VLOOKUP(A95,INPUT_RANGE,88,FALSE) &amp;" HR"</f>
    </nc>
  </rcc>
  <rcc rId="4769" sId="5">
    <oc r="AM95">
      <f>VLOOKUP(A95,INPUT_RANGE,87,FALSE) &amp; " k"</f>
    </oc>
    <nc r="AM95">
      <f>VLOOKUP(A95,INPUT_RANGE,87,FALSE) &amp; " K"</f>
    </nc>
  </rcc>
  <rcc rId="4770" sId="5">
    <oc r="AN95">
      <f>VLOOKUP(A95,INPUT_RANGE,86,FALSE) &amp; " bb"</f>
    </oc>
    <nc r="AN95">
      <f>VLOOKUP(A95,INPUT_RANGE,86,FALSE) &amp; " BB"</f>
    </nc>
  </rcc>
  <rcc rId="4771" sId="5">
    <oc r="AO95">
      <f>TEXT(AU95,"0.00") &amp; " era"</f>
    </oc>
    <nc r="AO95">
      <f>TEXT(AU95,"0.00") &amp; " ERA"</f>
    </nc>
  </rcc>
  <rcc rId="4772" sId="5">
    <oc r="AP95">
      <f>TEXT(AT95,"0.00") &amp; " whip"</f>
    </oc>
    <nc r="AP95">
      <f>TEXT(AT95,"0.00") &amp; " WHIP"</f>
    </nc>
  </rcc>
  <rcc rId="4773" sId="5">
    <oc r="AQ95">
      <f xml:space="preserve"> IF(LEFT(RIGHT((VLOOKUP(A95,INPUT_RANGE,82,FALSE)),2),1)=".",RIGHT(VLOOKUP(A95,INPUT_RANGE,82,FALSE),1), "X")</f>
    </oc>
    <nc r="AQ95">
      <f xml:space="preserve"> IF(LEFT(RIGHT((VLOOKUP(A95,INPUT_RANGE,82,FALSE)),2),1)=".",RIGHT(VLOOKUP(A95,INPUT_RANGE,82,FALSE),1), "X")</f>
    </nc>
  </rcc>
  <rcc rId="4774" sId="5">
    <oc r="AR95">
      <f>IF(AQ95 ="1",0.333,IF(AQ95="2",0.666,0))</f>
    </oc>
    <nc r="AR95">
      <f>IF(AQ95 ="1",0.333,IF(AQ95="2",0.666,0))</f>
    </nc>
  </rcc>
  <rcc rId="4775" sId="5">
    <oc r="AS95">
      <f>VLOOKUP(A95,INPUT_RANGE,82,FALSE)-(AQ95*0.1)+AR95</f>
    </oc>
    <nc r="AS95">
      <f>VLOOKUP(A95,INPUT_RANGE,82,FALSE)-(AQ95*0.1)+AR95</f>
    </nc>
  </rcc>
  <rcc rId="4776" sId="5">
    <oc r="AT95">
      <f>ROUND((VLOOKUP(A95,INPUT_RANGE,86,FALSE)+VLOOKUP(A95,INPUT_RANGE,83,FALSE))/AS95,2)</f>
    </oc>
    <nc r="AT95">
      <f>ROUND((VLOOKUP(A95,INPUT_RANGE,86,FALSE)+VLOOKUP(A95,INPUT_RANGE,83,FALSE))/AS95,2)</f>
    </nc>
  </rcc>
  <rcc rId="4777" sId="5">
    <oc r="AU95">
      <f>ROUND((VLOOKUP(A95,INPUT_RANGE,85,FALSE)/AS95)*('Team Info'!$H$25),2)</f>
    </oc>
    <nc r="AU95">
      <f>ROUND((VLOOKUP(A95,INPUT_RANGE,85,FALSE)/AS95)*('D:\Data\Softball\[ESPN_BASEBALL_AWAY_OLD.xlsx]Team Info'!$H$25),2)</f>
    </nc>
  </rcc>
  <rcc rId="4778" sId="5">
    <oc r="AW95">
      <f>(VLOOKUP(A95,INPUT_RANGE,54,FALSE)/VLOOKUP(A95,INPUT_RANGE,52,FALSE))</f>
    </oc>
    <nc r="AW95">
      <f>(VLOOKUP(A95,INPUT_RANGE,54,FALSE)/VLOOKUP(A95,INPUT_RANGE,52,FALSE))</f>
    </nc>
  </rcc>
  <rcc rId="4779" sId="5">
    <oc r="AX95">
      <f>((VLOOKUP(A95,INPUT_RANGE,54,FALSE)+VLOOKUP(A95,INPUT_RANGE,60,FALSE)+VLOOKUP(A95,INPUT_RANGE,59,FALSE))/(VLOOKUP(A95,INPUT_RANGE,52,FALSE)+VLOOKUP(A95,INPUT_RANGE,60,FALSE)+VLOOKUP(A95,INPUT_RANGE,59,FALSE)+VLOOKUP(A95,INPUT_RANGE,63,FALSE)))</f>
    </oc>
    <nc r="AX95">
      <f>((VLOOKUP(A95,INPUT_RANGE,54,FALSE)+VLOOKUP(A95,INPUT_RANGE,60,FALSE)+VLOOKUP(A95,INPUT_RANGE,59,FALSE))/(VLOOKUP(A95,INPUT_RANGE,52,FALSE)+VLOOKUP(A95,INPUT_RANGE,60,FALSE)+VLOOKUP(A95,INPUT_RANGE,59,FALSE)+VLOOKUP(A95,INPUT_RANGE,63,FALSE)))</f>
    </nc>
  </rcc>
  <rcc rId="4780" sId="5">
    <oc r="AY95">
      <f>(VLOOKUP(A95,INPUT_RANGE,54)+VLOOKUP(A95,INPUT_RANGE,55)+(VLOOKUP(A95,INPUT_RANGE,56)*2)+(VLOOKUP(A95,INPUT_RANGE,57)*3))/(VLOOKUP(A95,INPUT_RANGE,52))</f>
    </oc>
    <nc r="AY95">
      <f>(VLOOKUP(A95,INPUT_RANGE,54)+VLOOKUP(A95,INPUT_RANGE,55)+(VLOOKUP(A95,INPUT_RANGE,56)*2)+(VLOOKUP(A95,INPUT_RANGE,57)*3))/(VLOOKUP(A95,INPUT_RANGE,52))</f>
    </nc>
  </rcc>
  <rcc rId="4781" sId="5">
    <oc r="AZ95">
      <f>AX95+AY95</f>
    </oc>
    <nc r="AZ95">
      <f>AX95+AY95</f>
    </nc>
  </rcc>
  <rcc rId="4782" sId="5">
    <oc r="BA95">
      <f xml:space="preserve"> TEXT(AZ95,".000") &amp; " ops"</f>
    </oc>
    <nc r="BA95">
      <f xml:space="preserve"> TEXT(AZ95,".000") &amp; " OPS"</f>
    </nc>
  </rcc>
  <rcc rId="4783" sId="5">
    <oc r="BB95">
      <f>VLOOKUP(A95,INPUT_RANGE,78,FALSE)</f>
    </oc>
    <nc r="BB95">
      <f>VLOOKUP(A95,INPUT_RANGE,78,FALSE)</f>
    </nc>
  </rcc>
  <rcc rId="4784" sId="5">
    <oc r="BC95">
      <f>VLOOKUP(A95,INPUT_RANGE,77,FALSE)</f>
    </oc>
    <nc r="BC95">
      <f>VLOOKUP(A95,INPUT_RANGE,77,FALSE)</f>
    </nc>
  </rcc>
  <rcc rId="4785" sId="5">
    <oc r="BD95">
      <f>VLOOKUP(A95,INPUT_RANGE,75,FALSE) &amp; "-" &amp; VLOOKUP(A95,INPUT_RANGE,76,FALSE)</f>
    </oc>
    <nc r="BD95">
      <f>VLOOKUP(A95,INPUT_RANGE,75,FALSE) &amp; "-" &amp; VLOOKUP(A95,INPUT_RANGE,76,FALSE)</f>
    </nc>
  </rcc>
  <rcc rId="4786" sId="5">
    <oc r="BE95">
      <f>AU95</f>
    </oc>
    <nc r="BE95">
      <f>AU95</f>
    </nc>
  </rcc>
  <rcc rId="4787" sId="5">
    <oc r="BF95">
      <f>AA95</f>
    </oc>
    <nc r="BF95">
      <f>AA95</f>
    </nc>
  </rcc>
  <rcc rId="4788" sId="5">
    <oc r="BG95">
      <f>VLOOKUP(A95,INPUT_RANGE,86,FALSE)</f>
    </oc>
    <nc r="BG95">
      <f>VLOOKUP(A95,INPUT_RANGE,86,FALSE)</f>
    </nc>
  </rcc>
  <rcc rId="4789" sId="5">
    <oc r="BH95">
      <f>VLOOKUP(A95,INPUT_RANGE,87,FALSE)</f>
    </oc>
    <nc r="BH95">
      <f>VLOOKUP(A95,INPUT_RANGE,87,FALSE)</f>
    </nc>
  </rcc>
  <rcc rId="4790" sId="5">
    <oc r="BI95">
      <f>VLOOKUP(A95,INPUT_RANGE,81,FALSE) &amp; " SAVES"</f>
    </oc>
    <nc r="BI95">
      <f>VLOOKUP(A95,INPUT_RANGE,81,FALSE) &amp; " SAVES"</f>
    </nc>
  </rcc>
  <rcc rId="4791" sId="5">
    <oc r="BJ95">
      <f>VLOOKUP(A95,INPUT_RANGE,81,FALSE)</f>
    </oc>
    <nc r="BJ95">
      <f>VLOOKUP(A95,INPUT_RANGE,81,FALSE)</f>
    </nc>
  </rcc>
  <rcc rId="4792" sId="5">
    <oc r="BK95">
      <f>VLOOKUP(A95,INPUT_RANGE,83,FALSE)</f>
    </oc>
    <nc r="BK95">
      <f>VLOOKUP(A95,INPUT_RANGE,83,FALSE)</f>
    </nc>
  </rcc>
  <rcc rId="4793" sId="5">
    <oc r="BL95">
      <f>VLOOKUP(A95,INPUT_RANGE,87,FALSE) &amp; "/" &amp; VLOOKUP(A95,INPUT_RANGE,86,FALSE)</f>
    </oc>
    <nc r="BL95">
      <f>VLOOKUP(A95,INPUT_RANGE,87,FALSE) &amp; "/" &amp; VLOOKUP(A95,INPUT_RANGE,86,FALSE)</f>
    </nc>
  </rcc>
  <rcc rId="4794" sId="5">
    <oc r="BM95">
      <f>ROUND((VLOOKUP(A95,INPUT_RANGE,86,FALSE)+VLOOKUP(A95,INPUT_RANGE,83,FALSE))/AS95,2)</f>
    </oc>
    <nc r="BM95">
      <f>ROUND((VLOOKUP(A95,INPUT_RANGE,86,FALSE)+VLOOKUP(A95,INPUT_RANGE,83,FALSE))/AS95,2)</f>
    </nc>
  </rcc>
  <rcc rId="4795" sId="5">
    <oc r="M96">
      <f xml:space="preserve"> TEXT(AW96,".000") &amp; " ba"</f>
    </oc>
    <nc r="M96">
      <f xml:space="preserve"> TEXT(AW96,".000") &amp; " BA"</f>
    </nc>
  </rcc>
  <rcc rId="4796" sId="5">
    <oc r="N96">
      <f>VLOOKUP(A96,INPUT_RANGE,58,FALSE) &amp; " rbi"</f>
    </oc>
    <nc r="N96">
      <f>VLOOKUP(A96,INPUT_RANGE,58,FALSE) &amp; " RBI"</f>
    </nc>
  </rcc>
  <rcc rId="4797" sId="5">
    <oc r="O96">
      <f>VLOOKUP(A96,INPUT_RANGE,60,FALSE) &amp; " bb"</f>
    </oc>
    <nc r="O96">
      <f>VLOOKUP(A96,INPUT_RANGE,60,FALSE) &amp; " BB"</f>
    </nc>
  </rcc>
  <rcc rId="4798" sId="5">
    <oc r="P96">
      <f>VLOOKUP(A96,INPUT_RANGE,61,FALSE) &amp; " k"</f>
    </oc>
    <nc r="P96">
      <f>VLOOKUP(A96,INPUT_RANGE,61,FALSE) &amp; " K"</f>
    </nc>
  </rcc>
  <rcc rId="4799" sId="5">
    <oc r="Q96">
      <f>VLOOKUP(A96,INPUT_RANGE,64,FALSE) &amp; " sb"</f>
    </oc>
    <nc r="Q96">
      <f>VLOOKUP(A96,INPUT_RANGE,64,FALSE) &amp; " SB"</f>
    </nc>
  </rcc>
  <rcc rId="4800" sId="5">
    <oc r="R96">
      <f>VLOOKUP(A96,INPUT_RANGE,55,FALSE) &amp; " 2b"</f>
    </oc>
    <nc r="R96">
      <f>VLOOKUP(A96,INPUT_RANGE,55,FALSE) &amp; " 2B"</f>
    </nc>
  </rcc>
  <rcc rId="4801" sId="5">
    <oc r="S96">
      <f>VLOOKUP(A96,INPUT_RANGE,56,FALSE) &amp; " 3b"</f>
    </oc>
    <nc r="S96">
      <f>VLOOKUP(A96,INPUT_RANGE,56,FALSE) &amp; " 3B"</f>
    </nc>
  </rcc>
  <rcc rId="4802" sId="5">
    <oc r="T96">
      <f>VLOOKUP(A96,INPUT_RANGE,57,FALSE) &amp; " hr"</f>
    </oc>
    <nc r="T96">
      <f>VLOOKUP(A96,INPUT_RANGE,57,FALSE) &amp; " HR"</f>
    </nc>
  </rcc>
  <rcc rId="4803" sId="5">
    <oc r="U96">
      <f>VLOOKUP(A96,INPUT_RANGE,53,FALSE) &amp; " r"</f>
    </oc>
    <nc r="U96">
      <f>VLOOKUP(A96,INPUT_RANGE,53,FALSE) &amp; " R"</f>
    </nc>
  </rcc>
  <rcc rId="4804" sId="5">
    <oc r="V96">
      <f>TEXT(AX96, ".000") &amp; " obp"</f>
    </oc>
    <nc r="V96">
      <f>TEXT(AX96, ".000") &amp; " OBP"</f>
    </nc>
  </rcc>
  <rcc rId="4805" sId="5">
    <oc r="X96">
      <f>VLOOKUP(A96,INPUT_RANGE,77,FALSE)&amp;" games"</f>
    </oc>
    <nc r="X96">
      <f>VLOOKUP(A96,INPUT_RANGE,77,FALSE)&amp;" games"</f>
    </nc>
  </rcc>
  <rcc rId="4806" sId="5">
    <oc r="Y96">
      <f>VLOOKUP(A96,INPUT_RANGE,78,FALSE) &amp; " starts"</f>
    </oc>
    <nc r="Y96">
      <f>VLOOKUP(A96,INPUT_RANGE,78,FALSE) &amp; " starts"</f>
    </nc>
  </rcc>
  <rcc rId="4807" sId="5">
    <oc r="Z96">
      <f>VLOOKUP(A96,INPUT_RANGE,82,FALSE) &amp; " ip"</f>
    </oc>
    <nc r="Z96">
      <f>VLOOKUP(A96,INPUT_RANGE,82,FALSE) &amp; " IP"</f>
    </nc>
  </rcc>
  <rcc rId="4808" sId="5">
    <oc r="AA96">
      <f>TRUNC(VLOOKUP(A96,INPUT_RANGE,82,FALSE)) &amp;  IF(AR96=0.333,"º",IF(AR96=0.666,"»",""))</f>
    </oc>
    <nc r="AA96">
      <f>TRUNC(VLOOKUP(A96,INPUT_RANGE,82,FALSE)) &amp;  IF(AR96=0.333,"º",IF(AR96=0.666,"»",""))</f>
    </nc>
  </rcc>
  <rcc rId="4809" sId="5">
    <oc r="AB96">
      <f>AA96&amp; " ip"</f>
    </oc>
    <nc r="AB96">
      <f>AA96&amp; " IP"</f>
    </nc>
  </rcc>
  <rcc rId="4810" sId="5">
    <oc r="AC96">
      <f>VLOOKUP(A96,INPUT_RANGE,79,FALSE) &amp; " cg"</f>
    </oc>
    <nc r="AC96">
      <f>VLOOKUP(A96,INPUT_RANGE,79,FALSE) &amp; " CG"</f>
    </nc>
  </rcc>
  <rcc rId="4811" sId="5">
    <oc r="AD96">
      <f>VLOOKUP(A96,INPUT_RANGE,80,FALSE) &amp; " sho"</f>
    </oc>
    <nc r="AD96">
      <f>VLOOKUP(A96,INPUT_RANGE,80,FALSE) &amp; " SHO"</f>
    </nc>
  </rcc>
  <rcc rId="4812" sId="5">
    <oc r="AE96">
      <f>VLOOKUP(A96,INPUT_RANGE,75,FALSE) &amp; " win"</f>
    </oc>
    <nc r="AE96">
      <f>VLOOKUP(A96,INPUT_RANGE,75,FALSE) &amp; " Win"</f>
    </nc>
  </rcc>
  <rcc rId="4813" sId="5">
    <oc r="AF96">
      <f>VLOOKUP(A96,INPUT_RANGE,76,FALSE) &amp; " loss"</f>
    </oc>
    <nc r="AF96">
      <f>VLOOKUP(A96,INPUT_RANGE,76,FALSE) &amp; " Loss"</f>
    </nc>
  </rcc>
  <rcc rId="4814" sId="5">
    <oc r="AG96">
      <f>VLOOKUP(A96,INPUT_RANGE,75,FALSE) &amp; "-" &amp; VLOOKUP(A96,INPUT_RANGE,76,FALSE) &amp; " w-l"</f>
    </oc>
    <nc r="AG96">
      <f>VLOOKUP(A96,INPUT_RANGE,75,FALSE) &amp; "-" &amp; VLOOKUP(A96,INPUT_RANGE,76,FALSE) &amp; " W-L"</f>
    </nc>
  </rcc>
  <rcc rId="4815" sId="5">
    <oc r="AH96">
      <f>VLOOKUP(A96,INPUT_RANGE,81,FALSE)&amp; " saves"</f>
    </oc>
    <nc r="AH96">
      <f>VLOOKUP(A96,INPUT_RANGE,81,FALSE)&amp; " Saves"</f>
    </nc>
  </rcc>
  <rcc rId="4816" sId="5">
    <oc r="AI96">
      <f>VLOOKUP(A96,INPUT_RANGE,83,FALSE) &amp; " h"</f>
    </oc>
    <nc r="AI96">
      <f>VLOOKUP(A96,INPUT_RANGE,83,FALSE) &amp; " H"</f>
    </nc>
  </rcc>
  <rcc rId="4817" sId="5">
    <oc r="AJ96">
      <f>VLOOKUP(A96,INPUT_RANGE,84,FALSE) &amp; " r"</f>
    </oc>
    <nc r="AJ96">
      <f>VLOOKUP(A96,INPUT_RANGE,84,FALSE) &amp; " R"</f>
    </nc>
  </rcc>
  <rcc rId="4818" sId="5">
    <oc r="AK96">
      <f>VLOOKUP(A96,INPUT_RANGE,85,FALSE) &amp;" er"</f>
    </oc>
    <nc r="AK96">
      <f>VLOOKUP(A96,INPUT_RANGE,85,FALSE) &amp;" ER"</f>
    </nc>
  </rcc>
  <rcc rId="4819" sId="5">
    <oc r="AL96">
      <f>VLOOKUP(A96,INPUT_RANGE,88,FALSE) &amp;" hr"</f>
    </oc>
    <nc r="AL96">
      <f>VLOOKUP(A96,INPUT_RANGE,88,FALSE) &amp;" HR"</f>
    </nc>
  </rcc>
  <rcc rId="4820" sId="5">
    <oc r="AM96">
      <f>VLOOKUP(A96,INPUT_RANGE,87,FALSE) &amp; " k"</f>
    </oc>
    <nc r="AM96">
      <f>VLOOKUP(A96,INPUT_RANGE,87,FALSE) &amp; " K"</f>
    </nc>
  </rcc>
  <rcc rId="4821" sId="5">
    <oc r="AN96">
      <f>VLOOKUP(A96,INPUT_RANGE,86,FALSE) &amp; " bb"</f>
    </oc>
    <nc r="AN96">
      <f>VLOOKUP(A96,INPUT_RANGE,86,FALSE) &amp; " BB"</f>
    </nc>
  </rcc>
  <rcc rId="4822" sId="5">
    <oc r="AO96">
      <f>TEXT(AU96,"0.00") &amp; " era"</f>
    </oc>
    <nc r="AO96">
      <f>TEXT(AU96,"0.00") &amp; " ERA"</f>
    </nc>
  </rcc>
  <rcc rId="4823" sId="5">
    <oc r="AP96">
      <f>TEXT(AT96,"0.00") &amp; " whip"</f>
    </oc>
    <nc r="AP96">
      <f>TEXT(AT96,"0.00") &amp; " WHIP"</f>
    </nc>
  </rcc>
  <rcc rId="4824" sId="5">
    <oc r="AQ96">
      <f xml:space="preserve"> IF(LEFT(RIGHT((VLOOKUP(A96,INPUT_RANGE,82,FALSE)),2),1)=".",RIGHT(VLOOKUP(A96,INPUT_RANGE,82,FALSE),1), "X")</f>
    </oc>
    <nc r="AQ96">
      <f xml:space="preserve"> IF(LEFT(RIGHT((VLOOKUP(A96,INPUT_RANGE,82,FALSE)),2),1)=".",RIGHT(VLOOKUP(A96,INPUT_RANGE,82,FALSE),1), "X")</f>
    </nc>
  </rcc>
  <rcc rId="4825" sId="5">
    <oc r="AR96">
      <f>IF(AQ96 ="1",0.333,IF(AQ96="2",0.666,0))</f>
    </oc>
    <nc r="AR96">
      <f>IF(AQ96 ="1",0.333,IF(AQ96="2",0.666,0))</f>
    </nc>
  </rcc>
  <rcc rId="4826" sId="5">
    <oc r="AS96">
      <f>VLOOKUP(A96,INPUT_RANGE,82,FALSE)-(AQ96*0.1)+AR96</f>
    </oc>
    <nc r="AS96">
      <f>VLOOKUP(A96,INPUT_RANGE,82,FALSE)-(AQ96*0.1)+AR96</f>
    </nc>
  </rcc>
  <rcc rId="4827" sId="5">
    <oc r="AT96">
      <f>ROUND((VLOOKUP(A96,INPUT_RANGE,86,FALSE)+VLOOKUP(A96,INPUT_RANGE,83,FALSE))/AS96,2)</f>
    </oc>
    <nc r="AT96">
      <f>ROUND((VLOOKUP(A96,INPUT_RANGE,86,FALSE)+VLOOKUP(A96,INPUT_RANGE,83,FALSE))/AS96,2)</f>
    </nc>
  </rcc>
  <rcc rId="4828" sId="5">
    <oc r="AU96">
      <f>ROUND((VLOOKUP(A96,INPUT_RANGE,85,FALSE)/AS96)*('Team Info'!$H$25),2)</f>
    </oc>
    <nc r="AU96">
      <f>ROUND((VLOOKUP(A96,INPUT_RANGE,85,FALSE)/AS96)*('D:\Data\Softball\[ESPN_BASEBALL_AWAY_OLD.xlsx]Team Info'!$H$25),2)</f>
    </nc>
  </rcc>
  <rcc rId="4829" sId="5">
    <oc r="AW96">
      <f>(VLOOKUP(A96,INPUT_RANGE,54,FALSE)/VLOOKUP(A96,INPUT_RANGE,52,FALSE))</f>
    </oc>
    <nc r="AW96">
      <f>(VLOOKUP(A96,INPUT_RANGE,54,FALSE)/VLOOKUP(A96,INPUT_RANGE,52,FALSE))</f>
    </nc>
  </rcc>
  <rcc rId="4830" sId="5">
    <oc r="AX96">
      <f>((VLOOKUP(A96,INPUT_RANGE,54,FALSE)+VLOOKUP(A96,INPUT_RANGE,60,FALSE)+VLOOKUP(A96,INPUT_RANGE,59,FALSE))/(VLOOKUP(A96,INPUT_RANGE,52,FALSE)+VLOOKUP(A96,INPUT_RANGE,60,FALSE)+VLOOKUP(A96,INPUT_RANGE,59,FALSE)+VLOOKUP(A96,INPUT_RANGE,63,FALSE)))</f>
    </oc>
    <nc r="AX96">
      <f>((VLOOKUP(A96,INPUT_RANGE,54,FALSE)+VLOOKUP(A96,INPUT_RANGE,60,FALSE)+VLOOKUP(A96,INPUT_RANGE,59,FALSE))/(VLOOKUP(A96,INPUT_RANGE,52,FALSE)+VLOOKUP(A96,INPUT_RANGE,60,FALSE)+VLOOKUP(A96,INPUT_RANGE,59,FALSE)+VLOOKUP(A96,INPUT_RANGE,63,FALSE)))</f>
    </nc>
  </rcc>
  <rcc rId="4831" sId="5">
    <oc r="AY96">
      <f>(VLOOKUP(A96,INPUT_RANGE,54)+VLOOKUP(A96,INPUT_RANGE,55)+(VLOOKUP(A96,INPUT_RANGE,56)*2)+(VLOOKUP(A96,INPUT_RANGE,57)*3))/(VLOOKUP(A96,INPUT_RANGE,52))</f>
    </oc>
    <nc r="AY96">
      <f>(VLOOKUP(A96,INPUT_RANGE,54)+VLOOKUP(A96,INPUT_RANGE,55)+(VLOOKUP(A96,INPUT_RANGE,56)*2)+(VLOOKUP(A96,INPUT_RANGE,57)*3))/(VLOOKUP(A96,INPUT_RANGE,52))</f>
    </nc>
  </rcc>
  <rcc rId="4832" sId="5">
    <oc r="AZ96">
      <f>AX96+AY96</f>
    </oc>
    <nc r="AZ96">
      <f>AX96+AY96</f>
    </nc>
  </rcc>
  <rcc rId="4833" sId="5">
    <oc r="BA96">
      <f xml:space="preserve"> TEXT(AZ96,".000") &amp; " ops"</f>
    </oc>
    <nc r="BA96">
      <f xml:space="preserve"> TEXT(AZ96,".000") &amp; " OPS"</f>
    </nc>
  </rcc>
  <rcc rId="4834" sId="5">
    <oc r="BB96">
      <f>VLOOKUP(A96,INPUT_RANGE,78,FALSE)</f>
    </oc>
    <nc r="BB96">
      <f>VLOOKUP(A96,INPUT_RANGE,78,FALSE)</f>
    </nc>
  </rcc>
  <rcc rId="4835" sId="5">
    <oc r="BC96">
      <f>VLOOKUP(A96,INPUT_RANGE,77,FALSE)</f>
    </oc>
    <nc r="BC96">
      <f>VLOOKUP(A96,INPUT_RANGE,77,FALSE)</f>
    </nc>
  </rcc>
  <rcc rId="4836" sId="5">
    <oc r="BD96">
      <f>VLOOKUP(A96,INPUT_RANGE,75,FALSE) &amp; "-" &amp; VLOOKUP(A96,INPUT_RANGE,76,FALSE)</f>
    </oc>
    <nc r="BD96">
      <f>VLOOKUP(A96,INPUT_RANGE,75,FALSE) &amp; "-" &amp; VLOOKUP(A96,INPUT_RANGE,76,FALSE)</f>
    </nc>
  </rcc>
  <rcc rId="4837" sId="5">
    <oc r="BE96">
      <f>AU96</f>
    </oc>
    <nc r="BE96">
      <f>AU96</f>
    </nc>
  </rcc>
  <rcc rId="4838" sId="5">
    <oc r="BF96">
      <f>AA96</f>
    </oc>
    <nc r="BF96">
      <f>AA96</f>
    </nc>
  </rcc>
  <rcc rId="4839" sId="5">
    <oc r="BG96">
      <f>VLOOKUP(A96,INPUT_RANGE,86,FALSE)</f>
    </oc>
    <nc r="BG96">
      <f>VLOOKUP(A96,INPUT_RANGE,86,FALSE)</f>
    </nc>
  </rcc>
  <rcc rId="4840" sId="5">
    <oc r="BH96">
      <f>VLOOKUP(A96,INPUT_RANGE,87,FALSE)</f>
    </oc>
    <nc r="BH96">
      <f>VLOOKUP(A96,INPUT_RANGE,87,FALSE)</f>
    </nc>
  </rcc>
  <rcc rId="4841" sId="5">
    <oc r="BI96">
      <f>VLOOKUP(A96,INPUT_RANGE,81,FALSE) &amp; " SAVES"</f>
    </oc>
    <nc r="BI96">
      <f>VLOOKUP(A96,INPUT_RANGE,81,FALSE) &amp; " SAVES"</f>
    </nc>
  </rcc>
  <rcc rId="4842" sId="5">
    <oc r="BJ96">
      <f>VLOOKUP(A96,INPUT_RANGE,81,FALSE)</f>
    </oc>
    <nc r="BJ96">
      <f>VLOOKUP(A96,INPUT_RANGE,81,FALSE)</f>
    </nc>
  </rcc>
  <rcc rId="4843" sId="5">
    <oc r="BK96">
      <f>VLOOKUP(A96,INPUT_RANGE,83,FALSE)</f>
    </oc>
    <nc r="BK96">
      <f>VLOOKUP(A96,INPUT_RANGE,83,FALSE)</f>
    </nc>
  </rcc>
  <rcc rId="4844" sId="5">
    <oc r="BL96">
      <f>VLOOKUP(A96,INPUT_RANGE,87,FALSE) &amp; "/" &amp; VLOOKUP(A96,INPUT_RANGE,86,FALSE)</f>
    </oc>
    <nc r="BL96">
      <f>VLOOKUP(A96,INPUT_RANGE,87,FALSE) &amp; "/" &amp; VLOOKUP(A96,INPUT_RANGE,86,FALSE)</f>
    </nc>
  </rcc>
  <rcc rId="4845" sId="5">
    <oc r="BM96">
      <f>ROUND((VLOOKUP(A96,INPUT_RANGE,86,FALSE)+VLOOKUP(A96,INPUT_RANGE,83,FALSE))/AS96,2)</f>
    </oc>
    <nc r="BM96">
      <f>ROUND((VLOOKUP(A96,INPUT_RANGE,86,FALSE)+VLOOKUP(A96,INPUT_RANGE,83,FALSE))/AS96,2)</f>
    </nc>
  </rcc>
  <rcc rId="4846" sId="5">
    <oc r="M97">
      <f xml:space="preserve"> TEXT(AW97,".000") &amp; " ba"</f>
    </oc>
    <nc r="M97">
      <f xml:space="preserve"> TEXT(AW97,".000") &amp; " BA"</f>
    </nc>
  </rcc>
  <rcc rId="4847" sId="5">
    <oc r="N97">
      <f>VLOOKUP(A97,INPUT_RANGE,58,FALSE) &amp; " rbi"</f>
    </oc>
    <nc r="N97">
      <f>VLOOKUP(A97,INPUT_RANGE,58,FALSE) &amp; " RBI"</f>
    </nc>
  </rcc>
  <rcc rId="4848" sId="5">
    <oc r="O97">
      <f>VLOOKUP(A97,INPUT_RANGE,60,FALSE) &amp; " bb"</f>
    </oc>
    <nc r="O97">
      <f>VLOOKUP(A97,INPUT_RANGE,60,FALSE) &amp; " BB"</f>
    </nc>
  </rcc>
  <rcc rId="4849" sId="5">
    <oc r="P97">
      <f>VLOOKUP(A97,INPUT_RANGE,61,FALSE) &amp; " k"</f>
    </oc>
    <nc r="P97">
      <f>VLOOKUP(A97,INPUT_RANGE,61,FALSE) &amp; " K"</f>
    </nc>
  </rcc>
  <rcc rId="4850" sId="5">
    <oc r="Q97">
      <f>VLOOKUP(A97,INPUT_RANGE,64,FALSE) &amp; " sb"</f>
    </oc>
    <nc r="Q97">
      <f>VLOOKUP(A97,INPUT_RANGE,64,FALSE) &amp; " SB"</f>
    </nc>
  </rcc>
  <rcc rId="4851" sId="5">
    <oc r="R97">
      <f>VLOOKUP(A97,INPUT_RANGE,55,FALSE) &amp; " 2b"</f>
    </oc>
    <nc r="R97">
      <f>VLOOKUP(A97,INPUT_RANGE,55,FALSE) &amp; " 2B"</f>
    </nc>
  </rcc>
  <rcc rId="4852" sId="5">
    <oc r="S97">
      <f>VLOOKUP(A97,INPUT_RANGE,56,FALSE) &amp; " 3b"</f>
    </oc>
    <nc r="S97">
      <f>VLOOKUP(A97,INPUT_RANGE,56,FALSE) &amp; " 3B"</f>
    </nc>
  </rcc>
  <rcc rId="4853" sId="5">
    <oc r="T97">
      <f>VLOOKUP(A97,INPUT_RANGE,57,FALSE) &amp; " hr"</f>
    </oc>
    <nc r="T97">
      <f>VLOOKUP(A97,INPUT_RANGE,57,FALSE) &amp; " HR"</f>
    </nc>
  </rcc>
  <rcc rId="4854" sId="5">
    <oc r="U97">
      <f>VLOOKUP(A97,INPUT_RANGE,53,FALSE) &amp; " r"</f>
    </oc>
    <nc r="U97">
      <f>VLOOKUP(A97,INPUT_RANGE,53,FALSE) &amp; " R"</f>
    </nc>
  </rcc>
  <rcc rId="4855" sId="5">
    <oc r="V97">
      <f>TEXT(AX97, ".000") &amp; " obp"</f>
    </oc>
    <nc r="V97">
      <f>TEXT(AX97, ".000") &amp; " OBP"</f>
    </nc>
  </rcc>
  <rcc rId="4856" sId="5">
    <oc r="X97">
      <f>VLOOKUP(A97,INPUT_RANGE,77,FALSE)&amp;" games"</f>
    </oc>
    <nc r="X97">
      <f>VLOOKUP(A97,INPUT_RANGE,77,FALSE)&amp;" games"</f>
    </nc>
  </rcc>
  <rcc rId="4857" sId="5">
    <oc r="Y97">
      <f>VLOOKUP(A97,INPUT_RANGE,78,FALSE) &amp; " starts"</f>
    </oc>
    <nc r="Y97">
      <f>VLOOKUP(A97,INPUT_RANGE,78,FALSE) &amp; " starts"</f>
    </nc>
  </rcc>
  <rcc rId="4858" sId="5">
    <oc r="Z97">
      <f>VLOOKUP(A97,INPUT_RANGE,82,FALSE) &amp; " ip"</f>
    </oc>
    <nc r="Z97">
      <f>VLOOKUP(A97,INPUT_RANGE,82,FALSE) &amp; " IP"</f>
    </nc>
  </rcc>
  <rcc rId="4859" sId="5">
    <oc r="AA97">
      <f>TRUNC(VLOOKUP(A97,INPUT_RANGE,82,FALSE)) &amp;  IF(AR97=0.333,"º",IF(AR97=0.666,"»",""))</f>
    </oc>
    <nc r="AA97">
      <f>TRUNC(VLOOKUP(A97,INPUT_RANGE,82,FALSE)) &amp;  IF(AR97=0.333,"º",IF(AR97=0.666,"»",""))</f>
    </nc>
  </rcc>
  <rcc rId="4860" sId="5">
    <oc r="AB97">
      <f>AA97&amp; " ip"</f>
    </oc>
    <nc r="AB97">
      <f>AA97&amp; " IP"</f>
    </nc>
  </rcc>
  <rcc rId="4861" sId="5">
    <oc r="AC97">
      <f>VLOOKUP(A97,INPUT_RANGE,79,FALSE) &amp; " cg"</f>
    </oc>
    <nc r="AC97">
      <f>VLOOKUP(A97,INPUT_RANGE,79,FALSE) &amp; " CG"</f>
    </nc>
  </rcc>
  <rcc rId="4862" sId="5">
    <oc r="AD97">
      <f>VLOOKUP(A97,INPUT_RANGE,80,FALSE) &amp; " sho"</f>
    </oc>
    <nc r="AD97">
      <f>VLOOKUP(A97,INPUT_RANGE,80,FALSE) &amp; " SHO"</f>
    </nc>
  </rcc>
  <rcc rId="4863" sId="5">
    <oc r="AE97">
      <f>VLOOKUP(A97,INPUT_RANGE,75,FALSE) &amp; " win"</f>
    </oc>
    <nc r="AE97">
      <f>VLOOKUP(A97,INPUT_RANGE,75,FALSE) &amp; " Win"</f>
    </nc>
  </rcc>
  <rcc rId="4864" sId="5">
    <oc r="AF97">
      <f>VLOOKUP(A97,INPUT_RANGE,76,FALSE) &amp; " loss"</f>
    </oc>
    <nc r="AF97">
      <f>VLOOKUP(A97,INPUT_RANGE,76,FALSE) &amp; " Loss"</f>
    </nc>
  </rcc>
  <rcc rId="4865" sId="5">
    <oc r="AG97">
      <f>VLOOKUP(A97,INPUT_RANGE,75,FALSE) &amp; "-" &amp; VLOOKUP(A97,INPUT_RANGE,76,FALSE) &amp; " w-l"</f>
    </oc>
    <nc r="AG97">
      <f>VLOOKUP(A97,INPUT_RANGE,75,FALSE) &amp; "-" &amp; VLOOKUP(A97,INPUT_RANGE,76,FALSE) &amp; " W-L"</f>
    </nc>
  </rcc>
  <rcc rId="4866" sId="5">
    <oc r="AH97">
      <f>VLOOKUP(A97,INPUT_RANGE,81,FALSE)&amp; " saves"</f>
    </oc>
    <nc r="AH97">
      <f>VLOOKUP(A97,INPUT_RANGE,81,FALSE)&amp; " Saves"</f>
    </nc>
  </rcc>
  <rcc rId="4867" sId="5">
    <oc r="AI97">
      <f>VLOOKUP(A97,INPUT_RANGE,83,FALSE) &amp; " h"</f>
    </oc>
    <nc r="AI97">
      <f>VLOOKUP(A97,INPUT_RANGE,83,FALSE) &amp; " H"</f>
    </nc>
  </rcc>
  <rcc rId="4868" sId="5">
    <oc r="AJ97">
      <f>VLOOKUP(A97,INPUT_RANGE,84,FALSE) &amp; " r"</f>
    </oc>
    <nc r="AJ97">
      <f>VLOOKUP(A97,INPUT_RANGE,84,FALSE) &amp; " R"</f>
    </nc>
  </rcc>
  <rcc rId="4869" sId="5">
    <oc r="AK97">
      <f>VLOOKUP(A97,INPUT_RANGE,85,FALSE) &amp;" er"</f>
    </oc>
    <nc r="AK97">
      <f>VLOOKUP(A97,INPUT_RANGE,85,FALSE) &amp;" ER"</f>
    </nc>
  </rcc>
  <rcc rId="4870" sId="5">
    <oc r="AL97">
      <f>VLOOKUP(A97,INPUT_RANGE,88,FALSE) &amp;" hr"</f>
    </oc>
    <nc r="AL97">
      <f>VLOOKUP(A97,INPUT_RANGE,88,FALSE) &amp;" HR"</f>
    </nc>
  </rcc>
  <rcc rId="4871" sId="5">
    <oc r="AM97">
      <f>VLOOKUP(A97,INPUT_RANGE,87,FALSE) &amp; " k"</f>
    </oc>
    <nc r="AM97">
      <f>VLOOKUP(A97,INPUT_RANGE,87,FALSE) &amp; " K"</f>
    </nc>
  </rcc>
  <rcc rId="4872" sId="5">
    <oc r="AN97">
      <f>VLOOKUP(A97,INPUT_RANGE,86,FALSE) &amp; " bb"</f>
    </oc>
    <nc r="AN97">
      <f>VLOOKUP(A97,INPUT_RANGE,86,FALSE) &amp; " BB"</f>
    </nc>
  </rcc>
  <rcc rId="4873" sId="5">
    <oc r="AO97">
      <f>TEXT(AU97,"0.00") &amp; " era"</f>
    </oc>
    <nc r="AO97">
      <f>TEXT(AU97,"0.00") &amp; " ERA"</f>
    </nc>
  </rcc>
  <rcc rId="4874" sId="5">
    <oc r="AP97">
      <f>TEXT(AT97,"0.00") &amp; " whip"</f>
    </oc>
    <nc r="AP97">
      <f>TEXT(AT97,"0.00") &amp; " WHIP"</f>
    </nc>
  </rcc>
  <rcc rId="4875" sId="5">
    <oc r="AQ97">
      <f xml:space="preserve"> IF(LEFT(RIGHT((VLOOKUP(A97,INPUT_RANGE,82,FALSE)),2),1)=".",RIGHT(VLOOKUP(A97,INPUT_RANGE,82,FALSE),1), "X")</f>
    </oc>
    <nc r="AQ97">
      <f xml:space="preserve"> IF(LEFT(RIGHT((VLOOKUP(A97,INPUT_RANGE,82,FALSE)),2),1)=".",RIGHT(VLOOKUP(A97,INPUT_RANGE,82,FALSE),1), "X")</f>
    </nc>
  </rcc>
  <rcc rId="4876" sId="5">
    <oc r="AR97">
      <f>IF(AQ97 ="1",0.333,IF(AQ97="2",0.666,0))</f>
    </oc>
    <nc r="AR97">
      <f>IF(AQ97 ="1",0.333,IF(AQ97="2",0.666,0))</f>
    </nc>
  </rcc>
  <rcc rId="4877" sId="5">
    <oc r="AS97">
      <f>VLOOKUP(A97,INPUT_RANGE,82,FALSE)-(AQ97*0.1)+AR97</f>
    </oc>
    <nc r="AS97">
      <f>VLOOKUP(A97,INPUT_RANGE,82,FALSE)-(AQ97*0.1)+AR97</f>
    </nc>
  </rcc>
  <rcc rId="4878" sId="5">
    <oc r="AT97">
      <f>ROUND((VLOOKUP(A97,INPUT_RANGE,86,FALSE)+VLOOKUP(A97,INPUT_RANGE,83,FALSE))/AS97,2)</f>
    </oc>
    <nc r="AT97">
      <f>ROUND((VLOOKUP(A97,INPUT_RANGE,86,FALSE)+VLOOKUP(A97,INPUT_RANGE,83,FALSE))/AS97,2)</f>
    </nc>
  </rcc>
  <rcc rId="4879" sId="5">
    <oc r="AU97">
      <f>ROUND((VLOOKUP(A97,INPUT_RANGE,85,FALSE)/AS97)*('Team Info'!$H$25),2)</f>
    </oc>
    <nc r="AU97">
      <f>ROUND((VLOOKUP(A97,INPUT_RANGE,85,FALSE)/AS97)*('D:\Data\Softball\[ESPN_BASEBALL_AWAY_OLD.xlsx]Team Info'!$H$25),2)</f>
    </nc>
  </rcc>
  <rcc rId="4880" sId="5">
    <oc r="AW97">
      <f>(VLOOKUP(A97,INPUT_RANGE,54,FALSE)/VLOOKUP(A97,INPUT_RANGE,52,FALSE))</f>
    </oc>
    <nc r="AW97">
      <f>(VLOOKUP(A97,INPUT_RANGE,54,FALSE)/VLOOKUP(A97,INPUT_RANGE,52,FALSE))</f>
    </nc>
  </rcc>
  <rcc rId="4881" sId="5">
    <oc r="AX97">
      <f>((VLOOKUP(A97,INPUT_RANGE,54,FALSE)+VLOOKUP(A97,INPUT_RANGE,60,FALSE)+VLOOKUP(A97,INPUT_RANGE,59,FALSE))/(VLOOKUP(A97,INPUT_RANGE,52,FALSE)+VLOOKUP(A97,INPUT_RANGE,60,FALSE)+VLOOKUP(A97,INPUT_RANGE,59,FALSE)+VLOOKUP(A97,INPUT_RANGE,63,FALSE)))</f>
    </oc>
    <nc r="AX97">
      <f>((VLOOKUP(A97,INPUT_RANGE,54,FALSE)+VLOOKUP(A97,INPUT_RANGE,60,FALSE)+VLOOKUP(A97,INPUT_RANGE,59,FALSE))/(VLOOKUP(A97,INPUT_RANGE,52,FALSE)+VLOOKUP(A97,INPUT_RANGE,60,FALSE)+VLOOKUP(A97,INPUT_RANGE,59,FALSE)+VLOOKUP(A97,INPUT_RANGE,63,FALSE)))</f>
    </nc>
  </rcc>
  <rcc rId="4882" sId="5">
    <oc r="AY97">
      <f>(VLOOKUP(A97,INPUT_RANGE,54)+VLOOKUP(A97,INPUT_RANGE,55)+(VLOOKUP(A97,INPUT_RANGE,56)*2)+(VLOOKUP(A97,INPUT_RANGE,57)*3))/(VLOOKUP(A97,INPUT_RANGE,52))</f>
    </oc>
    <nc r="AY97">
      <f>(VLOOKUP(A97,INPUT_RANGE,54)+VLOOKUP(A97,INPUT_RANGE,55)+(VLOOKUP(A97,INPUT_RANGE,56)*2)+(VLOOKUP(A97,INPUT_RANGE,57)*3))/(VLOOKUP(A97,INPUT_RANGE,52))</f>
    </nc>
  </rcc>
  <rcc rId="4883" sId="5">
    <oc r="AZ97">
      <f>AX97+AY97</f>
    </oc>
    <nc r="AZ97">
      <f>AX97+AY97</f>
    </nc>
  </rcc>
  <rcc rId="4884" sId="5">
    <oc r="BA97">
      <f xml:space="preserve"> TEXT(AZ97,".000") &amp; " ops"</f>
    </oc>
    <nc r="BA97">
      <f xml:space="preserve"> TEXT(AZ97,".000") &amp; " OPS"</f>
    </nc>
  </rcc>
  <rcc rId="4885" sId="5">
    <oc r="BB97">
      <f>VLOOKUP(A97,INPUT_RANGE,78,FALSE)</f>
    </oc>
    <nc r="BB97">
      <f>VLOOKUP(A97,INPUT_RANGE,78,FALSE)</f>
    </nc>
  </rcc>
  <rcc rId="4886" sId="5">
    <oc r="BC97">
      <f>VLOOKUP(A97,INPUT_RANGE,77,FALSE)</f>
    </oc>
    <nc r="BC97">
      <f>VLOOKUP(A97,INPUT_RANGE,77,FALSE)</f>
    </nc>
  </rcc>
  <rcc rId="4887" sId="5">
    <oc r="BD97">
      <f>VLOOKUP(A97,INPUT_RANGE,75,FALSE) &amp; "-" &amp; VLOOKUP(A97,INPUT_RANGE,76,FALSE)</f>
    </oc>
    <nc r="BD97">
      <f>VLOOKUP(A97,INPUT_RANGE,75,FALSE) &amp; "-" &amp; VLOOKUP(A97,INPUT_RANGE,76,FALSE)</f>
    </nc>
  </rcc>
  <rcc rId="4888" sId="5">
    <oc r="BE97">
      <f>AU97</f>
    </oc>
    <nc r="BE97">
      <f>AU97</f>
    </nc>
  </rcc>
  <rcc rId="4889" sId="5">
    <oc r="BF97">
      <f>AA97</f>
    </oc>
    <nc r="BF97">
      <f>AA97</f>
    </nc>
  </rcc>
  <rcc rId="4890" sId="5">
    <oc r="BG97">
      <f>VLOOKUP(A97,INPUT_RANGE,86,FALSE)</f>
    </oc>
    <nc r="BG97">
      <f>VLOOKUP(A97,INPUT_RANGE,86,FALSE)</f>
    </nc>
  </rcc>
  <rcc rId="4891" sId="5">
    <oc r="BH97">
      <f>VLOOKUP(A97,INPUT_RANGE,87,FALSE)</f>
    </oc>
    <nc r="BH97">
      <f>VLOOKUP(A97,INPUT_RANGE,87,FALSE)</f>
    </nc>
  </rcc>
  <rcc rId="4892" sId="5">
    <oc r="BI97">
      <f>VLOOKUP(A97,INPUT_RANGE,81,FALSE) &amp; " SAVES"</f>
    </oc>
    <nc r="BI97">
      <f>VLOOKUP(A97,INPUT_RANGE,81,FALSE) &amp; " SAVES"</f>
    </nc>
  </rcc>
  <rcc rId="4893" sId="5">
    <oc r="BJ97">
      <f>VLOOKUP(A97,INPUT_RANGE,81,FALSE)</f>
    </oc>
    <nc r="BJ97">
      <f>VLOOKUP(A97,INPUT_RANGE,81,FALSE)</f>
    </nc>
  </rcc>
  <rcc rId="4894" sId="5">
    <oc r="BK97">
      <f>VLOOKUP(A97,INPUT_RANGE,83,FALSE)</f>
    </oc>
    <nc r="BK97">
      <f>VLOOKUP(A97,INPUT_RANGE,83,FALSE)</f>
    </nc>
  </rcc>
  <rcc rId="4895" sId="5">
    <oc r="BL97">
      <f>VLOOKUP(A97,INPUT_RANGE,87,FALSE) &amp; "/" &amp; VLOOKUP(A97,INPUT_RANGE,86,FALSE)</f>
    </oc>
    <nc r="BL97">
      <f>VLOOKUP(A97,INPUT_RANGE,87,FALSE) &amp; "/" &amp; VLOOKUP(A97,INPUT_RANGE,86,FALSE)</f>
    </nc>
  </rcc>
  <rcc rId="4896" sId="5">
    <oc r="BM97">
      <f>ROUND((VLOOKUP(A97,INPUT_RANGE,86,FALSE)+VLOOKUP(A97,INPUT_RANGE,83,FALSE))/AS97,2)</f>
    </oc>
    <nc r="BM97">
      <f>ROUND((VLOOKUP(A97,INPUT_RANGE,86,FALSE)+VLOOKUP(A97,INPUT_RANGE,83,FALSE))/AS97,2)</f>
    </nc>
  </rcc>
  <rcc rId="4897" sId="5">
    <oc r="M98">
      <f xml:space="preserve"> TEXT(AW98,".000") &amp; " ba"</f>
    </oc>
    <nc r="M98">
      <f xml:space="preserve"> TEXT(AW98,".000") &amp; " BA"</f>
    </nc>
  </rcc>
  <rcc rId="4898" sId="5">
    <oc r="N98">
      <f>VLOOKUP(A98,INPUT_RANGE,58,FALSE) &amp; " rbi"</f>
    </oc>
    <nc r="N98">
      <f>VLOOKUP(A98,INPUT_RANGE,58,FALSE) &amp; " RBI"</f>
    </nc>
  </rcc>
  <rcc rId="4899" sId="5">
    <oc r="O98">
      <f>VLOOKUP(A98,INPUT_RANGE,60,FALSE) &amp; " bb"</f>
    </oc>
    <nc r="O98">
      <f>VLOOKUP(A98,INPUT_RANGE,60,FALSE) &amp; " BB"</f>
    </nc>
  </rcc>
  <rcc rId="4900" sId="5">
    <oc r="P98">
      <f>VLOOKUP(A98,INPUT_RANGE,61,FALSE) &amp; " k"</f>
    </oc>
    <nc r="P98">
      <f>VLOOKUP(A98,INPUT_RANGE,61,FALSE) &amp; " K"</f>
    </nc>
  </rcc>
  <rcc rId="4901" sId="5">
    <oc r="Q98">
      <f>VLOOKUP(A98,INPUT_RANGE,64,FALSE) &amp; " sb"</f>
    </oc>
    <nc r="Q98">
      <f>VLOOKUP(A98,INPUT_RANGE,64,FALSE) &amp; " SB"</f>
    </nc>
  </rcc>
  <rcc rId="4902" sId="5">
    <oc r="R98">
      <f>VLOOKUP(A98,INPUT_RANGE,55,FALSE) &amp; " 2b"</f>
    </oc>
    <nc r="R98">
      <f>VLOOKUP(A98,INPUT_RANGE,55,FALSE) &amp; " 2B"</f>
    </nc>
  </rcc>
  <rcc rId="4903" sId="5">
    <oc r="S98">
      <f>VLOOKUP(A98,INPUT_RANGE,56,FALSE) &amp; " 3b"</f>
    </oc>
    <nc r="S98">
      <f>VLOOKUP(A98,INPUT_RANGE,56,FALSE) &amp; " 3B"</f>
    </nc>
  </rcc>
  <rcc rId="4904" sId="5">
    <oc r="T98">
      <f>VLOOKUP(A98,INPUT_RANGE,57,FALSE) &amp; " hr"</f>
    </oc>
    <nc r="T98">
      <f>VLOOKUP(A98,INPUT_RANGE,57,FALSE) &amp; " HR"</f>
    </nc>
  </rcc>
  <rcc rId="4905" sId="5">
    <oc r="U98">
      <f>VLOOKUP(A98,INPUT_RANGE,53,FALSE) &amp; " r"</f>
    </oc>
    <nc r="U98">
      <f>VLOOKUP(A98,INPUT_RANGE,53,FALSE) &amp; " R"</f>
    </nc>
  </rcc>
  <rcc rId="4906" sId="5">
    <oc r="V98">
      <f>TEXT(AX98, ".000") &amp; " obp"</f>
    </oc>
    <nc r="V98">
      <f>TEXT(AX98, ".000") &amp; " OBP"</f>
    </nc>
  </rcc>
  <rcc rId="4907" sId="5">
    <oc r="X98">
      <f>VLOOKUP(A98,INPUT_RANGE,77,FALSE)&amp;" games"</f>
    </oc>
    <nc r="X98">
      <f>VLOOKUP(A98,INPUT_RANGE,77,FALSE)&amp;" games"</f>
    </nc>
  </rcc>
  <rcc rId="4908" sId="5">
    <oc r="Y98">
      <f>VLOOKUP(A98,INPUT_RANGE,78,FALSE) &amp; " starts"</f>
    </oc>
    <nc r="Y98">
      <f>VLOOKUP(A98,INPUT_RANGE,78,FALSE) &amp; " starts"</f>
    </nc>
  </rcc>
  <rcc rId="4909" sId="5">
    <oc r="Z98">
      <f>VLOOKUP(A98,INPUT_RANGE,82,FALSE) &amp; " ip"</f>
    </oc>
    <nc r="Z98">
      <f>VLOOKUP(A98,INPUT_RANGE,82,FALSE) &amp; " IP"</f>
    </nc>
  </rcc>
  <rcc rId="4910" sId="5">
    <oc r="AA98">
      <f>TRUNC(VLOOKUP(A98,INPUT_RANGE,82,FALSE)) &amp;  IF(AR98=0.333,"º",IF(AR98=0.666,"»",""))</f>
    </oc>
    <nc r="AA98">
      <f>TRUNC(VLOOKUP(A98,INPUT_RANGE,82,FALSE)) &amp;  IF(AR98=0.333,"º",IF(AR98=0.666,"»",""))</f>
    </nc>
  </rcc>
  <rcc rId="4911" sId="5">
    <oc r="AB98">
      <f>AA98&amp; " ip"</f>
    </oc>
    <nc r="AB98">
      <f>AA98&amp; " IP"</f>
    </nc>
  </rcc>
  <rcc rId="4912" sId="5">
    <oc r="AC98">
      <f>VLOOKUP(A98,INPUT_RANGE,79,FALSE) &amp; " cg"</f>
    </oc>
    <nc r="AC98">
      <f>VLOOKUP(A98,INPUT_RANGE,79,FALSE) &amp; " CG"</f>
    </nc>
  </rcc>
  <rcc rId="4913" sId="5">
    <oc r="AD98">
      <f>VLOOKUP(A98,INPUT_RANGE,80,FALSE) &amp; " sho"</f>
    </oc>
    <nc r="AD98">
      <f>VLOOKUP(A98,INPUT_RANGE,80,FALSE) &amp; " SHO"</f>
    </nc>
  </rcc>
  <rcc rId="4914" sId="5">
    <oc r="AE98">
      <f>VLOOKUP(A98,INPUT_RANGE,75,FALSE) &amp; " win"</f>
    </oc>
    <nc r="AE98">
      <f>VLOOKUP(A98,INPUT_RANGE,75,FALSE) &amp; " Win"</f>
    </nc>
  </rcc>
  <rcc rId="4915" sId="5">
    <oc r="AF98">
      <f>VLOOKUP(A98,INPUT_RANGE,76,FALSE) &amp; " loss"</f>
    </oc>
    <nc r="AF98">
      <f>VLOOKUP(A98,INPUT_RANGE,76,FALSE) &amp; " Loss"</f>
    </nc>
  </rcc>
  <rcc rId="4916" sId="5">
    <oc r="AG98">
      <f>VLOOKUP(A98,INPUT_RANGE,75,FALSE) &amp; "-" &amp; VLOOKUP(A98,INPUT_RANGE,76,FALSE) &amp; " w-l"</f>
    </oc>
    <nc r="AG98">
      <f>VLOOKUP(A98,INPUT_RANGE,75,FALSE) &amp; "-" &amp; VLOOKUP(A98,INPUT_RANGE,76,FALSE) &amp; " W-L"</f>
    </nc>
  </rcc>
  <rcc rId="4917" sId="5">
    <oc r="AH98">
      <f>VLOOKUP(A98,INPUT_RANGE,81,FALSE)&amp; " saves"</f>
    </oc>
    <nc r="AH98">
      <f>VLOOKUP(A98,INPUT_RANGE,81,FALSE)&amp; " Saves"</f>
    </nc>
  </rcc>
  <rcc rId="4918" sId="5">
    <oc r="AI98">
      <f>VLOOKUP(A98,INPUT_RANGE,83,FALSE) &amp; " h"</f>
    </oc>
    <nc r="AI98">
      <f>VLOOKUP(A98,INPUT_RANGE,83,FALSE) &amp; " H"</f>
    </nc>
  </rcc>
  <rcc rId="4919" sId="5">
    <oc r="AJ98">
      <f>VLOOKUP(A98,INPUT_RANGE,84,FALSE) &amp; " r"</f>
    </oc>
    <nc r="AJ98">
      <f>VLOOKUP(A98,INPUT_RANGE,84,FALSE) &amp; " R"</f>
    </nc>
  </rcc>
  <rcc rId="4920" sId="5">
    <oc r="AK98">
      <f>VLOOKUP(A98,INPUT_RANGE,85,FALSE) &amp;" er"</f>
    </oc>
    <nc r="AK98">
      <f>VLOOKUP(A98,INPUT_RANGE,85,FALSE) &amp;" ER"</f>
    </nc>
  </rcc>
  <rcc rId="4921" sId="5">
    <oc r="AL98">
      <f>VLOOKUP(A98,INPUT_RANGE,88,FALSE) &amp;" hr"</f>
    </oc>
    <nc r="AL98">
      <f>VLOOKUP(A98,INPUT_RANGE,88,FALSE) &amp;" HR"</f>
    </nc>
  </rcc>
  <rcc rId="4922" sId="5">
    <oc r="AM98">
      <f>VLOOKUP(A98,INPUT_RANGE,87,FALSE) &amp; " k"</f>
    </oc>
    <nc r="AM98">
      <f>VLOOKUP(A98,INPUT_RANGE,87,FALSE) &amp; " K"</f>
    </nc>
  </rcc>
  <rcc rId="4923" sId="5">
    <oc r="AN98">
      <f>VLOOKUP(A98,INPUT_RANGE,86,FALSE) &amp; " bb"</f>
    </oc>
    <nc r="AN98">
      <f>VLOOKUP(A98,INPUT_RANGE,86,FALSE) &amp; " BB"</f>
    </nc>
  </rcc>
  <rcc rId="4924" sId="5">
    <oc r="AO98">
      <f>TEXT(AU98,"0.00") &amp; " era"</f>
    </oc>
    <nc r="AO98">
      <f>TEXT(AU98,"0.00") &amp; " ERA"</f>
    </nc>
  </rcc>
  <rcc rId="4925" sId="5">
    <oc r="AP98">
      <f>TEXT(AT98,"0.00") &amp; " whip"</f>
    </oc>
    <nc r="AP98">
      <f>TEXT(AT98,"0.00") &amp; " WHIP"</f>
    </nc>
  </rcc>
  <rcc rId="4926" sId="5">
    <oc r="AQ98">
      <f xml:space="preserve"> IF(LEFT(RIGHT((VLOOKUP(A98,INPUT_RANGE,82,FALSE)),2),1)=".",RIGHT(VLOOKUP(A98,INPUT_RANGE,82,FALSE),1), "X")</f>
    </oc>
    <nc r="AQ98">
      <f xml:space="preserve"> IF(LEFT(RIGHT((VLOOKUP(A98,INPUT_RANGE,82,FALSE)),2),1)=".",RIGHT(VLOOKUP(A98,INPUT_RANGE,82,FALSE),1), "X")</f>
    </nc>
  </rcc>
  <rcc rId="4927" sId="5">
    <oc r="AR98">
      <f>IF(AQ98 ="1",0.333,IF(AQ98="2",0.666,0))</f>
    </oc>
    <nc r="AR98">
      <f>IF(AQ98 ="1",0.333,IF(AQ98="2",0.666,0))</f>
    </nc>
  </rcc>
  <rcc rId="4928" sId="5">
    <oc r="AS98">
      <f>VLOOKUP(A98,INPUT_RANGE,82,FALSE)-(AQ98*0.1)+AR98</f>
    </oc>
    <nc r="AS98">
      <f>VLOOKUP(A98,INPUT_RANGE,82,FALSE)-(AQ98*0.1)+AR98</f>
    </nc>
  </rcc>
  <rcc rId="4929" sId="5">
    <oc r="AT98">
      <f>ROUND((VLOOKUP(A98,INPUT_RANGE,86,FALSE)+VLOOKUP(A98,INPUT_RANGE,83,FALSE))/AS98,2)</f>
    </oc>
    <nc r="AT98">
      <f>ROUND((VLOOKUP(A98,INPUT_RANGE,86,FALSE)+VLOOKUP(A98,INPUT_RANGE,83,FALSE))/AS98,2)</f>
    </nc>
  </rcc>
  <rcc rId="4930" sId="5">
    <oc r="AU98">
      <f>ROUND((VLOOKUP(A98,INPUT_RANGE,85,FALSE)/AS98)*('Team Info'!$H$25),2)</f>
    </oc>
    <nc r="AU98">
      <f>ROUND((VLOOKUP(A98,INPUT_RANGE,85,FALSE)/AS98)*('D:\Data\Softball\[ESPN_BASEBALL_AWAY_OLD.xlsx]Team Info'!$H$25),2)</f>
    </nc>
  </rcc>
  <rcc rId="4931" sId="5">
    <oc r="AW98">
      <f>(VLOOKUP(A98,INPUT_RANGE,54,FALSE)/VLOOKUP(A98,INPUT_RANGE,52,FALSE))</f>
    </oc>
    <nc r="AW98">
      <f>(VLOOKUP(A98,INPUT_RANGE,54,FALSE)/VLOOKUP(A98,INPUT_RANGE,52,FALSE))</f>
    </nc>
  </rcc>
  <rcc rId="4932" sId="5">
    <oc r="AX98">
      <f>((VLOOKUP(A98,INPUT_RANGE,54,FALSE)+VLOOKUP(A98,INPUT_RANGE,60,FALSE)+VLOOKUP(A98,INPUT_RANGE,59,FALSE))/(VLOOKUP(A98,INPUT_RANGE,52,FALSE)+VLOOKUP(A98,INPUT_RANGE,60,FALSE)+VLOOKUP(A98,INPUT_RANGE,59,FALSE)+VLOOKUP(A98,INPUT_RANGE,63,FALSE)))</f>
    </oc>
    <nc r="AX98">
      <f>((VLOOKUP(A98,INPUT_RANGE,54,FALSE)+VLOOKUP(A98,INPUT_RANGE,60,FALSE)+VLOOKUP(A98,INPUT_RANGE,59,FALSE))/(VLOOKUP(A98,INPUT_RANGE,52,FALSE)+VLOOKUP(A98,INPUT_RANGE,60,FALSE)+VLOOKUP(A98,INPUT_RANGE,59,FALSE)+VLOOKUP(A98,INPUT_RANGE,63,FALSE)))</f>
    </nc>
  </rcc>
  <rcc rId="4933" sId="5">
    <oc r="AY98">
      <f>(VLOOKUP(A98,INPUT_RANGE,54)+VLOOKUP(A98,INPUT_RANGE,55)+(VLOOKUP(A98,INPUT_RANGE,56)*2)+(VLOOKUP(A98,INPUT_RANGE,57)*3))/(VLOOKUP(A98,INPUT_RANGE,52))</f>
    </oc>
    <nc r="AY98">
      <f>(VLOOKUP(A98,INPUT_RANGE,54)+VLOOKUP(A98,INPUT_RANGE,55)+(VLOOKUP(A98,INPUT_RANGE,56)*2)+(VLOOKUP(A98,INPUT_RANGE,57)*3))/(VLOOKUP(A98,INPUT_RANGE,52))</f>
    </nc>
  </rcc>
  <rcc rId="4934" sId="5">
    <oc r="AZ98">
      <f>AX98+AY98</f>
    </oc>
    <nc r="AZ98">
      <f>AX98+AY98</f>
    </nc>
  </rcc>
  <rcc rId="4935" sId="5">
    <oc r="BA98">
      <f xml:space="preserve"> TEXT(AZ98,".000") &amp; " ops"</f>
    </oc>
    <nc r="BA98">
      <f xml:space="preserve"> TEXT(AZ98,".000") &amp; " OPS"</f>
    </nc>
  </rcc>
  <rcc rId="4936" sId="5">
    <oc r="BB98">
      <f>VLOOKUP(A98,INPUT_RANGE,78,FALSE)</f>
    </oc>
    <nc r="BB98">
      <f>VLOOKUP(A98,INPUT_RANGE,78,FALSE)</f>
    </nc>
  </rcc>
  <rcc rId="4937" sId="5">
    <oc r="BC98">
      <f>VLOOKUP(A98,INPUT_RANGE,77,FALSE)</f>
    </oc>
    <nc r="BC98">
      <f>VLOOKUP(A98,INPUT_RANGE,77,FALSE)</f>
    </nc>
  </rcc>
  <rcc rId="4938" sId="5">
    <oc r="BD98">
      <f>VLOOKUP(A98,INPUT_RANGE,75,FALSE) &amp; "-" &amp; VLOOKUP(A98,INPUT_RANGE,76,FALSE)</f>
    </oc>
    <nc r="BD98">
      <f>VLOOKUP(A98,INPUT_RANGE,75,FALSE) &amp; "-" &amp; VLOOKUP(A98,INPUT_RANGE,76,FALSE)</f>
    </nc>
  </rcc>
  <rcc rId="4939" sId="5">
    <oc r="BE98">
      <f>AU98</f>
    </oc>
    <nc r="BE98">
      <f>AU98</f>
    </nc>
  </rcc>
  <rcc rId="4940" sId="5">
    <oc r="BF98">
      <f>AA98</f>
    </oc>
    <nc r="BF98">
      <f>AA98</f>
    </nc>
  </rcc>
  <rcc rId="4941" sId="5">
    <oc r="BG98">
      <f>VLOOKUP(A98,INPUT_RANGE,86,FALSE)</f>
    </oc>
    <nc r="BG98">
      <f>VLOOKUP(A98,INPUT_RANGE,86,FALSE)</f>
    </nc>
  </rcc>
  <rcc rId="4942" sId="5">
    <oc r="BH98">
      <f>VLOOKUP(A98,INPUT_RANGE,87,FALSE)</f>
    </oc>
    <nc r="BH98">
      <f>VLOOKUP(A98,INPUT_RANGE,87,FALSE)</f>
    </nc>
  </rcc>
  <rcc rId="4943" sId="5">
    <oc r="BI98">
      <f>VLOOKUP(A98,INPUT_RANGE,81,FALSE) &amp; " SAVES"</f>
    </oc>
    <nc r="BI98">
      <f>VLOOKUP(A98,INPUT_RANGE,81,FALSE) &amp; " SAVES"</f>
    </nc>
  </rcc>
  <rcc rId="4944" sId="5">
    <oc r="BJ98">
      <f>VLOOKUP(A98,INPUT_RANGE,81,FALSE)</f>
    </oc>
    <nc r="BJ98">
      <f>VLOOKUP(A98,INPUT_RANGE,81,FALSE)</f>
    </nc>
  </rcc>
  <rcc rId="4945" sId="5">
    <oc r="BK98">
      <f>VLOOKUP(A98,INPUT_RANGE,83,FALSE)</f>
    </oc>
    <nc r="BK98">
      <f>VLOOKUP(A98,INPUT_RANGE,83,FALSE)</f>
    </nc>
  </rcc>
  <rcc rId="4946" sId="5">
    <oc r="BL98">
      <f>VLOOKUP(A98,INPUT_RANGE,87,FALSE) &amp; "/" &amp; VLOOKUP(A98,INPUT_RANGE,86,FALSE)</f>
    </oc>
    <nc r="BL98">
      <f>VLOOKUP(A98,INPUT_RANGE,87,FALSE) &amp; "/" &amp; VLOOKUP(A98,INPUT_RANGE,86,FALSE)</f>
    </nc>
  </rcc>
  <rcc rId="4947" sId="5">
    <oc r="BM98">
      <f>ROUND((VLOOKUP(A98,INPUT_RANGE,86,FALSE)+VLOOKUP(A98,INPUT_RANGE,83,FALSE))/AS98,2)</f>
    </oc>
    <nc r="BM98">
      <f>ROUND((VLOOKUP(A98,INPUT_RANGE,86,FALSE)+VLOOKUP(A98,INPUT_RANGE,83,FALSE))/AS98,2)</f>
    </nc>
  </rcc>
  <rcc rId="4948" sId="5">
    <oc r="M99">
      <f xml:space="preserve"> TEXT(AW99,".000") &amp; " ba"</f>
    </oc>
    <nc r="M99">
      <f xml:space="preserve"> TEXT(AW99,".000") &amp; " BA"</f>
    </nc>
  </rcc>
  <rcc rId="4949" sId="5">
    <oc r="N99">
      <f>VLOOKUP(A99,INPUT_RANGE,58,FALSE) &amp; " rbi"</f>
    </oc>
    <nc r="N99">
      <f>VLOOKUP(A99,INPUT_RANGE,58,FALSE) &amp; " RBI"</f>
    </nc>
  </rcc>
  <rcc rId="4950" sId="5">
    <oc r="O99">
      <f>VLOOKUP(A99,INPUT_RANGE,60,FALSE) &amp; " bb"</f>
    </oc>
    <nc r="O99">
      <f>VLOOKUP(A99,INPUT_RANGE,60,FALSE) &amp; " BB"</f>
    </nc>
  </rcc>
  <rcc rId="4951" sId="5">
    <oc r="P99">
      <f>VLOOKUP(A99,INPUT_RANGE,61,FALSE) &amp; " k"</f>
    </oc>
    <nc r="P99">
      <f>VLOOKUP(A99,INPUT_RANGE,61,FALSE) &amp; " K"</f>
    </nc>
  </rcc>
  <rcc rId="4952" sId="5">
    <oc r="Q99">
      <f>VLOOKUP(A99,INPUT_RANGE,64,FALSE) &amp; " sb"</f>
    </oc>
    <nc r="Q99">
      <f>VLOOKUP(A99,INPUT_RANGE,64,FALSE) &amp; " SB"</f>
    </nc>
  </rcc>
  <rcc rId="4953" sId="5">
    <oc r="R99">
      <f>VLOOKUP(A99,INPUT_RANGE,55,FALSE) &amp; " 2b"</f>
    </oc>
    <nc r="R99">
      <f>VLOOKUP(A99,INPUT_RANGE,55,FALSE) &amp; " 2B"</f>
    </nc>
  </rcc>
  <rcc rId="4954" sId="5">
    <oc r="S99">
      <f>VLOOKUP(A99,INPUT_RANGE,56,FALSE) &amp; " 3b"</f>
    </oc>
    <nc r="S99">
      <f>VLOOKUP(A99,INPUT_RANGE,56,FALSE) &amp; " 3B"</f>
    </nc>
  </rcc>
  <rcc rId="4955" sId="5">
    <oc r="T99">
      <f>VLOOKUP(A99,INPUT_RANGE,57,FALSE) &amp; " hr"</f>
    </oc>
    <nc r="T99">
      <f>VLOOKUP(A99,INPUT_RANGE,57,FALSE) &amp; " HR"</f>
    </nc>
  </rcc>
  <rcc rId="4956" sId="5">
    <oc r="U99">
      <f>VLOOKUP(A99,INPUT_RANGE,53,FALSE) &amp; " r"</f>
    </oc>
    <nc r="U99">
      <f>VLOOKUP(A99,INPUT_RANGE,53,FALSE) &amp; " R"</f>
    </nc>
  </rcc>
  <rcc rId="4957" sId="5">
    <oc r="V99">
      <f>TEXT(AX99, ".000") &amp; " obp"</f>
    </oc>
    <nc r="V99">
      <f>TEXT(AX99, ".000") &amp; " OBP"</f>
    </nc>
  </rcc>
  <rcc rId="4958" sId="5">
    <oc r="X99">
      <f>VLOOKUP(A99,INPUT_RANGE,77,FALSE)&amp;" games"</f>
    </oc>
    <nc r="X99">
      <f>VLOOKUP(A99,INPUT_RANGE,77,FALSE)&amp;" games"</f>
    </nc>
  </rcc>
  <rcc rId="4959" sId="5">
    <oc r="Y99">
      <f>VLOOKUP(A99,INPUT_RANGE,78,FALSE) &amp; " starts"</f>
    </oc>
    <nc r="Y99">
      <f>VLOOKUP(A99,INPUT_RANGE,78,FALSE) &amp; " starts"</f>
    </nc>
  </rcc>
  <rcc rId="4960" sId="5">
    <oc r="Z99">
      <f>VLOOKUP(A99,INPUT_RANGE,82,FALSE) &amp; " ip"</f>
    </oc>
    <nc r="Z99">
      <f>VLOOKUP(A99,INPUT_RANGE,82,FALSE) &amp; " IP"</f>
    </nc>
  </rcc>
  <rcc rId="4961" sId="5">
    <oc r="AA99">
      <f>TRUNC(VLOOKUP(A99,INPUT_RANGE,82,FALSE)) &amp;  IF(AR99=0.333,"º",IF(AR99=0.666,"»",""))</f>
    </oc>
    <nc r="AA99">
      <f>TRUNC(VLOOKUP(A99,INPUT_RANGE,82,FALSE)) &amp;  IF(AR99=0.333,"º",IF(AR99=0.666,"»",""))</f>
    </nc>
  </rcc>
  <rcc rId="4962" sId="5">
    <oc r="AB99">
      <f>AA99&amp; " ip"</f>
    </oc>
    <nc r="AB99">
      <f>AA99&amp; " IP"</f>
    </nc>
  </rcc>
  <rcc rId="4963" sId="5">
    <oc r="AC99">
      <f>VLOOKUP(A99,INPUT_RANGE,79,FALSE) &amp; " cg"</f>
    </oc>
    <nc r="AC99">
      <f>VLOOKUP(A99,INPUT_RANGE,79,FALSE) &amp; " CG"</f>
    </nc>
  </rcc>
  <rcc rId="4964" sId="5">
    <oc r="AD99">
      <f>VLOOKUP(A99,INPUT_RANGE,80,FALSE) &amp; " sho"</f>
    </oc>
    <nc r="AD99">
      <f>VLOOKUP(A99,INPUT_RANGE,80,FALSE) &amp; " SHO"</f>
    </nc>
  </rcc>
  <rcc rId="4965" sId="5">
    <oc r="AE99">
      <f>VLOOKUP(A99,INPUT_RANGE,75,FALSE) &amp; " win"</f>
    </oc>
    <nc r="AE99">
      <f>VLOOKUP(A99,INPUT_RANGE,75,FALSE) &amp; " Win"</f>
    </nc>
  </rcc>
  <rcc rId="4966" sId="5">
    <oc r="AF99">
      <f>VLOOKUP(A99,INPUT_RANGE,76,FALSE) &amp; " loss"</f>
    </oc>
    <nc r="AF99">
      <f>VLOOKUP(A99,INPUT_RANGE,76,FALSE) &amp; " Loss"</f>
    </nc>
  </rcc>
  <rcc rId="4967" sId="5">
    <oc r="AG99">
      <f>VLOOKUP(A99,INPUT_RANGE,75,FALSE) &amp; "-" &amp; VLOOKUP(A99,INPUT_RANGE,76,FALSE) &amp; " w-l"</f>
    </oc>
    <nc r="AG99">
      <f>VLOOKUP(A99,INPUT_RANGE,75,FALSE) &amp; "-" &amp; VLOOKUP(A99,INPUT_RANGE,76,FALSE) &amp; " W-L"</f>
    </nc>
  </rcc>
  <rcc rId="4968" sId="5">
    <oc r="AH99">
      <f>VLOOKUP(A99,INPUT_RANGE,81,FALSE)&amp; " saves"</f>
    </oc>
    <nc r="AH99">
      <f>VLOOKUP(A99,INPUT_RANGE,81,FALSE)&amp; " Saves"</f>
    </nc>
  </rcc>
  <rcc rId="4969" sId="5">
    <oc r="AI99">
      <f>VLOOKUP(A99,INPUT_RANGE,83,FALSE) &amp; " h"</f>
    </oc>
    <nc r="AI99">
      <f>VLOOKUP(A99,INPUT_RANGE,83,FALSE) &amp; " H"</f>
    </nc>
  </rcc>
  <rcc rId="4970" sId="5">
    <oc r="AJ99">
      <f>VLOOKUP(A99,INPUT_RANGE,84,FALSE) &amp; " r"</f>
    </oc>
    <nc r="AJ99">
      <f>VLOOKUP(A99,INPUT_RANGE,84,FALSE) &amp; " R"</f>
    </nc>
  </rcc>
  <rcc rId="4971" sId="5">
    <oc r="AK99">
      <f>VLOOKUP(A99,INPUT_RANGE,85,FALSE) &amp;" er"</f>
    </oc>
    <nc r="AK99">
      <f>VLOOKUP(A99,INPUT_RANGE,85,FALSE) &amp;" ER"</f>
    </nc>
  </rcc>
  <rcc rId="4972" sId="5">
    <oc r="AL99">
      <f>VLOOKUP(A99,INPUT_RANGE,88,FALSE) &amp;" hr"</f>
    </oc>
    <nc r="AL99">
      <f>VLOOKUP(A99,INPUT_RANGE,88,FALSE) &amp;" HR"</f>
    </nc>
  </rcc>
  <rcc rId="4973" sId="5">
    <oc r="AM99">
      <f>VLOOKUP(A99,INPUT_RANGE,87,FALSE) &amp; " k"</f>
    </oc>
    <nc r="AM99">
      <f>VLOOKUP(A99,INPUT_RANGE,87,FALSE) &amp; " K"</f>
    </nc>
  </rcc>
  <rcc rId="4974" sId="5">
    <oc r="AN99">
      <f>VLOOKUP(A99,INPUT_RANGE,86,FALSE) &amp; " bb"</f>
    </oc>
    <nc r="AN99">
      <f>VLOOKUP(A99,INPUT_RANGE,86,FALSE) &amp; " BB"</f>
    </nc>
  </rcc>
  <rcc rId="4975" sId="5">
    <oc r="AO99">
      <f>TEXT(AU99,"0.00") &amp; " era"</f>
    </oc>
    <nc r="AO99">
      <f>TEXT(AU99,"0.00") &amp; " ERA"</f>
    </nc>
  </rcc>
  <rcc rId="4976" sId="5">
    <oc r="AP99">
      <f>TEXT(AT99,"0.00") &amp; " whip"</f>
    </oc>
    <nc r="AP99">
      <f>TEXT(AT99,"0.00") &amp; " WHIP"</f>
    </nc>
  </rcc>
  <rcc rId="4977" sId="5">
    <oc r="AQ99">
      <f xml:space="preserve"> IF(LEFT(RIGHT((VLOOKUP(A99,INPUT_RANGE,82,FALSE)),2),1)=".",RIGHT(VLOOKUP(A99,INPUT_RANGE,82,FALSE),1), "X")</f>
    </oc>
    <nc r="AQ99">
      <f xml:space="preserve"> IF(LEFT(RIGHT((VLOOKUP(A99,INPUT_RANGE,82,FALSE)),2),1)=".",RIGHT(VLOOKUP(A99,INPUT_RANGE,82,FALSE),1), "X")</f>
    </nc>
  </rcc>
  <rcc rId="4978" sId="5">
    <oc r="AR99">
      <f>IF(AQ99 ="1",0.333,IF(AQ99="2",0.666,0))</f>
    </oc>
    <nc r="AR99">
      <f>IF(AQ99 ="1",0.333,IF(AQ99="2",0.666,0))</f>
    </nc>
  </rcc>
  <rcc rId="4979" sId="5">
    <oc r="AS99">
      <f>VLOOKUP(A99,INPUT_RANGE,82,FALSE)-(AQ99*0.1)+AR99</f>
    </oc>
    <nc r="AS99">
      <f>VLOOKUP(A99,INPUT_RANGE,82,FALSE)-(AQ99*0.1)+AR99</f>
    </nc>
  </rcc>
  <rcc rId="4980" sId="5">
    <oc r="AT99">
      <f>ROUND((VLOOKUP(A99,INPUT_RANGE,86,FALSE)+VLOOKUP(A99,INPUT_RANGE,83,FALSE))/AS99,2)</f>
    </oc>
    <nc r="AT99">
      <f>ROUND((VLOOKUP(A99,INPUT_RANGE,86,FALSE)+VLOOKUP(A99,INPUT_RANGE,83,FALSE))/AS99,2)</f>
    </nc>
  </rcc>
  <rcc rId="4981" sId="5">
    <oc r="AU99">
      <f>ROUND((VLOOKUP(A99,INPUT_RANGE,85,FALSE)/AS99)*('Team Info'!$H$25),2)</f>
    </oc>
    <nc r="AU99">
      <f>ROUND((VLOOKUP(A99,INPUT_RANGE,85,FALSE)/AS99)*('D:\Data\Softball\[ESPN_BASEBALL_AWAY_OLD.xlsx]Team Info'!$H$25),2)</f>
    </nc>
  </rcc>
  <rcc rId="4982" sId="5">
    <oc r="AW99">
      <f>(VLOOKUP(A99,INPUT_RANGE,54,FALSE)/VLOOKUP(A99,INPUT_RANGE,52,FALSE))</f>
    </oc>
    <nc r="AW99">
      <f>(VLOOKUP(A99,INPUT_RANGE,54,FALSE)/VLOOKUP(A99,INPUT_RANGE,52,FALSE))</f>
    </nc>
  </rcc>
  <rcc rId="4983" sId="5">
    <oc r="AX99">
      <f>((VLOOKUP(A99,INPUT_RANGE,54,FALSE)+VLOOKUP(A99,INPUT_RANGE,60,FALSE)+VLOOKUP(A99,INPUT_RANGE,59,FALSE))/(VLOOKUP(A99,INPUT_RANGE,52,FALSE)+VLOOKUP(A99,INPUT_RANGE,60,FALSE)+VLOOKUP(A99,INPUT_RANGE,59,FALSE)+VLOOKUP(A99,INPUT_RANGE,63,FALSE)))</f>
    </oc>
    <nc r="AX99">
      <f>((VLOOKUP(A99,INPUT_RANGE,54,FALSE)+VLOOKUP(A99,INPUT_RANGE,60,FALSE)+VLOOKUP(A99,INPUT_RANGE,59,FALSE))/(VLOOKUP(A99,INPUT_RANGE,52,FALSE)+VLOOKUP(A99,INPUT_RANGE,60,FALSE)+VLOOKUP(A99,INPUT_RANGE,59,FALSE)+VLOOKUP(A99,INPUT_RANGE,63,FALSE)))</f>
    </nc>
  </rcc>
  <rcc rId="4984" sId="5">
    <oc r="AY99">
      <f>(VLOOKUP(A99,INPUT_RANGE,54)+VLOOKUP(A99,INPUT_RANGE,55)+(VLOOKUP(A99,INPUT_RANGE,56)*2)+(VLOOKUP(A99,INPUT_RANGE,57)*3))/(VLOOKUP(A99,INPUT_RANGE,52))</f>
    </oc>
    <nc r="AY99">
      <f>(VLOOKUP(A99,INPUT_RANGE,54)+VLOOKUP(A99,INPUT_RANGE,55)+(VLOOKUP(A99,INPUT_RANGE,56)*2)+(VLOOKUP(A99,INPUT_RANGE,57)*3))/(VLOOKUP(A99,INPUT_RANGE,52))</f>
    </nc>
  </rcc>
  <rcc rId="4985" sId="5">
    <oc r="AZ99">
      <f>AX99+AY99</f>
    </oc>
    <nc r="AZ99">
      <f>AX99+AY99</f>
    </nc>
  </rcc>
  <rcc rId="4986" sId="5">
    <oc r="BA99">
      <f xml:space="preserve"> TEXT(AZ99,".000") &amp; " ops"</f>
    </oc>
    <nc r="BA99">
      <f xml:space="preserve"> TEXT(AZ99,".000") &amp; " OPS"</f>
    </nc>
  </rcc>
  <rcc rId="4987" sId="5">
    <oc r="BB99">
      <f>VLOOKUP(A99,INPUT_RANGE,78,FALSE)</f>
    </oc>
    <nc r="BB99">
      <f>VLOOKUP(A99,INPUT_RANGE,78,FALSE)</f>
    </nc>
  </rcc>
  <rcc rId="4988" sId="5">
    <oc r="BC99">
      <f>VLOOKUP(A99,INPUT_RANGE,77,FALSE)</f>
    </oc>
    <nc r="BC99">
      <f>VLOOKUP(A99,INPUT_RANGE,77,FALSE)</f>
    </nc>
  </rcc>
  <rcc rId="4989" sId="5">
    <oc r="BD99">
      <f>VLOOKUP(A99,INPUT_RANGE,75,FALSE) &amp; "-" &amp; VLOOKUP(A99,INPUT_RANGE,76,FALSE)</f>
    </oc>
    <nc r="BD99">
      <f>VLOOKUP(A99,INPUT_RANGE,75,FALSE) &amp; "-" &amp; VLOOKUP(A99,INPUT_RANGE,76,FALSE)</f>
    </nc>
  </rcc>
  <rcc rId="4990" sId="5">
    <oc r="BE99">
      <f>AU99</f>
    </oc>
    <nc r="BE99">
      <f>AU99</f>
    </nc>
  </rcc>
  <rcc rId="4991" sId="5">
    <oc r="BF99">
      <f>AA99</f>
    </oc>
    <nc r="BF99">
      <f>AA99</f>
    </nc>
  </rcc>
  <rcc rId="4992" sId="5">
    <oc r="BG99">
      <f>VLOOKUP(A99,INPUT_RANGE,86,FALSE)</f>
    </oc>
    <nc r="BG99">
      <f>VLOOKUP(A99,INPUT_RANGE,86,FALSE)</f>
    </nc>
  </rcc>
  <rcc rId="4993" sId="5">
    <oc r="BH99">
      <f>VLOOKUP(A99,INPUT_RANGE,87,FALSE)</f>
    </oc>
    <nc r="BH99">
      <f>VLOOKUP(A99,INPUT_RANGE,87,FALSE)</f>
    </nc>
  </rcc>
  <rcc rId="4994" sId="5">
    <oc r="BI99">
      <f>VLOOKUP(A99,INPUT_RANGE,81,FALSE) &amp; " SAVES"</f>
    </oc>
    <nc r="BI99">
      <f>VLOOKUP(A99,INPUT_RANGE,81,FALSE) &amp; " SAVES"</f>
    </nc>
  </rcc>
  <rcc rId="4995" sId="5">
    <oc r="BJ99">
      <f>VLOOKUP(A99,INPUT_RANGE,81,FALSE)</f>
    </oc>
    <nc r="BJ99">
      <f>VLOOKUP(A99,INPUT_RANGE,81,FALSE)</f>
    </nc>
  </rcc>
  <rcc rId="4996" sId="5">
    <oc r="BK99">
      <f>VLOOKUP(A99,INPUT_RANGE,83,FALSE)</f>
    </oc>
    <nc r="BK99">
      <f>VLOOKUP(A99,INPUT_RANGE,83,FALSE)</f>
    </nc>
  </rcc>
  <rcc rId="4997" sId="5">
    <oc r="BL99">
      <f>VLOOKUP(A99,INPUT_RANGE,87,FALSE) &amp; "/" &amp; VLOOKUP(A99,INPUT_RANGE,86,FALSE)</f>
    </oc>
    <nc r="BL99">
      <f>VLOOKUP(A99,INPUT_RANGE,87,FALSE) &amp; "/" &amp; VLOOKUP(A99,INPUT_RANGE,86,FALSE)</f>
    </nc>
  </rcc>
  <rcc rId="4998" sId="5">
    <oc r="BM99">
      <f>ROUND((VLOOKUP(A99,INPUT_RANGE,86,FALSE)+VLOOKUP(A99,INPUT_RANGE,83,FALSE))/AS99,2)</f>
    </oc>
    <nc r="BM99">
      <f>ROUND((VLOOKUP(A99,INPUT_RANGE,86,FALSE)+VLOOKUP(A99,INPUT_RANGE,83,FALSE))/AS99,2)</f>
    </nc>
  </rcc>
  <rcc rId="4999" sId="5">
    <oc r="M100">
      <f xml:space="preserve"> TEXT(AW100,".000") &amp; " ba"</f>
    </oc>
    <nc r="M100">
      <f xml:space="preserve"> TEXT(AW100,".000") &amp; " BA"</f>
    </nc>
  </rcc>
  <rcc rId="5000" sId="5">
    <oc r="N100">
      <f>VLOOKUP(A100,INPUT_RANGE,58,FALSE) &amp; " rbi"</f>
    </oc>
    <nc r="N100">
      <f>VLOOKUP(A100,INPUT_RANGE,58,FALSE) &amp; " RBI"</f>
    </nc>
  </rcc>
  <rcc rId="5001" sId="5">
    <oc r="O100">
      <f>VLOOKUP(A100,INPUT_RANGE,60,FALSE) &amp; " bb"</f>
    </oc>
    <nc r="O100">
      <f>VLOOKUP(A100,INPUT_RANGE,60,FALSE) &amp; " BB"</f>
    </nc>
  </rcc>
  <rcc rId="5002" sId="5">
    <oc r="P100">
      <f>VLOOKUP(A100,INPUT_RANGE,61,FALSE) &amp; " k"</f>
    </oc>
    <nc r="P100">
      <f>VLOOKUP(A100,INPUT_RANGE,61,FALSE) &amp; " K"</f>
    </nc>
  </rcc>
  <rcc rId="5003" sId="5">
    <oc r="Q100">
      <f>VLOOKUP(A100,INPUT_RANGE,64,FALSE) &amp; " sb"</f>
    </oc>
    <nc r="Q100">
      <f>VLOOKUP(A100,INPUT_RANGE,64,FALSE) &amp; " SB"</f>
    </nc>
  </rcc>
  <rcc rId="5004" sId="5">
    <oc r="R100">
      <f>VLOOKUP(A100,INPUT_RANGE,55,FALSE) &amp; " 2b"</f>
    </oc>
    <nc r="R100">
      <f>VLOOKUP(A100,INPUT_RANGE,55,FALSE) &amp; " 2B"</f>
    </nc>
  </rcc>
  <rcc rId="5005" sId="5">
    <oc r="S100">
      <f>VLOOKUP(A100,INPUT_RANGE,56,FALSE) &amp; " 3b"</f>
    </oc>
    <nc r="S100">
      <f>VLOOKUP(A100,INPUT_RANGE,56,FALSE) &amp; " 3B"</f>
    </nc>
  </rcc>
  <rcc rId="5006" sId="5">
    <oc r="T100">
      <f>VLOOKUP(A100,INPUT_RANGE,57,FALSE) &amp; " hr"</f>
    </oc>
    <nc r="T100">
      <f>VLOOKUP(A100,INPUT_RANGE,57,FALSE) &amp; " HR"</f>
    </nc>
  </rcc>
  <rcc rId="5007" sId="5">
    <oc r="U100">
      <f>VLOOKUP(A100,INPUT_RANGE,53,FALSE) &amp; " r"</f>
    </oc>
    <nc r="U100">
      <f>VLOOKUP(A100,INPUT_RANGE,53,FALSE) &amp; " R"</f>
    </nc>
  </rcc>
  <rcc rId="5008" sId="5">
    <oc r="V100">
      <f>TEXT(AX100, ".000") &amp; " obp"</f>
    </oc>
    <nc r="V100">
      <f>TEXT(AX100, ".000") &amp; " OBP"</f>
    </nc>
  </rcc>
  <rcc rId="5009" sId="5">
    <oc r="X100">
      <f>VLOOKUP(A100,INPUT_RANGE,77,FALSE)&amp;" games"</f>
    </oc>
    <nc r="X100">
      <f>VLOOKUP(A100,INPUT_RANGE,77,FALSE)&amp;" games"</f>
    </nc>
  </rcc>
  <rcc rId="5010" sId="5">
    <oc r="Y100">
      <f>VLOOKUP(A100,INPUT_RANGE,78,FALSE) &amp; " starts"</f>
    </oc>
    <nc r="Y100">
      <f>VLOOKUP(A100,INPUT_RANGE,78,FALSE) &amp; " starts"</f>
    </nc>
  </rcc>
  <rcc rId="5011" sId="5">
    <oc r="Z100">
      <f>VLOOKUP(A100,INPUT_RANGE,82,FALSE) &amp; " ip"</f>
    </oc>
    <nc r="Z100">
      <f>VLOOKUP(A100,INPUT_RANGE,82,FALSE) &amp; " IP"</f>
    </nc>
  </rcc>
  <rcc rId="5012" sId="5">
    <oc r="AA100">
      <f>TRUNC(VLOOKUP(A100,INPUT_RANGE,82,FALSE)) &amp;  IF(AR100=0.333,"º",IF(AR100=0.666,"»",""))</f>
    </oc>
    <nc r="AA100">
      <f>TRUNC(VLOOKUP(A100,INPUT_RANGE,82,FALSE)) &amp;  IF(AR100=0.333,"º",IF(AR100=0.666,"»",""))</f>
    </nc>
  </rcc>
  <rcc rId="5013" sId="5">
    <oc r="AB100">
      <f>AA100&amp; " ip"</f>
    </oc>
    <nc r="AB100">
      <f>AA100&amp; " IP"</f>
    </nc>
  </rcc>
  <rcc rId="5014" sId="5">
    <oc r="AC100">
      <f>VLOOKUP(A100,INPUT_RANGE,79,FALSE) &amp; " cg"</f>
    </oc>
    <nc r="AC100">
      <f>VLOOKUP(A100,INPUT_RANGE,79,FALSE) &amp; " CG"</f>
    </nc>
  </rcc>
  <rcc rId="5015" sId="5">
    <oc r="AD100">
      <f>VLOOKUP(A100,INPUT_RANGE,80,FALSE) &amp; " sho"</f>
    </oc>
    <nc r="AD100">
      <f>VLOOKUP(A100,INPUT_RANGE,80,FALSE) &amp; " SHO"</f>
    </nc>
  </rcc>
  <rcc rId="5016" sId="5">
    <oc r="AE100">
      <f>VLOOKUP(A100,INPUT_RANGE,75,FALSE) &amp; " win"</f>
    </oc>
    <nc r="AE100">
      <f>VLOOKUP(A100,INPUT_RANGE,75,FALSE) &amp; " Win"</f>
    </nc>
  </rcc>
  <rcc rId="5017" sId="5">
    <oc r="AF100">
      <f>VLOOKUP(A100,INPUT_RANGE,76,FALSE) &amp; " loss"</f>
    </oc>
    <nc r="AF100">
      <f>VLOOKUP(A100,INPUT_RANGE,76,FALSE) &amp; " Loss"</f>
    </nc>
  </rcc>
  <rcc rId="5018" sId="5">
    <oc r="AG100">
      <f>VLOOKUP(A100,INPUT_RANGE,75,FALSE) &amp; "-" &amp; VLOOKUP(A100,INPUT_RANGE,76,FALSE) &amp; " w-l"</f>
    </oc>
    <nc r="AG100">
      <f>VLOOKUP(A100,INPUT_RANGE,75,FALSE) &amp; "-" &amp; VLOOKUP(A100,INPUT_RANGE,76,FALSE) &amp; " W-L"</f>
    </nc>
  </rcc>
  <rcc rId="5019" sId="5">
    <oc r="AH100">
      <f>VLOOKUP(A100,INPUT_RANGE,81,FALSE)&amp; " saves"</f>
    </oc>
    <nc r="AH100">
      <f>VLOOKUP(A100,INPUT_RANGE,81,FALSE)&amp; " Saves"</f>
    </nc>
  </rcc>
  <rcc rId="5020" sId="5">
    <oc r="AI100">
      <f>VLOOKUP(A100,INPUT_RANGE,83,FALSE) &amp; " h"</f>
    </oc>
    <nc r="AI100">
      <f>VLOOKUP(A100,INPUT_RANGE,83,FALSE) &amp; " H"</f>
    </nc>
  </rcc>
  <rcc rId="5021" sId="5">
    <oc r="AJ100">
      <f>VLOOKUP(A100,INPUT_RANGE,84,FALSE) &amp; " r"</f>
    </oc>
    <nc r="AJ100">
      <f>VLOOKUP(A100,INPUT_RANGE,84,FALSE) &amp; " R"</f>
    </nc>
  </rcc>
  <rcc rId="5022" sId="5">
    <oc r="AK100">
      <f>VLOOKUP(A100,INPUT_RANGE,85,FALSE) &amp;" er"</f>
    </oc>
    <nc r="AK100">
      <f>VLOOKUP(A100,INPUT_RANGE,85,FALSE) &amp;" ER"</f>
    </nc>
  </rcc>
  <rcc rId="5023" sId="5">
    <oc r="AL100">
      <f>VLOOKUP(A100,INPUT_RANGE,88,FALSE) &amp;" hr"</f>
    </oc>
    <nc r="AL100">
      <f>VLOOKUP(A100,INPUT_RANGE,88,FALSE) &amp;" HR"</f>
    </nc>
  </rcc>
  <rcc rId="5024" sId="5">
    <oc r="AM100">
      <f>VLOOKUP(A100,INPUT_RANGE,87,FALSE) &amp; " k"</f>
    </oc>
    <nc r="AM100">
      <f>VLOOKUP(A100,INPUT_RANGE,87,FALSE) &amp; " K"</f>
    </nc>
  </rcc>
  <rcc rId="5025" sId="5">
    <oc r="AN100">
      <f>VLOOKUP(A100,INPUT_RANGE,86,FALSE) &amp; " bb"</f>
    </oc>
    <nc r="AN100">
      <f>VLOOKUP(A100,INPUT_RANGE,86,FALSE) &amp; " BB"</f>
    </nc>
  </rcc>
  <rcc rId="5026" sId="5">
    <oc r="AO100">
      <f>TEXT(AU100,"0.00") &amp; " era"</f>
    </oc>
    <nc r="AO100">
      <f>TEXT(AU100,"0.00") &amp; " ERA"</f>
    </nc>
  </rcc>
  <rcc rId="5027" sId="5">
    <oc r="AP100">
      <f>TEXT(AT100,"0.00") &amp; " whip"</f>
    </oc>
    <nc r="AP100">
      <f>TEXT(AT100,"0.00") &amp; " WHIP"</f>
    </nc>
  </rcc>
  <rcc rId="5028" sId="5">
    <oc r="AQ100">
      <f xml:space="preserve"> IF(LEFT(RIGHT((VLOOKUP(A100,INPUT_RANGE,82,FALSE)),2),1)=".",RIGHT(VLOOKUP(A100,INPUT_RANGE,82,FALSE),1), "X")</f>
    </oc>
    <nc r="AQ100">
      <f xml:space="preserve"> IF(LEFT(RIGHT((VLOOKUP(A100,INPUT_RANGE,82,FALSE)),2),1)=".",RIGHT(VLOOKUP(A100,INPUT_RANGE,82,FALSE),1), "X")</f>
    </nc>
  </rcc>
  <rcc rId="5029" sId="5">
    <oc r="AR100">
      <f>IF(AQ100 ="1",0.333,IF(AQ100="2",0.666,0))</f>
    </oc>
    <nc r="AR100">
      <f>IF(AQ100 ="1",0.333,IF(AQ100="2",0.666,0))</f>
    </nc>
  </rcc>
  <rcc rId="5030" sId="5">
    <oc r="AS100">
      <f>VLOOKUP(A100,INPUT_RANGE,82,FALSE)-(AQ100*0.1)+AR100</f>
    </oc>
    <nc r="AS100">
      <f>VLOOKUP(A100,INPUT_RANGE,82,FALSE)-(AQ100*0.1)+AR100</f>
    </nc>
  </rcc>
  <rcc rId="5031" sId="5">
    <oc r="AT100">
      <f>ROUND((VLOOKUP(A100,INPUT_RANGE,86,FALSE)+VLOOKUP(A100,INPUT_RANGE,83,FALSE))/AS100,2)</f>
    </oc>
    <nc r="AT100">
      <f>ROUND((VLOOKUP(A100,INPUT_RANGE,86,FALSE)+VLOOKUP(A100,INPUT_RANGE,83,FALSE))/AS100,2)</f>
    </nc>
  </rcc>
  <rcc rId="5032" sId="5">
    <oc r="AU100">
      <f>ROUND((VLOOKUP(A100,INPUT_RANGE,85,FALSE)/AS100)*('Team Info'!$H$25),2)</f>
    </oc>
    <nc r="AU100">
      <f>ROUND((VLOOKUP(A100,INPUT_RANGE,85,FALSE)/AS100)*('D:\Data\Softball\[ESPN_BASEBALL_AWAY_OLD.xlsx]Team Info'!$H$25),2)</f>
    </nc>
  </rcc>
  <rcc rId="5033" sId="5">
    <oc r="AW100">
      <f>(VLOOKUP(A100,INPUT_RANGE,54,FALSE)/VLOOKUP(A100,INPUT_RANGE,52,FALSE))</f>
    </oc>
    <nc r="AW100">
      <f>(VLOOKUP(A100,INPUT_RANGE,54,FALSE)/VLOOKUP(A100,INPUT_RANGE,52,FALSE))</f>
    </nc>
  </rcc>
  <rcc rId="5034" sId="5">
    <oc r="AX100">
      <f>((VLOOKUP(A100,INPUT_RANGE,54,FALSE)+VLOOKUP(A100,INPUT_RANGE,60,FALSE)+VLOOKUP(A100,INPUT_RANGE,59,FALSE))/(VLOOKUP(A100,INPUT_RANGE,52,FALSE)+VLOOKUP(A100,INPUT_RANGE,60,FALSE)+VLOOKUP(A100,INPUT_RANGE,59,FALSE)+VLOOKUP(A100,INPUT_RANGE,63,FALSE)))</f>
    </oc>
    <nc r="AX100">
      <f>((VLOOKUP(A100,INPUT_RANGE,54,FALSE)+VLOOKUP(A100,INPUT_RANGE,60,FALSE)+VLOOKUP(A100,INPUT_RANGE,59,FALSE))/(VLOOKUP(A100,INPUT_RANGE,52,FALSE)+VLOOKUP(A100,INPUT_RANGE,60,FALSE)+VLOOKUP(A100,INPUT_RANGE,59,FALSE)+VLOOKUP(A100,INPUT_RANGE,63,FALSE)))</f>
    </nc>
  </rcc>
  <rcc rId="5035" sId="5">
    <oc r="AY100">
      <f>(VLOOKUP(A100,INPUT_RANGE,54)+VLOOKUP(A100,INPUT_RANGE,55)+(VLOOKUP(A100,INPUT_RANGE,56)*2)+(VLOOKUP(A100,INPUT_RANGE,57)*3))/(VLOOKUP(A100,INPUT_RANGE,52))</f>
    </oc>
    <nc r="AY100">
      <f>(VLOOKUP(A100,INPUT_RANGE,54)+VLOOKUP(A100,INPUT_RANGE,55)+(VLOOKUP(A100,INPUT_RANGE,56)*2)+(VLOOKUP(A100,INPUT_RANGE,57)*3))/(VLOOKUP(A100,INPUT_RANGE,52))</f>
    </nc>
  </rcc>
  <rcc rId="5036" sId="5">
    <oc r="AZ100">
      <f>AX100+AY100</f>
    </oc>
    <nc r="AZ100">
      <f>AX100+AY100</f>
    </nc>
  </rcc>
  <rcc rId="5037" sId="5">
    <oc r="BA100">
      <f xml:space="preserve"> TEXT(AZ100,".000") &amp; " ops"</f>
    </oc>
    <nc r="BA100">
      <f xml:space="preserve"> TEXT(AZ100,".000") &amp; " OPS"</f>
    </nc>
  </rcc>
  <rcc rId="5038" sId="5">
    <oc r="BB100">
      <f>VLOOKUP(A100,INPUT_RANGE,78,FALSE)</f>
    </oc>
    <nc r="BB100">
      <f>VLOOKUP(A100,INPUT_RANGE,78,FALSE)</f>
    </nc>
  </rcc>
  <rcc rId="5039" sId="5">
    <oc r="BC100">
      <f>VLOOKUP(A100,INPUT_RANGE,77,FALSE)</f>
    </oc>
    <nc r="BC100">
      <f>VLOOKUP(A100,INPUT_RANGE,77,FALSE)</f>
    </nc>
  </rcc>
  <rcc rId="5040" sId="5">
    <oc r="BD100">
      <f>VLOOKUP(A100,INPUT_RANGE,75,FALSE) &amp; "-" &amp; VLOOKUP(A100,INPUT_RANGE,76,FALSE)</f>
    </oc>
    <nc r="BD100">
      <f>VLOOKUP(A100,INPUT_RANGE,75,FALSE) &amp; "-" &amp; VLOOKUP(A100,INPUT_RANGE,76,FALSE)</f>
    </nc>
  </rcc>
  <rcc rId="5041" sId="5">
    <oc r="BE100">
      <f>AU100</f>
    </oc>
    <nc r="BE100">
      <f>AU100</f>
    </nc>
  </rcc>
  <rcc rId="5042" sId="5">
    <oc r="BF100">
      <f>AA100</f>
    </oc>
    <nc r="BF100">
      <f>AA100</f>
    </nc>
  </rcc>
  <rcc rId="5043" sId="5">
    <oc r="BG100">
      <f>VLOOKUP(A100,INPUT_RANGE,86,FALSE)</f>
    </oc>
    <nc r="BG100">
      <f>VLOOKUP(A100,INPUT_RANGE,86,FALSE)</f>
    </nc>
  </rcc>
  <rcc rId="5044" sId="5">
    <oc r="BH100">
      <f>VLOOKUP(A100,INPUT_RANGE,87,FALSE)</f>
    </oc>
    <nc r="BH100">
      <f>VLOOKUP(A100,INPUT_RANGE,87,FALSE)</f>
    </nc>
  </rcc>
  <rcc rId="5045" sId="5">
    <oc r="BI100">
      <f>VLOOKUP(A100,INPUT_RANGE,81,FALSE) &amp; " SAVES"</f>
    </oc>
    <nc r="BI100">
      <f>VLOOKUP(A100,INPUT_RANGE,81,FALSE) &amp; " SAVES"</f>
    </nc>
  </rcc>
  <rcc rId="5046" sId="5">
    <oc r="BJ100">
      <f>VLOOKUP(A100,INPUT_RANGE,81,FALSE)</f>
    </oc>
    <nc r="BJ100">
      <f>VLOOKUP(A100,INPUT_RANGE,81,FALSE)</f>
    </nc>
  </rcc>
  <rcc rId="5047" sId="5">
    <oc r="BK100">
      <f>VLOOKUP(A100,INPUT_RANGE,83,FALSE)</f>
    </oc>
    <nc r="BK100">
      <f>VLOOKUP(A100,INPUT_RANGE,83,FALSE)</f>
    </nc>
  </rcc>
  <rcc rId="5048" sId="5">
    <oc r="BL100">
      <f>VLOOKUP(A100,INPUT_RANGE,87,FALSE) &amp; "/" &amp; VLOOKUP(A100,INPUT_RANGE,86,FALSE)</f>
    </oc>
    <nc r="BL100">
      <f>VLOOKUP(A100,INPUT_RANGE,87,FALSE) &amp; "/" &amp; VLOOKUP(A100,INPUT_RANGE,86,FALSE)</f>
    </nc>
  </rcc>
  <rcc rId="5049" sId="5">
    <oc r="BM100">
      <f>ROUND((VLOOKUP(A100,INPUT_RANGE,86,FALSE)+VLOOKUP(A100,INPUT_RANGE,83,FALSE))/AS100,2)</f>
    </oc>
    <nc r="BM100">
      <f>ROUND((VLOOKUP(A100,INPUT_RANGE,86,FALSE)+VLOOKUP(A100,INPUT_RANGE,83,FALSE))/AS100,2)</f>
    </nc>
  </rcc>
  <rfmt sheetId="5" sqref="M101" start="0" length="0">
    <dxf>
      <numFmt numFmtId="164" formatCode=".000\ ###"/>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N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O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P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Q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R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S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T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U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V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X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Y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Z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A101"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B101"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C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D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E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F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G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H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I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J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K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L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M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N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O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P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Q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R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S101"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U101" start="0" length="0">
    <dxf>
      <numFmt numFmtId="2" formatCode="0.00"/>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V101" start="0" length="0">
    <dxf>
      <alignment horizontal="center" vertical="top"/>
    </dxf>
  </rfmt>
  <rfmt sheetId="5" sqref="AW101"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AX101"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BB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C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D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E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F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G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H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I101"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J101"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K101"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L101"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M101"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M102" start="0" length="0">
    <dxf>
      <numFmt numFmtId="164" formatCode=".000\ ###"/>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N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O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P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Q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R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S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T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U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V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X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Y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Z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A102"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B102"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C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D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E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F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G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H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I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J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K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L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M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N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O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P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Q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R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S102"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U102" start="0" length="0">
    <dxf>
      <numFmt numFmtId="2" formatCode="0.00"/>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V102" start="0" length="0">
    <dxf>
      <alignment horizontal="center" vertical="top"/>
    </dxf>
  </rfmt>
  <rfmt sheetId="5" sqref="AW102"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AX102"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BB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C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D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E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F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G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H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I102"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J102"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K102"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L102"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M102"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M103" start="0" length="0">
    <dxf>
      <font>
        <b val="0"/>
        <sz val="11"/>
        <color theme="1"/>
        <name val="Calibri"/>
        <family val="2"/>
        <scheme val="minor"/>
      </font>
      <numFmt numFmtId="164" formatCode=".000\ ###"/>
      <fill>
        <patternFill>
          <bgColor theme="0" tint="-4.9989318521683403E-2"/>
        </patternFill>
      </fill>
      <border outline="0">
        <left style="thin">
          <color indexed="64"/>
        </left>
        <right style="thin">
          <color indexed="64"/>
        </right>
        <top style="thin">
          <color indexed="64"/>
        </top>
        <bottom style="thin">
          <color indexed="64"/>
        </bottom>
      </border>
    </dxf>
  </rfmt>
  <rfmt sheetId="5" sqref="N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O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P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Q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R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S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T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U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V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W103" start="0" length="0">
    <dxf>
      <border outline="0">
        <top/>
        <bottom/>
      </border>
    </dxf>
  </rfmt>
  <rfmt sheetId="5" sqref="X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Y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Z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A103"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B103" start="0" length="0">
    <dxf>
      <fill>
        <patternFill patternType="solid">
          <bgColor rgb="FFFFFF00"/>
        </patternFill>
      </fill>
      <alignment horizontal="center" vertical="center"/>
      <border outline="0">
        <left style="thin">
          <color indexed="64"/>
        </left>
        <right style="thin">
          <color indexed="64"/>
        </right>
        <top style="thin">
          <color indexed="64"/>
        </top>
        <bottom style="thin">
          <color indexed="64"/>
        </bottom>
      </border>
    </dxf>
  </rfmt>
  <rfmt sheetId="5" sqref="AC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D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E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F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G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H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I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J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K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L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M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N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O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P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Q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R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S103" start="0" length="0">
    <dxf>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U103" start="0" length="0">
    <dxf>
      <numFmt numFmtId="2" formatCode="0.00"/>
      <fill>
        <patternFill patternType="solid">
          <bgColor theme="0" tint="-4.9989318521683403E-2"/>
        </patternFill>
      </fill>
      <border outline="0">
        <left style="thin">
          <color indexed="64"/>
        </left>
        <right style="thin">
          <color indexed="64"/>
        </right>
        <top style="thin">
          <color indexed="64"/>
        </top>
        <bottom style="thin">
          <color indexed="64"/>
        </bottom>
      </border>
    </dxf>
  </rfmt>
  <rfmt sheetId="5" sqref="AV103" start="0" length="0">
    <dxf>
      <alignment horizontal="center" vertical="top"/>
    </dxf>
  </rfmt>
  <rfmt sheetId="5" sqref="AW103"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AX103" start="0" length="0">
    <dxf>
      <numFmt numFmtId="165" formatCode=".000"/>
      <fill>
        <patternFill patternType="solid">
          <bgColor theme="0" tint="-4.9989318521683403E-2"/>
        </patternFill>
      </fill>
      <alignment horizontal="center" vertical="top"/>
      <border outline="0">
        <left style="thin">
          <color indexed="64"/>
        </left>
        <right style="thin">
          <color indexed="64"/>
        </right>
        <top style="thin">
          <color indexed="64"/>
        </top>
        <bottom style="thin">
          <color indexed="64"/>
        </bottom>
      </border>
    </dxf>
  </rfmt>
  <rfmt sheetId="5" sqref="BB103" start="0" length="0">
    <dxf>
      <font>
        <b/>
        <sz val="10"/>
        <color auto="1"/>
        <name val="Arial"/>
        <family val="2"/>
        <scheme val="none"/>
      </font>
      <fill>
        <patternFill>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C103" start="0" length="0">
    <dxf>
      <font>
        <b/>
        <sz val="10"/>
        <color auto="1"/>
        <name val="Arial"/>
        <family val="2"/>
        <scheme val="none"/>
      </font>
      <fill>
        <patternFill>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D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E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F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G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H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I103" start="0" length="0">
    <dxf>
      <font>
        <b/>
        <sz val="10"/>
        <color auto="1"/>
        <name val="Arial"/>
        <family val="2"/>
        <scheme val="none"/>
      </font>
      <fill>
        <patternFill patternType="solid">
          <bgColor theme="5" tint="0.79998168889431442"/>
        </patternFill>
      </fill>
      <alignment horizontal="center" vertical="center"/>
      <border outline="0">
        <left style="thin">
          <color indexed="64"/>
        </left>
        <right style="thin">
          <color indexed="64"/>
        </right>
        <top style="thin">
          <color indexed="64"/>
        </top>
        <bottom style="thin">
          <color indexed="64"/>
        </bottom>
      </border>
    </dxf>
  </rfmt>
  <rfmt sheetId="5" sqref="BJ103"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K103"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L103"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fmt sheetId="5" sqref="BM103" start="0" length="0">
    <dxf>
      <fill>
        <patternFill patternType="solid">
          <bgColor theme="5" tint="0.79998168889431442"/>
        </patternFill>
      </fill>
      <alignment horizontal="center" vertical="top"/>
      <border outline="0">
        <left style="thin">
          <color indexed="64"/>
        </left>
        <right style="thin">
          <color indexed="64"/>
        </right>
        <top style="thin">
          <color indexed="64"/>
        </top>
        <bottom style="thin">
          <color indexed="64"/>
        </bottom>
      </border>
    </dxf>
  </rfmt>
  <rcc rId="5050" sId="5">
    <oc r="M104">
      <f xml:space="preserve"> TEXT(AW104,".000") &amp; " ba"</f>
    </oc>
    <nc r="M104">
      <f xml:space="preserve"> TEXT(AW104,".000") &amp; " BA"</f>
    </nc>
  </rcc>
  <rcc rId="5051" sId="5">
    <oc r="N104">
      <f>VLOOKUP(A104,INPUT_RANGE,58,FALSE) &amp; " rbi"</f>
    </oc>
    <nc r="N104">
      <f>VLOOKUP(A104,INPUT_RANGE,58,FALSE) &amp; " RBI"</f>
    </nc>
  </rcc>
  <rcc rId="5052" sId="5">
    <oc r="O104">
      <f>VLOOKUP(A104,INPUT_RANGE,60,FALSE) &amp; " bb"</f>
    </oc>
    <nc r="O104">
      <f>VLOOKUP(A104,INPUT_RANGE,60,FALSE) &amp; " BB"</f>
    </nc>
  </rcc>
  <rcc rId="5053" sId="5">
    <oc r="P104">
      <f>VLOOKUP(A104,INPUT_RANGE,61,FALSE) &amp; " k"</f>
    </oc>
    <nc r="P104">
      <f>VLOOKUP(A104,INPUT_RANGE,61,FALSE) &amp; " K"</f>
    </nc>
  </rcc>
  <rcc rId="5054" sId="5">
    <oc r="Q104">
      <f>VLOOKUP(A104,INPUT_RANGE,64,FALSE) &amp; " sb"</f>
    </oc>
    <nc r="Q104">
      <f>VLOOKUP(A104,INPUT_RANGE,64,FALSE) &amp; " SB"</f>
    </nc>
  </rcc>
  <rcc rId="5055" sId="5">
    <oc r="R104">
      <f>VLOOKUP(A104,INPUT_RANGE,55,FALSE) &amp; " 2b"</f>
    </oc>
    <nc r="R104">
      <f>VLOOKUP(A104,INPUT_RANGE,55,FALSE) &amp; " 2B"</f>
    </nc>
  </rcc>
  <rcc rId="5056" sId="5">
    <oc r="S104">
      <f>VLOOKUP(A104,INPUT_RANGE,56,FALSE) &amp; " 3b"</f>
    </oc>
    <nc r="S104">
      <f>VLOOKUP(A104,INPUT_RANGE,56,FALSE) &amp; " 3B"</f>
    </nc>
  </rcc>
  <rcc rId="5057" sId="5">
    <oc r="T104">
      <f>VLOOKUP(A104,INPUT_RANGE,57,FALSE) &amp; " hr"</f>
    </oc>
    <nc r="T104">
      <f>VLOOKUP(A104,INPUT_RANGE,57,FALSE) &amp; " HR"</f>
    </nc>
  </rcc>
  <rcc rId="5058" sId="5">
    <oc r="U104">
      <f>VLOOKUP(A104,INPUT_RANGE,53,FALSE) &amp; " r"</f>
    </oc>
    <nc r="U104">
      <f>VLOOKUP(A104,INPUT_RANGE,53,FALSE) &amp; " R"</f>
    </nc>
  </rcc>
  <rcc rId="5059" sId="5">
    <oc r="V104">
      <f>TEXT(AX104, ".000") &amp; " obp"</f>
    </oc>
    <nc r="V104">
      <f>TEXT(AX104, ".000") &amp; " OBP"</f>
    </nc>
  </rcc>
  <rcc rId="5060" sId="5">
    <oc r="X104">
      <f>VLOOKUP(A104,INPUT_RANGE,77,FALSE)&amp;" games"</f>
    </oc>
    <nc r="X104">
      <f>VLOOKUP(A104,INPUT_RANGE,77,FALSE)&amp;" games"</f>
    </nc>
  </rcc>
  <rcc rId="5061" sId="5">
    <oc r="Y104">
      <f>VLOOKUP(A104,INPUT_RANGE,78,FALSE) &amp; " starts"</f>
    </oc>
    <nc r="Y104">
      <f>VLOOKUP(A104,INPUT_RANGE,78,FALSE) &amp; " starts"</f>
    </nc>
  </rcc>
  <rcc rId="5062" sId="5">
    <oc r="Z104">
      <f>VLOOKUP(A104,INPUT_RANGE,82,FALSE) &amp; " ip"</f>
    </oc>
    <nc r="Z104">
      <f>VLOOKUP(A104,INPUT_RANGE,82,FALSE) &amp; " IP"</f>
    </nc>
  </rcc>
  <rcc rId="5063" sId="5" odxf="1" dxf="1">
    <nc r="AA104">
      <f>TRUNC(VLOOKUP(A104,INPUT_RANGE,82,FALSE)) &amp;  IF(AR104=0.333,"º",IF(AR104=0.666,"»",""))</f>
    </nc>
    <odxf>
      <fill>
        <patternFill>
          <bgColor theme="0" tint="-4.9989318521683403E-2"/>
        </patternFill>
      </fill>
      <alignment horizontal="general" vertical="bottom"/>
    </odxf>
    <ndxf>
      <fill>
        <patternFill>
          <bgColor rgb="FFFFFF00"/>
        </patternFill>
      </fill>
      <alignment horizontal="center" vertical="center"/>
    </ndxf>
  </rcc>
  <rcc rId="5064" sId="5" odxf="1" dxf="1">
    <nc r="AB104">
      <f>AA104&amp; " IP"</f>
    </nc>
    <odxf>
      <fill>
        <patternFill>
          <bgColor theme="0" tint="-4.9989318521683403E-2"/>
        </patternFill>
      </fill>
      <alignment horizontal="general" vertical="bottom"/>
    </odxf>
    <ndxf>
      <fill>
        <patternFill>
          <bgColor rgb="FFFFFF00"/>
        </patternFill>
      </fill>
      <alignment horizontal="center" vertical="center"/>
    </ndxf>
  </rcc>
  <rcc rId="5065" sId="5">
    <oc r="AC104">
      <f>VLOOKUP(A104,INPUT_RANGE,79,FALSE) &amp; " cg"</f>
    </oc>
    <nc r="AC104">
      <f>VLOOKUP(A104,INPUT_RANGE,79,FALSE) &amp; " CG"</f>
    </nc>
  </rcc>
  <rcc rId="5066" sId="5">
    <oc r="AD104">
      <f>VLOOKUP(A104,INPUT_RANGE,80,FALSE) &amp; " sho"</f>
    </oc>
    <nc r="AD104">
      <f>VLOOKUP(A104,INPUT_RANGE,80,FALSE) &amp; " SHO"</f>
    </nc>
  </rcc>
  <rcc rId="5067" sId="5">
    <oc r="AE104">
      <f>VLOOKUP(A104,INPUT_RANGE,75,FALSE) &amp; " win"</f>
    </oc>
    <nc r="AE104">
      <f>VLOOKUP(A104,INPUT_RANGE,75,FALSE) &amp; " Win"</f>
    </nc>
  </rcc>
  <rcc rId="5068" sId="5">
    <oc r="AF104">
      <f>VLOOKUP(A104,INPUT_RANGE,76,FALSE) &amp; " loss"</f>
    </oc>
    <nc r="AF104">
      <f>VLOOKUP(A104,INPUT_RANGE,76,FALSE) &amp; " Loss"</f>
    </nc>
  </rcc>
  <rcc rId="5069" sId="5">
    <oc r="AG104">
      <f>VLOOKUP(A104,INPUT_RANGE,75,FALSE) &amp; "-" &amp; VLOOKUP(A104,INPUT_RANGE,76,FALSE) &amp; " w-l"</f>
    </oc>
    <nc r="AG104">
      <f>VLOOKUP(A104,INPUT_RANGE,75,FALSE) &amp; "-" &amp; VLOOKUP(A104,INPUT_RANGE,76,FALSE) &amp; " W-L"</f>
    </nc>
  </rcc>
  <rcc rId="5070" sId="5">
    <oc r="AH104">
      <f>VLOOKUP(A104,INPUT_RANGE,81,FALSE)&amp; " saves"</f>
    </oc>
    <nc r="AH104">
      <f>VLOOKUP(A104,INPUT_RANGE,81,FALSE)&amp; " Saves"</f>
    </nc>
  </rcc>
  <rcc rId="5071" sId="5">
    <oc r="AI104">
      <f>VLOOKUP(A104,INPUT_RANGE,83,FALSE) &amp; " h"</f>
    </oc>
    <nc r="AI104">
      <f>VLOOKUP(A104,INPUT_RANGE,83,FALSE) &amp; " H"</f>
    </nc>
  </rcc>
  <rcc rId="5072" sId="5">
    <oc r="AJ104">
      <f>VLOOKUP(A104,INPUT_RANGE,84,FALSE) &amp; " r"</f>
    </oc>
    <nc r="AJ104">
      <f>VLOOKUP(A104,INPUT_RANGE,84,FALSE) &amp; " R"</f>
    </nc>
  </rcc>
  <rcc rId="5073" sId="5">
    <oc r="AK104">
      <f>VLOOKUP(A104,INPUT_RANGE,85,FALSE) &amp;" er"</f>
    </oc>
    <nc r="AK104">
      <f>VLOOKUP(A104,INPUT_RANGE,85,FALSE) &amp;" ER"</f>
    </nc>
  </rcc>
  <rcc rId="5074" sId="5">
    <oc r="AL104">
      <f>VLOOKUP(A104,INPUT_RANGE,88,FALSE) &amp;" hr"</f>
    </oc>
    <nc r="AL104">
      <f>VLOOKUP(A104,INPUT_RANGE,88,FALSE) &amp;" HR"</f>
    </nc>
  </rcc>
  <rcc rId="5075" sId="5">
    <oc r="AM104">
      <f>VLOOKUP(A104,INPUT_RANGE,87,FALSE) &amp; " k"</f>
    </oc>
    <nc r="AM104">
      <f>VLOOKUP(A104,INPUT_RANGE,87,FALSE) &amp; " K"</f>
    </nc>
  </rcc>
  <rcc rId="5076" sId="5">
    <oc r="AN104">
      <f>VLOOKUP(A104,INPUT_RANGE,86,FALSE) &amp; " bb"</f>
    </oc>
    <nc r="AN104">
      <f>VLOOKUP(A104,INPUT_RANGE,86,FALSE) &amp; " BB"</f>
    </nc>
  </rcc>
  <rcc rId="5077" sId="5">
    <oc r="AO104">
      <f>TEXT(AU104,"0.00") &amp; " era"</f>
    </oc>
    <nc r="AO104">
      <f>TEXT(AU104,"0.00") &amp; " ERA"</f>
    </nc>
  </rcc>
  <rcc rId="5078" sId="5">
    <oc r="AP104">
      <f>TEXT(AT104,"0.00") &amp; " whip"</f>
    </oc>
    <nc r="AP104">
      <f>TEXT(AT104,"0.00") &amp; " WHIP"</f>
    </nc>
  </rcc>
  <rcc rId="5079" sId="5">
    <oc r="AQ104">
      <f xml:space="preserve"> IF(LEFT(RIGHT((VLOOKUP(A104,INPUT_RANGE,82,FALSE)),2),1)=".",RIGHT(VLOOKUP(A104,INPUT_RANGE,82,FALSE),1), "X")</f>
    </oc>
    <nc r="AQ104">
      <f xml:space="preserve"> IF(LEFT(RIGHT((VLOOKUP(A104,INPUT_RANGE,82,FALSE)),2),1)=".",RIGHT(VLOOKUP(A104,INPUT_RANGE,82,FALSE),1), "X")</f>
    </nc>
  </rcc>
  <rcc rId="5080" sId="5">
    <oc r="AR104">
      <f>IF(AQ104 ="1",0.333,IF(AQ104="2",0.666,0))</f>
    </oc>
    <nc r="AR104">
      <f>IF(AQ104 ="1",0.333,IF(AQ104="2",0.666,0))</f>
    </nc>
  </rcc>
  <rcc rId="5081" sId="5">
    <oc r="AS104">
      <f>VLOOKUP(A104,INPUT_RANGE,82,FALSE)-(AQ104*0.1)+AR104</f>
    </oc>
    <nc r="AS104">
      <f>VLOOKUP(A104,INPUT_RANGE,82,FALSE)-(AQ104*0.1)+AR104</f>
    </nc>
  </rcc>
  <rcc rId="5082" sId="5">
    <oc r="AT104">
      <f>ROUND((VLOOKUP(A104,INPUT_RANGE,86,FALSE)+VLOOKUP(A104,INPUT_RANGE,83,FALSE))/AS104,2)</f>
    </oc>
    <nc r="AT104">
      <f>ROUND((VLOOKUP(A104,INPUT_RANGE,86,FALSE)+VLOOKUP(A104,INPUT_RANGE,83,FALSE))/AS104,2)</f>
    </nc>
  </rcc>
  <rcc rId="5083" sId="5">
    <oc r="AU104">
      <f>ROUND((VLOOKUP(A104,INPUT_RANGE,85,FALSE)/AS104)*('Team Info'!$H$25),2)</f>
    </oc>
    <nc r="AU104">
      <f>ROUND((VLOOKUP(A104,INPUT_RANGE,85,FALSE)/AS104)*('D:\Data\Softball\[ESPN_BASEBALL_AWAY_OLD.xlsx]Team Info'!$H$25),2)</f>
    </nc>
  </rcc>
  <rcc rId="5084" sId="5">
    <oc r="AW104">
      <f>(VLOOKUP(A104,INPUT_RANGE,54,FALSE)/VLOOKUP(A104,INPUT_RANGE,52,FALSE))</f>
    </oc>
    <nc r="AW104">
      <f>(VLOOKUP(A104,INPUT_RANGE,54,FALSE)/VLOOKUP(A104,INPUT_RANGE,52,FALSE))</f>
    </nc>
  </rcc>
  <rcc rId="5085" sId="5">
    <oc r="AX104">
      <f>((VLOOKUP(A104,INPUT_RANGE,54,FALSE)+VLOOKUP(A104,INPUT_RANGE,60,FALSE)+VLOOKUP(A104,INPUT_RANGE,59,FALSE))/(VLOOKUP(A104,INPUT_RANGE,52,FALSE)+VLOOKUP(A104,INPUT_RANGE,60,FALSE)+VLOOKUP(A104,INPUT_RANGE,59,FALSE)+VLOOKUP(A104,INPUT_RANGE,63,FALSE)))</f>
    </oc>
    <nc r="AX104">
      <f>((VLOOKUP(A104,INPUT_RANGE,54,FALSE)+VLOOKUP(A104,INPUT_RANGE,60,FALSE)+VLOOKUP(A104,INPUT_RANGE,59,FALSE))/(VLOOKUP(A104,INPUT_RANGE,52,FALSE)+VLOOKUP(A104,INPUT_RANGE,60,FALSE)+VLOOKUP(A104,INPUT_RANGE,59,FALSE)+VLOOKUP(A104,INPUT_RANGE,63,FALSE)))</f>
    </nc>
  </rcc>
  <rcc rId="5086" sId="5">
    <oc r="AY104">
      <f>(VLOOKUP(A104,INPUT_RANGE,54)+VLOOKUP(A104,INPUT_RANGE,55)+(VLOOKUP(A104,INPUT_RANGE,56)*2)+(VLOOKUP(A104,INPUT_RANGE,57)*3))/(VLOOKUP(A104,INPUT_RANGE,52))</f>
    </oc>
    <nc r="AY104">
      <f>(VLOOKUP(A104,INPUT_RANGE,54)+VLOOKUP(A104,INPUT_RANGE,55)+(VLOOKUP(A104,INPUT_RANGE,56)*2)+(VLOOKUP(A104,INPUT_RANGE,57)*3))/(VLOOKUP(A104,INPUT_RANGE,52))</f>
    </nc>
  </rcc>
  <rcc rId="5087" sId="5">
    <oc r="AZ104">
      <f>AX104+AY104</f>
    </oc>
    <nc r="AZ104">
      <f>AX104+AY104</f>
    </nc>
  </rcc>
  <rcc rId="5088" sId="5">
    <oc r="BA104">
      <f xml:space="preserve"> TEXT(AZ104,".000") &amp; " ops"</f>
    </oc>
    <nc r="BA104">
      <f xml:space="preserve"> TEXT(AZ104,".000") &amp; " OPS"</f>
    </nc>
  </rcc>
  <rcc rId="5089" sId="5">
    <oc r="BB104">
      <f>VLOOKUP(A104,INPUT_RANGE,78,FALSE)</f>
    </oc>
    <nc r="BB104">
      <f>VLOOKUP(A104,INPUT_RANGE,78,FALSE)</f>
    </nc>
  </rcc>
  <rcc rId="5090" sId="5">
    <oc r="BC104">
      <f>VLOOKUP(A104,INPUT_RANGE,77,FALSE)</f>
    </oc>
    <nc r="BC104">
      <f>VLOOKUP(A104,INPUT_RANGE,77,FALSE)</f>
    </nc>
  </rcc>
  <rcc rId="5091" sId="5">
    <oc r="BD104">
      <f>VLOOKUP(A104,INPUT_RANGE,75,FALSE) &amp; "-" &amp; VLOOKUP(A104,INPUT_RANGE,76,FALSE)</f>
    </oc>
    <nc r="BD104">
      <f>VLOOKUP(A104,INPUT_RANGE,75,FALSE) &amp; "-" &amp; VLOOKUP(A104,INPUT_RANGE,76,FALSE)</f>
    </nc>
  </rcc>
  <rcc rId="5092" sId="5">
    <oc r="BE104">
      <f>AU104</f>
    </oc>
    <nc r="BE104">
      <f>AU104</f>
    </nc>
  </rcc>
  <rcc rId="5093" sId="5">
    <oc r="BF104">
      <f>AA104</f>
    </oc>
    <nc r="BF104">
      <f>AA104</f>
    </nc>
  </rcc>
  <rcc rId="5094" sId="5">
    <oc r="BG104">
      <f>VLOOKUP(A104,INPUT_RANGE,86,FALSE)</f>
    </oc>
    <nc r="BG104">
      <f>VLOOKUP(A104,INPUT_RANGE,86,FALSE)</f>
    </nc>
  </rcc>
  <rcc rId="5095" sId="5">
    <oc r="BH104">
      <f>VLOOKUP(A104,INPUT_RANGE,87,FALSE)</f>
    </oc>
    <nc r="BH104">
      <f>VLOOKUP(A104,INPUT_RANGE,87,FALSE)</f>
    </nc>
  </rcc>
  <rcc rId="5096" sId="5">
    <oc r="BI104">
      <f>VLOOKUP(A104,INPUT_RANGE,81,FALSE) &amp; " SAVES"</f>
    </oc>
    <nc r="BI104">
      <f>VLOOKUP(A104,INPUT_RANGE,81,FALSE) &amp; " SAVES"</f>
    </nc>
  </rcc>
  <rcc rId="5097" sId="5">
    <oc r="BJ104">
      <f>VLOOKUP(A104,INPUT_RANGE,81,FALSE)</f>
    </oc>
    <nc r="BJ104">
      <f>VLOOKUP(A104,INPUT_RANGE,81,FALSE)</f>
    </nc>
  </rcc>
  <rcc rId="5098" sId="5">
    <oc r="BK104">
      <f>VLOOKUP(A104,INPUT_RANGE,83,FALSE)</f>
    </oc>
    <nc r="BK104">
      <f>VLOOKUP(A104,INPUT_RANGE,83,FALSE)</f>
    </nc>
  </rcc>
  <rcc rId="5099" sId="5">
    <oc r="BL104">
      <f>VLOOKUP(A104,INPUT_RANGE,87,FALSE) &amp; "/" &amp; VLOOKUP(A104,INPUT_RANGE,86,FALSE)</f>
    </oc>
    <nc r="BL104">
      <f>VLOOKUP(A104,INPUT_RANGE,87,FALSE) &amp; "/" &amp; VLOOKUP(A104,INPUT_RANGE,86,FALSE)</f>
    </nc>
  </rcc>
  <rcc rId="5100" sId="5">
    <oc r="BM104">
      <f>ROUND((VLOOKUP(A104,INPUT_RANGE,86,FALSE)+VLOOKUP(A104,INPUT_RANGE,83,FALSE))/AS104,2)</f>
    </oc>
    <nc r="BM104">
      <f>ROUND((VLOOKUP(A104,INPUT_RANGE,86,FALSE)+VLOOKUP(A104,INPUT_RANGE,83,FALSE))/AS104,2)</f>
    </nc>
  </rcc>
  <rdn rId="0" localSheetId="1" customView="1" name="Z_35139CDC_7B22_4BB4_A27E_0C639571C225_.wvu.Cols" hidden="1" oldHidden="1">
    <formula>'Team Info'!$D:$I</formula>
  </rdn>
  <rdn rId="0" localSheetId="2" customView="1" name="Z_35139CDC_7B22_4BB4_A27E_0C639571C225_.wvu.Cols" hidden="1" oldHidden="1">
    <formula>MAIN!$Q:$BA</formula>
  </rdn>
  <rdn rId="0" localSheetId="3" customView="1" name="Z_35139CDC_7B22_4BB4_A27E_0C639571C225_.wvu.Rows" hidden="1" oldHidden="1">
    <formula>'Team Personnel'!$13:$23</formula>
  </rdn>
  <rdn rId="0" localSheetId="3" customView="1" name="Z_35139CDC_7B22_4BB4_A27E_0C639571C225_.wvu.Cols" hidden="1" oldHidden="1">
    <formula>'Team Personnel'!$G:$K</formula>
  </rdn>
  <rdn rId="0" localSheetId="4" customView="1" name="Z_35139CDC_7B22_4BB4_A27E_0C639571C225_.wvu.Cols" hidden="1" oldHidden="1">
    <formula>Roster!$P:$AI</formula>
  </rdn>
  <rdn rId="0" localSheetId="6" customView="1" name="Z_35139CDC_7B22_4BB4_A27E_0C639571C225_.wvu.Cols" hidden="1" oldHidden="1">
    <formula>'Upcoming Schedule'!$E:$E,'Upcoming Schedule'!$I:$K</formula>
  </rdn>
  <rdn rId="0" localSheetId="7" customView="1" name="Z_35139CDC_7B22_4BB4_A27E_0C639571C225_.wvu.Rows" hidden="1" oldHidden="1">
    <formula>'Team Heroes'!$12:$52</formula>
  </rdn>
  <rdn rId="0" localSheetId="7" customView="1" name="Z_35139CDC_7B22_4BB4_A27E_0C639571C225_.wvu.Cols" hidden="1" oldHidden="1">
    <formula>'Team Heroes'!$F:$I</formula>
  </rdn>
  <rdn rId="0" localSheetId="8" customView="1" name="Z_35139CDC_7B22_4BB4_A27E_0C639571C225_.wvu.Cols" hidden="1" oldHidden="1">
    <formula>'Team Users'!$E:$E</formula>
  </rdn>
  <rdn rId="0" localSheetId="10" customView="1" name="Z_35139CDC_7B22_4BB4_A27E_0C639571C225_.wvu.Cols" hidden="1" oldHidden="1">
    <formula>'Player Users'!$J:$J</formula>
  </rdn>
  <rcv guid="{35139CDC-7B22-4BB4-A27E-0C639571C225}" action="add"/>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22" sId="1" numFmtId="19">
    <oc r="B1">
      <v>45765</v>
    </oc>
    <nc r="B1">
      <v>46051</v>
    </nc>
  </rcc>
  <rcv guid="{35139CDC-7B22-4BB4-A27E-0C639571C225}" action="delete"/>
  <rdn rId="0" localSheetId="1" customView="1" name="Z_35139CDC_7B22_4BB4_A27E_0C639571C225_.wvu.Cols" hidden="1" oldHidden="1">
    <formula>'Team Info'!$D:$I</formula>
    <oldFormula>'Team Info'!$D:$I</oldFormula>
  </rdn>
  <rdn rId="0" localSheetId="2" customView="1" name="Z_35139CDC_7B22_4BB4_A27E_0C639571C225_.wvu.Cols" hidden="1" oldHidden="1">
    <formula>MAIN!$Q:$BA</formula>
    <oldFormula>MAIN!$Q:$BA</oldFormula>
  </rdn>
  <rdn rId="0" localSheetId="3" customView="1" name="Z_35139CDC_7B22_4BB4_A27E_0C639571C225_.wvu.Rows" hidden="1" oldHidden="1">
    <formula>'Team Personnel'!$13:$23</formula>
    <oldFormula>'Team Personnel'!$13:$23</oldFormula>
  </rdn>
  <rdn rId="0" localSheetId="3" customView="1" name="Z_35139CDC_7B22_4BB4_A27E_0C639571C225_.wvu.Cols" hidden="1" oldHidden="1">
    <formula>'Team Personnel'!$G:$K</formula>
    <oldFormula>'Team Personnel'!$G:$K</oldFormula>
  </rdn>
  <rdn rId="0" localSheetId="4" customView="1" name="Z_35139CDC_7B22_4BB4_A27E_0C639571C225_.wvu.Cols" hidden="1" oldHidden="1">
    <formula>Roster!$P:$AI</formula>
    <oldFormula>Roster!$P:$AI</oldFormula>
  </rdn>
  <rdn rId="0" localSheetId="5" customView="1" name="Z_35139CDC_7B22_4BB4_A27E_0C639571C225_.wvu.Cols" hidden="1" oldHidden="1">
    <formula>Stats!$M:$BM</formula>
    <oldFormula>Stats!$M:$BM</oldFormula>
  </rdn>
  <rdn rId="0" localSheetId="6" customView="1" name="Z_35139CDC_7B22_4BB4_A27E_0C639571C225_.wvu.Cols" hidden="1" oldHidden="1">
    <formula>'Upcoming Schedule'!$E:$E,'Upcoming Schedule'!$I:$K</formula>
    <oldFormula>'Upcoming Schedule'!$E:$E,'Upcoming Schedule'!$I:$K</oldFormula>
  </rdn>
  <rdn rId="0" localSheetId="7" customView="1" name="Z_35139CDC_7B22_4BB4_A27E_0C639571C225_.wvu.Rows" hidden="1" oldHidden="1">
    <formula>'Team Heroes'!$12:$52</formula>
    <oldFormula>'Team Heroes'!$12:$52</oldFormula>
  </rdn>
  <rdn rId="0" localSheetId="7" customView="1" name="Z_35139CDC_7B22_4BB4_A27E_0C639571C225_.wvu.Cols" hidden="1" oldHidden="1">
    <formula>'Team Heroes'!$F:$I</formula>
    <oldFormula>'Team Heroes'!$F:$I</oldFormula>
  </rdn>
  <rdn rId="0" localSheetId="8" customView="1" name="Z_35139CDC_7B22_4BB4_A27E_0C639571C225_.wvu.Cols" hidden="1" oldHidden="1">
    <formula>'Team Users'!$E:$E</formula>
    <oldFormula>'Team Users'!$E:$E</oldFormula>
  </rdn>
  <rdn rId="0" localSheetId="10" customView="1" name="Z_35139CDC_7B22_4BB4_A27E_0C639571C225_.wvu.Cols" hidden="1" oldHidden="1">
    <formula>'Player Users'!$J:$J</formula>
    <oldFormula>'Player Users'!$J:$J</oldFormula>
  </rdn>
  <rcv guid="{35139CDC-7B22-4BB4-A27E-0C639571C225}"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134" sId="5">
    <oc r="AU2">
      <f>ROUND((VLOOKUP(A2,INPUT_RANGE,85,FALSE)/AS2)*('D:\Data\Softball\[ESPN_BASEBALL_AWAY_OLD.xlsx]Team Info'!$H$25),2)</f>
    </oc>
    <nc r="AU2">
      <f>ROUND((VLOOKUP(A2,INPUT_RANGE,85,FALSE)/AS2)*('Team Info'!$H$25),2)</f>
    </nc>
  </rcc>
  <rcc rId="5135" sId="5">
    <oc r="AU3">
      <f>ROUND((VLOOKUP(A3,INPUT_RANGE,85,FALSE)/AS3)*('D:\Data\Softball\[ESPN_BASEBALL_AWAY_OLD.xlsx]Team Info'!$H$25),2)</f>
    </oc>
    <nc r="AU3">
      <f>ROUND((VLOOKUP(A3,INPUT_RANGE,85,FALSE)/AS3)*('Team Info'!$H$25),2)</f>
    </nc>
  </rcc>
  <rcc rId="5136" sId="5">
    <oc r="AU4">
      <f>ROUND((VLOOKUP(A4,INPUT_RANGE,85,FALSE)/AS4)*('D:\Data\Softball\[ESPN_BASEBALL_AWAY_OLD.xlsx]Team Info'!$H$25),2)</f>
    </oc>
    <nc r="AU4">
      <f>ROUND((VLOOKUP(A4,INPUT_RANGE,85,FALSE)/AS4)*('Team Info'!$H$25),2)</f>
    </nc>
  </rcc>
  <rcc rId="5137" sId="5">
    <oc r="AU5">
      <f>ROUND((VLOOKUP(A5,INPUT_RANGE,85,FALSE)/AS5)*('D:\Data\Softball\[ESPN_BASEBALL_AWAY_OLD.xlsx]Team Info'!$H$25),2)</f>
    </oc>
    <nc r="AU5">
      <f>ROUND((VLOOKUP(A5,INPUT_RANGE,85,FALSE)/AS5)*('Team Info'!$H$25),2)</f>
    </nc>
  </rcc>
  <rcc rId="5138" sId="5">
    <oc r="AU6">
      <f>ROUND((VLOOKUP(A6,INPUT_RANGE,85,FALSE)/AS6)*('D:\Data\Softball\[ESPN_BASEBALL_AWAY_OLD.xlsx]Team Info'!$H$25),2)</f>
    </oc>
    <nc r="AU6">
      <f>ROUND((VLOOKUP(A6,INPUT_RANGE,85,FALSE)/AS6)*('Team Info'!$H$25),2)</f>
    </nc>
  </rcc>
  <rcc rId="5139" sId="5">
    <oc r="AU7">
      <f>ROUND((VLOOKUP(A7,INPUT_RANGE,85,FALSE)/AS7)*('D:\Data\Softball\[ESPN_BASEBALL_AWAY_OLD.xlsx]Team Info'!$H$25),2)</f>
    </oc>
    <nc r="AU7">
      <f>ROUND((VLOOKUP(A7,INPUT_RANGE,85,FALSE)/AS7)*('Team Info'!$H$25),2)</f>
    </nc>
  </rcc>
  <rcc rId="5140" sId="5">
    <oc r="AU8">
      <f>ROUND((VLOOKUP(A8,INPUT_RANGE,85,FALSE)/AS8)*('D:\Data\Softball\[ESPN_BASEBALL_AWAY_OLD.xlsx]Team Info'!$H$25),2)</f>
    </oc>
    <nc r="AU8">
      <f>ROUND((VLOOKUP(A8,INPUT_RANGE,85,FALSE)/AS8)*('Team Info'!$H$25),2)</f>
    </nc>
  </rcc>
  <rcc rId="5141" sId="5">
    <oc r="AU9">
      <f>ROUND((VLOOKUP(A9,INPUT_RANGE,85,FALSE)/AS9)*('D:\Data\Softball\[ESPN_BASEBALL_AWAY_OLD.xlsx]Team Info'!$H$25),2)</f>
    </oc>
    <nc r="AU9">
      <f>ROUND((VLOOKUP(A9,INPUT_RANGE,85,FALSE)/AS9)*('Team Info'!$H$25),2)</f>
    </nc>
  </rcc>
  <rcc rId="5142" sId="5">
    <oc r="AU10">
      <f>ROUND((VLOOKUP(A10,INPUT_RANGE,85,FALSE)/AS10)*('D:\Data\Softball\[ESPN_BASEBALL_AWAY_OLD.xlsx]Team Info'!$H$25),2)</f>
    </oc>
    <nc r="AU10">
      <f>ROUND((VLOOKUP(A10,INPUT_RANGE,85,FALSE)/AS10)*('Team Info'!$H$25),2)</f>
    </nc>
  </rcc>
  <rcc rId="5143" sId="5">
    <oc r="AU11">
      <f>ROUND((VLOOKUP(A11,INPUT_RANGE,85,FALSE)/AS11)*('D:\Data\Softball\[ESPN_BASEBALL_AWAY_OLD.xlsx]Team Info'!$H$25),2)</f>
    </oc>
    <nc r="AU11">
      <f>ROUND((VLOOKUP(A11,INPUT_RANGE,85,FALSE)/AS11)*('Team Info'!$H$25),2)</f>
    </nc>
  </rcc>
  <rcc rId="5144" sId="5">
    <oc r="AU12">
      <f>ROUND((VLOOKUP(A12,INPUT_RANGE,85,FALSE)/AS12)*('D:\Data\Softball\[ESPN_BASEBALL_AWAY_OLD.xlsx]Team Info'!$H$25),2)</f>
    </oc>
    <nc r="AU12">
      <f>ROUND((VLOOKUP(A12,INPUT_RANGE,85,FALSE)/AS12)*('Team Info'!$H$25),2)</f>
    </nc>
  </rcc>
  <rcc rId="5145" sId="5">
    <oc r="AU13">
      <f>ROUND((VLOOKUP(A13,INPUT_RANGE,85,FALSE)/AS13)*('D:\Data\Softball\[ESPN_BASEBALL_AWAY_OLD.xlsx]Team Info'!$H$25),2)</f>
    </oc>
    <nc r="AU13">
      <f>ROUND((VLOOKUP(A13,INPUT_RANGE,85,FALSE)/AS13)*('Team Info'!$H$25),2)</f>
    </nc>
  </rcc>
  <rcc rId="5146" sId="5">
    <oc r="AU14">
      <f>ROUND((VLOOKUP(A14,INPUT_RANGE,85,FALSE)/AS14)*('D:\Data\Softball\[ESPN_BASEBALL_AWAY_OLD.xlsx]Team Info'!$H$25),2)</f>
    </oc>
    <nc r="AU14">
      <f>ROUND((VLOOKUP(A14,INPUT_RANGE,85,FALSE)/AS14)*('Team Info'!$H$25),2)</f>
    </nc>
  </rcc>
  <rcc rId="5147" sId="5">
    <oc r="AU15">
      <f>ROUND((VLOOKUP(A15,INPUT_RANGE,85,FALSE)/AS15)*('D:\Data\Softball\[ESPN_BASEBALL_AWAY_OLD.xlsx]Team Info'!$H$25),2)</f>
    </oc>
    <nc r="AU15">
      <f>ROUND((VLOOKUP(A15,INPUT_RANGE,85,FALSE)/AS15)*('Team Info'!$H$25),2)</f>
    </nc>
  </rcc>
  <rcc rId="5148" sId="5">
    <oc r="AU16">
      <f>ROUND((VLOOKUP(A16,INPUT_RANGE,85,FALSE)/AS16)*('D:\Data\Softball\[ESPN_BASEBALL_AWAY_OLD.xlsx]Team Info'!$H$25),2)</f>
    </oc>
    <nc r="AU16">
      <f>ROUND((VLOOKUP(A16,INPUT_RANGE,85,FALSE)/AS16)*('Team Info'!$H$25),2)</f>
    </nc>
  </rcc>
  <rcc rId="5149" sId="5">
    <oc r="AU17">
      <f>ROUND((VLOOKUP(A17,INPUT_RANGE,85,FALSE)/AS17)*('D:\Data\Softball\[ESPN_BASEBALL_AWAY_OLD.xlsx]Team Info'!$H$25),2)</f>
    </oc>
    <nc r="AU17">
      <f>ROUND((VLOOKUP(A17,INPUT_RANGE,85,FALSE)/AS17)*('Team Info'!$H$25),2)</f>
    </nc>
  </rcc>
  <rcc rId="5150" sId="5">
    <oc r="AU18">
      <f>ROUND((VLOOKUP(A18,INPUT_RANGE,85,FALSE)/AS18)*('D:\Data\Softball\[ESPN_BASEBALL_AWAY_OLD.xlsx]Team Info'!$H$25),2)</f>
    </oc>
    <nc r="AU18">
      <f>ROUND((VLOOKUP(A18,INPUT_RANGE,85,FALSE)/AS18)*('Team Info'!$H$25),2)</f>
    </nc>
  </rcc>
  <rcc rId="5151" sId="5">
    <oc r="AU19">
      <f>ROUND((VLOOKUP(A19,INPUT_RANGE,85,FALSE)/AS19)*('D:\Data\Softball\[ESPN_BASEBALL_AWAY_OLD.xlsx]Team Info'!$H$25),2)</f>
    </oc>
    <nc r="AU19">
      <f>ROUND((VLOOKUP(A19,INPUT_RANGE,85,FALSE)/AS19)*('Team Info'!$H$25),2)</f>
    </nc>
  </rcc>
  <rcc rId="5152" sId="5">
    <oc r="AU20">
      <f>ROUND((VLOOKUP(A20,INPUT_RANGE,85,FALSE)/AS20)*('D:\Data\Softball\[ESPN_BASEBALL_AWAY_OLD.xlsx]Team Info'!$H$25),2)</f>
    </oc>
    <nc r="AU20">
      <f>ROUND((VLOOKUP(A20,INPUT_RANGE,85,FALSE)/AS20)*('Team Info'!$H$25),2)</f>
    </nc>
  </rcc>
  <rcc rId="5153" sId="5">
    <oc r="AU21">
      <f>ROUND((VLOOKUP(A21,INPUT_RANGE,85,FALSE)/AS21)*('D:\Data\Softball\[ESPN_BASEBALL_AWAY_OLD.xlsx]Team Info'!$H$25),2)</f>
    </oc>
    <nc r="AU21">
      <f>ROUND((VLOOKUP(A21,INPUT_RANGE,85,FALSE)/AS21)*('Team Info'!$H$25),2)</f>
    </nc>
  </rcc>
  <rcc rId="5154" sId="5">
    <oc r="AU22">
      <f>ROUND((VLOOKUP(A22,INPUT_RANGE,85,FALSE)/AS22)*('D:\Data\Softball\[ESPN_BASEBALL_AWAY_OLD.xlsx]Team Info'!$H$25),2)</f>
    </oc>
    <nc r="AU22">
      <f>ROUND((VLOOKUP(A22,INPUT_RANGE,85,FALSE)/AS22)*('Team Info'!$H$25),2)</f>
    </nc>
  </rcc>
  <rcc rId="5155" sId="5">
    <oc r="AU23">
      <f>ROUND((VLOOKUP(A23,INPUT_RANGE,85,FALSE)/AS23)*('D:\Data\Softball\[ESPN_BASEBALL_AWAY_OLD.xlsx]Team Info'!$H$25),2)</f>
    </oc>
    <nc r="AU23">
      <f>ROUND((VLOOKUP(A23,INPUT_RANGE,85,FALSE)/AS23)*('Team Info'!$H$25),2)</f>
    </nc>
  </rcc>
  <rcc rId="5156" sId="5">
    <oc r="AU24">
      <f>ROUND((VLOOKUP(A24,INPUT_RANGE,85,FALSE)/AS24)*('D:\Data\Softball\[ESPN_BASEBALL_AWAY_OLD.xlsx]Team Info'!$H$25),2)</f>
    </oc>
    <nc r="AU24">
      <f>ROUND((VLOOKUP(A24,INPUT_RANGE,85,FALSE)/AS24)*('Team Info'!$H$25),2)</f>
    </nc>
  </rcc>
  <rcc rId="5157" sId="5">
    <oc r="AU25">
      <f>ROUND((VLOOKUP(A25,INPUT_RANGE,85,FALSE)/AS25)*('D:\Data\Softball\[ESPN_BASEBALL_AWAY_OLD.xlsx]Team Info'!$H$25),2)</f>
    </oc>
    <nc r="AU25">
      <f>ROUND((VLOOKUP(A25,INPUT_RANGE,85,FALSE)/AS25)*('Team Info'!$H$25),2)</f>
    </nc>
  </rcc>
  <rcc rId="5158" sId="5">
    <oc r="AU26">
      <f>ROUND((VLOOKUP(A26,INPUT_RANGE,85,FALSE)/AS26)*('D:\Data\Softball\[ESPN_BASEBALL_AWAY_OLD.xlsx]Team Info'!$H$25),2)</f>
    </oc>
    <nc r="AU26">
      <f>ROUND((VLOOKUP(A26,INPUT_RANGE,85,FALSE)/AS26)*('Team Info'!$H$25),2)</f>
    </nc>
  </rcc>
  <rcc rId="5159" sId="5">
    <oc r="AU27">
      <f>ROUND((VLOOKUP(A27,INPUT_RANGE,85,FALSE)/AS27)*('D:\Data\Softball\[ESPN_BASEBALL_AWAY_OLD.xlsx]Team Info'!$H$25),2)</f>
    </oc>
    <nc r="AU27">
      <f>ROUND((VLOOKUP(A27,INPUT_RANGE,85,FALSE)/AS27)*('Team Info'!$H$25),2)</f>
    </nc>
  </rcc>
  <rcc rId="5160" sId="5">
    <oc r="AU28">
      <f>ROUND((VLOOKUP(A28,INPUT_RANGE,85,FALSE)/AS28)*('D:\Data\Softball\[ESPN_BASEBALL_AWAY_OLD.xlsx]Team Info'!$H$25),2)</f>
    </oc>
    <nc r="AU28">
      <f>ROUND((VLOOKUP(A28,INPUT_RANGE,85,FALSE)/AS28)*('Team Info'!$H$25),2)</f>
    </nc>
  </rcc>
  <rcc rId="5161" sId="5">
    <oc r="AU29">
      <f>ROUND((VLOOKUP(A29,INPUT_RANGE,85,FALSE)/AS29)*('D:\Data\Softball\[ESPN_BASEBALL_AWAY_OLD.xlsx]Team Info'!$H$25),2)</f>
    </oc>
    <nc r="AU29">
      <f>ROUND((VLOOKUP(A29,INPUT_RANGE,85,FALSE)/AS29)*('Team Info'!$H$25),2)</f>
    </nc>
  </rcc>
  <rcc rId="5162" sId="5">
    <oc r="AU30">
      <f>ROUND((VLOOKUP(A30,INPUT_RANGE,85,FALSE)/AS30)*('D:\Data\Softball\[ESPN_BASEBALL_AWAY_OLD.xlsx]Team Info'!$H$25),2)</f>
    </oc>
    <nc r="AU30">
      <f>ROUND((VLOOKUP(A30,INPUT_RANGE,85,FALSE)/AS30)*('Team Info'!$H$25),2)</f>
    </nc>
  </rcc>
  <rcc rId="5163" sId="5">
    <oc r="AU31">
      <f>ROUND((VLOOKUP(A31,INPUT_RANGE,85,FALSE)/AS31)*('D:\Data\Softball\[ESPN_BASEBALL_AWAY_OLD.xlsx]Team Info'!$H$25),2)</f>
    </oc>
    <nc r="AU31">
      <f>ROUND((VLOOKUP(A31,INPUT_RANGE,85,FALSE)/AS31)*('Team Info'!$H$25),2)</f>
    </nc>
  </rcc>
  <rcc rId="5164" sId="5">
    <oc r="AU32">
      <f>ROUND((VLOOKUP(A32,INPUT_RANGE,85,FALSE)/AS32)*('D:\Data\Softball\[ESPN_BASEBALL_AWAY_OLD.xlsx]Team Info'!$H$25),2)</f>
    </oc>
    <nc r="AU32">
      <f>ROUND((VLOOKUP(A32,INPUT_RANGE,85,FALSE)/AS32)*('Team Info'!$H$25),2)</f>
    </nc>
  </rcc>
  <rcc rId="5165" sId="5">
    <oc r="AU33">
      <f>ROUND((VLOOKUP(A33,INPUT_RANGE,85,FALSE)/AS33)*('D:\Data\Softball\[ESPN_BASEBALL_AWAY_OLD.xlsx]Team Info'!$H$25),2)</f>
    </oc>
    <nc r="AU33">
      <f>ROUND((VLOOKUP(A33,INPUT_RANGE,85,FALSE)/AS33)*('Team Info'!$H$25),2)</f>
    </nc>
  </rcc>
  <rcc rId="5166" sId="5">
    <oc r="AU34">
      <f>ROUND((VLOOKUP(A34,INPUT_RANGE,85,FALSE)/AS34)*('D:\Data\Softball\[ESPN_BASEBALL_AWAY_OLD.xlsx]Team Info'!$H$25),2)</f>
    </oc>
    <nc r="AU34">
      <f>ROUND((VLOOKUP(A34,INPUT_RANGE,85,FALSE)/AS34)*('Team Info'!$H$25),2)</f>
    </nc>
  </rcc>
  <rcc rId="5167" sId="5">
    <oc r="AU35">
      <f>ROUND((VLOOKUP(A35,INPUT_RANGE,85,FALSE)/AS35)*('D:\Data\Softball\[ESPN_BASEBALL_AWAY_OLD.xlsx]Team Info'!$H$25),2)</f>
    </oc>
    <nc r="AU35">
      <f>ROUND((VLOOKUP(A35,INPUT_RANGE,85,FALSE)/AS35)*('Team Info'!$H$25),2)</f>
    </nc>
  </rcc>
  <rcc rId="5168" sId="5">
    <oc r="AU36">
      <f>ROUND((VLOOKUP(A36,INPUT_RANGE,85,FALSE)/AS36)*('D:\Data\Softball\[ESPN_BASEBALL_AWAY_OLD.xlsx]Team Info'!$H$25),2)</f>
    </oc>
    <nc r="AU36">
      <f>ROUND((VLOOKUP(A36,INPUT_RANGE,85,FALSE)/AS36)*('Team Info'!$H$25),2)</f>
    </nc>
  </rcc>
  <rcc rId="5169" sId="5">
    <oc r="AU37">
      <f>ROUND((VLOOKUP(A37,INPUT_RANGE,85,FALSE)/AS37)*('D:\Data\Softball\[ESPN_BASEBALL_AWAY_OLD.xlsx]Team Info'!$H$25),2)</f>
    </oc>
    <nc r="AU37">
      <f>ROUND((VLOOKUP(A37,INPUT_RANGE,85,FALSE)/AS37)*('Team Info'!$H$25),2)</f>
    </nc>
  </rcc>
  <rcc rId="5170" sId="5">
    <oc r="AU38">
      <f>ROUND((VLOOKUP(A38,INPUT_RANGE,85,FALSE)/AS38)*('D:\Data\Softball\[ESPN_BASEBALL_AWAY_OLD.xlsx]Team Info'!$H$25),2)</f>
    </oc>
    <nc r="AU38">
      <f>ROUND((VLOOKUP(A38,INPUT_RANGE,85,FALSE)/AS38)*('Team Info'!$H$25),2)</f>
    </nc>
  </rcc>
  <rcc rId="5171" sId="5">
    <oc r="AU39">
      <f>ROUND((VLOOKUP(A39,INPUT_RANGE,85,FALSE)/AS39)*('D:\Data\Softball\[ESPN_BASEBALL_AWAY_OLD.xlsx]Team Info'!$H$25),2)</f>
    </oc>
    <nc r="AU39">
      <f>ROUND((VLOOKUP(A39,INPUT_RANGE,85,FALSE)/AS39)*('Team Info'!$H$25),2)</f>
    </nc>
  </rcc>
  <rcc rId="5172" sId="5">
    <oc r="AU40">
      <f>ROUND((VLOOKUP(A40,INPUT_RANGE,85,FALSE)/AS40)*('D:\Data\Softball\[ESPN_BASEBALL_AWAY_OLD.xlsx]Team Info'!$H$25),2)</f>
    </oc>
    <nc r="AU40">
      <f>ROUND((VLOOKUP(A40,INPUT_RANGE,85,FALSE)/AS40)*('Team Info'!$H$25),2)</f>
    </nc>
  </rcc>
  <rcc rId="5173" sId="5">
    <oc r="AU41">
      <f>ROUND((VLOOKUP(A41,INPUT_RANGE,85,FALSE)/AS41)*('D:\Data\Softball\[ESPN_BASEBALL_AWAY_OLD.xlsx]Team Info'!$H$25),2)</f>
    </oc>
    <nc r="AU41">
      <f>ROUND((VLOOKUP(A41,INPUT_RANGE,85,FALSE)/AS41)*('Team Info'!$H$25),2)</f>
    </nc>
  </rcc>
  <rcc rId="5174" sId="5">
    <oc r="AU42">
      <f>ROUND((VLOOKUP(A42,INPUT_RANGE,85,FALSE)/AS42)*('D:\Data\Softball\[ESPN_BASEBALL_AWAY_OLD.xlsx]Team Info'!$H$25),2)</f>
    </oc>
    <nc r="AU42">
      <f>ROUND((VLOOKUP(A42,INPUT_RANGE,85,FALSE)/AS42)*('Team Info'!$H$25),2)</f>
    </nc>
  </rcc>
  <rcc rId="5175" sId="5">
    <oc r="AU43">
      <f>ROUND((VLOOKUP(A43,INPUT_RANGE,85,FALSE)/AS43)*('D:\Data\Softball\[ESPN_BASEBALL_AWAY_OLD.xlsx]Team Info'!$H$25),2)</f>
    </oc>
    <nc r="AU43">
      <f>ROUND((VLOOKUP(A43,INPUT_RANGE,85,FALSE)/AS43)*('Team Info'!$H$25),2)</f>
    </nc>
  </rcc>
  <rcc rId="5176" sId="5">
    <oc r="AU44">
      <f>ROUND((VLOOKUP(A44,INPUT_RANGE,85,FALSE)/AS44)*('D:\Data\Softball\[ESPN_BASEBALL_AWAY_OLD.xlsx]Team Info'!$H$25),2)</f>
    </oc>
    <nc r="AU44">
      <f>ROUND((VLOOKUP(A44,INPUT_RANGE,85,FALSE)/AS44)*('Team Info'!$H$25),2)</f>
    </nc>
  </rcc>
  <rcc rId="5177" sId="5">
    <oc r="AU45">
      <f>ROUND((VLOOKUP(A45,INPUT_RANGE,85,FALSE)/AS45)*('D:\Data\Softball\[ESPN_BASEBALL_AWAY_OLD.xlsx]Team Info'!$H$25),2)</f>
    </oc>
    <nc r="AU45">
      <f>ROUND((VLOOKUP(A45,INPUT_RANGE,85,FALSE)/AS45)*('Team Info'!$H$25),2)</f>
    </nc>
  </rcc>
  <rcc rId="5178" sId="5">
    <oc r="AU46">
      <f>ROUND((VLOOKUP(A46,INPUT_RANGE,85,FALSE)/AS46)*('D:\Data\Softball\[ESPN_BASEBALL_AWAY_OLD.xlsx]Team Info'!$H$25),2)</f>
    </oc>
    <nc r="AU46">
      <f>ROUND((VLOOKUP(A46,INPUT_RANGE,85,FALSE)/AS46)*('Team Info'!$H$25),2)</f>
    </nc>
  </rcc>
  <rcc rId="5179" sId="5">
    <oc r="AU47">
      <f>ROUND((VLOOKUP(A47,INPUT_RANGE,85,FALSE)/AS47)*('D:\Data\Softball\[ESPN_BASEBALL_AWAY_OLD.xlsx]Team Info'!$H$25),2)</f>
    </oc>
    <nc r="AU47">
      <f>ROUND((VLOOKUP(A47,INPUT_RANGE,85,FALSE)/AS47)*('Team Info'!$H$25),2)</f>
    </nc>
  </rcc>
  <rcc rId="5180" sId="5">
    <oc r="AU48">
      <f>ROUND((VLOOKUP(A48,INPUT_RANGE,85,FALSE)/AS48)*('D:\Data\Softball\[ESPN_BASEBALL_AWAY_OLD.xlsx]Team Info'!$H$25),2)</f>
    </oc>
    <nc r="AU48">
      <f>ROUND((VLOOKUP(A48,INPUT_RANGE,85,FALSE)/AS48)*('Team Info'!$H$25),2)</f>
    </nc>
  </rcc>
  <rcc rId="5181" sId="5">
    <oc r="AU49">
      <f>ROUND((VLOOKUP(A49,INPUT_RANGE,85,FALSE)/AS49)*('D:\Data\Softball\[ESPN_BASEBALL_AWAY_OLD.xlsx]Team Info'!$H$25),2)</f>
    </oc>
    <nc r="AU49">
      <f>ROUND((VLOOKUP(A49,INPUT_RANGE,85,FALSE)/AS49)*('Team Info'!$H$25),2)</f>
    </nc>
  </rcc>
  <rcc rId="5182" sId="5">
    <oc r="AU50">
      <f>ROUND((VLOOKUP(A50,INPUT_RANGE,85,FALSE)/AS50)*('D:\Data\Softball\[ESPN_BASEBALL_AWAY_OLD.xlsx]Team Info'!$H$25),2)</f>
    </oc>
    <nc r="AU50">
      <f>ROUND((VLOOKUP(A50,INPUT_RANGE,85,FALSE)/AS50)*('Team Info'!$H$25),2)</f>
    </nc>
  </rcc>
  <rcc rId="5183" sId="5">
    <oc r="AU51">
      <f>ROUND((VLOOKUP(A51,INPUT_RANGE,85,FALSE)/AS51)*('D:\Data\Softball\[ESPN_BASEBALL_AWAY_OLD.xlsx]Team Info'!$H$25),2)</f>
    </oc>
    <nc r="AU51">
      <f>ROUND((VLOOKUP(A51,INPUT_RANGE,85,FALSE)/AS51)*('Team Info'!$H$25),2)</f>
    </nc>
  </rcc>
  <rcc rId="5184" sId="5">
    <oc r="AU52">
      <f>ROUND((VLOOKUP(A52,INPUT_RANGE,85,FALSE)/AS52)*('D:\Data\Softball\[ESPN_BASEBALL_AWAY_OLD.xlsx]Team Info'!$H$25),2)</f>
    </oc>
    <nc r="AU52">
      <f>ROUND((VLOOKUP(A52,INPUT_RANGE,85,FALSE)/AS52)*('Team Info'!$H$25),2)</f>
    </nc>
  </rcc>
  <rcc rId="5185" sId="5">
    <oc r="AU53">
      <f>ROUND((VLOOKUP(A53,INPUT_RANGE,85,FALSE)/AS53)*('D:\Data\Softball\[ESPN_BASEBALL_AWAY_OLD.xlsx]Team Info'!$H$25),2)</f>
    </oc>
    <nc r="AU53">
      <f>ROUND((VLOOKUP(A53,INPUT_RANGE,85,FALSE)/AS53)*('Team Info'!$H$25),2)</f>
    </nc>
  </rcc>
  <rcc rId="5186" sId="5">
    <oc r="AU54">
      <f>ROUND((VLOOKUP(A54,INPUT_RANGE,85,FALSE)/AS54)*('D:\Data\Softball\[ESPN_BASEBALL_AWAY_OLD.xlsx]Team Info'!$H$25),2)</f>
    </oc>
    <nc r="AU54">
      <f>ROUND((VLOOKUP(A54,INPUT_RANGE,85,FALSE)/AS54)*('Team Info'!$H$25),2)</f>
    </nc>
  </rcc>
  <rcc rId="5187" sId="5">
    <oc r="AU55">
      <f>ROUND((VLOOKUP(A55,INPUT_RANGE,85,FALSE)/AS55)*('D:\Data\Softball\[ESPN_BASEBALL_AWAY_OLD.xlsx]Team Info'!$H$25),2)</f>
    </oc>
    <nc r="AU55">
      <f>ROUND((VLOOKUP(A55,INPUT_RANGE,85,FALSE)/AS55)*('Team Info'!$H$25),2)</f>
    </nc>
  </rcc>
  <rcc rId="5188" sId="5">
    <oc r="AU56">
      <f>ROUND((VLOOKUP(A56,INPUT_RANGE,85,FALSE)/AS56)*('D:\Data\Softball\[ESPN_BASEBALL_AWAY_OLD.xlsx]Team Info'!$H$25),2)</f>
    </oc>
    <nc r="AU56">
      <f>ROUND((VLOOKUP(A56,INPUT_RANGE,85,FALSE)/AS56)*('Team Info'!$H$25),2)</f>
    </nc>
  </rcc>
  <rcc rId="5189" sId="5">
    <oc r="AU57">
      <f>ROUND((VLOOKUP(A57,INPUT_RANGE,85,FALSE)/AS57)*('D:\Data\Softball\[ESPN_BASEBALL_AWAY_OLD.xlsx]Team Info'!$H$25),2)</f>
    </oc>
    <nc r="AU57">
      <f>ROUND((VLOOKUP(A57,INPUT_RANGE,85,FALSE)/AS57)*('Team Info'!$H$25),2)</f>
    </nc>
  </rcc>
  <rcc rId="5190" sId="5">
    <oc r="AU58">
      <f>ROUND((VLOOKUP(A58,INPUT_RANGE,85,FALSE)/AS58)*('D:\Data\Softball\[ESPN_BASEBALL_AWAY_OLD.xlsx]Team Info'!$H$25),2)</f>
    </oc>
    <nc r="AU58">
      <f>ROUND((VLOOKUP(A58,INPUT_RANGE,85,FALSE)/AS58)*('Team Info'!$H$25),2)</f>
    </nc>
  </rcc>
  <rcc rId="5191" sId="5">
    <oc r="AU59">
      <f>ROUND((VLOOKUP(A59,INPUT_RANGE,85,FALSE)/AS59)*('D:\Data\Softball\[ESPN_BASEBALL_AWAY_OLD.xlsx]Team Info'!$H$25),2)</f>
    </oc>
    <nc r="AU59">
      <f>ROUND((VLOOKUP(A59,INPUT_RANGE,85,FALSE)/AS59)*('Team Info'!$H$25),2)</f>
    </nc>
  </rcc>
  <rcc rId="5192" sId="5">
    <oc r="AU60">
      <f>ROUND((VLOOKUP(A60,INPUT_RANGE,85,FALSE)/AS60)*('D:\Data\Softball\[ESPN_BASEBALL_AWAY_OLD.xlsx]Team Info'!$H$25),2)</f>
    </oc>
    <nc r="AU60">
      <f>ROUND((VLOOKUP(A60,INPUT_RANGE,85,FALSE)/AS60)*('Team Info'!$H$25),2)</f>
    </nc>
  </rcc>
  <rcc rId="5193" sId="5">
    <oc r="AU61">
      <f>ROUND((VLOOKUP(A61,INPUT_RANGE,85,FALSE)/AS61)*('D:\Data\Softball\[ESPN_BASEBALL_AWAY_OLD.xlsx]Team Info'!$H$25),2)</f>
    </oc>
    <nc r="AU61">
      <f>ROUND((VLOOKUP(A61,INPUT_RANGE,85,FALSE)/AS61)*('Team Info'!$H$25),2)</f>
    </nc>
  </rcc>
  <rcc rId="5194" sId="5">
    <oc r="AU62">
      <f>ROUND((VLOOKUP(A62,INPUT_RANGE,85,FALSE)/AS62)*('D:\Data\Softball\[ESPN_BASEBALL_AWAY_OLD.xlsx]Team Info'!$H$25),2)</f>
    </oc>
    <nc r="AU62">
      <f>ROUND((VLOOKUP(A62,INPUT_RANGE,85,FALSE)/AS62)*('Team Info'!$H$25),2)</f>
    </nc>
  </rcc>
  <rcc rId="5195" sId="5">
    <oc r="AU63">
      <f>ROUND((VLOOKUP(A63,INPUT_RANGE,85,FALSE)/AS63)*('D:\Data\Softball\[ESPN_BASEBALL_AWAY_OLD.xlsx]Team Info'!$H$25),2)</f>
    </oc>
    <nc r="AU63">
      <f>ROUND((VLOOKUP(A63,INPUT_RANGE,85,FALSE)/AS63)*('Team Info'!$H$25),2)</f>
    </nc>
  </rcc>
  <rcc rId="5196" sId="5">
    <oc r="AU64">
      <f>ROUND((VLOOKUP(A64,INPUT_RANGE,85,FALSE)/AS64)*('D:\Data\Softball\[ESPN_BASEBALL_AWAY_OLD.xlsx]Team Info'!$H$25),2)</f>
    </oc>
    <nc r="AU64">
      <f>ROUND((VLOOKUP(A64,INPUT_RANGE,85,FALSE)/AS64)*('Team Info'!$H$25),2)</f>
    </nc>
  </rcc>
  <rcc rId="5197" sId="5">
    <oc r="AU65">
      <f>ROUND((VLOOKUP(A65,INPUT_RANGE,85,FALSE)/AS65)*('D:\Data\Softball\[ESPN_BASEBALL_AWAY_OLD.xlsx]Team Info'!$H$25),2)</f>
    </oc>
    <nc r="AU65">
      <f>ROUND((VLOOKUP(A65,INPUT_RANGE,85,FALSE)/AS65)*('Team Info'!$H$25),2)</f>
    </nc>
  </rcc>
  <rcc rId="5198" sId="5">
    <oc r="AU66">
      <f>ROUND((VLOOKUP(A66,INPUT_RANGE,85,FALSE)/AS66)*('D:\Data\Softball\[ESPN_BASEBALL_AWAY_OLD.xlsx]Team Info'!$H$25),2)</f>
    </oc>
    <nc r="AU66">
      <f>ROUND((VLOOKUP(A66,INPUT_RANGE,85,FALSE)/AS66)*('Team Info'!$H$25),2)</f>
    </nc>
  </rcc>
  <rcc rId="5199" sId="5">
    <oc r="AU67">
      <f>ROUND((VLOOKUP(A67,INPUT_RANGE,85,FALSE)/AS67)*('D:\Data\Softball\[ESPN_BASEBALL_AWAY_OLD.xlsx]Team Info'!$H$25),2)</f>
    </oc>
    <nc r="AU67">
      <f>ROUND((VLOOKUP(A67,INPUT_RANGE,85,FALSE)/AS67)*('Team Info'!$H$25),2)</f>
    </nc>
  </rcc>
  <rcc rId="5200" sId="5">
    <oc r="AU68">
      <f>ROUND((VLOOKUP(A68,INPUT_RANGE,85,FALSE)/AS68)*('D:\Data\Softball\[ESPN_BASEBALL_AWAY_OLD.xlsx]Team Info'!$H$25),2)</f>
    </oc>
    <nc r="AU68">
      <f>ROUND((VLOOKUP(A68,INPUT_RANGE,85,FALSE)/AS68)*('Team Info'!$H$25),2)</f>
    </nc>
  </rcc>
  <rcc rId="5201" sId="5">
    <oc r="AU69">
      <f>ROUND((VLOOKUP(A69,INPUT_RANGE,85,FALSE)/AS69)*('D:\Data\Softball\[ESPN_BASEBALL_AWAY_OLD.xlsx]Team Info'!$H$25),2)</f>
    </oc>
    <nc r="AU69">
      <f>ROUND((VLOOKUP(A69,INPUT_RANGE,85,FALSE)/AS69)*('Team Info'!$H$25),2)</f>
    </nc>
  </rcc>
  <rcc rId="5202" sId="5">
    <oc r="AU70">
      <f>ROUND((VLOOKUP(A70,INPUT_RANGE,85,FALSE)/AS70)*('D:\Data\Softball\[ESPN_BASEBALL_AWAY_OLD.xlsx]Team Info'!$H$25),2)</f>
    </oc>
    <nc r="AU70">
      <f>ROUND((VLOOKUP(A70,INPUT_RANGE,85,FALSE)/AS70)*('Team Info'!$H$25),2)</f>
    </nc>
  </rcc>
  <rcc rId="5203" sId="5">
    <oc r="AU71">
      <f>ROUND((VLOOKUP(A71,INPUT_RANGE,85,FALSE)/AS71)*('D:\Data\Softball\[ESPN_BASEBALL_AWAY_OLD.xlsx]Team Info'!$H$25),2)</f>
    </oc>
    <nc r="AU71">
      <f>ROUND((VLOOKUP(A71,INPUT_RANGE,85,FALSE)/AS71)*('Team Info'!$H$25),2)</f>
    </nc>
  </rcc>
  <rcc rId="5204" sId="5">
    <oc r="AU72">
      <f>ROUND((VLOOKUP(A72,INPUT_RANGE,85,FALSE)/AS72)*('D:\Data\Softball\[ESPN_BASEBALL_AWAY_OLD.xlsx]Team Info'!$H$25),2)</f>
    </oc>
    <nc r="AU72">
      <f>ROUND((VLOOKUP(A72,INPUT_RANGE,85,FALSE)/AS72)*('Team Info'!$H$25),2)</f>
    </nc>
  </rcc>
  <rcc rId="5205" sId="5">
    <oc r="AU73">
      <f>ROUND((VLOOKUP(A73,INPUT_RANGE,85,FALSE)/AS73)*('D:\Data\Softball\[ESPN_BASEBALL_AWAY_OLD.xlsx]Team Info'!$H$25),2)</f>
    </oc>
    <nc r="AU73">
      <f>ROUND((VLOOKUP(A73,INPUT_RANGE,85,FALSE)/AS73)*('Team Info'!$H$25),2)</f>
    </nc>
  </rcc>
  <rcc rId="5206" sId="5">
    <oc r="AU74">
      <f>ROUND((VLOOKUP(A74,INPUT_RANGE,85,FALSE)/AS74)*('D:\Data\Softball\[ESPN_BASEBALL_AWAY_OLD.xlsx]Team Info'!$H$25),2)</f>
    </oc>
    <nc r="AU74">
      <f>ROUND((VLOOKUP(A74,INPUT_RANGE,85,FALSE)/AS74)*('Team Info'!$H$25),2)</f>
    </nc>
  </rcc>
  <rcc rId="5207" sId="5">
    <oc r="AU75">
      <f>ROUND((VLOOKUP(A75,INPUT_RANGE,85,FALSE)/AS75)*('D:\Data\Softball\[ESPN_BASEBALL_AWAY_OLD.xlsx]Team Info'!$H$25),2)</f>
    </oc>
    <nc r="AU75">
      <f>ROUND((VLOOKUP(A75,INPUT_RANGE,85,FALSE)/AS75)*('Team Info'!$H$25),2)</f>
    </nc>
  </rcc>
  <rcc rId="5208" sId="5">
    <oc r="AU76">
      <f>ROUND((VLOOKUP(A76,INPUT_RANGE,85,FALSE)/AS76)*('D:\Data\Softball\[ESPN_BASEBALL_AWAY_OLD.xlsx]Team Info'!$H$25),2)</f>
    </oc>
    <nc r="AU76">
      <f>ROUND((VLOOKUP(A76,INPUT_RANGE,85,FALSE)/AS76)*('Team Info'!$H$25),2)</f>
    </nc>
  </rcc>
  <rcc rId="5209" sId="5">
    <oc r="AU77">
      <f>ROUND((VLOOKUP(A77,INPUT_RANGE,85,FALSE)/AS77)*('D:\Data\Softball\[ESPN_BASEBALL_AWAY_OLD.xlsx]Team Info'!$H$25),2)</f>
    </oc>
    <nc r="AU77">
      <f>ROUND((VLOOKUP(A77,INPUT_RANGE,85,FALSE)/AS77)*('Team Info'!$H$25),2)</f>
    </nc>
  </rcc>
  <rcc rId="5210" sId="5">
    <oc r="AU78">
      <f>ROUND((VLOOKUP(A78,INPUT_RANGE,85,FALSE)/AS78)*('D:\Data\Softball\[ESPN_BASEBALL_AWAY_OLD.xlsx]Team Info'!$H$25),2)</f>
    </oc>
    <nc r="AU78">
      <f>ROUND((VLOOKUP(A78,INPUT_RANGE,85,FALSE)/AS78)*('Team Info'!$H$25),2)</f>
    </nc>
  </rcc>
  <rcc rId="5211" sId="5">
    <oc r="AU79">
      <f>ROUND((VLOOKUP(A79,INPUT_RANGE,85,FALSE)/AS79)*('D:\Data\Softball\[ESPN_BASEBALL_AWAY_OLD.xlsx]Team Info'!$H$25),2)</f>
    </oc>
    <nc r="AU79">
      <f>ROUND((VLOOKUP(A79,INPUT_RANGE,85,FALSE)/AS79)*('Team Info'!$H$25),2)</f>
    </nc>
  </rcc>
  <rcc rId="5212" sId="5">
    <oc r="AU80">
      <f>ROUND((VLOOKUP(A80,INPUT_RANGE,85,FALSE)/AS80)*('D:\Data\Softball\[ESPN_BASEBALL_AWAY_OLD.xlsx]Team Info'!$H$25),2)</f>
    </oc>
    <nc r="AU80">
      <f>ROUND((VLOOKUP(A80,INPUT_RANGE,85,FALSE)/AS80)*('Team Info'!$H$25),2)</f>
    </nc>
  </rcc>
  <rcc rId="5213" sId="5">
    <oc r="AU81">
      <f>ROUND((VLOOKUP(A81,INPUT_RANGE,85,FALSE)/AS81)*('D:\Data\Softball\[ESPN_BASEBALL_AWAY_OLD.xlsx]Team Info'!$H$25),2)</f>
    </oc>
    <nc r="AU81">
      <f>ROUND((VLOOKUP(A81,INPUT_RANGE,85,FALSE)/AS81)*('Team Info'!$H$25),2)</f>
    </nc>
  </rcc>
  <rcc rId="5214" sId="5">
    <oc r="AU82">
      <f>ROUND((VLOOKUP(A82,INPUT_RANGE,85,FALSE)/AS82)*('D:\Data\Softball\[ESPN_BASEBALL_AWAY_OLD.xlsx]Team Info'!$H$25),2)</f>
    </oc>
    <nc r="AU82">
      <f>ROUND((VLOOKUP(A82,INPUT_RANGE,85,FALSE)/AS82)*('Team Info'!$H$25),2)</f>
    </nc>
  </rcc>
  <rcc rId="5215" sId="5">
    <oc r="AU83">
      <f>ROUND((VLOOKUP(A83,INPUT_RANGE,85,FALSE)/AS83)*('D:\Data\Softball\[ESPN_BASEBALL_AWAY_OLD.xlsx]Team Info'!$H$25),2)</f>
    </oc>
    <nc r="AU83">
      <f>ROUND((VLOOKUP(A83,INPUT_RANGE,85,FALSE)/AS83)*('Team Info'!$H$25),2)</f>
    </nc>
  </rcc>
  <rcc rId="5216" sId="5">
    <oc r="AU84">
      <f>ROUND((VLOOKUP(A84,INPUT_RANGE,85,FALSE)/AS84)*('D:\Data\Softball\[ESPN_BASEBALL_AWAY_OLD.xlsx]Team Info'!$H$25),2)</f>
    </oc>
    <nc r="AU84">
      <f>ROUND((VLOOKUP(A84,INPUT_RANGE,85,FALSE)/AS84)*('Team Info'!$H$25),2)</f>
    </nc>
  </rcc>
  <rcc rId="5217" sId="5">
    <oc r="AU85">
      <f>ROUND((VLOOKUP(A85,INPUT_RANGE,85,FALSE)/AS85)*('D:\Data\Softball\[ESPN_BASEBALL_AWAY_OLD.xlsx]Team Info'!$H$25),2)</f>
    </oc>
    <nc r="AU85">
      <f>ROUND((VLOOKUP(A85,INPUT_RANGE,85,FALSE)/AS85)*('Team Info'!$H$25),2)</f>
    </nc>
  </rcc>
  <rcc rId="5218" sId="5">
    <oc r="AU86">
      <f>ROUND((VLOOKUP(A86,INPUT_RANGE,85,FALSE)/AS86)*('D:\Data\Softball\[ESPN_BASEBALL_AWAY_OLD.xlsx]Team Info'!$H$25),2)</f>
    </oc>
    <nc r="AU86">
      <f>ROUND((VLOOKUP(A86,INPUT_RANGE,85,FALSE)/AS86)*('Team Info'!$H$25),2)</f>
    </nc>
  </rcc>
  <rcc rId="5219" sId="5">
    <oc r="AU87">
      <f>ROUND((VLOOKUP(A87,INPUT_RANGE,85,FALSE)/AS87)*('D:\Data\Softball\[ESPN_BASEBALL_AWAY_OLD.xlsx]Team Info'!$H$25),2)</f>
    </oc>
    <nc r="AU87">
      <f>ROUND((VLOOKUP(A87,INPUT_RANGE,85,FALSE)/AS87)*('Team Info'!$H$25),2)</f>
    </nc>
  </rcc>
  <rcc rId="5220" sId="5">
    <oc r="AU88">
      <f>ROUND((VLOOKUP(A88,INPUT_RANGE,85,FALSE)/AS88)*('D:\Data\Softball\[ESPN_BASEBALL_AWAY_OLD.xlsx]Team Info'!$H$25),2)</f>
    </oc>
    <nc r="AU88">
      <f>ROUND((VLOOKUP(A88,INPUT_RANGE,85,FALSE)/AS88)*('Team Info'!$H$25),2)</f>
    </nc>
  </rcc>
  <rcc rId="5221" sId="5">
    <oc r="AU89">
      <f>ROUND((VLOOKUP(A89,INPUT_RANGE,85,FALSE)/AS89)*('D:\Data\Softball\[ESPN_BASEBALL_AWAY_OLD.xlsx]Team Info'!$H$25),2)</f>
    </oc>
    <nc r="AU89">
      <f>ROUND((VLOOKUP(A89,INPUT_RANGE,85,FALSE)/AS89)*('Team Info'!$H$25),2)</f>
    </nc>
  </rcc>
  <rcc rId="5222" sId="5">
    <oc r="AU90">
      <f>ROUND((VLOOKUP(A90,INPUT_RANGE,85,FALSE)/AS90)*('D:\Data\Softball\[ESPN_BASEBALL_AWAY_OLD.xlsx]Team Info'!$H$25),2)</f>
    </oc>
    <nc r="AU90">
      <f>ROUND((VLOOKUP(A90,INPUT_RANGE,85,FALSE)/AS90)*('Team Info'!$H$25),2)</f>
    </nc>
  </rcc>
  <rcc rId="5223" sId="5" odxf="1" dxf="1">
    <oc r="AU91">
      <f>AU$104</f>
    </oc>
    <nc r="AU91">
      <f>ROUND((VLOOKUP(A91,INPUT_RANGE,85,FALSE)/AS91)*('Team Info'!$H$25),2)</f>
    </nc>
    <odxf>
      <font>
        <sz val="10"/>
        <color auto="1"/>
        <name val="Arial"/>
        <scheme val="none"/>
      </font>
      <fill>
        <patternFill>
          <bgColor theme="0" tint="-0.14999847407452621"/>
        </patternFill>
      </fill>
      <alignment vertical="center"/>
    </odxf>
    <ndxf>
      <font>
        <sz val="11"/>
        <color theme="1"/>
        <name val="Calibri"/>
        <family val="2"/>
        <scheme val="minor"/>
      </font>
      <fill>
        <patternFill>
          <bgColor theme="0" tint="-4.9989318521683403E-2"/>
        </patternFill>
      </fill>
      <alignment vertical="top"/>
    </ndxf>
  </rcc>
  <rcc rId="5224" sId="5">
    <oc r="AU92">
      <f>ROUND((VLOOKUP(A92,INPUT_RANGE,85,FALSE)/AS92)*('D:\Data\Softball\[ESPN_BASEBALL_AWAY_OLD.xlsx]Team Info'!$H$25),2)</f>
    </oc>
    <nc r="AU92">
      <f>ROUND((VLOOKUP(A92,INPUT_RANGE,85,FALSE)/AS92)*('Team Info'!$H$25),2)</f>
    </nc>
  </rcc>
  <rcc rId="5225" sId="5">
    <oc r="AU93">
      <f>ROUND((VLOOKUP(A93,INPUT_RANGE,85,FALSE)/AS93)*('D:\Data\Softball\[ESPN_BASEBALL_AWAY_OLD.xlsx]Team Info'!$H$25),2)</f>
    </oc>
    <nc r="AU93">
      <f>ROUND((VLOOKUP(A93,INPUT_RANGE,85,FALSE)/AS93)*('Team Info'!$H$25),2)</f>
    </nc>
  </rcc>
  <rcc rId="5226" sId="5">
    <oc r="AU94">
      <f>ROUND((VLOOKUP(A94,INPUT_RANGE,85,FALSE)/AS94)*('D:\Data\Softball\[ESPN_BASEBALL_AWAY_OLD.xlsx]Team Info'!$H$25),2)</f>
    </oc>
    <nc r="AU94">
      <f>ROUND((VLOOKUP(A94,INPUT_RANGE,85,FALSE)/AS94)*('Team Info'!$H$25),2)</f>
    </nc>
  </rcc>
  <rcc rId="5227" sId="5">
    <oc r="AU95">
      <f>ROUND((VLOOKUP(A95,INPUT_RANGE,85,FALSE)/AS95)*('D:\Data\Softball\[ESPN_BASEBALL_AWAY_OLD.xlsx]Team Info'!$H$25),2)</f>
    </oc>
    <nc r="AU95">
      <f>ROUND((VLOOKUP(A95,INPUT_RANGE,85,FALSE)/AS95)*('Team Info'!$H$25),2)</f>
    </nc>
  </rcc>
  <rcc rId="5228" sId="5">
    <oc r="AU96">
      <f>ROUND((VLOOKUP(A96,INPUT_RANGE,85,FALSE)/AS96)*('D:\Data\Softball\[ESPN_BASEBALL_AWAY_OLD.xlsx]Team Info'!$H$25),2)</f>
    </oc>
    <nc r="AU96">
      <f>ROUND((VLOOKUP(A96,INPUT_RANGE,85,FALSE)/AS96)*('Team Info'!$H$25),2)</f>
    </nc>
  </rcc>
  <rcc rId="5229" sId="5">
    <oc r="AU97">
      <f>ROUND((VLOOKUP(A97,INPUT_RANGE,85,FALSE)/AS97)*('D:\Data\Softball\[ESPN_BASEBALL_AWAY_OLD.xlsx]Team Info'!$H$25),2)</f>
    </oc>
    <nc r="AU97">
      <f>ROUND((VLOOKUP(A97,INPUT_RANGE,85,FALSE)/AS97)*('Team Info'!$H$25),2)</f>
    </nc>
  </rcc>
  <rcc rId="5230" sId="5">
    <oc r="AU98">
      <f>ROUND((VLOOKUP(A98,INPUT_RANGE,85,FALSE)/AS98)*('D:\Data\Softball\[ESPN_BASEBALL_AWAY_OLD.xlsx]Team Info'!$H$25),2)</f>
    </oc>
    <nc r="AU98">
      <f>ROUND((VLOOKUP(A98,INPUT_RANGE,85,FALSE)/AS98)*('Team Info'!$H$25),2)</f>
    </nc>
  </rcc>
  <rcc rId="5231" sId="5">
    <oc r="AU99">
      <f>ROUND((VLOOKUP(A99,INPUT_RANGE,85,FALSE)/AS99)*('D:\Data\Softball\[ESPN_BASEBALL_AWAY_OLD.xlsx]Team Info'!$H$25),2)</f>
    </oc>
    <nc r="AU99">
      <f>ROUND((VLOOKUP(A99,INPUT_RANGE,85,FALSE)/AS99)*('Team Info'!$H$25),2)</f>
    </nc>
  </rcc>
  <rcc rId="5232" sId="5">
    <oc r="AU100">
      <f>ROUND((VLOOKUP(A100,INPUT_RANGE,85,FALSE)/AS100)*('D:\Data\Softball\[ESPN_BASEBALL_AWAY_OLD.xlsx]Team Info'!$H$25),2)</f>
    </oc>
    <nc r="AU100">
      <f>ROUND((VLOOKUP(A100,INPUT_RANGE,85,FALSE)/AS100)*('Team Info'!$H$25),2)</f>
    </nc>
  </rcc>
  <rcc rId="5233" sId="5">
    <nc r="AU101">
      <f>ROUND((VLOOKUP(A101,INPUT_RANGE,85,FALSE)/AS101)*('Team Info'!$H$25),2)</f>
    </nc>
  </rcc>
  <rcc rId="5234" sId="5">
    <nc r="AU102">
      <f>ROUND((VLOOKUP(A102,INPUT_RANGE,85,FALSE)/AS102)*('Team Info'!$H$25),2)</f>
    </nc>
  </rcc>
  <rcc rId="5235" sId="5">
    <nc r="AU103">
      <f>ROUND((VLOOKUP(A103,INPUT_RANGE,85,FALSE)/AS103)*('Team Info'!$H$25),2)</f>
    </nc>
  </rcc>
  <rcc rId="5236" sId="5">
    <oc r="AU104">
      <f>ROUND((VLOOKUP(A104,INPUT_RANGE,85,FALSE)/AS104)*('D:\Data\Softball\[ESPN_BASEBALL_AWAY_OLD.xlsx]Team Info'!$H$25),2)</f>
    </oc>
    <nc r="AU104">
      <f>ROUND((VLOOKUP(A104,INPUT_RANGE,85,FALSE)/AS104)*('Team Info'!$H$25),2)</f>
    </nc>
  </rcc>
  <rcv guid="{35139CDC-7B22-4BB4-A27E-0C639571C225}" action="delete"/>
  <rdn rId="0" localSheetId="1" customView="1" name="Z_35139CDC_7B22_4BB4_A27E_0C639571C225_.wvu.Cols" hidden="1" oldHidden="1">
    <formula>'Team Info'!$D:$I</formula>
    <oldFormula>'Team Info'!$D:$I</oldFormula>
  </rdn>
  <rdn rId="0" localSheetId="2" customView="1" name="Z_35139CDC_7B22_4BB4_A27E_0C639571C225_.wvu.Cols" hidden="1" oldHidden="1">
    <formula>MAIN!$Q:$BA</formula>
    <oldFormula>MAIN!$Q:$BA</oldFormula>
  </rdn>
  <rdn rId="0" localSheetId="3" customView="1" name="Z_35139CDC_7B22_4BB4_A27E_0C639571C225_.wvu.Rows" hidden="1" oldHidden="1">
    <formula>'Team Personnel'!$13:$23</formula>
    <oldFormula>'Team Personnel'!$13:$23</oldFormula>
  </rdn>
  <rdn rId="0" localSheetId="3" customView="1" name="Z_35139CDC_7B22_4BB4_A27E_0C639571C225_.wvu.Cols" hidden="1" oldHidden="1">
    <formula>'Team Personnel'!$G:$K</formula>
    <oldFormula>'Team Personnel'!$G:$K</oldFormula>
  </rdn>
  <rdn rId="0" localSheetId="4" customView="1" name="Z_35139CDC_7B22_4BB4_A27E_0C639571C225_.wvu.Cols" hidden="1" oldHidden="1">
    <formula>Roster!$P:$AI</formula>
    <oldFormula>Roster!$P:$AI</oldFormula>
  </rdn>
  <rdn rId="0" localSheetId="5" customView="1" name="Z_35139CDC_7B22_4BB4_A27E_0C639571C225_.wvu.Cols" hidden="1" oldHidden="1">
    <formula>Stats!$M:$BM</formula>
    <oldFormula>Stats!$M:$BM</oldFormula>
  </rdn>
  <rdn rId="0" localSheetId="6" customView="1" name="Z_35139CDC_7B22_4BB4_A27E_0C639571C225_.wvu.Cols" hidden="1" oldHidden="1">
    <formula>'Upcoming Schedule'!$E:$E,'Upcoming Schedule'!$I:$K</formula>
    <oldFormula>'Upcoming Schedule'!$E:$E,'Upcoming Schedule'!$I:$K</oldFormula>
  </rdn>
  <rdn rId="0" localSheetId="7" customView="1" name="Z_35139CDC_7B22_4BB4_A27E_0C639571C225_.wvu.Rows" hidden="1" oldHidden="1">
    <formula>'Team Heroes'!$12:$52</formula>
    <oldFormula>'Team Heroes'!$12:$52</oldFormula>
  </rdn>
  <rdn rId="0" localSheetId="7" customView="1" name="Z_35139CDC_7B22_4BB4_A27E_0C639571C225_.wvu.Cols" hidden="1" oldHidden="1">
    <formula>'Team Heroes'!$F:$I</formula>
    <oldFormula>'Team Heroes'!$F:$I</oldFormula>
  </rdn>
  <rdn rId="0" localSheetId="8" customView="1" name="Z_35139CDC_7B22_4BB4_A27E_0C639571C225_.wvu.Cols" hidden="1" oldHidden="1">
    <formula>'Team Users'!$E:$E</formula>
    <oldFormula>'Team Users'!$E:$E</oldFormula>
  </rdn>
  <rdn rId="0" localSheetId="10" customView="1" name="Z_35139CDC_7B22_4BB4_A27E_0C639571C225_.wvu.Cols" hidden="1" oldHidden="1">
    <formula>'Player Users'!$J:$J</formula>
    <oldFormula>'Player Users'!$J:$J</oldFormula>
  </rdn>
  <rcv guid="{35139CDC-7B22-4BB4-A27E-0C639571C225}"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AE8E07AE-9F78-45C7-84AF-9A64FFD6CFE6}" name="Chavez, Cris" id="-652012911" dateTime="2026-02-05T17:44:30"/>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2.bin"/><Relationship Id="rId3" Type="http://schemas.openxmlformats.org/officeDocument/2006/relationships/printerSettings" Target="../printerSettings/printerSettings17.bin"/><Relationship Id="rId7" Type="http://schemas.openxmlformats.org/officeDocument/2006/relationships/printerSettings" Target="../printerSettings/printerSettings21.bin"/><Relationship Id="rId12" Type="http://schemas.openxmlformats.org/officeDocument/2006/relationships/printerSettings" Target="../printerSettings/printerSettings26.bin"/><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 Id="rId6" Type="http://schemas.openxmlformats.org/officeDocument/2006/relationships/printerSettings" Target="../printerSettings/printerSettings20.bin"/><Relationship Id="rId11" Type="http://schemas.openxmlformats.org/officeDocument/2006/relationships/printerSettings" Target="../printerSettings/printerSettings25.bin"/><Relationship Id="rId5" Type="http://schemas.openxmlformats.org/officeDocument/2006/relationships/printerSettings" Target="../printerSettings/printerSettings19.bin"/><Relationship Id="rId10" Type="http://schemas.openxmlformats.org/officeDocument/2006/relationships/printerSettings" Target="../printerSettings/printerSettings24.bin"/><Relationship Id="rId4" Type="http://schemas.openxmlformats.org/officeDocument/2006/relationships/printerSettings" Target="../printerSettings/printerSettings18.bin"/><Relationship Id="rId9" Type="http://schemas.openxmlformats.org/officeDocument/2006/relationships/printerSettings" Target="../printerSettings/printerSettings2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34.bin"/><Relationship Id="rId3" Type="http://schemas.openxmlformats.org/officeDocument/2006/relationships/printerSettings" Target="../printerSettings/printerSettings29.bin"/><Relationship Id="rId7" Type="http://schemas.openxmlformats.org/officeDocument/2006/relationships/printerSettings" Target="../printerSettings/printerSettings33.bin"/><Relationship Id="rId12" Type="http://schemas.openxmlformats.org/officeDocument/2006/relationships/printerSettings" Target="../printerSettings/printerSettings38.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 Id="rId6" Type="http://schemas.openxmlformats.org/officeDocument/2006/relationships/printerSettings" Target="../printerSettings/printerSettings32.bin"/><Relationship Id="rId11" Type="http://schemas.openxmlformats.org/officeDocument/2006/relationships/printerSettings" Target="../printerSettings/printerSettings37.bin"/><Relationship Id="rId5" Type="http://schemas.openxmlformats.org/officeDocument/2006/relationships/printerSettings" Target="../printerSettings/printerSettings31.bin"/><Relationship Id="rId10" Type="http://schemas.openxmlformats.org/officeDocument/2006/relationships/printerSettings" Target="../printerSettings/printerSettings36.bin"/><Relationship Id="rId4" Type="http://schemas.openxmlformats.org/officeDocument/2006/relationships/printerSettings" Target="../printerSettings/printerSettings30.bin"/><Relationship Id="rId9" Type="http://schemas.openxmlformats.org/officeDocument/2006/relationships/printerSettings" Target="../printerSettings/printerSettings35.bin"/></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46.bin"/><Relationship Id="rId3" Type="http://schemas.openxmlformats.org/officeDocument/2006/relationships/printerSettings" Target="../printerSettings/printerSettings41.bin"/><Relationship Id="rId7" Type="http://schemas.openxmlformats.org/officeDocument/2006/relationships/printerSettings" Target="../printerSettings/printerSettings45.bin"/><Relationship Id="rId2" Type="http://schemas.openxmlformats.org/officeDocument/2006/relationships/printerSettings" Target="../printerSettings/printerSettings40.bin"/><Relationship Id="rId1" Type="http://schemas.openxmlformats.org/officeDocument/2006/relationships/printerSettings" Target="../printerSettings/printerSettings39.bin"/><Relationship Id="rId6" Type="http://schemas.openxmlformats.org/officeDocument/2006/relationships/printerSettings" Target="../printerSettings/printerSettings44.bin"/><Relationship Id="rId5" Type="http://schemas.openxmlformats.org/officeDocument/2006/relationships/printerSettings" Target="../printerSettings/printerSettings43.bin"/><Relationship Id="rId4" Type="http://schemas.openxmlformats.org/officeDocument/2006/relationships/printerSettings" Target="../printerSettings/printerSettings42.bin"/><Relationship Id="rId9" Type="http://schemas.openxmlformats.org/officeDocument/2006/relationships/printerSettings" Target="../printerSettings/printerSettings47.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55.bin"/><Relationship Id="rId3" Type="http://schemas.openxmlformats.org/officeDocument/2006/relationships/printerSettings" Target="../printerSettings/printerSettings50.bin"/><Relationship Id="rId7" Type="http://schemas.openxmlformats.org/officeDocument/2006/relationships/printerSettings" Target="../printerSettings/printerSettings54.bin"/><Relationship Id="rId12" Type="http://schemas.openxmlformats.org/officeDocument/2006/relationships/printerSettings" Target="../printerSettings/printerSettings59.bin"/><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6" Type="http://schemas.openxmlformats.org/officeDocument/2006/relationships/printerSettings" Target="../printerSettings/printerSettings53.bin"/><Relationship Id="rId11" Type="http://schemas.openxmlformats.org/officeDocument/2006/relationships/printerSettings" Target="../printerSettings/printerSettings58.bin"/><Relationship Id="rId5" Type="http://schemas.openxmlformats.org/officeDocument/2006/relationships/printerSettings" Target="../printerSettings/printerSettings52.bin"/><Relationship Id="rId10" Type="http://schemas.openxmlformats.org/officeDocument/2006/relationships/printerSettings" Target="../printerSettings/printerSettings57.bin"/><Relationship Id="rId4" Type="http://schemas.openxmlformats.org/officeDocument/2006/relationships/printerSettings" Target="../printerSettings/printerSettings51.bin"/><Relationship Id="rId9" Type="http://schemas.openxmlformats.org/officeDocument/2006/relationships/printerSettings" Target="../printerSettings/printerSettings5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68.bin"/><Relationship Id="rId3" Type="http://schemas.openxmlformats.org/officeDocument/2006/relationships/printerSettings" Target="../printerSettings/printerSettings63.bin"/><Relationship Id="rId7" Type="http://schemas.openxmlformats.org/officeDocument/2006/relationships/printerSettings" Target="../printerSettings/printerSettings67.bin"/><Relationship Id="rId12" Type="http://schemas.openxmlformats.org/officeDocument/2006/relationships/printerSettings" Target="../printerSettings/printerSettings72.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6" Type="http://schemas.openxmlformats.org/officeDocument/2006/relationships/printerSettings" Target="../printerSettings/printerSettings66.bin"/><Relationship Id="rId11" Type="http://schemas.openxmlformats.org/officeDocument/2006/relationships/printerSettings" Target="../printerSettings/printerSettings71.bin"/><Relationship Id="rId5" Type="http://schemas.openxmlformats.org/officeDocument/2006/relationships/printerSettings" Target="../printerSettings/printerSettings65.bin"/><Relationship Id="rId10" Type="http://schemas.openxmlformats.org/officeDocument/2006/relationships/printerSettings" Target="../printerSettings/printerSettings70.bin"/><Relationship Id="rId4" Type="http://schemas.openxmlformats.org/officeDocument/2006/relationships/printerSettings" Target="../printerSettings/printerSettings64.bin"/><Relationship Id="rId9" Type="http://schemas.openxmlformats.org/officeDocument/2006/relationships/printerSettings" Target="../printerSettings/printerSettings6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4"/>
  <sheetViews>
    <sheetView workbookViewId="0">
      <selection activeCell="B1" sqref="B1"/>
    </sheetView>
  </sheetViews>
  <sheetFormatPr defaultColWidth="9.140625" defaultRowHeight="15" x14ac:dyDescent="0.25"/>
  <cols>
    <col min="1" max="1" width="40.7109375" customWidth="1"/>
    <col min="2" max="2" width="30.7109375" customWidth="1"/>
    <col min="3" max="3" width="12.7109375" style="8" customWidth="1"/>
    <col min="4" max="4" width="36.7109375" hidden="1" customWidth="1"/>
    <col min="5" max="5" width="5.7109375" hidden="1" customWidth="1"/>
    <col min="6" max="6" width="30.7109375" hidden="1" customWidth="1"/>
    <col min="7" max="7" width="5.7109375" hidden="1" customWidth="1"/>
    <col min="8" max="8" width="30.7109375" hidden="1" customWidth="1"/>
    <col min="9" max="9" width="9.140625" hidden="1" customWidth="1"/>
  </cols>
  <sheetData>
    <row r="1" spans="1:8" ht="15.75" thickBot="1" x14ac:dyDescent="0.3">
      <c r="A1" s="21" t="s">
        <v>0</v>
      </c>
      <c r="B1" s="293">
        <v>46051</v>
      </c>
      <c r="D1" s="27" t="s">
        <v>1</v>
      </c>
      <c r="F1" s="1" t="s">
        <v>2</v>
      </c>
      <c r="H1" s="27" t="s">
        <v>3</v>
      </c>
    </row>
    <row r="2" spans="1:8" ht="15.75" thickBot="1" x14ac:dyDescent="0.3">
      <c r="A2" s="14" t="s">
        <v>4</v>
      </c>
      <c r="B2" s="84" t="s">
        <v>768</v>
      </c>
      <c r="D2" s="1" t="s">
        <v>5</v>
      </c>
      <c r="F2" t="str">
        <f>$B$17</f>
        <v>Tonight</v>
      </c>
      <c r="H2" s="29">
        <v>0</v>
      </c>
    </row>
    <row r="3" spans="1:8" x14ac:dyDescent="0.25">
      <c r="A3" s="13" t="s">
        <v>770</v>
      </c>
      <c r="B3" s="83" t="s">
        <v>800</v>
      </c>
      <c r="D3" s="28" t="str">
        <f>$B$3</f>
        <v/>
      </c>
      <c r="F3" t="str">
        <f>UPPER(F2)</f>
        <v>TONIGHT</v>
      </c>
      <c r="H3" s="29">
        <v>1</v>
      </c>
    </row>
    <row r="4" spans="1:8" x14ac:dyDescent="0.25">
      <c r="A4" s="13" t="s">
        <v>796</v>
      </c>
      <c r="B4" s="11" t="s">
        <v>1156</v>
      </c>
      <c r="H4" s="29">
        <v>2</v>
      </c>
    </row>
    <row r="5" spans="1:8" x14ac:dyDescent="0.25">
      <c r="A5" s="13" t="s">
        <v>771</v>
      </c>
      <c r="B5" s="11" t="s">
        <v>1157</v>
      </c>
      <c r="D5" s="1" t="s">
        <v>7</v>
      </c>
      <c r="F5" s="1" t="s">
        <v>6</v>
      </c>
      <c r="H5" s="29">
        <v>3</v>
      </c>
    </row>
    <row r="6" spans="1:8" x14ac:dyDescent="0.25">
      <c r="A6" s="13" t="s">
        <v>772</v>
      </c>
      <c r="B6" s="11" t="s">
        <v>1158</v>
      </c>
      <c r="D6" t="str">
        <f>$B$4</f>
        <v>North Carolina</v>
      </c>
      <c r="F6" t="str">
        <f>$B$18</f>
        <v>Season</v>
      </c>
    </row>
    <row r="7" spans="1:8" x14ac:dyDescent="0.25">
      <c r="A7" s="13" t="s">
        <v>776</v>
      </c>
      <c r="B7" s="11" t="s">
        <v>1159</v>
      </c>
      <c r="D7" t="str">
        <f>UPPER(D6)</f>
        <v>NORTH CAROLINA</v>
      </c>
      <c r="F7" t="str">
        <f>UPPER(F6)</f>
        <v>SEASON</v>
      </c>
      <c r="H7" s="27" t="s">
        <v>9</v>
      </c>
    </row>
    <row r="8" spans="1:8" x14ac:dyDescent="0.25">
      <c r="A8" s="13" t="s">
        <v>795</v>
      </c>
      <c r="B8" s="16" t="s">
        <v>1160</v>
      </c>
      <c r="D8" s="1" t="s">
        <v>10</v>
      </c>
      <c r="F8" s="1" t="s">
        <v>8</v>
      </c>
      <c r="H8" t="s">
        <v>13</v>
      </c>
    </row>
    <row r="9" spans="1:8" x14ac:dyDescent="0.25">
      <c r="A9" s="2"/>
      <c r="B9" s="12"/>
      <c r="D9" t="str">
        <f>$B$5</f>
        <v>Tar Heels</v>
      </c>
      <c r="F9" t="str">
        <f>$F$2&amp;":"</f>
        <v>Tonight:</v>
      </c>
      <c r="H9" t="s">
        <v>953</v>
      </c>
    </row>
    <row r="10" spans="1:8" x14ac:dyDescent="0.25">
      <c r="A10" s="14" t="s">
        <v>12</v>
      </c>
      <c r="B10" s="15"/>
      <c r="D10" t="str">
        <f>UPPER(D9)</f>
        <v>TAR HEELS</v>
      </c>
      <c r="F10" t="str">
        <f>UPPER($F$2&amp;":")</f>
        <v>TONIGHT:</v>
      </c>
      <c r="H10" t="s">
        <v>17</v>
      </c>
    </row>
    <row r="11" spans="1:8" x14ac:dyDescent="0.25">
      <c r="A11" s="13" t="s">
        <v>797</v>
      </c>
      <c r="B11" s="127" t="s">
        <v>1146</v>
      </c>
      <c r="F11" s="1" t="s">
        <v>11</v>
      </c>
      <c r="H11" t="s">
        <v>18</v>
      </c>
    </row>
    <row r="12" spans="1:8" x14ac:dyDescent="0.25">
      <c r="A12" s="13" t="s">
        <v>15</v>
      </c>
      <c r="B12" s="57">
        <v>0</v>
      </c>
      <c r="C12" s="97" t="str">
        <f>H15</f>
        <v>LOGO</v>
      </c>
      <c r="D12" s="1" t="s">
        <v>16</v>
      </c>
      <c r="F12" t="str">
        <f>$F$6&amp;":"</f>
        <v>Season:</v>
      </c>
    </row>
    <row r="13" spans="1:8" x14ac:dyDescent="0.25">
      <c r="A13" s="13" t="s">
        <v>777</v>
      </c>
      <c r="B13" s="57">
        <v>1</v>
      </c>
      <c r="C13" s="97" t="str">
        <f>H20</f>
        <v>PRIMARY</v>
      </c>
      <c r="D13" t="str">
        <f>$B$6</f>
        <v>UNC</v>
      </c>
      <c r="F13" t="str">
        <f>UPPER($F$6&amp;":")</f>
        <v>SEASON:</v>
      </c>
      <c r="H13" s="17" t="s">
        <v>20</v>
      </c>
    </row>
    <row r="14" spans="1:8" x14ac:dyDescent="0.25">
      <c r="A14" s="13" t="s">
        <v>781</v>
      </c>
      <c r="B14" s="57">
        <v>0</v>
      </c>
      <c r="C14" s="97" t="str">
        <f>F21</f>
        <v>Off</v>
      </c>
      <c r="H14" s="8">
        <f>B$12</f>
        <v>0</v>
      </c>
    </row>
    <row r="15" spans="1:8" x14ac:dyDescent="0.25">
      <c r="B15" s="2"/>
      <c r="D15" s="1" t="s">
        <v>19</v>
      </c>
      <c r="F15" s="27" t="s">
        <v>766</v>
      </c>
      <c r="H15" s="8" t="str">
        <f>IF(H14=1,"PRIMARY",IF(H14=2,"SECONDARY",IF(H14=3,"BOTTOMLINE",IF(H14=0,"LOGO"))))</f>
        <v>LOGO</v>
      </c>
    </row>
    <row r="16" spans="1:8" x14ac:dyDescent="0.25">
      <c r="A16" s="14" t="s">
        <v>22</v>
      </c>
      <c r="B16" s="10"/>
      <c r="D16" t="str">
        <f>B4&amp;" "&amp;B5</f>
        <v>North Carolina Tar Heels</v>
      </c>
      <c r="F16" t="s">
        <v>767</v>
      </c>
    </row>
    <row r="17" spans="1:8" x14ac:dyDescent="0.25">
      <c r="A17" s="23" t="s">
        <v>23</v>
      </c>
      <c r="B17" s="11" t="s">
        <v>18</v>
      </c>
      <c r="D17" t="str">
        <f>UPPER(D16)</f>
        <v>NORTH CAROLINA TAR HEELS</v>
      </c>
      <c r="F17" t="s">
        <v>768</v>
      </c>
    </row>
    <row r="18" spans="1:8" x14ac:dyDescent="0.25">
      <c r="A18" s="23" t="s">
        <v>24</v>
      </c>
      <c r="B18" s="11" t="s">
        <v>953</v>
      </c>
      <c r="H18" s="17" t="s">
        <v>778</v>
      </c>
    </row>
    <row r="19" spans="1:8" x14ac:dyDescent="0.25">
      <c r="D19" s="1" t="s">
        <v>21</v>
      </c>
      <c r="F19" s="27" t="s">
        <v>779</v>
      </c>
      <c r="H19" s="8">
        <f>$B$13</f>
        <v>1</v>
      </c>
    </row>
    <row r="20" spans="1:8" x14ac:dyDescent="0.25">
      <c r="A20" s="14" t="s">
        <v>935</v>
      </c>
      <c r="B20" s="10"/>
      <c r="D20" t="str">
        <f>$B$7</f>
        <v>NORTH CAROLINA</v>
      </c>
      <c r="F20" s="29">
        <f>$B$14</f>
        <v>0</v>
      </c>
      <c r="H20" s="8" t="str">
        <f>IF(H19=1,"PRIMARY",IF(H19=2,"SECONDARY",IF(H19=3,"BOTTOMLINE",IF(H19=0,"LOGO"))))</f>
        <v>PRIMARY</v>
      </c>
    </row>
    <row r="21" spans="1:8" x14ac:dyDescent="0.25">
      <c r="A21" s="23" t="s">
        <v>941</v>
      </c>
      <c r="B21" s="11" t="s">
        <v>938</v>
      </c>
      <c r="F21" s="29" t="str">
        <f>IF(F20=1,"On","Off")</f>
        <v>Off</v>
      </c>
      <c r="H21" s="8"/>
    </row>
    <row r="22" spans="1:8" ht="15.75" thickBot="1" x14ac:dyDescent="0.3">
      <c r="A22" s="2"/>
      <c r="B22" s="79"/>
      <c r="D22" s="1" t="s">
        <v>25</v>
      </c>
      <c r="H22" s="8"/>
    </row>
    <row r="23" spans="1:8" ht="15.75" customHeight="1" thickBot="1" x14ac:dyDescent="0.3">
      <c r="A23" s="286"/>
      <c r="B23" s="287"/>
      <c r="D23" t="str">
        <f>D3&amp;" "&amp;D6</f>
        <v xml:space="preserve"> North Carolina</v>
      </c>
      <c r="F23" s="27" t="s">
        <v>780</v>
      </c>
      <c r="H23" s="17" t="s">
        <v>936</v>
      </c>
    </row>
    <row r="24" spans="1:8" ht="15.75" thickBot="1" x14ac:dyDescent="0.3">
      <c r="A24" s="311" t="s">
        <v>1060</v>
      </c>
      <c r="B24" s="312"/>
      <c r="D24" t="str">
        <f>UPPER(D23)</f>
        <v xml:space="preserve"> NORTH CAROLINA</v>
      </c>
      <c r="F24" s="29">
        <v>0</v>
      </c>
      <c r="H24" s="8" t="str">
        <f>$B$21</f>
        <v>Baseball</v>
      </c>
    </row>
    <row r="25" spans="1:8" ht="39.75" customHeight="1" thickBot="1" x14ac:dyDescent="0.3">
      <c r="A25" s="311" t="s">
        <v>1061</v>
      </c>
      <c r="B25" s="312"/>
      <c r="F25" s="29">
        <v>1</v>
      </c>
      <c r="H25" s="8">
        <f>IF(H24="Baseball",9,IF(H24="Softball",7,IF(H24="Little League",6)))</f>
        <v>9</v>
      </c>
    </row>
    <row r="26" spans="1:8" ht="45" customHeight="1" x14ac:dyDescent="0.25">
      <c r="A26" s="309" t="s">
        <v>1062</v>
      </c>
      <c r="B26" s="309"/>
      <c r="D26" s="1" t="s">
        <v>26</v>
      </c>
    </row>
    <row r="27" spans="1:8" ht="45" customHeight="1" x14ac:dyDescent="0.25">
      <c r="A27" s="310" t="s">
        <v>1063</v>
      </c>
      <c r="B27" s="310"/>
      <c r="D27" t="str">
        <f>D3&amp;" "&amp;D6&amp;" "&amp;D9</f>
        <v xml:space="preserve"> North Carolina Tar Heels</v>
      </c>
      <c r="F27" s="1" t="s">
        <v>937</v>
      </c>
    </row>
    <row r="28" spans="1:8" ht="15.75" thickBot="1" x14ac:dyDescent="0.3">
      <c r="D28" t="str">
        <f>UPPER(D27)</f>
        <v xml:space="preserve"> NORTH CAROLINA TAR HEELS</v>
      </c>
      <c r="F28" t="s">
        <v>938</v>
      </c>
    </row>
    <row r="29" spans="1:8" x14ac:dyDescent="0.25">
      <c r="A29" s="205" t="s">
        <v>1149</v>
      </c>
      <c r="B29" s="302"/>
      <c r="F29" t="s">
        <v>940</v>
      </c>
    </row>
    <row r="30" spans="1:8" x14ac:dyDescent="0.25">
      <c r="A30" s="303" t="s">
        <v>1150</v>
      </c>
      <c r="B30" s="304"/>
      <c r="D30" s="1" t="s">
        <v>27</v>
      </c>
      <c r="F30" t="s">
        <v>939</v>
      </c>
    </row>
    <row r="31" spans="1:8" x14ac:dyDescent="0.25">
      <c r="A31" s="303" t="s">
        <v>1151</v>
      </c>
      <c r="B31" s="304"/>
      <c r="D31" t="str">
        <f>D3&amp;" "&amp;D6&amp;" "&amp; "(" &amp; D38 &amp;")"</f>
        <v xml:space="preserve"> North Carolina (0-0)</v>
      </c>
    </row>
    <row r="32" spans="1:8" ht="15.75" thickBot="1" x14ac:dyDescent="0.3">
      <c r="A32" s="305" t="s">
        <v>1152</v>
      </c>
      <c r="B32" s="306"/>
      <c r="D32" t="str">
        <f>UPPER(D31)</f>
        <v xml:space="preserve"> NORTH CAROLINA (0-0)</v>
      </c>
    </row>
    <row r="34" spans="4:4" x14ac:dyDescent="0.25">
      <c r="D34" s="1" t="s">
        <v>28</v>
      </c>
    </row>
    <row r="35" spans="4:4" x14ac:dyDescent="0.25">
      <c r="D35" t="str">
        <f>$B$11</f>
        <v>GENERIC_BASEBALL</v>
      </c>
    </row>
    <row r="37" spans="4:4" x14ac:dyDescent="0.25">
      <c r="D37" s="1" t="s">
        <v>29</v>
      </c>
    </row>
    <row r="38" spans="4:4" x14ac:dyDescent="0.25">
      <c r="D38" s="28" t="str">
        <f>B8</f>
        <v>0-0</v>
      </c>
    </row>
    <row r="40" spans="4:4" x14ac:dyDescent="0.25">
      <c r="D40" s="1" t="s">
        <v>816</v>
      </c>
    </row>
    <row r="41" spans="4:4" x14ac:dyDescent="0.25">
      <c r="D41" t="e">
        <f>#REF!</f>
        <v>#REF!</v>
      </c>
    </row>
    <row r="43" spans="4:4" x14ac:dyDescent="0.25">
      <c r="D43" s="1"/>
    </row>
    <row r="44" spans="4:4" x14ac:dyDescent="0.25">
      <c r="D44" s="28"/>
    </row>
  </sheetData>
  <customSheetViews>
    <customSheetView guid="{35139CDC-7B22-4BB4-A27E-0C639571C225}" hiddenColumns="1">
      <selection activeCell="B1" sqref="B1"/>
      <pageMargins left="0.7" right="0.7" top="0.75" bottom="0.75" header="0.3" footer="0.3"/>
      <pageSetup orientation="portrait" r:id="rId1"/>
    </customSheetView>
    <customSheetView guid="{42F19D52-E208-414F-9E2E-506DF902926F}" hiddenColumns="1">
      <selection activeCell="B1" sqref="B1"/>
      <pageMargins left="0.7" right="0.7" top="0.75" bottom="0.75" header="0.3" footer="0.3"/>
      <pageSetup orientation="portrait" r:id="rId2"/>
    </customSheetView>
    <customSheetView guid="{BE266B8E-38B0-4631-9C30-67CA48A8BD7F}" hiddenColumns="1">
      <selection activeCell="B1" sqref="B1"/>
      <pageMargins left="0.7" right="0.7" top="0.75" bottom="0.75" header="0.3" footer="0.3"/>
      <pageSetup orientation="portrait" r:id="rId3"/>
    </customSheetView>
    <customSheetView guid="{9DC468DE-D883-45B4-B188-265B9DA68425}" hiddenColumns="1" topLeftCell="A4">
      <selection activeCell="B6" sqref="B6"/>
      <pageMargins left="0.7" right="0.7" top="0.75" bottom="0.75" header="0.3" footer="0.3"/>
      <pageSetup orientation="portrait" r:id="rId4"/>
    </customSheetView>
    <customSheetView guid="{6A3B2C41-2DBC-4B17-AB58-12C85E3A6B8A}" hiddenColumns="1">
      <selection activeCell="B1" sqref="B1"/>
      <pageMargins left="0.7" right="0.7" top="0.75" bottom="0.75" header="0.3" footer="0.3"/>
      <pageSetup orientation="portrait" r:id="rId5"/>
    </customSheetView>
    <customSheetView guid="{6960175A-17E1-4BDD-98F7-6E9A590B8B7F}" hiddenColumns="1">
      <selection activeCell="B2" sqref="B2"/>
      <pageMargins left="0.7" right="0.7" top="0.75" bottom="0.75" header="0.3" footer="0.3"/>
      <pageSetup orientation="portrait" r:id="rId6"/>
    </customSheetView>
    <customSheetView guid="{DB365F32-166D-4348-BCE9-F0F1DB0B73A9}" hiddenColumns="1">
      <selection activeCell="B2" sqref="B2"/>
      <pageMargins left="0.7" right="0.7" top="0.75" bottom="0.75" header="0.3" footer="0.3"/>
      <pageSetup orientation="portrait" r:id="rId7"/>
    </customSheetView>
    <customSheetView guid="{6EDF2E63-E51E-449A-B1C5-EFB1FD6A259C}" hiddenColumns="1">
      <selection activeCell="B2" sqref="B2"/>
      <pageMargins left="0.7" right="0.7" top="0.75" bottom="0.75" header="0.3" footer="0.3"/>
      <pageSetup orientation="portrait" r:id="rId8"/>
    </customSheetView>
    <customSheetView guid="{46B088B4-7F51-4D35-9F00-2268626FA819}" hiddenColumns="1">
      <selection activeCell="A28" sqref="A28"/>
      <pageMargins left="0.7" right="0.7" top="0.75" bottom="0.75" header="0.3" footer="0.3"/>
      <pageSetup orientation="portrait" r:id="rId9"/>
    </customSheetView>
    <customSheetView guid="{42945F95-5627-491B-A345-A07B64F7E806}" hiddenColumns="1">
      <selection activeCell="A27" sqref="A27"/>
      <pageMargins left="0.7" right="0.7" top="0.75" bottom="0.75" header="0.3" footer="0.3"/>
      <pageSetup orientation="portrait" r:id="rId10"/>
    </customSheetView>
    <customSheetView guid="{BD1DF852-269B-4C2F-AF89-1FA576EA4603}" showPageBreaks="1" hiddenColumns="1">
      <selection activeCell="C11" sqref="C11"/>
      <pageMargins left="0.7" right="0.7" top="0.75" bottom="0.75" header="0.3" footer="0.3"/>
      <pageSetup orientation="portrait" r:id="rId11"/>
    </customSheetView>
  </customSheetViews>
  <mergeCells count="4">
    <mergeCell ref="A26:B26"/>
    <mergeCell ref="A27:B27"/>
    <mergeCell ref="A25:B25"/>
    <mergeCell ref="A24:B24"/>
  </mergeCells>
  <dataValidations count="7">
    <dataValidation type="list" allowBlank="1" showInputMessage="1" showErrorMessage="1" sqref="B18" xr:uid="{00000000-0002-0000-0000-000000000000}">
      <formula1>$H$8:$H$9</formula1>
    </dataValidation>
    <dataValidation type="list" allowBlank="1" showInputMessage="1" showErrorMessage="1" sqref="B17" xr:uid="{00000000-0002-0000-0000-000001000000}">
      <formula1>$H$10:$H$11</formula1>
    </dataValidation>
    <dataValidation type="list" allowBlank="1" showInputMessage="1" showErrorMessage="1" sqref="B22" xr:uid="{00000000-0002-0000-0000-000002000000}">
      <formula1>$H$19:$H$24</formula1>
    </dataValidation>
    <dataValidation type="list" allowBlank="1" showInputMessage="1" showErrorMessage="1" sqref="B2" xr:uid="{00000000-0002-0000-0000-000003000000}">
      <formula1>$F$16:$F$17</formula1>
    </dataValidation>
    <dataValidation type="list" allowBlank="1" showInputMessage="1" showErrorMessage="1" sqref="B12:B13" xr:uid="{00000000-0002-0000-0000-000004000000}">
      <formula1>$H$2:$H$5</formula1>
    </dataValidation>
    <dataValidation type="list" allowBlank="1" showInputMessage="1" showErrorMessage="1" sqref="B14" xr:uid="{00000000-0002-0000-0000-000005000000}">
      <formula1>$F$24:$F$25</formula1>
    </dataValidation>
    <dataValidation type="list" allowBlank="1" showInputMessage="1" showErrorMessage="1" sqref="B21" xr:uid="{00000000-0002-0000-0000-000006000000}">
      <formula1>$F$28:$F$30</formula1>
    </dataValidation>
  </dataValidations>
  <pageMargins left="0.7" right="0.7" top="0.75" bottom="0.75" header="0.3" footer="0.3"/>
  <pageSetup orientation="portrait" r:id="rId12"/>
  <extLst>
    <ext xmlns:x14="http://schemas.microsoft.com/office/spreadsheetml/2009/9/main" uri="{CCE6A557-97BC-4b89-ADB6-D9C93CAAB3DF}">
      <x14:dataValidations xmlns:xm="http://schemas.microsoft.com/office/excel/2006/main" count="1">
        <x14:dataValidation type="list" errorStyle="information" allowBlank="1" showInputMessage="1" showErrorMessage="1" errorTitle="Missing Logo" error="Add missing logo(s) to the bottom of Column A in the LOGOS tab" xr:uid="{00000000-0002-0000-0000-000007000000}">
          <x14:formula1>
            <xm:f>LOGOS!$A$2:$A$379</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Y104"/>
  <sheetViews>
    <sheetView zoomScaleNormal="100" workbookViewId="0">
      <pane ySplit="3" topLeftCell="A4" activePane="bottomLeft" state="frozen"/>
      <selection pane="bottomLeft" activeCell="BY17" sqref="BY17:CM26"/>
    </sheetView>
  </sheetViews>
  <sheetFormatPr defaultRowHeight="15" x14ac:dyDescent="0.25"/>
  <cols>
    <col min="1" max="1" width="17.28515625" bestFit="1" customWidth="1"/>
    <col min="2" max="2" width="12.7109375" customWidth="1"/>
    <col min="3" max="6" width="9.140625" style="8"/>
    <col min="7" max="7" width="15.7109375" style="29" customWidth="1"/>
    <col min="8" max="8" width="9.140625" style="29"/>
    <col min="9" max="11" width="9.140625" style="8"/>
    <col min="12" max="12" width="15.7109375" style="8" customWidth="1"/>
    <col min="13" max="15" width="20.7109375" customWidth="1"/>
    <col min="16" max="16" width="1.7109375" style="241" customWidth="1"/>
    <col min="17" max="53" width="9.140625" hidden="1" customWidth="1"/>
    <col min="67" max="76" width="9.140625" customWidth="1"/>
    <col min="92" max="92" width="19.42578125" style="227" customWidth="1"/>
    <col min="93" max="94" width="2.28515625" style="228" customWidth="1"/>
    <col min="95" max="96" width="3.28515625" style="228" customWidth="1"/>
    <col min="97" max="97" width="3.5703125" style="228" customWidth="1"/>
    <col min="98" max="98" width="4.140625" style="228" customWidth="1"/>
    <col min="99" max="99" width="4.85546875" style="228" customWidth="1"/>
    <col min="100" max="100" width="3.5703125" style="228" customWidth="1"/>
    <col min="101" max="101" width="3.7109375" style="228" customWidth="1"/>
    <col min="102" max="102" width="3.5703125" style="228" customWidth="1"/>
    <col min="103" max="103" width="3.42578125" style="228" customWidth="1"/>
    <col min="104" max="105" width="3.5703125" style="228" customWidth="1"/>
    <col min="106" max="106" width="5" style="228" customWidth="1"/>
    <col min="107" max="107" width="8" style="228" customWidth="1"/>
    <col min="108" max="108" width="6.7109375" style="228" customWidth="1"/>
    <col min="109" max="109" width="8" style="228" customWidth="1"/>
    <col min="110" max="110" width="8.5703125" style="228" customWidth="1"/>
    <col min="111" max="111" width="15.85546875" style="228" customWidth="1"/>
    <col min="112" max="112" width="14.5703125" style="228" customWidth="1"/>
    <col min="113" max="113" width="15.85546875" style="228" customWidth="1"/>
    <col min="114" max="114" width="16.42578125" style="229" customWidth="1"/>
    <col min="115" max="115" width="20.85546875" style="227" customWidth="1"/>
    <col min="116" max="117" width="3.7109375" style="228" customWidth="1"/>
    <col min="118" max="118" width="5" style="228" customWidth="1"/>
    <col min="119" max="119" width="4.5703125" style="228" customWidth="1"/>
    <col min="120" max="120" width="5" style="228" customWidth="1"/>
    <col min="121" max="121" width="3.5703125" style="228" customWidth="1"/>
    <col min="122" max="122" width="2.85546875" style="228" customWidth="1"/>
    <col min="123" max="123" width="2.28515625" style="228" customWidth="1"/>
    <col min="124" max="124" width="3.5703125" style="228" customWidth="1"/>
    <col min="125" max="125" width="2.28515625" style="228" customWidth="1"/>
    <col min="126" max="126" width="3.42578125" style="228" customWidth="1"/>
    <col min="127" max="127" width="4.85546875" style="228" customWidth="1"/>
    <col min="128" max="128" width="3.5703125" style="228" customWidth="1"/>
    <col min="129" max="129" width="3.7109375" style="228" customWidth="1"/>
  </cols>
  <sheetData>
    <row r="1" spans="1:129" s="242" customFormat="1" ht="18.75" thickBot="1" x14ac:dyDescent="0.3">
      <c r="A1" s="17" t="s">
        <v>38</v>
      </c>
      <c r="B1" s="198" t="s">
        <v>1148</v>
      </c>
      <c r="C1" s="199"/>
      <c r="D1" s="199"/>
      <c r="E1" s="199"/>
      <c r="F1" s="199"/>
      <c r="G1" s="200"/>
      <c r="H1" s="200"/>
      <c r="I1" s="199"/>
      <c r="J1" s="199"/>
      <c r="K1" s="202"/>
      <c r="L1" s="199"/>
      <c r="M1" s="203" t="s">
        <v>844</v>
      </c>
      <c r="N1" s="201"/>
      <c r="O1" s="204"/>
      <c r="P1" s="240"/>
      <c r="CN1" s="243" t="s">
        <v>933</v>
      </c>
      <c r="DK1" s="244" t="s">
        <v>934</v>
      </c>
    </row>
    <row r="2" spans="1:129" ht="18.75" thickBot="1" x14ac:dyDescent="0.3">
      <c r="A2" s="205"/>
      <c r="B2" s="206"/>
      <c r="C2" s="295"/>
      <c r="D2" s="265" t="s">
        <v>1019</v>
      </c>
      <c r="E2" s="207"/>
      <c r="F2" s="265"/>
      <c r="G2" s="208"/>
      <c r="H2" s="208"/>
      <c r="I2" s="212"/>
      <c r="J2" s="213"/>
      <c r="K2" s="214" t="s">
        <v>930</v>
      </c>
      <c r="L2" s="211" t="s">
        <v>931</v>
      </c>
      <c r="M2" s="209" t="s">
        <v>774</v>
      </c>
      <c r="N2" s="209"/>
      <c r="O2" s="210" t="s">
        <v>775</v>
      </c>
      <c r="P2" s="240"/>
      <c r="BB2" s="234" t="s">
        <v>862</v>
      </c>
      <c r="BC2" s="235"/>
      <c r="BD2" s="235"/>
      <c r="BE2" s="235"/>
      <c r="BF2" s="235"/>
      <c r="BG2" s="235"/>
      <c r="BH2" s="235"/>
      <c r="BI2" s="235"/>
      <c r="BJ2" s="235"/>
      <c r="BK2" s="235"/>
      <c r="BL2" s="235"/>
      <c r="BM2" s="235"/>
      <c r="BN2" s="235"/>
      <c r="BO2" s="235"/>
      <c r="BP2" s="235"/>
      <c r="BQ2" s="235"/>
      <c r="BR2" s="235"/>
      <c r="BS2" s="235"/>
      <c r="BT2" s="235"/>
      <c r="BU2" s="235"/>
      <c r="BV2" s="235"/>
      <c r="BW2" s="235"/>
      <c r="BX2" s="236"/>
      <c r="BY2" s="234" t="s">
        <v>896</v>
      </c>
      <c r="BZ2" s="235"/>
      <c r="CA2" s="239"/>
      <c r="CB2" s="235"/>
      <c r="CC2" s="235"/>
      <c r="CD2" s="235"/>
      <c r="CE2" s="235"/>
      <c r="CF2" s="235"/>
      <c r="CG2" s="235"/>
      <c r="CH2" s="235"/>
      <c r="CI2" s="235"/>
      <c r="CJ2" s="235"/>
      <c r="CK2" s="235"/>
      <c r="CL2" s="235"/>
      <c r="CM2" s="236"/>
      <c r="CN2" s="182" t="s">
        <v>863</v>
      </c>
      <c r="CO2" s="183" t="s">
        <v>864</v>
      </c>
      <c r="CP2" s="183" t="s">
        <v>865</v>
      </c>
      <c r="CQ2" s="183" t="s">
        <v>866</v>
      </c>
      <c r="CR2" s="183" t="s">
        <v>867</v>
      </c>
      <c r="CS2" s="183" t="s">
        <v>868</v>
      </c>
      <c r="CT2" s="183" t="s">
        <v>869</v>
      </c>
      <c r="CU2" s="183" t="s">
        <v>870</v>
      </c>
      <c r="CV2" s="183" t="s">
        <v>871</v>
      </c>
      <c r="CW2" s="183" t="s">
        <v>872</v>
      </c>
      <c r="CX2" s="183" t="s">
        <v>873</v>
      </c>
      <c r="CY2" s="183" t="s">
        <v>874</v>
      </c>
      <c r="CZ2" s="183" t="s">
        <v>875</v>
      </c>
      <c r="DA2" s="183" t="s">
        <v>876</v>
      </c>
      <c r="DB2" s="183" t="s">
        <v>877</v>
      </c>
      <c r="DC2" s="183" t="s">
        <v>878</v>
      </c>
      <c r="DD2" s="183" t="s">
        <v>879</v>
      </c>
      <c r="DE2" s="183" t="s">
        <v>880</v>
      </c>
      <c r="DF2" s="183" t="s">
        <v>881</v>
      </c>
      <c r="DG2" s="183" t="s">
        <v>882</v>
      </c>
      <c r="DH2" s="183" t="s">
        <v>883</v>
      </c>
      <c r="DI2" s="183" t="s">
        <v>884</v>
      </c>
      <c r="DJ2" s="184" t="s">
        <v>885</v>
      </c>
      <c r="DK2" s="185" t="s">
        <v>793</v>
      </c>
      <c r="DL2" s="186" t="s">
        <v>886</v>
      </c>
      <c r="DM2" s="186" t="s">
        <v>887</v>
      </c>
      <c r="DN2" s="186" t="s">
        <v>888</v>
      </c>
      <c r="DO2" s="186" t="s">
        <v>889</v>
      </c>
      <c r="DP2" s="186" t="s">
        <v>890</v>
      </c>
      <c r="DQ2" s="186" t="s">
        <v>891</v>
      </c>
      <c r="DR2" s="186" t="s">
        <v>892</v>
      </c>
      <c r="DS2" s="186" t="s">
        <v>865</v>
      </c>
      <c r="DT2" s="186" t="s">
        <v>868</v>
      </c>
      <c r="DU2" s="186" t="s">
        <v>864</v>
      </c>
      <c r="DV2" s="186" t="s">
        <v>893</v>
      </c>
      <c r="DW2" s="186" t="s">
        <v>870</v>
      </c>
      <c r="DX2" s="186" t="s">
        <v>871</v>
      </c>
      <c r="DY2" s="186" t="s">
        <v>872</v>
      </c>
    </row>
    <row r="3" spans="1:129" ht="15.75" thickBot="1" x14ac:dyDescent="0.3">
      <c r="A3" s="215" t="s">
        <v>900</v>
      </c>
      <c r="B3" s="216" t="s">
        <v>901</v>
      </c>
      <c r="C3" s="217" t="s">
        <v>902</v>
      </c>
      <c r="D3" s="217" t="s">
        <v>932</v>
      </c>
      <c r="E3" s="217" t="s">
        <v>898</v>
      </c>
      <c r="F3" s="217" t="s">
        <v>899</v>
      </c>
      <c r="G3" s="217" t="s">
        <v>47</v>
      </c>
      <c r="H3" s="217" t="s">
        <v>903</v>
      </c>
      <c r="I3" s="218" t="s">
        <v>44</v>
      </c>
      <c r="J3" s="218" t="s">
        <v>45</v>
      </c>
      <c r="K3" s="218" t="s">
        <v>48</v>
      </c>
      <c r="L3" s="218" t="s">
        <v>49</v>
      </c>
      <c r="M3" s="217" t="s">
        <v>966</v>
      </c>
      <c r="N3" s="217" t="s">
        <v>904</v>
      </c>
      <c r="O3" s="219" t="s">
        <v>905</v>
      </c>
      <c r="AA3">
        <v>27</v>
      </c>
      <c r="AB3">
        <v>28</v>
      </c>
      <c r="AC3">
        <v>29</v>
      </c>
      <c r="AD3">
        <v>30</v>
      </c>
      <c r="AI3">
        <v>35</v>
      </c>
      <c r="AN3">
        <v>40</v>
      </c>
      <c r="AS3">
        <v>45</v>
      </c>
      <c r="AU3" t="s">
        <v>907</v>
      </c>
      <c r="AV3" t="s">
        <v>948</v>
      </c>
      <c r="AW3" t="s">
        <v>949</v>
      </c>
      <c r="AX3">
        <v>50</v>
      </c>
      <c r="BB3" s="231" t="s">
        <v>863</v>
      </c>
      <c r="BC3" s="232" t="s">
        <v>864</v>
      </c>
      <c r="BD3" s="232" t="s">
        <v>865</v>
      </c>
      <c r="BE3" s="232" t="s">
        <v>866</v>
      </c>
      <c r="BF3" s="232" t="s">
        <v>867</v>
      </c>
      <c r="BG3" s="232" t="s">
        <v>868</v>
      </c>
      <c r="BH3" s="232" t="s">
        <v>869</v>
      </c>
      <c r="BI3" s="232" t="s">
        <v>871</v>
      </c>
      <c r="BJ3" s="232" t="s">
        <v>870</v>
      </c>
      <c r="BK3" s="232" t="s">
        <v>872</v>
      </c>
      <c r="BL3" s="232" t="s">
        <v>877</v>
      </c>
      <c r="BM3" s="232" t="s">
        <v>874</v>
      </c>
      <c r="BN3" s="232" t="s">
        <v>873</v>
      </c>
      <c r="BO3" s="232" t="s">
        <v>875</v>
      </c>
      <c r="BP3" s="232" t="s">
        <v>876</v>
      </c>
      <c r="BQ3" s="232" t="s">
        <v>878</v>
      </c>
      <c r="BR3" s="232" t="s">
        <v>879</v>
      </c>
      <c r="BS3" s="232" t="s">
        <v>880</v>
      </c>
      <c r="BT3" s="232" t="s">
        <v>881</v>
      </c>
      <c r="BU3" s="232" t="s">
        <v>882</v>
      </c>
      <c r="BV3" s="232" t="s">
        <v>883</v>
      </c>
      <c r="BW3" s="232" t="s">
        <v>884</v>
      </c>
      <c r="BX3" s="233" t="s">
        <v>885</v>
      </c>
      <c r="BY3" s="237" t="s">
        <v>889</v>
      </c>
      <c r="BZ3" s="237" t="s">
        <v>890</v>
      </c>
      <c r="CA3" s="238" t="s">
        <v>793</v>
      </c>
      <c r="CB3" s="237" t="s">
        <v>886</v>
      </c>
      <c r="CC3" s="237" t="s">
        <v>887</v>
      </c>
      <c r="CD3" s="237" t="s">
        <v>888</v>
      </c>
      <c r="CE3" s="237" t="s">
        <v>891</v>
      </c>
      <c r="CF3" s="237" t="s">
        <v>892</v>
      </c>
      <c r="CG3" s="237" t="s">
        <v>865</v>
      </c>
      <c r="CH3" s="237" t="s">
        <v>864</v>
      </c>
      <c r="CI3" s="237" t="s">
        <v>893</v>
      </c>
      <c r="CJ3" s="237" t="s">
        <v>871</v>
      </c>
      <c r="CK3" s="237" t="s">
        <v>872</v>
      </c>
      <c r="CL3" s="237" t="s">
        <v>868</v>
      </c>
      <c r="CM3" s="237" t="s">
        <v>870</v>
      </c>
      <c r="CN3" s="187"/>
      <c r="CO3" s="187"/>
      <c r="CP3" s="187"/>
      <c r="CQ3" s="187"/>
      <c r="CR3" s="187"/>
      <c r="CS3" s="187"/>
      <c r="CT3" s="187"/>
      <c r="CU3" s="187"/>
      <c r="CV3" s="187"/>
      <c r="CW3" s="187"/>
      <c r="CX3" s="187"/>
      <c r="CY3" s="187"/>
      <c r="CZ3" s="187"/>
      <c r="DA3" s="187"/>
      <c r="DB3" s="187"/>
      <c r="DC3" s="187"/>
      <c r="DD3" s="187"/>
      <c r="DE3" s="187"/>
      <c r="DF3" s="187"/>
      <c r="DG3" s="187"/>
      <c r="DH3" s="187"/>
      <c r="DI3" s="187"/>
      <c r="DJ3" s="187"/>
      <c r="DK3" s="226"/>
      <c r="DL3" s="226"/>
      <c r="DM3" s="226"/>
      <c r="DN3" s="226"/>
      <c r="DO3" s="226"/>
      <c r="DP3" s="226"/>
      <c r="DQ3" s="226"/>
      <c r="DR3" s="226"/>
      <c r="DS3" s="226"/>
      <c r="DT3" s="226"/>
      <c r="DU3" s="226"/>
      <c r="DV3" s="226"/>
      <c r="DW3" s="226"/>
      <c r="DX3" s="226"/>
      <c r="DY3" s="226"/>
    </row>
    <row r="4" spans="1:129" x14ac:dyDescent="0.25">
      <c r="A4" s="220" t="s">
        <v>1008</v>
      </c>
      <c r="B4" s="220" t="s">
        <v>901</v>
      </c>
      <c r="C4" s="221">
        <v>1</v>
      </c>
      <c r="D4" s="221" t="s">
        <v>908</v>
      </c>
      <c r="E4" s="221"/>
      <c r="F4" s="221" t="s">
        <v>978</v>
      </c>
      <c r="G4" s="222" t="s">
        <v>991</v>
      </c>
      <c r="H4" s="222" t="s">
        <v>992</v>
      </c>
      <c r="I4" s="221" t="s">
        <v>993</v>
      </c>
      <c r="J4" s="221"/>
      <c r="K4" s="221">
        <v>1</v>
      </c>
      <c r="L4" s="269">
        <v>37447</v>
      </c>
      <c r="M4" s="220"/>
      <c r="N4" s="291" t="s">
        <v>800</v>
      </c>
      <c r="O4" s="220"/>
      <c r="AU4" s="248">
        <f>SUM(BE4:BG4)-BD4</f>
        <v>-5</v>
      </c>
      <c r="AV4" s="248">
        <f>(AU4+(BE4*2)+(BF4*3)+(BG4*4))/BB4</f>
        <v>0.6</v>
      </c>
      <c r="BB4" s="249">
        <v>15</v>
      </c>
      <c r="BC4" s="250">
        <v>2</v>
      </c>
      <c r="BD4" s="250">
        <v>10</v>
      </c>
      <c r="BE4" s="250">
        <v>2</v>
      </c>
      <c r="BF4" s="250">
        <v>2</v>
      </c>
      <c r="BG4" s="250">
        <v>1</v>
      </c>
      <c r="BH4" s="250">
        <v>12</v>
      </c>
      <c r="BI4" s="250">
        <v>3</v>
      </c>
      <c r="BJ4" s="250">
        <v>1</v>
      </c>
      <c r="BK4" s="250">
        <v>1</v>
      </c>
      <c r="BL4" s="250">
        <v>2</v>
      </c>
      <c r="BM4" s="250">
        <v>2</v>
      </c>
      <c r="BN4" s="250">
        <v>1</v>
      </c>
      <c r="BO4" s="187"/>
      <c r="BP4" s="187"/>
      <c r="BQ4" s="187"/>
      <c r="BR4" s="187"/>
      <c r="BS4" s="187"/>
      <c r="BT4" s="187"/>
      <c r="BU4" s="187"/>
      <c r="BV4" s="187"/>
      <c r="BW4" s="187"/>
      <c r="BX4" s="187"/>
      <c r="BY4" s="188" t="s">
        <v>894</v>
      </c>
      <c r="BZ4" s="188" t="s">
        <v>995</v>
      </c>
      <c r="CA4" s="188" t="s">
        <v>1132</v>
      </c>
      <c r="CB4" s="188" t="s">
        <v>894</v>
      </c>
      <c r="CC4" s="188" t="s">
        <v>995</v>
      </c>
      <c r="CD4" s="188" t="s">
        <v>1133</v>
      </c>
      <c r="CE4" s="188" t="s">
        <v>995</v>
      </c>
      <c r="CF4" s="188" t="s">
        <v>1134</v>
      </c>
      <c r="CG4" s="188" t="s">
        <v>895</v>
      </c>
      <c r="CH4" s="188" t="s">
        <v>995</v>
      </c>
      <c r="CI4" s="188" t="s">
        <v>995</v>
      </c>
      <c r="CJ4" s="188" t="s">
        <v>996</v>
      </c>
      <c r="CK4" s="188" t="s">
        <v>997</v>
      </c>
      <c r="CL4" s="188" t="s">
        <v>995</v>
      </c>
      <c r="CM4" s="188" t="s">
        <v>894</v>
      </c>
      <c r="CN4" s="187"/>
      <c r="CO4" s="187"/>
      <c r="CP4" s="187"/>
      <c r="CQ4" s="187"/>
      <c r="CR4" s="187"/>
      <c r="CS4" s="187"/>
      <c r="CT4" s="187"/>
      <c r="CU4" s="187"/>
      <c r="CV4" s="187"/>
      <c r="CW4" s="187"/>
      <c r="CX4" s="187"/>
      <c r="CY4" s="187"/>
      <c r="CZ4" s="187"/>
      <c r="DA4" s="187"/>
      <c r="DB4" s="187"/>
      <c r="DC4" s="187"/>
      <c r="DD4" s="187"/>
      <c r="DE4" s="187"/>
      <c r="DF4" s="187"/>
      <c r="DG4" s="187"/>
      <c r="DH4" s="187"/>
      <c r="DI4" s="187"/>
      <c r="DJ4" s="187"/>
      <c r="DK4" s="226"/>
      <c r="DL4" s="226"/>
      <c r="DM4" s="226"/>
      <c r="DN4" s="226"/>
      <c r="DO4" s="226"/>
      <c r="DP4" s="226"/>
      <c r="DQ4" s="226"/>
      <c r="DR4" s="226"/>
      <c r="DS4" s="226"/>
      <c r="DT4" s="226"/>
      <c r="DU4" s="226"/>
      <c r="DV4" s="226"/>
      <c r="DW4" s="226"/>
      <c r="DX4" s="226"/>
      <c r="DY4" s="226"/>
    </row>
    <row r="5" spans="1:129" x14ac:dyDescent="0.25">
      <c r="A5" s="223" t="s">
        <v>900</v>
      </c>
      <c r="B5" s="223" t="s">
        <v>901</v>
      </c>
      <c r="C5" s="224">
        <v>2</v>
      </c>
      <c r="D5" s="224" t="s">
        <v>1009</v>
      </c>
      <c r="E5" s="224" t="s">
        <v>864</v>
      </c>
      <c r="F5" s="224" t="s">
        <v>864</v>
      </c>
      <c r="G5" s="225" t="s">
        <v>1010</v>
      </c>
      <c r="H5" s="225" t="s">
        <v>1011</v>
      </c>
      <c r="I5" s="224" t="s">
        <v>1012</v>
      </c>
      <c r="J5" s="224"/>
      <c r="K5" s="224">
        <v>4</v>
      </c>
      <c r="L5" s="269">
        <v>36957</v>
      </c>
      <c r="M5" s="223"/>
      <c r="N5" s="263" t="s">
        <v>800</v>
      </c>
      <c r="O5" s="223"/>
      <c r="BB5" s="249">
        <v>27</v>
      </c>
      <c r="BC5" s="250">
        <v>3</v>
      </c>
      <c r="BD5" s="250">
        <v>7</v>
      </c>
      <c r="BE5" s="250">
        <v>2</v>
      </c>
      <c r="BF5" s="250">
        <v>0</v>
      </c>
      <c r="BG5" s="250">
        <v>1</v>
      </c>
      <c r="BH5" s="250">
        <v>7</v>
      </c>
      <c r="BI5" s="250">
        <v>1</v>
      </c>
      <c r="BJ5" s="250">
        <v>0</v>
      </c>
      <c r="BK5" s="250">
        <v>5</v>
      </c>
      <c r="BL5" s="250">
        <v>0</v>
      </c>
      <c r="BM5" s="250">
        <v>1</v>
      </c>
      <c r="BN5" s="250">
        <v>0</v>
      </c>
      <c r="BO5" s="187" t="s">
        <v>995</v>
      </c>
      <c r="BP5" s="187" t="s">
        <v>995</v>
      </c>
      <c r="BQ5" s="187"/>
      <c r="BR5" s="187"/>
      <c r="BS5" s="187"/>
      <c r="BT5" s="187"/>
      <c r="BU5" s="187"/>
      <c r="BV5" s="187"/>
      <c r="BW5" s="187"/>
      <c r="BX5" s="187"/>
      <c r="BY5" s="188" t="s">
        <v>1135</v>
      </c>
      <c r="BZ5" s="188" t="s">
        <v>995</v>
      </c>
      <c r="CA5" s="188" t="s">
        <v>1136</v>
      </c>
      <c r="CB5" s="188" t="s">
        <v>995</v>
      </c>
      <c r="CC5" s="188" t="s">
        <v>995</v>
      </c>
      <c r="CD5" s="188" t="s">
        <v>1137</v>
      </c>
      <c r="CE5" s="188" t="s">
        <v>996</v>
      </c>
      <c r="CF5" s="188" t="s">
        <v>1138</v>
      </c>
      <c r="CG5" s="188" t="s">
        <v>1139</v>
      </c>
      <c r="CH5" s="188" t="s">
        <v>1135</v>
      </c>
      <c r="CI5" s="188" t="s">
        <v>894</v>
      </c>
      <c r="CJ5" s="188" t="s">
        <v>1140</v>
      </c>
      <c r="CK5" s="188" t="s">
        <v>1141</v>
      </c>
      <c r="CL5" s="188" t="s">
        <v>995</v>
      </c>
      <c r="CM5" s="188" t="s">
        <v>1135</v>
      </c>
      <c r="CN5" s="187"/>
      <c r="CO5" s="187"/>
      <c r="CP5" s="187"/>
      <c r="CQ5" s="187"/>
      <c r="CR5" s="187"/>
      <c r="CS5" s="187"/>
      <c r="CT5" s="187"/>
      <c r="CU5" s="187"/>
      <c r="CV5" s="187"/>
      <c r="CW5" s="187"/>
      <c r="CX5" s="187"/>
      <c r="CY5" s="187"/>
      <c r="CZ5" s="187"/>
      <c r="DA5" s="187"/>
      <c r="DB5" s="187"/>
      <c r="DC5" s="187"/>
      <c r="DD5" s="187"/>
      <c r="DE5" s="187"/>
      <c r="DF5" s="187"/>
      <c r="DG5" s="187"/>
      <c r="DH5" s="187"/>
      <c r="DI5" s="187"/>
      <c r="DJ5" s="187"/>
      <c r="DK5" s="226"/>
      <c r="DL5" s="226"/>
      <c r="DM5" s="226"/>
      <c r="DN5" s="226"/>
      <c r="DO5" s="226"/>
      <c r="DP5" s="226"/>
      <c r="DQ5" s="226"/>
      <c r="DR5" s="226"/>
      <c r="DS5" s="226"/>
      <c r="DT5" s="226"/>
      <c r="DU5" s="226"/>
      <c r="DV5" s="226"/>
      <c r="DW5" s="226"/>
      <c r="DX5" s="226"/>
      <c r="DY5" s="226"/>
    </row>
    <row r="6" spans="1:129" x14ac:dyDescent="0.25">
      <c r="A6" s="223"/>
      <c r="B6" s="223"/>
      <c r="C6" s="224"/>
      <c r="D6" s="224" t="s">
        <v>908</v>
      </c>
      <c r="E6" s="224"/>
      <c r="F6" s="224"/>
      <c r="G6" s="225"/>
      <c r="H6" s="225"/>
      <c r="I6" s="224"/>
      <c r="J6" s="224"/>
      <c r="K6" s="224"/>
      <c r="L6" s="269"/>
      <c r="M6" s="223"/>
      <c r="N6" s="263" t="s">
        <v>800</v>
      </c>
      <c r="O6" s="223"/>
      <c r="BB6" s="251"/>
      <c r="BC6" s="250"/>
      <c r="BD6" s="250"/>
      <c r="BE6" s="250"/>
      <c r="BF6" s="250"/>
      <c r="BG6" s="250"/>
      <c r="BH6" s="250"/>
      <c r="BI6" s="250"/>
      <c r="BJ6" s="250"/>
      <c r="BK6" s="250"/>
      <c r="BL6" s="250"/>
      <c r="BM6" s="250"/>
      <c r="BN6" s="250"/>
      <c r="BO6" s="187"/>
      <c r="BP6" s="187"/>
      <c r="BQ6" s="187"/>
      <c r="BR6" s="187"/>
      <c r="BS6" s="187"/>
      <c r="BT6" s="187"/>
      <c r="BU6" s="187"/>
      <c r="BV6" s="187"/>
      <c r="BW6" s="187"/>
      <c r="BX6" s="187"/>
      <c r="BY6" s="188" t="s">
        <v>1135</v>
      </c>
      <c r="BZ6" s="188" t="s">
        <v>995</v>
      </c>
      <c r="CA6" s="188" t="s">
        <v>895</v>
      </c>
      <c r="CB6" s="188" t="s">
        <v>995</v>
      </c>
      <c r="CC6" s="188" t="s">
        <v>995</v>
      </c>
      <c r="CD6" s="188" t="s">
        <v>1137</v>
      </c>
      <c r="CE6" s="188" t="s">
        <v>995</v>
      </c>
      <c r="CF6" s="188" t="s">
        <v>1142</v>
      </c>
      <c r="CG6" s="188" t="s">
        <v>1143</v>
      </c>
      <c r="CH6" s="188" t="s">
        <v>1135</v>
      </c>
      <c r="CI6" s="188" t="s">
        <v>1135</v>
      </c>
      <c r="CJ6" s="188" t="s">
        <v>1139</v>
      </c>
      <c r="CK6" s="188" t="s">
        <v>1144</v>
      </c>
      <c r="CL6" s="188" t="s">
        <v>995</v>
      </c>
      <c r="CM6" s="188" t="s">
        <v>995</v>
      </c>
      <c r="CN6" s="187"/>
      <c r="CO6" s="187"/>
      <c r="CP6" s="187"/>
      <c r="CQ6" s="187"/>
      <c r="CR6" s="187"/>
      <c r="CS6" s="187"/>
      <c r="CT6" s="187"/>
      <c r="CU6" s="187"/>
      <c r="CV6" s="187"/>
      <c r="CW6" s="187"/>
      <c r="CX6" s="187"/>
      <c r="CY6" s="187"/>
      <c r="CZ6" s="187"/>
      <c r="DA6" s="187"/>
      <c r="DB6" s="187"/>
      <c r="DC6" s="187"/>
      <c r="DD6" s="187"/>
      <c r="DE6" s="187"/>
      <c r="DF6" s="187"/>
      <c r="DG6" s="187"/>
      <c r="DH6" s="187"/>
      <c r="DI6" s="187"/>
      <c r="DJ6" s="187"/>
      <c r="DK6" s="226"/>
      <c r="DL6" s="226"/>
      <c r="DM6" s="226"/>
      <c r="DN6" s="226"/>
      <c r="DO6" s="226"/>
      <c r="DP6" s="226"/>
      <c r="DQ6" s="226"/>
      <c r="DR6" s="226"/>
      <c r="DS6" s="226"/>
      <c r="DT6" s="226"/>
      <c r="DU6" s="226"/>
      <c r="DV6" s="226"/>
      <c r="DW6" s="226"/>
      <c r="DX6" s="226"/>
      <c r="DY6" s="226"/>
    </row>
    <row r="7" spans="1:129" x14ac:dyDescent="0.25">
      <c r="A7" s="223"/>
      <c r="B7" s="223"/>
      <c r="C7" s="224"/>
      <c r="D7" s="224"/>
      <c r="E7" s="224"/>
      <c r="F7" s="224"/>
      <c r="G7" s="225"/>
      <c r="H7" s="225"/>
      <c r="I7" s="224"/>
      <c r="J7" s="224"/>
      <c r="K7" s="224"/>
      <c r="L7" s="292"/>
      <c r="M7" s="223"/>
      <c r="N7" s="291" t="s">
        <v>800</v>
      </c>
      <c r="O7" s="223"/>
      <c r="AX7">
        <v>50</v>
      </c>
      <c r="BB7" s="251"/>
      <c r="BC7" s="250"/>
      <c r="BD7" s="250"/>
      <c r="BE7" s="250"/>
      <c r="BF7" s="250"/>
      <c r="BG7" s="250"/>
      <c r="BH7" s="250"/>
      <c r="BI7" s="250"/>
      <c r="BJ7" s="250"/>
      <c r="BK7" s="250"/>
      <c r="BL7" s="250"/>
      <c r="BM7" s="250"/>
      <c r="BN7" s="250"/>
      <c r="BO7" s="187"/>
      <c r="BP7" s="187"/>
      <c r="BQ7" s="187"/>
      <c r="BR7" s="187"/>
      <c r="BS7" s="187"/>
      <c r="BT7" s="187"/>
      <c r="BU7" s="187"/>
      <c r="BV7" s="187"/>
      <c r="BW7" s="187"/>
      <c r="BX7" s="187"/>
      <c r="BY7" s="188"/>
      <c r="BZ7" s="188"/>
      <c r="CA7" s="188"/>
      <c r="CB7" s="188"/>
      <c r="CC7" s="188"/>
      <c r="CD7" s="188"/>
      <c r="CE7" s="188"/>
      <c r="CF7" s="188"/>
      <c r="CG7" s="188"/>
      <c r="CH7" s="188"/>
      <c r="CI7" s="188"/>
      <c r="CJ7" s="188"/>
      <c r="CK7" s="188"/>
      <c r="CL7" s="188"/>
      <c r="CM7" s="188"/>
      <c r="CN7" s="187"/>
      <c r="CO7" s="187"/>
      <c r="CP7" s="187"/>
      <c r="CQ7" s="187"/>
      <c r="CR7" s="187"/>
      <c r="CS7" s="187"/>
      <c r="CT7" s="187"/>
      <c r="CU7" s="187"/>
      <c r="CV7" s="187"/>
      <c r="CW7" s="187"/>
      <c r="CX7" s="187"/>
      <c r="CY7" s="187"/>
      <c r="CZ7" s="187"/>
      <c r="DA7" s="187"/>
      <c r="DB7" s="187"/>
      <c r="DC7" s="187"/>
      <c r="DD7" s="187"/>
      <c r="DE7" s="187"/>
      <c r="DF7" s="187"/>
      <c r="DG7" s="187"/>
      <c r="DH7" s="187"/>
      <c r="DI7" s="187"/>
      <c r="DJ7" s="187"/>
      <c r="DK7" s="226"/>
      <c r="DL7" s="226"/>
      <c r="DM7" s="226"/>
      <c r="DN7" s="226"/>
      <c r="DO7" s="226"/>
      <c r="DP7" s="226"/>
      <c r="DQ7" s="226"/>
      <c r="DR7" s="226"/>
      <c r="DS7" s="226"/>
      <c r="DT7" s="226"/>
      <c r="DU7" s="226"/>
      <c r="DV7" s="226"/>
      <c r="DW7" s="226"/>
      <c r="DX7" s="226"/>
      <c r="DY7" s="226"/>
    </row>
    <row r="8" spans="1:129" x14ac:dyDescent="0.25">
      <c r="A8" s="223"/>
      <c r="B8" s="223"/>
      <c r="C8" s="224"/>
      <c r="D8" s="224"/>
      <c r="E8" s="224"/>
      <c r="F8" s="224"/>
      <c r="G8" s="225"/>
      <c r="H8" s="225"/>
      <c r="I8" s="224"/>
      <c r="J8" s="224"/>
      <c r="K8" s="224"/>
      <c r="L8" s="269"/>
      <c r="M8" s="223"/>
      <c r="N8" s="263" t="s">
        <v>800</v>
      </c>
      <c r="O8" s="223"/>
      <c r="BB8" s="230"/>
      <c r="BC8" s="187"/>
      <c r="BD8" s="187"/>
      <c r="BE8" s="187"/>
      <c r="BF8" s="187"/>
      <c r="BG8" s="187"/>
      <c r="BH8" s="187"/>
      <c r="BI8" s="187"/>
      <c r="BJ8" s="187"/>
      <c r="BK8" s="187"/>
      <c r="BL8" s="187"/>
      <c r="BM8" s="187"/>
      <c r="BN8" s="187"/>
      <c r="BO8" s="187"/>
      <c r="BP8" s="187"/>
      <c r="BQ8" s="187"/>
      <c r="BR8" s="187"/>
      <c r="BS8" s="187"/>
      <c r="BT8" s="187"/>
      <c r="BU8" s="187"/>
      <c r="BV8" s="187"/>
      <c r="BW8" s="187"/>
      <c r="BX8" s="187"/>
      <c r="BY8" s="188"/>
      <c r="BZ8" s="188"/>
      <c r="CA8" s="188"/>
      <c r="CB8" s="188"/>
      <c r="CC8" s="188"/>
      <c r="CD8" s="188"/>
      <c r="CE8" s="188"/>
      <c r="CF8" s="188"/>
      <c r="CG8" s="188"/>
      <c r="CH8" s="188"/>
      <c r="CI8" s="188"/>
      <c r="CJ8" s="188"/>
      <c r="CK8" s="188"/>
      <c r="CL8" s="188"/>
      <c r="CM8" s="188"/>
      <c r="CN8" s="187"/>
      <c r="CO8" s="187"/>
      <c r="CP8" s="187"/>
      <c r="CQ8" s="187"/>
      <c r="CR8" s="187"/>
      <c r="CS8" s="187"/>
      <c r="CT8" s="187"/>
      <c r="CU8" s="187"/>
      <c r="CV8" s="187"/>
      <c r="CW8" s="187"/>
      <c r="CX8" s="187"/>
      <c r="CY8" s="187"/>
      <c r="CZ8" s="187"/>
      <c r="DA8" s="187"/>
      <c r="DB8" s="187"/>
      <c r="DC8" s="187"/>
      <c r="DD8" s="187"/>
      <c r="DE8" s="187"/>
      <c r="DF8" s="187"/>
      <c r="DG8" s="187"/>
      <c r="DH8" s="187"/>
      <c r="DI8" s="187"/>
      <c r="DJ8" s="187"/>
      <c r="DK8" s="226"/>
      <c r="DL8" s="226"/>
      <c r="DM8" s="226"/>
      <c r="DN8" s="226"/>
      <c r="DO8" s="226"/>
      <c r="DP8" s="226"/>
      <c r="DQ8" s="226"/>
      <c r="DR8" s="226"/>
      <c r="DS8" s="226"/>
      <c r="DT8" s="226"/>
      <c r="DU8" s="226"/>
      <c r="DV8" s="226"/>
      <c r="DW8" s="226"/>
      <c r="DX8" s="226"/>
      <c r="DY8" s="226"/>
    </row>
    <row r="9" spans="1:129" x14ac:dyDescent="0.25">
      <c r="A9" s="223"/>
      <c r="B9" s="223"/>
      <c r="C9" s="224"/>
      <c r="D9" s="224"/>
      <c r="E9" s="224"/>
      <c r="F9" s="224"/>
      <c r="G9" s="225"/>
      <c r="H9" s="225"/>
      <c r="I9" s="224"/>
      <c r="J9" s="224"/>
      <c r="K9" s="224"/>
      <c r="L9" s="269"/>
      <c r="M9" s="223"/>
      <c r="N9" s="263" t="s">
        <v>800</v>
      </c>
      <c r="O9" s="223"/>
      <c r="BB9" s="230"/>
      <c r="BC9" s="187"/>
      <c r="BD9" s="187"/>
      <c r="BE9" s="187"/>
      <c r="BF9" s="187"/>
      <c r="BG9" s="187"/>
      <c r="BH9" s="187"/>
      <c r="BI9" s="187"/>
      <c r="BJ9" s="187"/>
      <c r="BK9" s="187"/>
      <c r="BL9" s="187"/>
      <c r="BM9" s="187"/>
      <c r="BN9" s="187"/>
      <c r="BO9" s="187"/>
      <c r="BP9" s="187"/>
      <c r="BQ9" s="187"/>
      <c r="BR9" s="187"/>
      <c r="BS9" s="187"/>
      <c r="BT9" s="187"/>
      <c r="BU9" s="187"/>
      <c r="BV9" s="187"/>
      <c r="BW9" s="187"/>
      <c r="BX9" s="187"/>
      <c r="BY9" s="188"/>
      <c r="BZ9" s="188"/>
      <c r="CA9" s="188"/>
      <c r="CB9" s="188"/>
      <c r="CC9" s="188"/>
      <c r="CD9" s="188"/>
      <c r="CE9" s="188"/>
      <c r="CF9" s="188"/>
      <c r="CG9" s="188"/>
      <c r="CH9" s="188"/>
      <c r="CI9" s="188"/>
      <c r="CJ9" s="188"/>
      <c r="CK9" s="188"/>
      <c r="CL9" s="188"/>
      <c r="CM9" s="188"/>
      <c r="CN9" s="187"/>
      <c r="CO9" s="187"/>
      <c r="CP9" s="187"/>
      <c r="CQ9" s="187"/>
      <c r="CR9" s="187"/>
      <c r="CS9" s="187"/>
      <c r="CT9" s="187"/>
      <c r="CU9" s="187"/>
      <c r="CV9" s="187"/>
      <c r="CW9" s="187"/>
      <c r="CX9" s="187"/>
      <c r="CY9" s="187"/>
      <c r="CZ9" s="187"/>
      <c r="DA9" s="187"/>
      <c r="DB9" s="187"/>
      <c r="DC9" s="187"/>
      <c r="DD9" s="187"/>
      <c r="DE9" s="187"/>
      <c r="DF9" s="187"/>
      <c r="DG9" s="187"/>
      <c r="DH9" s="187"/>
      <c r="DI9" s="187"/>
      <c r="DJ9" s="187"/>
      <c r="DK9" s="226"/>
      <c r="DL9" s="226"/>
      <c r="DM9" s="226"/>
      <c r="DN9" s="226"/>
      <c r="DO9" s="226"/>
      <c r="DP9" s="226"/>
      <c r="DQ9" s="226"/>
      <c r="DR9" s="226"/>
      <c r="DS9" s="226"/>
      <c r="DT9" s="226"/>
      <c r="DU9" s="226"/>
      <c r="DV9" s="226"/>
      <c r="DW9" s="226"/>
      <c r="DX9" s="226"/>
      <c r="DY9" s="226"/>
    </row>
    <row r="10" spans="1:129" x14ac:dyDescent="0.25">
      <c r="A10" s="223"/>
      <c r="B10" s="223"/>
      <c r="C10" s="224"/>
      <c r="D10" s="224"/>
      <c r="E10" s="224"/>
      <c r="F10" s="224"/>
      <c r="G10" s="225"/>
      <c r="H10" s="225"/>
      <c r="I10" s="224"/>
      <c r="J10" s="224"/>
      <c r="K10" s="224"/>
      <c r="L10" s="269"/>
      <c r="M10" s="223"/>
      <c r="N10" s="291" t="s">
        <v>800</v>
      </c>
      <c r="O10" s="223"/>
      <c r="BB10" s="230"/>
      <c r="BC10" s="187"/>
      <c r="BD10" s="187"/>
      <c r="BE10" s="187"/>
      <c r="BF10" s="187"/>
      <c r="BG10" s="187"/>
      <c r="BH10" s="187"/>
      <c r="BI10" s="187"/>
      <c r="BJ10" s="187"/>
      <c r="BK10" s="187"/>
      <c r="BL10" s="187"/>
      <c r="BM10" s="187"/>
      <c r="BN10" s="187"/>
      <c r="BO10" s="187"/>
      <c r="BP10" s="187"/>
      <c r="BQ10" s="187"/>
      <c r="BR10" s="187"/>
      <c r="BS10" s="187"/>
      <c r="BT10" s="187"/>
      <c r="BU10" s="187"/>
      <c r="BV10" s="187"/>
      <c r="BW10" s="187"/>
      <c r="BX10" s="187"/>
      <c r="BY10" s="188"/>
      <c r="BZ10" s="188"/>
      <c r="CA10" s="188"/>
      <c r="CB10" s="188"/>
      <c r="CC10" s="188"/>
      <c r="CD10" s="188"/>
      <c r="CE10" s="188"/>
      <c r="CF10" s="188"/>
      <c r="CG10" s="188"/>
      <c r="CH10" s="188"/>
      <c r="CI10" s="188"/>
      <c r="CJ10" s="188"/>
      <c r="CK10" s="188"/>
      <c r="CL10" s="188"/>
      <c r="CM10" s="188"/>
      <c r="CN10" s="187"/>
      <c r="CO10" s="187"/>
      <c r="CP10" s="187"/>
      <c r="CQ10" s="187"/>
      <c r="CR10" s="187"/>
      <c r="CS10" s="187"/>
      <c r="CT10" s="187"/>
      <c r="CU10" s="187"/>
      <c r="CV10" s="187"/>
      <c r="CW10" s="187"/>
      <c r="CX10" s="187"/>
      <c r="CY10" s="187"/>
      <c r="CZ10" s="187"/>
      <c r="DA10" s="187"/>
      <c r="DB10" s="187"/>
      <c r="DC10" s="187"/>
      <c r="DD10" s="187"/>
      <c r="DE10" s="187"/>
      <c r="DF10" s="187"/>
      <c r="DG10" s="187"/>
      <c r="DH10" s="187"/>
      <c r="DI10" s="187"/>
      <c r="DJ10" s="187"/>
      <c r="DK10" s="226"/>
      <c r="DL10" s="226"/>
      <c r="DM10" s="226"/>
      <c r="DN10" s="226"/>
      <c r="DO10" s="226"/>
      <c r="DP10" s="226"/>
      <c r="DQ10" s="226"/>
      <c r="DR10" s="226"/>
      <c r="DS10" s="226"/>
      <c r="DT10" s="226"/>
      <c r="DU10" s="226"/>
      <c r="DV10" s="226"/>
      <c r="DW10" s="226"/>
      <c r="DX10" s="226"/>
      <c r="DY10" s="226"/>
    </row>
    <row r="11" spans="1:129" x14ac:dyDescent="0.25">
      <c r="A11" s="223"/>
      <c r="B11" s="223"/>
      <c r="C11" s="224"/>
      <c r="D11" s="224"/>
      <c r="E11" s="224"/>
      <c r="F11" s="224"/>
      <c r="G11" s="225"/>
      <c r="H11" s="225"/>
      <c r="I11" s="224"/>
      <c r="J11" s="224"/>
      <c r="K11" s="224"/>
      <c r="L11" s="292"/>
      <c r="M11" s="223"/>
      <c r="N11" s="263" t="s">
        <v>800</v>
      </c>
      <c r="O11" s="223"/>
      <c r="BB11" s="230"/>
      <c r="BC11" s="187"/>
      <c r="BD11" s="187"/>
      <c r="BE11" s="187"/>
      <c r="BF11" s="187"/>
      <c r="BG11" s="187"/>
      <c r="BH11" s="187"/>
      <c r="BI11" s="187"/>
      <c r="BJ11" s="187"/>
      <c r="BK11" s="187"/>
      <c r="BL11" s="187"/>
      <c r="BM11" s="187"/>
      <c r="BN11" s="187"/>
      <c r="BO11" s="187"/>
      <c r="BP11" s="187"/>
      <c r="BQ11" s="187"/>
      <c r="BR11" s="187"/>
      <c r="BS11" s="187"/>
      <c r="BT11" s="187"/>
      <c r="BU11" s="187"/>
      <c r="BV11" s="187"/>
      <c r="BW11" s="187"/>
      <c r="BX11" s="187"/>
      <c r="BY11" s="188"/>
      <c r="BZ11" s="188"/>
      <c r="CA11" s="188"/>
      <c r="CB11" s="188"/>
      <c r="CC11" s="188"/>
      <c r="CD11" s="188"/>
      <c r="CE11" s="188"/>
      <c r="CF11" s="188"/>
      <c r="CG11" s="188"/>
      <c r="CH11" s="188"/>
      <c r="CI11" s="188"/>
      <c r="CJ11" s="188"/>
      <c r="CK11" s="188"/>
      <c r="CL11" s="188"/>
      <c r="CM11" s="188"/>
      <c r="CN11" s="187"/>
      <c r="CO11" s="187"/>
      <c r="CP11" s="187"/>
      <c r="CQ11" s="187"/>
      <c r="CR11" s="187"/>
      <c r="CS11" s="187"/>
      <c r="CT11" s="187"/>
      <c r="CU11" s="187"/>
      <c r="CV11" s="187"/>
      <c r="CW11" s="187"/>
      <c r="CX11" s="187"/>
      <c r="CY11" s="187"/>
      <c r="CZ11" s="187"/>
      <c r="DA11" s="187"/>
      <c r="DB11" s="187"/>
      <c r="DC11" s="187"/>
      <c r="DD11" s="187"/>
      <c r="DE11" s="187"/>
      <c r="DF11" s="187"/>
      <c r="DG11" s="187"/>
      <c r="DH11" s="187"/>
      <c r="DI11" s="187"/>
      <c r="DJ11" s="187"/>
      <c r="DK11" s="226"/>
      <c r="DL11" s="226"/>
      <c r="DM11" s="226"/>
      <c r="DN11" s="226"/>
      <c r="DO11" s="226"/>
      <c r="DP11" s="226"/>
      <c r="DQ11" s="226"/>
      <c r="DR11" s="226"/>
      <c r="DS11" s="226"/>
      <c r="DT11" s="226"/>
      <c r="DU11" s="226"/>
      <c r="DV11" s="226"/>
      <c r="DW11" s="226"/>
      <c r="DX11" s="226"/>
      <c r="DY11" s="226"/>
    </row>
    <row r="12" spans="1:129" x14ac:dyDescent="0.25">
      <c r="A12" s="223"/>
      <c r="B12" s="223"/>
      <c r="C12" s="224"/>
      <c r="D12" s="224"/>
      <c r="E12" s="224"/>
      <c r="F12" s="224"/>
      <c r="G12" s="225"/>
      <c r="H12" s="225"/>
      <c r="I12" s="224"/>
      <c r="J12" s="224"/>
      <c r="K12" s="224"/>
      <c r="L12" s="269"/>
      <c r="M12" s="223"/>
      <c r="N12" s="263" t="s">
        <v>800</v>
      </c>
      <c r="O12" s="223"/>
      <c r="BB12" s="230"/>
      <c r="BC12" s="187"/>
      <c r="BD12" s="187"/>
      <c r="BE12" s="187"/>
      <c r="BF12" s="187"/>
      <c r="BG12" s="187"/>
      <c r="BH12" s="187"/>
      <c r="BI12" s="187"/>
      <c r="BJ12" s="187"/>
      <c r="BK12" s="187"/>
      <c r="BL12" s="187"/>
      <c r="BM12" s="187"/>
      <c r="BN12" s="187"/>
      <c r="BO12" s="187"/>
      <c r="BP12" s="187"/>
      <c r="BQ12" s="187"/>
      <c r="BR12" s="187"/>
      <c r="BS12" s="187"/>
      <c r="BT12" s="187"/>
      <c r="BU12" s="187"/>
      <c r="BV12" s="187"/>
      <c r="BW12" s="187"/>
      <c r="BX12" s="187"/>
      <c r="BY12" s="188"/>
      <c r="BZ12" s="188"/>
      <c r="CA12" s="188"/>
      <c r="CB12" s="188"/>
      <c r="CC12" s="188"/>
      <c r="CD12" s="188"/>
      <c r="CE12" s="188"/>
      <c r="CF12" s="188"/>
      <c r="CG12" s="188"/>
      <c r="CH12" s="188"/>
      <c r="CI12" s="188"/>
      <c r="CJ12" s="188"/>
      <c r="CK12" s="188"/>
      <c r="CL12" s="188"/>
      <c r="CM12" s="188"/>
      <c r="CN12" s="187"/>
      <c r="CO12" s="187"/>
      <c r="CP12" s="187"/>
      <c r="CQ12" s="187"/>
      <c r="CR12" s="187"/>
      <c r="CS12" s="187"/>
      <c r="CT12" s="187"/>
      <c r="CU12" s="187"/>
      <c r="CV12" s="187"/>
      <c r="CW12" s="187"/>
      <c r="CX12" s="187"/>
      <c r="CY12" s="187"/>
      <c r="CZ12" s="187"/>
      <c r="DA12" s="187"/>
      <c r="DB12" s="187"/>
      <c r="DC12" s="187"/>
      <c r="DD12" s="187"/>
      <c r="DE12" s="187"/>
      <c r="DF12" s="187"/>
      <c r="DG12" s="187"/>
      <c r="DH12" s="187"/>
      <c r="DI12" s="187"/>
      <c r="DJ12" s="187"/>
      <c r="DK12" s="226"/>
      <c r="DL12" s="226"/>
      <c r="DM12" s="226"/>
      <c r="DN12" s="226"/>
      <c r="DO12" s="226"/>
      <c r="DP12" s="226"/>
      <c r="DQ12" s="226"/>
      <c r="DR12" s="226"/>
      <c r="DS12" s="226"/>
      <c r="DT12" s="226"/>
      <c r="DU12" s="226"/>
      <c r="DV12" s="226"/>
      <c r="DW12" s="226"/>
      <c r="DX12" s="226"/>
      <c r="DY12" s="226"/>
    </row>
    <row r="13" spans="1:129" x14ac:dyDescent="0.25">
      <c r="A13" s="223"/>
      <c r="B13" s="223"/>
      <c r="C13" s="224"/>
      <c r="D13" s="224"/>
      <c r="E13" s="224"/>
      <c r="F13" s="224"/>
      <c r="G13" s="225"/>
      <c r="H13" s="225"/>
      <c r="I13" s="224"/>
      <c r="J13" s="224"/>
      <c r="K13" s="224"/>
      <c r="L13" s="269"/>
      <c r="M13" s="223"/>
      <c r="N13" s="291" t="s">
        <v>800</v>
      </c>
      <c r="O13" s="223"/>
      <c r="BB13" s="230"/>
      <c r="BC13" s="187"/>
      <c r="BD13" s="187"/>
      <c r="BE13" s="187"/>
      <c r="BF13" s="187"/>
      <c r="BG13" s="187"/>
      <c r="BH13" s="187"/>
      <c r="BI13" s="187"/>
      <c r="BJ13" s="187"/>
      <c r="BK13" s="187"/>
      <c r="BL13" s="187"/>
      <c r="BM13" s="187"/>
      <c r="BN13" s="187"/>
      <c r="BO13" s="187"/>
      <c r="BP13" s="187"/>
      <c r="BQ13" s="187"/>
      <c r="BR13" s="187"/>
      <c r="BS13" s="187"/>
      <c r="BT13" s="187"/>
      <c r="BU13" s="187"/>
      <c r="BV13" s="187"/>
      <c r="BW13" s="187"/>
      <c r="BX13" s="187"/>
      <c r="BY13" s="188"/>
      <c r="BZ13" s="188"/>
      <c r="CA13" s="188"/>
      <c r="CB13" s="188"/>
      <c r="CC13" s="188"/>
      <c r="CD13" s="188"/>
      <c r="CE13" s="188"/>
      <c r="CF13" s="188"/>
      <c r="CG13" s="188"/>
      <c r="CH13" s="188"/>
      <c r="CI13" s="188"/>
      <c r="CJ13" s="188"/>
      <c r="CK13" s="188"/>
      <c r="CL13" s="188"/>
      <c r="CM13" s="188"/>
      <c r="CN13" s="187"/>
      <c r="CO13" s="187"/>
      <c r="CP13" s="187"/>
      <c r="CQ13" s="187"/>
      <c r="CR13" s="187"/>
      <c r="CS13" s="187"/>
      <c r="CT13" s="187"/>
      <c r="CU13" s="187"/>
      <c r="CV13" s="187"/>
      <c r="CW13" s="187"/>
      <c r="CX13" s="187"/>
      <c r="CY13" s="187"/>
      <c r="CZ13" s="187"/>
      <c r="DA13" s="187"/>
      <c r="DB13" s="187"/>
      <c r="DC13" s="187"/>
      <c r="DD13" s="187"/>
      <c r="DE13" s="187"/>
      <c r="DF13" s="187"/>
      <c r="DG13" s="187"/>
      <c r="DH13" s="187"/>
      <c r="DI13" s="187"/>
      <c r="DJ13" s="187"/>
      <c r="DK13" s="226"/>
      <c r="DL13" s="226"/>
      <c r="DM13" s="226"/>
      <c r="DN13" s="226"/>
      <c r="DO13" s="226"/>
      <c r="DP13" s="226"/>
      <c r="DQ13" s="226"/>
      <c r="DR13" s="226"/>
      <c r="DS13" s="226"/>
      <c r="DT13" s="226"/>
      <c r="DU13" s="226"/>
      <c r="DV13" s="226"/>
      <c r="DW13" s="226"/>
      <c r="DX13" s="226"/>
      <c r="DY13" s="226"/>
    </row>
    <row r="14" spans="1:129" x14ac:dyDescent="0.25">
      <c r="A14" s="223"/>
      <c r="B14" s="223"/>
      <c r="C14" s="224"/>
      <c r="D14" s="224"/>
      <c r="E14" s="224"/>
      <c r="F14" s="224"/>
      <c r="G14" s="225"/>
      <c r="H14" s="225"/>
      <c r="I14" s="224"/>
      <c r="J14" s="224"/>
      <c r="K14" s="224"/>
      <c r="L14" s="269"/>
      <c r="M14" s="223"/>
      <c r="N14" s="263" t="s">
        <v>800</v>
      </c>
      <c r="O14" s="223"/>
      <c r="BB14" s="230"/>
      <c r="BC14" s="187"/>
      <c r="BD14" s="187"/>
      <c r="BE14" s="187"/>
      <c r="BF14" s="187"/>
      <c r="BG14" s="187"/>
      <c r="BH14" s="187"/>
      <c r="BI14" s="187"/>
      <c r="BJ14" s="187"/>
      <c r="BK14" s="187"/>
      <c r="BL14" s="187"/>
      <c r="BM14" s="187"/>
      <c r="BN14" s="187"/>
      <c r="BO14" s="187"/>
      <c r="BP14" s="187"/>
      <c r="BQ14" s="187"/>
      <c r="BR14" s="187"/>
      <c r="BS14" s="187"/>
      <c r="BT14" s="187"/>
      <c r="BU14" s="187"/>
      <c r="BV14" s="187"/>
      <c r="BW14" s="187"/>
      <c r="BX14" s="187"/>
      <c r="BY14" s="188"/>
      <c r="BZ14" s="188"/>
      <c r="CA14" s="188"/>
      <c r="CB14" s="188"/>
      <c r="CC14" s="188"/>
      <c r="CD14" s="188"/>
      <c r="CE14" s="188"/>
      <c r="CF14" s="188"/>
      <c r="CG14" s="188"/>
      <c r="CH14" s="188"/>
      <c r="CI14" s="188"/>
      <c r="CJ14" s="188"/>
      <c r="CK14" s="188"/>
      <c r="CL14" s="188"/>
      <c r="CM14" s="188"/>
      <c r="CN14" s="187"/>
      <c r="CO14" s="187"/>
      <c r="CP14" s="187"/>
      <c r="CQ14" s="187"/>
      <c r="CR14" s="187"/>
      <c r="CS14" s="187"/>
      <c r="CT14" s="187"/>
      <c r="CU14" s="187"/>
      <c r="CV14" s="187"/>
      <c r="CW14" s="187"/>
      <c r="CX14" s="187"/>
      <c r="CY14" s="187"/>
      <c r="CZ14" s="187"/>
      <c r="DA14" s="187"/>
      <c r="DB14" s="187"/>
      <c r="DC14" s="187"/>
      <c r="DD14" s="187"/>
      <c r="DE14" s="187"/>
      <c r="DF14" s="187"/>
      <c r="DG14" s="187"/>
      <c r="DH14" s="187"/>
      <c r="DI14" s="187"/>
      <c r="DJ14" s="187"/>
      <c r="DK14" s="226"/>
      <c r="DL14" s="226"/>
      <c r="DM14" s="226"/>
      <c r="DN14" s="226"/>
      <c r="DO14" s="226"/>
      <c r="DP14" s="226"/>
      <c r="DQ14" s="226"/>
      <c r="DR14" s="226"/>
      <c r="DS14" s="226"/>
      <c r="DT14" s="226"/>
      <c r="DU14" s="226"/>
      <c r="DV14" s="226"/>
      <c r="DW14" s="226"/>
      <c r="DX14" s="226"/>
      <c r="DY14" s="226"/>
    </row>
    <row r="15" spans="1:129" x14ac:dyDescent="0.25">
      <c r="A15" s="223"/>
      <c r="B15" s="223"/>
      <c r="C15" s="224"/>
      <c r="D15" s="224"/>
      <c r="E15" s="224"/>
      <c r="F15" s="224"/>
      <c r="G15" s="225"/>
      <c r="H15" s="225"/>
      <c r="I15" s="224"/>
      <c r="J15" s="224"/>
      <c r="K15" s="224"/>
      <c r="L15" s="269"/>
      <c r="M15" s="223"/>
      <c r="N15" s="263" t="s">
        <v>800</v>
      </c>
      <c r="O15" s="223"/>
      <c r="BB15" s="230"/>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8"/>
      <c r="BZ15" s="188"/>
      <c r="CA15" s="188"/>
      <c r="CB15" s="188"/>
      <c r="CC15" s="188"/>
      <c r="CD15" s="188"/>
      <c r="CE15" s="188"/>
      <c r="CF15" s="188"/>
      <c r="CG15" s="188"/>
      <c r="CH15" s="188"/>
      <c r="CI15" s="188"/>
      <c r="CJ15" s="188"/>
      <c r="CK15" s="188"/>
      <c r="CL15" s="188"/>
      <c r="CM15" s="188"/>
      <c r="CN15" s="187"/>
      <c r="CO15" s="187"/>
      <c r="CP15" s="187"/>
      <c r="CQ15" s="187"/>
      <c r="CR15" s="187"/>
      <c r="CS15" s="187"/>
      <c r="CT15" s="187"/>
      <c r="CU15" s="187"/>
      <c r="CV15" s="187"/>
      <c r="CW15" s="187"/>
      <c r="CX15" s="187"/>
      <c r="CY15" s="187"/>
      <c r="CZ15" s="187"/>
      <c r="DA15" s="187"/>
      <c r="DB15" s="187"/>
      <c r="DC15" s="187"/>
      <c r="DD15" s="187"/>
      <c r="DE15" s="187"/>
      <c r="DF15" s="187"/>
      <c r="DG15" s="187"/>
      <c r="DH15" s="187"/>
      <c r="DI15" s="187"/>
      <c r="DJ15" s="187"/>
      <c r="DK15" s="226"/>
      <c r="DL15" s="226"/>
      <c r="DM15" s="226"/>
      <c r="DN15" s="226"/>
      <c r="DO15" s="226"/>
      <c r="DP15" s="226"/>
      <c r="DQ15" s="226"/>
      <c r="DR15" s="226"/>
      <c r="DS15" s="226"/>
      <c r="DT15" s="226"/>
      <c r="DU15" s="226"/>
      <c r="DV15" s="226"/>
      <c r="DW15" s="226"/>
      <c r="DX15" s="226"/>
      <c r="DY15" s="226"/>
    </row>
    <row r="16" spans="1:129" x14ac:dyDescent="0.25">
      <c r="A16" s="223"/>
      <c r="B16" s="223"/>
      <c r="C16" s="224"/>
      <c r="D16" s="224"/>
      <c r="E16" s="224"/>
      <c r="F16" s="224"/>
      <c r="G16" s="225"/>
      <c r="H16" s="225"/>
      <c r="I16" s="224"/>
      <c r="J16" s="224"/>
      <c r="K16" s="224"/>
      <c r="L16" s="269"/>
      <c r="M16" s="223"/>
      <c r="N16" s="291" t="s">
        <v>800</v>
      </c>
      <c r="O16" s="223"/>
      <c r="BB16" s="230"/>
      <c r="BC16" s="187"/>
      <c r="BD16" s="187"/>
      <c r="BE16" s="187"/>
      <c r="BF16" s="187"/>
      <c r="BG16" s="187"/>
      <c r="BH16" s="187"/>
      <c r="BI16" s="187"/>
      <c r="BJ16" s="187"/>
      <c r="BK16" s="187"/>
      <c r="BL16" s="187"/>
      <c r="BM16" s="187"/>
      <c r="BN16" s="187"/>
      <c r="BO16" s="187"/>
      <c r="BP16" s="187"/>
      <c r="BQ16" s="187"/>
      <c r="BR16" s="187"/>
      <c r="BS16" s="187"/>
      <c r="BT16" s="187"/>
      <c r="BU16" s="187"/>
      <c r="BV16" s="187"/>
      <c r="BW16" s="187"/>
      <c r="BX16" s="187"/>
      <c r="BY16" s="188"/>
      <c r="BZ16" s="188"/>
      <c r="CA16" s="188"/>
      <c r="CB16" s="188"/>
      <c r="CC16" s="188"/>
      <c r="CD16" s="188"/>
      <c r="CE16" s="188"/>
      <c r="CF16" s="188"/>
      <c r="CG16" s="188"/>
      <c r="CH16" s="188"/>
      <c r="CI16" s="188"/>
      <c r="CJ16" s="188"/>
      <c r="CK16" s="188"/>
      <c r="CL16" s="188"/>
      <c r="CM16" s="188"/>
      <c r="CN16" s="187"/>
      <c r="CO16" s="187"/>
      <c r="CP16" s="187"/>
      <c r="CQ16" s="187"/>
      <c r="CR16" s="187"/>
      <c r="CS16" s="187"/>
      <c r="CT16" s="187"/>
      <c r="CU16" s="187"/>
      <c r="CV16" s="187"/>
      <c r="CW16" s="187"/>
      <c r="CX16" s="187"/>
      <c r="CY16" s="187"/>
      <c r="CZ16" s="187"/>
      <c r="DA16" s="187"/>
      <c r="DB16" s="187"/>
      <c r="DC16" s="187"/>
      <c r="DD16" s="187"/>
      <c r="DE16" s="187"/>
      <c r="DF16" s="187"/>
      <c r="DG16" s="187"/>
      <c r="DH16" s="187"/>
      <c r="DI16" s="187"/>
      <c r="DJ16" s="187"/>
      <c r="DK16" s="226"/>
      <c r="DL16" s="226"/>
      <c r="DM16" s="226"/>
      <c r="DN16" s="226"/>
      <c r="DO16" s="226"/>
      <c r="DP16" s="226"/>
      <c r="DQ16" s="226"/>
      <c r="DR16" s="226"/>
      <c r="DS16" s="226"/>
      <c r="DT16" s="226"/>
      <c r="DU16" s="226"/>
      <c r="DV16" s="226"/>
      <c r="DW16" s="226"/>
      <c r="DX16" s="226"/>
      <c r="DY16" s="226"/>
    </row>
    <row r="17" spans="1:129" x14ac:dyDescent="0.25">
      <c r="A17" s="223"/>
      <c r="B17" s="223"/>
      <c r="C17" s="224"/>
      <c r="D17" s="224"/>
      <c r="E17" s="224"/>
      <c r="F17" s="224"/>
      <c r="G17" s="225"/>
      <c r="H17" s="225"/>
      <c r="I17" s="224"/>
      <c r="J17" s="224"/>
      <c r="K17" s="224"/>
      <c r="L17" s="269"/>
      <c r="M17" s="223"/>
      <c r="N17" s="263" t="s">
        <v>800</v>
      </c>
      <c r="O17" s="223"/>
      <c r="BB17" s="230"/>
      <c r="BC17" s="187"/>
      <c r="BD17" s="187"/>
      <c r="BE17" s="187"/>
      <c r="BF17" s="187"/>
      <c r="BG17" s="187"/>
      <c r="BH17" s="187"/>
      <c r="BI17" s="187"/>
      <c r="BJ17" s="187"/>
      <c r="BK17" s="187"/>
      <c r="BL17" s="187"/>
      <c r="BM17" s="187"/>
      <c r="BN17" s="187"/>
      <c r="BO17" s="187"/>
      <c r="BP17" s="187"/>
      <c r="BQ17" s="187"/>
      <c r="BR17" s="187"/>
      <c r="BS17" s="187"/>
      <c r="BT17" s="187"/>
      <c r="BU17" s="187"/>
      <c r="BV17" s="187"/>
      <c r="BW17" s="187"/>
      <c r="BX17" s="187"/>
      <c r="BY17" s="188"/>
      <c r="BZ17" s="188"/>
      <c r="CA17" s="188"/>
      <c r="CB17" s="188"/>
      <c r="CC17" s="188"/>
      <c r="CD17" s="188"/>
      <c r="CE17" s="188"/>
      <c r="CF17" s="188"/>
      <c r="CG17" s="188"/>
      <c r="CH17" s="188"/>
      <c r="CI17" s="188"/>
      <c r="CJ17" s="188"/>
      <c r="CK17" s="188"/>
      <c r="CL17" s="188"/>
      <c r="CM17" s="188"/>
      <c r="CN17" s="187"/>
      <c r="CO17" s="187"/>
      <c r="CP17" s="187"/>
      <c r="CQ17" s="187"/>
      <c r="CR17" s="187"/>
      <c r="CS17" s="187"/>
      <c r="CT17" s="187"/>
      <c r="CU17" s="187"/>
      <c r="CV17" s="187"/>
      <c r="CW17" s="187"/>
      <c r="CX17" s="187"/>
      <c r="CY17" s="187"/>
      <c r="CZ17" s="187"/>
      <c r="DA17" s="187"/>
      <c r="DB17" s="187"/>
      <c r="DC17" s="187"/>
      <c r="DD17" s="187"/>
      <c r="DE17" s="187"/>
      <c r="DF17" s="187"/>
      <c r="DG17" s="187"/>
      <c r="DH17" s="187"/>
      <c r="DI17" s="187"/>
      <c r="DJ17" s="187"/>
      <c r="DK17" s="226"/>
      <c r="DL17" s="226"/>
      <c r="DM17" s="226"/>
      <c r="DN17" s="226"/>
      <c r="DO17" s="226"/>
      <c r="DP17" s="226"/>
      <c r="DQ17" s="226"/>
      <c r="DR17" s="226"/>
      <c r="DS17" s="226"/>
      <c r="DT17" s="226"/>
      <c r="DU17" s="226"/>
      <c r="DV17" s="226"/>
      <c r="DW17" s="226"/>
      <c r="DX17" s="226"/>
      <c r="DY17" s="226"/>
    </row>
    <row r="18" spans="1:129" x14ac:dyDescent="0.25">
      <c r="A18" s="223"/>
      <c r="B18" s="223"/>
      <c r="C18" s="224"/>
      <c r="D18" s="221"/>
      <c r="E18" s="224"/>
      <c r="F18" s="224"/>
      <c r="G18" s="225"/>
      <c r="H18" s="225"/>
      <c r="I18" s="224"/>
      <c r="J18" s="224"/>
      <c r="K18" s="224"/>
      <c r="L18" s="269"/>
      <c r="M18" s="223"/>
      <c r="N18" s="263" t="s">
        <v>800</v>
      </c>
      <c r="O18" s="223"/>
      <c r="BB18" s="230"/>
      <c r="BC18" s="187"/>
      <c r="BD18" s="187"/>
      <c r="BE18" s="187"/>
      <c r="BF18" s="187"/>
      <c r="BG18" s="187"/>
      <c r="BH18" s="187"/>
      <c r="BI18" s="187"/>
      <c r="BJ18" s="187"/>
      <c r="BK18" s="187"/>
      <c r="BL18" s="187"/>
      <c r="BM18" s="187"/>
      <c r="BN18" s="187"/>
      <c r="BO18" s="187"/>
      <c r="BP18" s="187"/>
      <c r="BQ18" s="187"/>
      <c r="BR18" s="187"/>
      <c r="BS18" s="187"/>
      <c r="BT18" s="187"/>
      <c r="BU18" s="187"/>
      <c r="BV18" s="187"/>
      <c r="BW18" s="187"/>
      <c r="BX18" s="187"/>
      <c r="BY18" s="188"/>
      <c r="BZ18" s="188"/>
      <c r="CA18" s="188"/>
      <c r="CB18" s="188"/>
      <c r="CC18" s="188"/>
      <c r="CD18" s="188"/>
      <c r="CE18" s="188"/>
      <c r="CF18" s="188"/>
      <c r="CG18" s="188"/>
      <c r="CH18" s="188"/>
      <c r="CI18" s="188"/>
      <c r="CJ18" s="188"/>
      <c r="CK18" s="188"/>
      <c r="CL18" s="188"/>
      <c r="CM18" s="188"/>
      <c r="CN18" s="187"/>
      <c r="CO18" s="187"/>
      <c r="CP18" s="187"/>
      <c r="CQ18" s="187"/>
      <c r="CR18" s="187"/>
      <c r="CS18" s="187"/>
      <c r="CT18" s="187"/>
      <c r="CU18" s="187"/>
      <c r="CV18" s="187"/>
      <c r="CW18" s="187"/>
      <c r="CX18" s="187"/>
      <c r="CY18" s="187"/>
      <c r="CZ18" s="187"/>
      <c r="DA18" s="187"/>
      <c r="DB18" s="187"/>
      <c r="DC18" s="187"/>
      <c r="DD18" s="187"/>
      <c r="DE18" s="187"/>
      <c r="DF18" s="187"/>
      <c r="DG18" s="187"/>
      <c r="DH18" s="187"/>
      <c r="DI18" s="187"/>
      <c r="DJ18" s="187"/>
      <c r="DK18" s="188"/>
      <c r="DL18" s="188"/>
      <c r="DM18" s="188"/>
      <c r="DN18" s="188"/>
      <c r="DO18" s="188"/>
      <c r="DP18" s="188"/>
      <c r="DQ18" s="188"/>
      <c r="DR18" s="188"/>
      <c r="DS18" s="188"/>
      <c r="DT18" s="188"/>
      <c r="DU18" s="188"/>
      <c r="DV18" s="188"/>
      <c r="DW18" s="188"/>
      <c r="DX18" s="188"/>
      <c r="DY18" s="188"/>
    </row>
    <row r="19" spans="1:129" x14ac:dyDescent="0.25">
      <c r="A19" s="223"/>
      <c r="B19" s="223"/>
      <c r="C19" s="224"/>
      <c r="D19" s="221"/>
      <c r="E19" s="224"/>
      <c r="F19" s="224"/>
      <c r="G19" s="225"/>
      <c r="H19" s="225"/>
      <c r="I19" s="224"/>
      <c r="J19" s="224"/>
      <c r="K19" s="224"/>
      <c r="L19" s="269"/>
      <c r="M19" s="223"/>
      <c r="N19" s="291" t="s">
        <v>800</v>
      </c>
      <c r="O19" s="223"/>
      <c r="BB19" s="230"/>
      <c r="BC19" s="187"/>
      <c r="BD19" s="187"/>
      <c r="BE19" s="187"/>
      <c r="BF19" s="187"/>
      <c r="BG19" s="187"/>
      <c r="BH19" s="187"/>
      <c r="BI19" s="187"/>
      <c r="BJ19" s="187"/>
      <c r="BK19" s="187"/>
      <c r="BL19" s="187"/>
      <c r="BM19" s="187"/>
      <c r="BN19" s="187"/>
      <c r="BO19" s="187"/>
      <c r="BP19" s="187"/>
      <c r="BQ19" s="187"/>
      <c r="BR19" s="187"/>
      <c r="BS19" s="187"/>
      <c r="BT19" s="187"/>
      <c r="BU19" s="187"/>
      <c r="BV19" s="187"/>
      <c r="BW19" s="187"/>
      <c r="BX19" s="187"/>
      <c r="BY19" s="188"/>
      <c r="BZ19" s="188"/>
      <c r="CA19" s="188"/>
      <c r="CB19" s="188"/>
      <c r="CC19" s="188"/>
      <c r="CD19" s="188"/>
      <c r="CE19" s="188"/>
      <c r="CF19" s="188"/>
      <c r="CG19" s="188"/>
      <c r="CH19" s="188"/>
      <c r="CI19" s="188"/>
      <c r="CJ19" s="188"/>
      <c r="CK19" s="188"/>
      <c r="CL19" s="188"/>
      <c r="CM19" s="188"/>
      <c r="CN19" s="187"/>
      <c r="CO19" s="187"/>
      <c r="CP19" s="187"/>
      <c r="CQ19" s="187"/>
      <c r="CR19" s="187"/>
      <c r="CS19" s="187"/>
      <c r="CT19" s="187"/>
      <c r="CU19" s="187"/>
      <c r="CV19" s="187"/>
      <c r="CW19" s="187"/>
      <c r="CX19" s="187"/>
      <c r="CY19" s="187"/>
      <c r="CZ19" s="187"/>
      <c r="DA19" s="187"/>
      <c r="DB19" s="187"/>
      <c r="DC19" s="187"/>
      <c r="DD19" s="187"/>
      <c r="DE19" s="187"/>
      <c r="DF19" s="187"/>
      <c r="DG19" s="187"/>
      <c r="DH19" s="187"/>
      <c r="DI19" s="187"/>
      <c r="DJ19" s="187"/>
      <c r="DK19" s="188"/>
      <c r="DL19" s="188"/>
      <c r="DM19" s="188"/>
      <c r="DN19" s="188"/>
      <c r="DO19" s="188"/>
      <c r="DP19" s="188"/>
      <c r="DQ19" s="188"/>
      <c r="DR19" s="188"/>
      <c r="DS19" s="188"/>
      <c r="DT19" s="188"/>
      <c r="DU19" s="188"/>
      <c r="DV19" s="188"/>
      <c r="DW19" s="188"/>
      <c r="DX19" s="188"/>
      <c r="DY19" s="188"/>
    </row>
    <row r="20" spans="1:129" x14ac:dyDescent="0.25">
      <c r="A20" s="223"/>
      <c r="B20" s="223"/>
      <c r="C20" s="224"/>
      <c r="D20" s="221"/>
      <c r="E20" s="224"/>
      <c r="F20" s="224"/>
      <c r="G20" s="225"/>
      <c r="H20" s="225"/>
      <c r="I20" s="224"/>
      <c r="J20" s="224"/>
      <c r="K20" s="224"/>
      <c r="L20" s="269"/>
      <c r="M20" s="263"/>
      <c r="N20" s="263" t="s">
        <v>800</v>
      </c>
      <c r="O20" s="223"/>
      <c r="BB20" s="230"/>
      <c r="BC20" s="187"/>
      <c r="BD20" s="187"/>
      <c r="BE20" s="187"/>
      <c r="BF20" s="187"/>
      <c r="BG20" s="187"/>
      <c r="BH20" s="187"/>
      <c r="BI20" s="187"/>
      <c r="BJ20" s="187"/>
      <c r="BK20" s="187"/>
      <c r="BL20" s="187"/>
      <c r="BM20" s="187"/>
      <c r="BN20" s="187"/>
      <c r="BO20" s="187"/>
      <c r="BP20" s="187"/>
      <c r="BQ20" s="187"/>
      <c r="BR20" s="187"/>
      <c r="BS20" s="187"/>
      <c r="BT20" s="187"/>
      <c r="BU20" s="187"/>
      <c r="BV20" s="187"/>
      <c r="BW20" s="187"/>
      <c r="BX20" s="187"/>
      <c r="BY20" s="188"/>
      <c r="BZ20" s="188"/>
      <c r="CA20" s="188"/>
      <c r="CB20" s="188"/>
      <c r="CC20" s="188"/>
      <c r="CD20" s="188"/>
      <c r="CE20" s="188"/>
      <c r="CF20" s="188"/>
      <c r="CG20" s="188"/>
      <c r="CH20" s="188"/>
      <c r="CI20" s="188"/>
      <c r="CJ20" s="188"/>
      <c r="CK20" s="188"/>
      <c r="CL20" s="188"/>
      <c r="CM20" s="188"/>
      <c r="CN20" s="187"/>
      <c r="CO20" s="187"/>
      <c r="CP20" s="187"/>
      <c r="CQ20" s="187"/>
      <c r="CR20" s="187"/>
      <c r="CS20" s="187"/>
      <c r="CT20" s="187"/>
      <c r="CU20" s="187"/>
      <c r="CV20" s="187"/>
      <c r="CW20" s="187"/>
      <c r="CX20" s="187"/>
      <c r="CY20" s="187"/>
      <c r="CZ20" s="187"/>
      <c r="DA20" s="187"/>
      <c r="DB20" s="187"/>
      <c r="DC20" s="187"/>
      <c r="DD20" s="187"/>
      <c r="DE20" s="187"/>
      <c r="DF20" s="187"/>
      <c r="DG20" s="187"/>
      <c r="DH20" s="187"/>
      <c r="DI20" s="187"/>
      <c r="DJ20" s="187"/>
      <c r="DK20" s="188"/>
      <c r="DL20" s="188"/>
      <c r="DM20" s="188"/>
      <c r="DN20" s="188"/>
      <c r="DO20" s="188"/>
      <c r="DP20" s="188"/>
      <c r="DQ20" s="188"/>
      <c r="DR20" s="188"/>
      <c r="DS20" s="188"/>
      <c r="DT20" s="188"/>
      <c r="DU20" s="188"/>
      <c r="DV20" s="188"/>
      <c r="DW20" s="188"/>
      <c r="DX20" s="188"/>
      <c r="DY20" s="188"/>
    </row>
    <row r="21" spans="1:129" x14ac:dyDescent="0.25">
      <c r="A21" s="223"/>
      <c r="B21" s="223"/>
      <c r="C21" s="224"/>
      <c r="D21" s="224"/>
      <c r="E21" s="224"/>
      <c r="F21" s="224"/>
      <c r="G21" s="225"/>
      <c r="H21" s="225"/>
      <c r="I21" s="224"/>
      <c r="J21" s="224"/>
      <c r="K21" s="224"/>
      <c r="L21" s="269"/>
      <c r="M21" s="263"/>
      <c r="N21" s="263" t="s">
        <v>800</v>
      </c>
      <c r="O21" s="223"/>
      <c r="BB21" s="230"/>
      <c r="BC21" s="187"/>
      <c r="BD21" s="187"/>
      <c r="BE21" s="187"/>
      <c r="BF21" s="187"/>
      <c r="BG21" s="187"/>
      <c r="BH21" s="187"/>
      <c r="BI21" s="187"/>
      <c r="BJ21" s="187"/>
      <c r="BK21" s="187"/>
      <c r="BL21" s="187"/>
      <c r="BM21" s="187"/>
      <c r="BN21" s="187"/>
      <c r="BO21" s="187"/>
      <c r="BP21" s="187"/>
      <c r="BQ21" s="187"/>
      <c r="BR21" s="187"/>
      <c r="BS21" s="187"/>
      <c r="BT21" s="187"/>
      <c r="BU21" s="187"/>
      <c r="BV21" s="187"/>
      <c r="BW21" s="187"/>
      <c r="BX21" s="187"/>
      <c r="BY21" s="188"/>
      <c r="BZ21" s="188"/>
      <c r="CA21" s="188"/>
      <c r="CB21" s="188"/>
      <c r="CC21" s="188"/>
      <c r="CD21" s="188"/>
      <c r="CE21" s="188"/>
      <c r="CF21" s="188"/>
      <c r="CG21" s="188"/>
      <c r="CH21" s="188"/>
      <c r="CI21" s="188"/>
      <c r="CJ21" s="188"/>
      <c r="CK21" s="188"/>
      <c r="CL21" s="188"/>
      <c r="CM21" s="188"/>
      <c r="CN21" s="187"/>
      <c r="CO21" s="187"/>
      <c r="CP21" s="187"/>
      <c r="CQ21" s="187"/>
      <c r="CR21" s="187"/>
      <c r="CS21" s="187"/>
      <c r="CT21" s="187"/>
      <c r="CU21" s="187"/>
      <c r="CV21" s="187"/>
      <c r="CW21" s="187"/>
      <c r="CX21" s="187"/>
      <c r="CY21" s="187"/>
      <c r="CZ21" s="187"/>
      <c r="DA21" s="187"/>
      <c r="DB21" s="187"/>
      <c r="DC21" s="187"/>
      <c r="DD21" s="187"/>
      <c r="DE21" s="187"/>
      <c r="DF21" s="187"/>
      <c r="DG21" s="187"/>
      <c r="DH21" s="187"/>
      <c r="DI21" s="187"/>
      <c r="DJ21" s="187"/>
      <c r="DK21" s="188"/>
      <c r="DL21" s="188"/>
      <c r="DM21" s="188"/>
      <c r="DN21" s="188"/>
      <c r="DO21" s="188"/>
      <c r="DP21" s="188"/>
      <c r="DQ21" s="188"/>
      <c r="DR21" s="188"/>
      <c r="DS21" s="188"/>
      <c r="DT21" s="188"/>
      <c r="DU21" s="188"/>
      <c r="DV21" s="188"/>
      <c r="DW21" s="188"/>
      <c r="DX21" s="188"/>
      <c r="DY21" s="188"/>
    </row>
    <row r="22" spans="1:129" x14ac:dyDescent="0.25">
      <c r="A22" s="223"/>
      <c r="B22" s="223"/>
      <c r="C22" s="224"/>
      <c r="D22" s="224"/>
      <c r="E22" s="224"/>
      <c r="F22" s="224"/>
      <c r="G22" s="225"/>
      <c r="H22" s="225"/>
      <c r="I22" s="224"/>
      <c r="J22" s="224"/>
      <c r="K22" s="224"/>
      <c r="L22" s="269"/>
      <c r="M22" s="263"/>
      <c r="N22" s="291" t="s">
        <v>800</v>
      </c>
      <c r="O22" s="223"/>
      <c r="BB22" s="230"/>
      <c r="BC22" s="187"/>
      <c r="BD22" s="187"/>
      <c r="BE22" s="187"/>
      <c r="BF22" s="187"/>
      <c r="BG22" s="187"/>
      <c r="BH22" s="187"/>
      <c r="BI22" s="187"/>
      <c r="BJ22" s="187"/>
      <c r="BK22" s="187"/>
      <c r="BL22" s="187"/>
      <c r="BM22" s="187"/>
      <c r="BN22" s="187"/>
      <c r="BO22" s="187"/>
      <c r="BP22" s="187"/>
      <c r="BQ22" s="187"/>
      <c r="BR22" s="187"/>
      <c r="BS22" s="187"/>
      <c r="BT22" s="187"/>
      <c r="BU22" s="187"/>
      <c r="BV22" s="187"/>
      <c r="BW22" s="187"/>
      <c r="BX22" s="187"/>
      <c r="BY22" s="188"/>
      <c r="BZ22" s="188"/>
      <c r="CA22" s="188"/>
      <c r="CB22" s="188"/>
      <c r="CC22" s="188"/>
      <c r="CD22" s="188"/>
      <c r="CE22" s="188"/>
      <c r="CF22" s="188"/>
      <c r="CG22" s="188"/>
      <c r="CH22" s="188"/>
      <c r="CI22" s="188"/>
      <c r="CJ22" s="188"/>
      <c r="CK22" s="188"/>
      <c r="CL22" s="188"/>
      <c r="CM22" s="188"/>
      <c r="CN22" s="187"/>
      <c r="CO22" s="187"/>
      <c r="CP22" s="187"/>
      <c r="CQ22" s="187"/>
      <c r="CR22" s="187"/>
      <c r="CS22" s="187"/>
      <c r="CT22" s="187"/>
      <c r="CU22" s="187"/>
      <c r="CV22" s="187"/>
      <c r="CW22" s="187"/>
      <c r="CX22" s="187"/>
      <c r="CY22" s="187"/>
      <c r="CZ22" s="187"/>
      <c r="DA22" s="187"/>
      <c r="DB22" s="187"/>
      <c r="DC22" s="187"/>
      <c r="DD22" s="187"/>
      <c r="DE22" s="187"/>
      <c r="DF22" s="187"/>
      <c r="DG22" s="187"/>
      <c r="DH22" s="187"/>
      <c r="DI22" s="187"/>
      <c r="DJ22" s="187"/>
      <c r="DK22" s="188"/>
      <c r="DL22" s="188"/>
      <c r="DM22" s="188"/>
      <c r="DN22" s="188"/>
      <c r="DO22" s="188"/>
      <c r="DP22" s="188"/>
      <c r="DQ22" s="188"/>
      <c r="DR22" s="188"/>
      <c r="DS22" s="188"/>
      <c r="DT22" s="188"/>
      <c r="DU22" s="188"/>
      <c r="DV22" s="188"/>
      <c r="DW22" s="188"/>
      <c r="DX22" s="188"/>
      <c r="DY22" s="188"/>
    </row>
    <row r="23" spans="1:129" x14ac:dyDescent="0.25">
      <c r="A23" s="223"/>
      <c r="B23" s="223"/>
      <c r="C23" s="224"/>
      <c r="D23" s="224"/>
      <c r="E23" s="224"/>
      <c r="F23" s="224"/>
      <c r="G23" s="225"/>
      <c r="H23" s="225"/>
      <c r="I23" s="224"/>
      <c r="J23" s="224"/>
      <c r="K23" s="224"/>
      <c r="L23" s="269"/>
      <c r="M23" s="263"/>
      <c r="N23" s="263" t="s">
        <v>800</v>
      </c>
      <c r="O23" s="223"/>
      <c r="BB23" s="230"/>
      <c r="BC23" s="187"/>
      <c r="BD23" s="187"/>
      <c r="BE23" s="187"/>
      <c r="BF23" s="187"/>
      <c r="BG23" s="187"/>
      <c r="BH23" s="187"/>
      <c r="BI23" s="187"/>
      <c r="BJ23" s="187"/>
      <c r="BK23" s="187"/>
      <c r="BL23" s="187"/>
      <c r="BM23" s="187"/>
      <c r="BN23" s="187"/>
      <c r="BO23" s="187"/>
      <c r="BP23" s="187"/>
      <c r="BQ23" s="187"/>
      <c r="BR23" s="187"/>
      <c r="BS23" s="187"/>
      <c r="BT23" s="187"/>
      <c r="BU23" s="187"/>
      <c r="BV23" s="187"/>
      <c r="BW23" s="187"/>
      <c r="BX23" s="187"/>
      <c r="BY23" s="188"/>
      <c r="BZ23" s="188"/>
      <c r="CA23" s="188"/>
      <c r="CB23" s="188"/>
      <c r="CC23" s="188"/>
      <c r="CD23" s="188"/>
      <c r="CE23" s="188"/>
      <c r="CF23" s="188"/>
      <c r="CG23" s="188"/>
      <c r="CH23" s="188"/>
      <c r="CI23" s="188"/>
      <c r="CJ23" s="188"/>
      <c r="CK23" s="188"/>
      <c r="CL23" s="188"/>
      <c r="CM23" s="188"/>
      <c r="CN23" s="187"/>
      <c r="CO23" s="187"/>
      <c r="CP23" s="187"/>
      <c r="CQ23" s="187"/>
      <c r="CR23" s="187"/>
      <c r="CS23" s="187"/>
      <c r="CT23" s="187"/>
      <c r="CU23" s="187"/>
      <c r="CV23" s="187"/>
      <c r="CW23" s="187"/>
      <c r="CX23" s="187"/>
      <c r="CY23" s="187"/>
      <c r="CZ23" s="187"/>
      <c r="DA23" s="187"/>
      <c r="DB23" s="187"/>
      <c r="DC23" s="187"/>
      <c r="DD23" s="187"/>
      <c r="DE23" s="187"/>
      <c r="DF23" s="187"/>
      <c r="DG23" s="187"/>
      <c r="DH23" s="187"/>
      <c r="DI23" s="187"/>
      <c r="DJ23" s="187"/>
      <c r="DK23" s="188"/>
      <c r="DL23" s="188"/>
      <c r="DM23" s="188"/>
      <c r="DN23" s="188"/>
      <c r="DO23" s="188"/>
      <c r="DP23" s="188"/>
      <c r="DQ23" s="188"/>
      <c r="DR23" s="188"/>
      <c r="DS23" s="188"/>
      <c r="DT23" s="188"/>
      <c r="DU23" s="188"/>
      <c r="DV23" s="188"/>
      <c r="DW23" s="188"/>
      <c r="DX23" s="188"/>
      <c r="DY23" s="188"/>
    </row>
    <row r="24" spans="1:129" x14ac:dyDescent="0.25">
      <c r="A24" s="223"/>
      <c r="B24" s="223"/>
      <c r="C24" s="224"/>
      <c r="D24" s="224"/>
      <c r="E24" s="224"/>
      <c r="F24" s="224"/>
      <c r="G24" s="225"/>
      <c r="H24" s="225"/>
      <c r="I24" s="224"/>
      <c r="J24" s="224"/>
      <c r="K24" s="224"/>
      <c r="L24" s="269"/>
      <c r="M24" s="263"/>
      <c r="N24" s="263" t="s">
        <v>800</v>
      </c>
      <c r="O24" s="223"/>
      <c r="BB24" s="230"/>
      <c r="BC24" s="187"/>
      <c r="BD24" s="187"/>
      <c r="BE24" s="187"/>
      <c r="BF24" s="187"/>
      <c r="BG24" s="187"/>
      <c r="BH24" s="187"/>
      <c r="BI24" s="187"/>
      <c r="BJ24" s="187"/>
      <c r="BK24" s="187"/>
      <c r="BL24" s="187"/>
      <c r="BM24" s="187"/>
      <c r="BN24" s="187"/>
      <c r="BO24" s="187"/>
      <c r="BP24" s="187"/>
      <c r="BQ24" s="187"/>
      <c r="BR24" s="187"/>
      <c r="BS24" s="187"/>
      <c r="BT24" s="187"/>
      <c r="BU24" s="187"/>
      <c r="BV24" s="187"/>
      <c r="BW24" s="187"/>
      <c r="BX24" s="187"/>
      <c r="BY24" s="188"/>
      <c r="BZ24" s="188"/>
      <c r="CA24" s="188"/>
      <c r="CB24" s="188"/>
      <c r="CC24" s="188"/>
      <c r="CD24" s="188"/>
      <c r="CE24" s="188"/>
      <c r="CF24" s="188"/>
      <c r="CG24" s="188"/>
      <c r="CH24" s="188"/>
      <c r="CI24" s="188"/>
      <c r="CJ24" s="188"/>
      <c r="CK24" s="188"/>
      <c r="CL24" s="188"/>
      <c r="CM24" s="188"/>
      <c r="CN24" s="187"/>
      <c r="CO24" s="187"/>
      <c r="CP24" s="187"/>
      <c r="CQ24" s="187"/>
      <c r="CR24" s="187"/>
      <c r="CS24" s="187"/>
      <c r="CT24" s="187"/>
      <c r="CU24" s="187"/>
      <c r="CV24" s="187"/>
      <c r="CW24" s="187"/>
      <c r="CX24" s="187"/>
      <c r="CY24" s="187"/>
      <c r="CZ24" s="187"/>
      <c r="DA24" s="187"/>
      <c r="DB24" s="187"/>
      <c r="DC24" s="187"/>
      <c r="DD24" s="187"/>
      <c r="DE24" s="187"/>
      <c r="DF24" s="187"/>
      <c r="DG24" s="187"/>
      <c r="DH24" s="187"/>
      <c r="DI24" s="187"/>
      <c r="DJ24" s="187"/>
      <c r="DK24" s="188"/>
      <c r="DL24" s="188"/>
      <c r="DM24" s="188"/>
      <c r="DN24" s="188"/>
      <c r="DO24" s="188"/>
      <c r="DP24" s="188"/>
      <c r="DQ24" s="188"/>
      <c r="DR24" s="188"/>
      <c r="DS24" s="188"/>
      <c r="DT24" s="188"/>
      <c r="DU24" s="188"/>
      <c r="DV24" s="188"/>
      <c r="DW24" s="188"/>
      <c r="DX24" s="188"/>
      <c r="DY24" s="188"/>
    </row>
    <row r="25" spans="1:129" x14ac:dyDescent="0.25">
      <c r="A25" s="223"/>
      <c r="B25" s="223"/>
      <c r="C25" s="224"/>
      <c r="D25" s="224"/>
      <c r="E25" s="224"/>
      <c r="F25" s="224"/>
      <c r="G25" s="225"/>
      <c r="H25" s="225"/>
      <c r="I25" s="224"/>
      <c r="J25" s="224"/>
      <c r="K25" s="224"/>
      <c r="L25" s="269"/>
      <c r="M25" s="263"/>
      <c r="N25" s="291" t="s">
        <v>800</v>
      </c>
      <c r="O25" s="223"/>
      <c r="BB25" s="230"/>
      <c r="BC25" s="187"/>
      <c r="BD25" s="187"/>
      <c r="BE25" s="187"/>
      <c r="BF25" s="187"/>
      <c r="BG25" s="187"/>
      <c r="BH25" s="187"/>
      <c r="BI25" s="187"/>
      <c r="BJ25" s="187"/>
      <c r="BK25" s="187"/>
      <c r="BL25" s="187"/>
      <c r="BM25" s="187"/>
      <c r="BN25" s="187"/>
      <c r="BO25" s="187"/>
      <c r="BP25" s="187"/>
      <c r="BQ25" s="187"/>
      <c r="BR25" s="187"/>
      <c r="BS25" s="187"/>
      <c r="BT25" s="187"/>
      <c r="BU25" s="187"/>
      <c r="BV25" s="187"/>
      <c r="BW25" s="187"/>
      <c r="BX25" s="187"/>
      <c r="BY25" s="188"/>
      <c r="BZ25" s="188"/>
      <c r="CA25" s="188"/>
      <c r="CB25" s="188"/>
      <c r="CC25" s="188"/>
      <c r="CD25" s="188"/>
      <c r="CE25" s="188"/>
      <c r="CF25" s="188"/>
      <c r="CG25" s="188"/>
      <c r="CH25" s="188"/>
      <c r="CI25" s="188"/>
      <c r="CJ25" s="188"/>
      <c r="CK25" s="188"/>
      <c r="CL25" s="188"/>
      <c r="CM25" s="188"/>
      <c r="CN25" s="187"/>
      <c r="CO25" s="187"/>
      <c r="CP25" s="187"/>
      <c r="CQ25" s="187"/>
      <c r="CR25" s="187"/>
      <c r="CS25" s="187"/>
      <c r="CT25" s="187"/>
      <c r="CU25" s="187"/>
      <c r="CV25" s="187"/>
      <c r="CW25" s="187"/>
      <c r="CX25" s="187"/>
      <c r="CY25" s="187"/>
      <c r="CZ25" s="187"/>
      <c r="DA25" s="187"/>
      <c r="DB25" s="187"/>
      <c r="DC25" s="187"/>
      <c r="DD25" s="187"/>
      <c r="DE25" s="187"/>
      <c r="DF25" s="187"/>
      <c r="DG25" s="187"/>
      <c r="DH25" s="187"/>
      <c r="DI25" s="187"/>
      <c r="DJ25" s="187"/>
      <c r="DK25" s="188"/>
      <c r="DL25" s="188"/>
      <c r="DM25" s="188"/>
      <c r="DN25" s="188"/>
      <c r="DO25" s="188"/>
      <c r="DP25" s="188"/>
      <c r="DQ25" s="188"/>
      <c r="DR25" s="188"/>
      <c r="DS25" s="188"/>
      <c r="DT25" s="188"/>
      <c r="DU25" s="188"/>
      <c r="DV25" s="188"/>
      <c r="DW25" s="188"/>
      <c r="DX25" s="188"/>
      <c r="DY25" s="188"/>
    </row>
    <row r="26" spans="1:129" x14ac:dyDescent="0.25">
      <c r="A26" s="223"/>
      <c r="B26" s="223"/>
      <c r="C26" s="224"/>
      <c r="D26" s="224"/>
      <c r="E26" s="224"/>
      <c r="F26" s="224"/>
      <c r="G26" s="225"/>
      <c r="H26" s="225"/>
      <c r="I26" s="224"/>
      <c r="J26" s="224"/>
      <c r="K26" s="224"/>
      <c r="L26" s="269"/>
      <c r="M26" s="263"/>
      <c r="N26" s="263" t="s">
        <v>800</v>
      </c>
      <c r="O26" s="223"/>
      <c r="BB26" s="230"/>
      <c r="BC26" s="187"/>
      <c r="BD26" s="187"/>
      <c r="BE26" s="187"/>
      <c r="BF26" s="187"/>
      <c r="BG26" s="187"/>
      <c r="BH26" s="187"/>
      <c r="BI26" s="187"/>
      <c r="BJ26" s="187"/>
      <c r="BK26" s="187"/>
      <c r="BL26" s="187"/>
      <c r="BM26" s="187"/>
      <c r="BN26" s="187"/>
      <c r="BO26" s="187"/>
      <c r="BP26" s="187"/>
      <c r="BQ26" s="187"/>
      <c r="BR26" s="187"/>
      <c r="BS26" s="187"/>
      <c r="BT26" s="187"/>
      <c r="BU26" s="187"/>
      <c r="BV26" s="187"/>
      <c r="BW26" s="187"/>
      <c r="BX26" s="187"/>
      <c r="BY26" s="188"/>
      <c r="BZ26" s="188"/>
      <c r="CA26" s="188"/>
      <c r="CB26" s="188"/>
      <c r="CC26" s="188"/>
      <c r="CD26" s="188"/>
      <c r="CE26" s="188"/>
      <c r="CF26" s="188"/>
      <c r="CG26" s="188"/>
      <c r="CH26" s="188"/>
      <c r="CI26" s="188"/>
      <c r="CJ26" s="188"/>
      <c r="CK26" s="188"/>
      <c r="CL26" s="188"/>
      <c r="CM26" s="188"/>
      <c r="CN26" s="187"/>
      <c r="CO26" s="187"/>
      <c r="CP26" s="187"/>
      <c r="CQ26" s="187"/>
      <c r="CR26" s="187"/>
      <c r="CS26" s="187"/>
      <c r="CT26" s="187"/>
      <c r="CU26" s="187"/>
      <c r="CV26" s="187"/>
      <c r="CW26" s="187"/>
      <c r="CX26" s="187"/>
      <c r="CY26" s="187"/>
      <c r="CZ26" s="187"/>
      <c r="DA26" s="187"/>
      <c r="DB26" s="187"/>
      <c r="DC26" s="187"/>
      <c r="DD26" s="187"/>
      <c r="DE26" s="187"/>
      <c r="DF26" s="187"/>
      <c r="DG26" s="187"/>
      <c r="DH26" s="187"/>
      <c r="DI26" s="187"/>
      <c r="DJ26" s="187"/>
      <c r="DK26" s="188"/>
      <c r="DL26" s="188"/>
      <c r="DM26" s="188"/>
      <c r="DN26" s="188"/>
      <c r="DO26" s="188"/>
      <c r="DP26" s="188"/>
      <c r="DQ26" s="188"/>
      <c r="DR26" s="188"/>
      <c r="DS26" s="188"/>
      <c r="DT26" s="188"/>
      <c r="DU26" s="188"/>
      <c r="DV26" s="188"/>
      <c r="DW26" s="188"/>
      <c r="DX26" s="188"/>
      <c r="DY26" s="188"/>
    </row>
    <row r="27" spans="1:129" x14ac:dyDescent="0.25">
      <c r="A27" s="223"/>
      <c r="B27" s="223"/>
      <c r="C27" s="224"/>
      <c r="D27" s="224"/>
      <c r="E27" s="224"/>
      <c r="F27" s="224"/>
      <c r="G27" s="225"/>
      <c r="H27" s="225"/>
      <c r="I27" s="224"/>
      <c r="J27" s="224"/>
      <c r="K27" s="224"/>
      <c r="L27" s="269"/>
      <c r="M27" s="263"/>
      <c r="N27" s="263" t="s">
        <v>800</v>
      </c>
      <c r="O27" s="223"/>
      <c r="BB27" s="230"/>
      <c r="BC27" s="187"/>
      <c r="BD27" s="187"/>
      <c r="BE27" s="187"/>
      <c r="BF27" s="187"/>
      <c r="BG27" s="187"/>
      <c r="BH27" s="187"/>
      <c r="BI27" s="187"/>
      <c r="BJ27" s="187"/>
      <c r="BK27" s="187"/>
      <c r="BL27" s="187"/>
      <c r="BM27" s="187"/>
      <c r="BN27" s="187"/>
      <c r="BO27" s="187"/>
      <c r="BP27" s="187"/>
      <c r="BQ27" s="187"/>
      <c r="BR27" s="187"/>
      <c r="BS27" s="187"/>
      <c r="BT27" s="187"/>
      <c r="BU27" s="187"/>
      <c r="BV27" s="187"/>
      <c r="BW27" s="187"/>
      <c r="BX27" s="187"/>
      <c r="BY27" s="188"/>
      <c r="BZ27" s="188"/>
      <c r="CA27" s="188"/>
      <c r="CB27" s="188"/>
      <c r="CC27" s="188"/>
      <c r="CD27" s="188"/>
      <c r="CE27" s="188"/>
      <c r="CF27" s="188"/>
      <c r="CG27" s="188"/>
      <c r="CH27" s="188"/>
      <c r="CI27" s="188"/>
      <c r="CJ27" s="188"/>
      <c r="CK27" s="188"/>
      <c r="CL27" s="188"/>
      <c r="CM27" s="188"/>
      <c r="CN27" s="187"/>
      <c r="CO27" s="187"/>
      <c r="CP27" s="187"/>
      <c r="CQ27" s="187"/>
      <c r="CR27" s="187"/>
      <c r="CS27" s="187"/>
      <c r="CT27" s="187"/>
      <c r="CU27" s="187"/>
      <c r="CV27" s="187"/>
      <c r="CW27" s="187"/>
      <c r="CX27" s="187"/>
      <c r="CY27" s="187"/>
      <c r="CZ27" s="187"/>
      <c r="DA27" s="187"/>
      <c r="DB27" s="187"/>
      <c r="DC27" s="187"/>
      <c r="DD27" s="187"/>
      <c r="DE27" s="187"/>
      <c r="DF27" s="187"/>
      <c r="DG27" s="187"/>
      <c r="DH27" s="187"/>
      <c r="DI27" s="187"/>
      <c r="DJ27" s="187"/>
      <c r="DK27" s="188"/>
      <c r="DL27" s="188"/>
      <c r="DM27" s="188"/>
      <c r="DN27" s="188"/>
      <c r="DO27" s="188"/>
      <c r="DP27" s="188"/>
      <c r="DQ27" s="188"/>
      <c r="DR27" s="188"/>
      <c r="DS27" s="188"/>
      <c r="DT27" s="188"/>
      <c r="DU27" s="188"/>
      <c r="DV27" s="188"/>
      <c r="DW27" s="188"/>
      <c r="DX27" s="188"/>
      <c r="DY27" s="188"/>
    </row>
    <row r="28" spans="1:129" x14ac:dyDescent="0.25">
      <c r="A28" s="223"/>
      <c r="B28" s="223"/>
      <c r="C28" s="224"/>
      <c r="D28" s="224"/>
      <c r="E28" s="224"/>
      <c r="F28" s="224"/>
      <c r="G28" s="225"/>
      <c r="H28" s="225"/>
      <c r="I28" s="224"/>
      <c r="J28" s="224"/>
      <c r="K28" s="224"/>
      <c r="L28" s="269"/>
      <c r="M28" s="263"/>
      <c r="N28" s="291" t="s">
        <v>800</v>
      </c>
      <c r="O28" s="223"/>
      <c r="BB28" s="230"/>
      <c r="BC28" s="187"/>
      <c r="BD28" s="187"/>
      <c r="BE28" s="187"/>
      <c r="BF28" s="187"/>
      <c r="BG28" s="187"/>
      <c r="BH28" s="187"/>
      <c r="BI28" s="187"/>
      <c r="BJ28" s="187"/>
      <c r="BK28" s="187"/>
      <c r="BL28" s="187"/>
      <c r="BM28" s="187"/>
      <c r="BN28" s="187"/>
      <c r="BO28" s="187"/>
      <c r="BP28" s="187"/>
      <c r="BQ28" s="187"/>
      <c r="BR28" s="187"/>
      <c r="BS28" s="187"/>
      <c r="BT28" s="187"/>
      <c r="BU28" s="187"/>
      <c r="BV28" s="187"/>
      <c r="BW28" s="187"/>
      <c r="BX28" s="187"/>
      <c r="BY28" s="188"/>
      <c r="BZ28" s="188"/>
      <c r="CA28" s="188"/>
      <c r="CB28" s="188"/>
      <c r="CC28" s="188"/>
      <c r="CD28" s="188"/>
      <c r="CE28" s="188"/>
      <c r="CF28" s="188"/>
      <c r="CG28" s="188"/>
      <c r="CH28" s="188"/>
      <c r="CI28" s="188"/>
      <c r="CJ28" s="188"/>
      <c r="CK28" s="188"/>
      <c r="CL28" s="188"/>
      <c r="CM28" s="188"/>
      <c r="CN28" s="187"/>
      <c r="CO28" s="187"/>
      <c r="CP28" s="187"/>
      <c r="CQ28" s="187"/>
      <c r="CR28" s="187"/>
      <c r="CS28" s="187"/>
      <c r="CT28" s="187"/>
      <c r="CU28" s="187"/>
      <c r="CV28" s="187"/>
      <c r="CW28" s="187"/>
      <c r="CX28" s="187"/>
      <c r="CY28" s="187"/>
      <c r="CZ28" s="187"/>
      <c r="DA28" s="187"/>
      <c r="DB28" s="187"/>
      <c r="DC28" s="187"/>
      <c r="DD28" s="187"/>
      <c r="DE28" s="187"/>
      <c r="DF28" s="187"/>
      <c r="DG28" s="187"/>
      <c r="DH28" s="187"/>
      <c r="DI28" s="187"/>
      <c r="DJ28" s="187"/>
      <c r="DK28" s="188"/>
      <c r="DL28" s="188"/>
      <c r="DM28" s="188"/>
      <c r="DN28" s="188"/>
      <c r="DO28" s="188"/>
      <c r="DP28" s="188"/>
      <c r="DQ28" s="188"/>
      <c r="DR28" s="188"/>
      <c r="DS28" s="188"/>
      <c r="DT28" s="188"/>
      <c r="DU28" s="188"/>
      <c r="DV28" s="188"/>
      <c r="DW28" s="188"/>
      <c r="DX28" s="188"/>
      <c r="DY28" s="188"/>
    </row>
    <row r="29" spans="1:129" x14ac:dyDescent="0.25">
      <c r="A29" s="223"/>
      <c r="B29" s="223"/>
      <c r="C29" s="224"/>
      <c r="D29" s="224"/>
      <c r="E29" s="224"/>
      <c r="F29" s="224"/>
      <c r="G29" s="225"/>
      <c r="H29" s="225"/>
      <c r="I29" s="224"/>
      <c r="J29" s="224"/>
      <c r="K29" s="224"/>
      <c r="L29" s="269"/>
      <c r="M29" s="263"/>
      <c r="N29" s="263" t="s">
        <v>800</v>
      </c>
      <c r="O29" s="223"/>
      <c r="BB29" s="230"/>
      <c r="BC29" s="187"/>
      <c r="BD29" s="187"/>
      <c r="BE29" s="187"/>
      <c r="BF29" s="187"/>
      <c r="BG29" s="187"/>
      <c r="BH29" s="187"/>
      <c r="BI29" s="187"/>
      <c r="BJ29" s="187"/>
      <c r="BK29" s="187"/>
      <c r="BL29" s="187"/>
      <c r="BM29" s="187"/>
      <c r="BN29" s="187"/>
      <c r="BO29" s="187"/>
      <c r="BP29" s="187"/>
      <c r="BQ29" s="187"/>
      <c r="BR29" s="187"/>
      <c r="BS29" s="187"/>
      <c r="BT29" s="187"/>
      <c r="BU29" s="187"/>
      <c r="BV29" s="187"/>
      <c r="BW29" s="187"/>
      <c r="BX29" s="187"/>
      <c r="BY29" s="188"/>
      <c r="BZ29" s="188"/>
      <c r="CA29" s="188"/>
      <c r="CB29" s="188"/>
      <c r="CC29" s="188"/>
      <c r="CD29" s="188"/>
      <c r="CE29" s="188"/>
      <c r="CF29" s="188"/>
      <c r="CG29" s="188"/>
      <c r="CH29" s="188"/>
      <c r="CI29" s="188"/>
      <c r="CJ29" s="188"/>
      <c r="CK29" s="188"/>
      <c r="CL29" s="188"/>
      <c r="CM29" s="188"/>
      <c r="CN29" s="187"/>
      <c r="CO29" s="187"/>
      <c r="CP29" s="187"/>
      <c r="CQ29" s="187"/>
      <c r="CR29" s="187"/>
      <c r="CS29" s="187"/>
      <c r="CT29" s="187"/>
      <c r="CU29" s="187"/>
      <c r="CV29" s="187"/>
      <c r="CW29" s="187"/>
      <c r="CX29" s="187"/>
      <c r="CY29" s="187"/>
      <c r="CZ29" s="187"/>
      <c r="DA29" s="187"/>
      <c r="DB29" s="187"/>
      <c r="DC29" s="187"/>
      <c r="DD29" s="187"/>
      <c r="DE29" s="187"/>
      <c r="DF29" s="187"/>
      <c r="DG29" s="187"/>
      <c r="DH29" s="187"/>
      <c r="DI29" s="187"/>
      <c r="DJ29" s="187"/>
      <c r="DK29" s="188"/>
      <c r="DL29" s="188"/>
      <c r="DM29" s="188"/>
      <c r="DN29" s="188"/>
      <c r="DO29" s="188"/>
      <c r="DP29" s="188"/>
      <c r="DQ29" s="188"/>
      <c r="DR29" s="188"/>
      <c r="DS29" s="188"/>
      <c r="DT29" s="188"/>
      <c r="DU29" s="188"/>
      <c r="DV29" s="188"/>
      <c r="DW29" s="188"/>
      <c r="DX29" s="188"/>
      <c r="DY29" s="188"/>
    </row>
    <row r="30" spans="1:129" x14ac:dyDescent="0.25">
      <c r="A30" s="223"/>
      <c r="B30" s="223"/>
      <c r="C30" s="224"/>
      <c r="D30" s="224"/>
      <c r="E30" s="224"/>
      <c r="F30" s="224"/>
      <c r="G30" s="225"/>
      <c r="H30" s="225"/>
      <c r="I30" s="224"/>
      <c r="J30" s="224"/>
      <c r="K30" s="224"/>
      <c r="L30" s="269"/>
      <c r="M30" s="263"/>
      <c r="N30" s="263" t="s">
        <v>800</v>
      </c>
      <c r="O30" s="223"/>
      <c r="BB30" s="230"/>
      <c r="BC30" s="187"/>
      <c r="BD30" s="187"/>
      <c r="BE30" s="187"/>
      <c r="BF30" s="187"/>
      <c r="BG30" s="187"/>
      <c r="BH30" s="187"/>
      <c r="BI30" s="187"/>
      <c r="BJ30" s="187"/>
      <c r="BK30" s="187"/>
      <c r="BL30" s="187"/>
      <c r="BM30" s="187"/>
      <c r="BN30" s="187"/>
      <c r="BO30" s="187"/>
      <c r="BP30" s="187"/>
      <c r="BQ30" s="187"/>
      <c r="BR30" s="187"/>
      <c r="BS30" s="187"/>
      <c r="BT30" s="187"/>
      <c r="BU30" s="187"/>
      <c r="BV30" s="187"/>
      <c r="BW30" s="187"/>
      <c r="BX30" s="187"/>
      <c r="BY30" s="188"/>
      <c r="BZ30" s="188"/>
      <c r="CA30" s="188"/>
      <c r="CB30" s="188"/>
      <c r="CC30" s="188"/>
      <c r="CD30" s="188"/>
      <c r="CE30" s="188"/>
      <c r="CF30" s="188"/>
      <c r="CG30" s="188"/>
      <c r="CH30" s="188"/>
      <c r="CI30" s="188"/>
      <c r="CJ30" s="188"/>
      <c r="CK30" s="188"/>
      <c r="CL30" s="188"/>
      <c r="CM30" s="188"/>
      <c r="CN30" s="187"/>
      <c r="CO30" s="187"/>
      <c r="CP30" s="187"/>
      <c r="CQ30" s="187"/>
      <c r="CR30" s="187"/>
      <c r="CS30" s="187"/>
      <c r="CT30" s="187"/>
      <c r="CU30" s="187"/>
      <c r="CV30" s="187"/>
      <c r="CW30" s="187"/>
      <c r="CX30" s="187"/>
      <c r="CY30" s="187"/>
      <c r="CZ30" s="187"/>
      <c r="DA30" s="187"/>
      <c r="DB30" s="187"/>
      <c r="DC30" s="187"/>
      <c r="DD30" s="187"/>
      <c r="DE30" s="187"/>
      <c r="DF30" s="187"/>
      <c r="DG30" s="187"/>
      <c r="DH30" s="187"/>
      <c r="DI30" s="187"/>
      <c r="DJ30" s="187"/>
      <c r="DK30" s="188"/>
      <c r="DL30" s="188"/>
      <c r="DM30" s="188"/>
      <c r="DN30" s="188"/>
      <c r="DO30" s="188"/>
      <c r="DP30" s="188"/>
      <c r="DQ30" s="188"/>
      <c r="DR30" s="188"/>
      <c r="DS30" s="188"/>
      <c r="DT30" s="188"/>
      <c r="DU30" s="188"/>
      <c r="DV30" s="188"/>
      <c r="DW30" s="188"/>
      <c r="DX30" s="188"/>
      <c r="DY30" s="188"/>
    </row>
    <row r="31" spans="1:129" x14ac:dyDescent="0.25">
      <c r="A31" s="223"/>
      <c r="B31" s="223"/>
      <c r="C31" s="224"/>
      <c r="D31" s="224"/>
      <c r="E31" s="224"/>
      <c r="F31" s="224"/>
      <c r="G31" s="225"/>
      <c r="H31" s="225"/>
      <c r="I31" s="224"/>
      <c r="J31" s="224"/>
      <c r="K31" s="224"/>
      <c r="L31" s="269"/>
      <c r="M31" s="263"/>
      <c r="N31" s="291" t="s">
        <v>800</v>
      </c>
      <c r="O31" s="223"/>
      <c r="BB31" s="230"/>
      <c r="BC31" s="187"/>
      <c r="BD31" s="187"/>
      <c r="BE31" s="187"/>
      <c r="BF31" s="187"/>
      <c r="BG31" s="187"/>
      <c r="BH31" s="187"/>
      <c r="BI31" s="187"/>
      <c r="BJ31" s="187"/>
      <c r="BK31" s="187"/>
      <c r="BL31" s="187"/>
      <c r="BM31" s="187"/>
      <c r="BN31" s="187"/>
      <c r="BO31" s="187"/>
      <c r="BP31" s="187"/>
      <c r="BQ31" s="187"/>
      <c r="BR31" s="187"/>
      <c r="BS31" s="187"/>
      <c r="BT31" s="187"/>
      <c r="BU31" s="187"/>
      <c r="BV31" s="187"/>
      <c r="BW31" s="187"/>
      <c r="BX31" s="187"/>
      <c r="BY31" s="188"/>
      <c r="BZ31" s="188"/>
      <c r="CA31" s="188"/>
      <c r="CB31" s="188"/>
      <c r="CC31" s="188"/>
      <c r="CD31" s="188"/>
      <c r="CE31" s="188"/>
      <c r="CF31" s="188"/>
      <c r="CG31" s="188"/>
      <c r="CH31" s="188"/>
      <c r="CI31" s="188"/>
      <c r="CJ31" s="188"/>
      <c r="CK31" s="188"/>
      <c r="CL31" s="188"/>
      <c r="CM31" s="188"/>
      <c r="CN31" s="187"/>
      <c r="CO31" s="187"/>
      <c r="CP31" s="187"/>
      <c r="CQ31" s="187"/>
      <c r="CR31" s="187"/>
      <c r="CS31" s="187"/>
      <c r="CT31" s="187"/>
      <c r="CU31" s="187"/>
      <c r="CV31" s="187"/>
      <c r="CW31" s="187"/>
      <c r="CX31" s="187"/>
      <c r="CY31" s="187"/>
      <c r="CZ31" s="187"/>
      <c r="DA31" s="187"/>
      <c r="DB31" s="187"/>
      <c r="DC31" s="187"/>
      <c r="DD31" s="187"/>
      <c r="DE31" s="187"/>
      <c r="DF31" s="187"/>
      <c r="DG31" s="187"/>
      <c r="DH31" s="187"/>
      <c r="DI31" s="187"/>
      <c r="DJ31" s="187"/>
      <c r="DK31" s="188"/>
      <c r="DL31" s="188"/>
      <c r="DM31" s="188"/>
      <c r="DN31" s="188"/>
      <c r="DO31" s="188"/>
      <c r="DP31" s="188"/>
      <c r="DQ31" s="188"/>
      <c r="DR31" s="188"/>
      <c r="DS31" s="188"/>
      <c r="DT31" s="188"/>
      <c r="DU31" s="188"/>
      <c r="DV31" s="188"/>
      <c r="DW31" s="188"/>
      <c r="DX31" s="188"/>
      <c r="DY31" s="188"/>
    </row>
    <row r="32" spans="1:129" x14ac:dyDescent="0.25">
      <c r="A32" s="223"/>
      <c r="B32" s="223"/>
      <c r="C32" s="224"/>
      <c r="D32" s="224"/>
      <c r="E32" s="224"/>
      <c r="F32" s="224"/>
      <c r="G32" s="225"/>
      <c r="H32" s="225"/>
      <c r="I32" s="224"/>
      <c r="J32" s="224"/>
      <c r="K32" s="224"/>
      <c r="L32" s="269"/>
      <c r="M32" s="263"/>
      <c r="N32" s="263" t="s">
        <v>800</v>
      </c>
      <c r="O32" s="223"/>
      <c r="BB32" s="230"/>
      <c r="BC32" s="187"/>
      <c r="BD32" s="187"/>
      <c r="BE32" s="187"/>
      <c r="BF32" s="187"/>
      <c r="BG32" s="187"/>
      <c r="BH32" s="187"/>
      <c r="BI32" s="187"/>
      <c r="BJ32" s="187"/>
      <c r="BK32" s="187"/>
      <c r="BL32" s="187"/>
      <c r="BM32" s="187"/>
      <c r="BN32" s="187"/>
      <c r="BO32" s="187"/>
      <c r="BP32" s="187"/>
      <c r="BQ32" s="187"/>
      <c r="BR32" s="187"/>
      <c r="BS32" s="187"/>
      <c r="BT32" s="187"/>
      <c r="BU32" s="187"/>
      <c r="BV32" s="187"/>
      <c r="BW32" s="187"/>
      <c r="BX32" s="187"/>
      <c r="BY32" s="188"/>
      <c r="BZ32" s="188"/>
      <c r="CA32" s="188"/>
      <c r="CB32" s="188"/>
      <c r="CC32" s="188"/>
      <c r="CD32" s="188"/>
      <c r="CE32" s="188"/>
      <c r="CF32" s="188"/>
      <c r="CG32" s="188"/>
      <c r="CH32" s="188"/>
      <c r="CI32" s="188"/>
      <c r="CJ32" s="188"/>
      <c r="CK32" s="188"/>
      <c r="CL32" s="188"/>
      <c r="CM32" s="188"/>
      <c r="CN32" s="187"/>
      <c r="CO32" s="187"/>
      <c r="CP32" s="187"/>
      <c r="CQ32" s="187"/>
      <c r="CR32" s="187"/>
      <c r="CS32" s="187"/>
      <c r="CT32" s="187"/>
      <c r="CU32" s="187"/>
      <c r="CV32" s="187"/>
      <c r="CW32" s="187"/>
      <c r="CX32" s="187"/>
      <c r="CY32" s="187"/>
      <c r="CZ32" s="187"/>
      <c r="DA32" s="187"/>
      <c r="DB32" s="187"/>
      <c r="DC32" s="187"/>
      <c r="DD32" s="187"/>
      <c r="DE32" s="187"/>
      <c r="DF32" s="187"/>
      <c r="DG32" s="187"/>
      <c r="DH32" s="187"/>
      <c r="DI32" s="187"/>
      <c r="DJ32" s="187"/>
      <c r="DK32" s="188"/>
      <c r="DL32" s="188"/>
      <c r="DM32" s="188"/>
      <c r="DN32" s="188"/>
      <c r="DO32" s="188"/>
      <c r="DP32" s="188"/>
      <c r="DQ32" s="188"/>
      <c r="DR32" s="188"/>
      <c r="DS32" s="188"/>
      <c r="DT32" s="188"/>
      <c r="DU32" s="188"/>
      <c r="DV32" s="188"/>
      <c r="DW32" s="188"/>
      <c r="DX32" s="188"/>
      <c r="DY32" s="188"/>
    </row>
    <row r="33" spans="1:129" x14ac:dyDescent="0.25">
      <c r="A33" s="223"/>
      <c r="B33" s="223"/>
      <c r="C33" s="224"/>
      <c r="D33" s="224"/>
      <c r="E33" s="224"/>
      <c r="F33" s="224"/>
      <c r="G33" s="225"/>
      <c r="H33" s="225"/>
      <c r="I33" s="224"/>
      <c r="J33" s="224"/>
      <c r="K33" s="224"/>
      <c r="L33" s="269"/>
      <c r="M33" s="263"/>
      <c r="N33" s="263" t="s">
        <v>800</v>
      </c>
      <c r="O33" s="223"/>
      <c r="BB33" s="230"/>
      <c r="BC33" s="187"/>
      <c r="BD33" s="187"/>
      <c r="BE33" s="187"/>
      <c r="BF33" s="187"/>
      <c r="BG33" s="187"/>
      <c r="BH33" s="187"/>
      <c r="BI33" s="187"/>
      <c r="BJ33" s="187"/>
      <c r="BK33" s="187"/>
      <c r="BL33" s="187"/>
      <c r="BM33" s="187"/>
      <c r="BN33" s="187"/>
      <c r="BO33" s="187"/>
      <c r="BP33" s="187"/>
      <c r="BQ33" s="187"/>
      <c r="BR33" s="187"/>
      <c r="BS33" s="187"/>
      <c r="BT33" s="187"/>
      <c r="BU33" s="187"/>
      <c r="BV33" s="187"/>
      <c r="BW33" s="187"/>
      <c r="BX33" s="187"/>
      <c r="BY33" s="188"/>
      <c r="BZ33" s="188"/>
      <c r="CA33" s="188"/>
      <c r="CB33" s="188"/>
      <c r="CC33" s="188"/>
      <c r="CD33" s="188"/>
      <c r="CE33" s="188"/>
      <c r="CF33" s="188"/>
      <c r="CG33" s="188"/>
      <c r="CH33" s="188"/>
      <c r="CI33" s="188"/>
      <c r="CJ33" s="188"/>
      <c r="CK33" s="188"/>
      <c r="CL33" s="188"/>
      <c r="CM33" s="188"/>
      <c r="CN33" s="187"/>
      <c r="CO33" s="187"/>
      <c r="CP33" s="187"/>
      <c r="CQ33" s="187"/>
      <c r="CR33" s="187"/>
      <c r="CS33" s="187"/>
      <c r="CT33" s="187"/>
      <c r="CU33" s="187"/>
      <c r="CV33" s="187"/>
      <c r="CW33" s="187"/>
      <c r="CX33" s="187"/>
      <c r="CY33" s="187"/>
      <c r="CZ33" s="187"/>
      <c r="DA33" s="187"/>
      <c r="DB33" s="187"/>
      <c r="DC33" s="187"/>
      <c r="DD33" s="187"/>
      <c r="DE33" s="187"/>
      <c r="DF33" s="187"/>
      <c r="DG33" s="187"/>
      <c r="DH33" s="187"/>
      <c r="DI33" s="187"/>
      <c r="DJ33" s="187"/>
      <c r="DK33" s="188"/>
      <c r="DL33" s="188"/>
      <c r="DM33" s="188"/>
      <c r="DN33" s="188"/>
      <c r="DO33" s="188"/>
      <c r="DP33" s="188"/>
      <c r="DQ33" s="188"/>
      <c r="DR33" s="188"/>
      <c r="DS33" s="188"/>
      <c r="DT33" s="188"/>
      <c r="DU33" s="188"/>
      <c r="DV33" s="188"/>
      <c r="DW33" s="188"/>
      <c r="DX33" s="188"/>
      <c r="DY33" s="188"/>
    </row>
    <row r="34" spans="1:129" x14ac:dyDescent="0.25">
      <c r="A34" s="223"/>
      <c r="B34" s="223"/>
      <c r="C34" s="224"/>
      <c r="D34" s="224"/>
      <c r="E34" s="224"/>
      <c r="F34" s="224"/>
      <c r="G34" s="225"/>
      <c r="H34" s="225"/>
      <c r="I34" s="224"/>
      <c r="J34" s="224"/>
      <c r="K34" s="224"/>
      <c r="L34" s="269"/>
      <c r="M34" s="263"/>
      <c r="N34" s="291" t="s">
        <v>800</v>
      </c>
      <c r="O34" s="223"/>
      <c r="BB34" s="230"/>
      <c r="BC34" s="187"/>
      <c r="BD34" s="187"/>
      <c r="BE34" s="187"/>
      <c r="BF34" s="187"/>
      <c r="BG34" s="187"/>
      <c r="BH34" s="187"/>
      <c r="BI34" s="187"/>
      <c r="BJ34" s="187"/>
      <c r="BK34" s="187"/>
      <c r="BL34" s="187"/>
      <c r="BM34" s="187"/>
      <c r="BN34" s="187"/>
      <c r="BO34" s="187"/>
      <c r="BP34" s="187"/>
      <c r="BQ34" s="187"/>
      <c r="BR34" s="187"/>
      <c r="BS34" s="187"/>
      <c r="BT34" s="187"/>
      <c r="BU34" s="187"/>
      <c r="BV34" s="187"/>
      <c r="BW34" s="187"/>
      <c r="BX34" s="187"/>
      <c r="BY34" s="188"/>
      <c r="BZ34" s="188"/>
      <c r="CA34" s="188"/>
      <c r="CB34" s="188"/>
      <c r="CC34" s="188"/>
      <c r="CD34" s="188"/>
      <c r="CE34" s="188"/>
      <c r="CF34" s="188"/>
      <c r="CG34" s="188"/>
      <c r="CH34" s="188"/>
      <c r="CI34" s="188"/>
      <c r="CJ34" s="188"/>
      <c r="CK34" s="188"/>
      <c r="CL34" s="188"/>
      <c r="CM34" s="188"/>
      <c r="CN34" s="187"/>
      <c r="CO34" s="187"/>
      <c r="CP34" s="187"/>
      <c r="CQ34" s="187"/>
      <c r="CR34" s="187"/>
      <c r="CS34" s="187"/>
      <c r="CT34" s="187"/>
      <c r="CU34" s="187"/>
      <c r="CV34" s="187"/>
      <c r="CW34" s="187"/>
      <c r="CX34" s="187"/>
      <c r="CY34" s="187"/>
      <c r="CZ34" s="187"/>
      <c r="DA34" s="187"/>
      <c r="DB34" s="187"/>
      <c r="DC34" s="187"/>
      <c r="DD34" s="187"/>
      <c r="DE34" s="187"/>
      <c r="DF34" s="187"/>
      <c r="DG34" s="187"/>
      <c r="DH34" s="187"/>
      <c r="DI34" s="187"/>
      <c r="DJ34" s="187"/>
      <c r="DK34" s="188"/>
      <c r="DL34" s="188"/>
      <c r="DM34" s="188"/>
      <c r="DN34" s="188"/>
      <c r="DO34" s="188"/>
      <c r="DP34" s="188"/>
      <c r="DQ34" s="188"/>
      <c r="DR34" s="188"/>
      <c r="DS34" s="188"/>
      <c r="DT34" s="188"/>
      <c r="DU34" s="188"/>
      <c r="DV34" s="188"/>
      <c r="DW34" s="188"/>
      <c r="DX34" s="188"/>
      <c r="DY34" s="188"/>
    </row>
    <row r="35" spans="1:129" x14ac:dyDescent="0.25">
      <c r="A35" s="223"/>
      <c r="B35" s="223"/>
      <c r="C35" s="224"/>
      <c r="D35" s="224"/>
      <c r="E35" s="224"/>
      <c r="F35" s="224"/>
      <c r="G35" s="225"/>
      <c r="H35" s="225"/>
      <c r="I35" s="224"/>
      <c r="J35" s="224"/>
      <c r="K35" s="224"/>
      <c r="L35" s="269"/>
      <c r="M35" s="263"/>
      <c r="N35" s="263" t="s">
        <v>800</v>
      </c>
      <c r="O35" s="223"/>
      <c r="BB35" s="230"/>
      <c r="BC35" s="187"/>
      <c r="BD35" s="187"/>
      <c r="BE35" s="187"/>
      <c r="BF35" s="187"/>
      <c r="BG35" s="187"/>
      <c r="BH35" s="187"/>
      <c r="BI35" s="187"/>
      <c r="BJ35" s="187"/>
      <c r="BK35" s="187"/>
      <c r="BL35" s="187"/>
      <c r="BM35" s="187"/>
      <c r="BN35" s="187"/>
      <c r="BO35" s="187"/>
      <c r="BP35" s="187"/>
      <c r="BQ35" s="187"/>
      <c r="BR35" s="187"/>
      <c r="BS35" s="187"/>
      <c r="BT35" s="187"/>
      <c r="BU35" s="187"/>
      <c r="BV35" s="187"/>
      <c r="BW35" s="187"/>
      <c r="BX35" s="187"/>
      <c r="BY35" s="188"/>
      <c r="BZ35" s="188"/>
      <c r="CA35" s="188"/>
      <c r="CB35" s="188"/>
      <c r="CC35" s="188"/>
      <c r="CD35" s="188"/>
      <c r="CE35" s="188"/>
      <c r="CF35" s="188"/>
      <c r="CG35" s="188"/>
      <c r="CH35" s="188"/>
      <c r="CI35" s="188"/>
      <c r="CJ35" s="188"/>
      <c r="CK35" s="188"/>
      <c r="CL35" s="188"/>
      <c r="CM35" s="188"/>
      <c r="CN35" s="187"/>
      <c r="CO35" s="187"/>
      <c r="CP35" s="187"/>
      <c r="CQ35" s="187"/>
      <c r="CR35" s="187"/>
      <c r="CS35" s="187"/>
      <c r="CT35" s="187"/>
      <c r="CU35" s="187"/>
      <c r="CV35" s="187"/>
      <c r="CW35" s="187"/>
      <c r="CX35" s="187"/>
      <c r="CY35" s="187"/>
      <c r="CZ35" s="187"/>
      <c r="DA35" s="187"/>
      <c r="DB35" s="187"/>
      <c r="DC35" s="187"/>
      <c r="DD35" s="187"/>
      <c r="DE35" s="187"/>
      <c r="DF35" s="187"/>
      <c r="DG35" s="187"/>
      <c r="DH35" s="187"/>
      <c r="DI35" s="187"/>
      <c r="DJ35" s="187"/>
      <c r="DK35" s="188"/>
      <c r="DL35" s="188"/>
      <c r="DM35" s="188"/>
      <c r="DN35" s="188"/>
      <c r="DO35" s="188"/>
      <c r="DP35" s="188"/>
      <c r="DQ35" s="188"/>
      <c r="DR35" s="188"/>
      <c r="DS35" s="188"/>
      <c r="DT35" s="188"/>
      <c r="DU35" s="188"/>
      <c r="DV35" s="188"/>
      <c r="DW35" s="188"/>
      <c r="DX35" s="188"/>
      <c r="DY35" s="188"/>
    </row>
    <row r="36" spans="1:129" x14ac:dyDescent="0.25">
      <c r="A36" s="223"/>
      <c r="B36" s="223"/>
      <c r="C36" s="224"/>
      <c r="D36" s="224"/>
      <c r="E36" s="224"/>
      <c r="F36" s="224"/>
      <c r="G36" s="225"/>
      <c r="H36" s="225"/>
      <c r="I36" s="224"/>
      <c r="J36" s="224"/>
      <c r="K36" s="224"/>
      <c r="L36" s="269"/>
      <c r="M36" s="263"/>
      <c r="N36" s="263" t="s">
        <v>800</v>
      </c>
      <c r="O36" s="223"/>
      <c r="BB36" s="230"/>
      <c r="BC36" s="187"/>
      <c r="BD36" s="187"/>
      <c r="BE36" s="187"/>
      <c r="BF36" s="187"/>
      <c r="BG36" s="187"/>
      <c r="BH36" s="187"/>
      <c r="BI36" s="187"/>
      <c r="BJ36" s="187"/>
      <c r="BK36" s="187"/>
      <c r="BL36" s="187"/>
      <c r="BM36" s="187"/>
      <c r="BN36" s="187"/>
      <c r="BO36" s="187"/>
      <c r="BP36" s="187"/>
      <c r="BQ36" s="187"/>
      <c r="BR36" s="187"/>
      <c r="BS36" s="187"/>
      <c r="BT36" s="187"/>
      <c r="BU36" s="187"/>
      <c r="BV36" s="187"/>
      <c r="BW36" s="187"/>
      <c r="BX36" s="187"/>
      <c r="BY36" s="188"/>
      <c r="BZ36" s="188"/>
      <c r="CA36" s="188"/>
      <c r="CB36" s="188"/>
      <c r="CC36" s="188"/>
      <c r="CD36" s="188"/>
      <c r="CE36" s="188"/>
      <c r="CF36" s="188"/>
      <c r="CG36" s="188"/>
      <c r="CH36" s="188"/>
      <c r="CI36" s="188"/>
      <c r="CJ36" s="188"/>
      <c r="CK36" s="188"/>
      <c r="CL36" s="188"/>
      <c r="CM36" s="188"/>
      <c r="CN36" s="187"/>
      <c r="CO36" s="187"/>
      <c r="CP36" s="187"/>
      <c r="CQ36" s="187"/>
      <c r="CR36" s="187"/>
      <c r="CS36" s="187"/>
      <c r="CT36" s="187"/>
      <c r="CU36" s="187"/>
      <c r="CV36" s="187"/>
      <c r="CW36" s="187"/>
      <c r="CX36" s="187"/>
      <c r="CY36" s="187"/>
      <c r="CZ36" s="187"/>
      <c r="DA36" s="187"/>
      <c r="DB36" s="187"/>
      <c r="DC36" s="187"/>
      <c r="DD36" s="187"/>
      <c r="DE36" s="187"/>
      <c r="DF36" s="187"/>
      <c r="DG36" s="187"/>
      <c r="DH36" s="187"/>
      <c r="DI36" s="187"/>
      <c r="DJ36" s="187"/>
      <c r="DK36" s="188"/>
      <c r="DL36" s="188"/>
      <c r="DM36" s="188"/>
      <c r="DN36" s="188"/>
      <c r="DO36" s="188"/>
      <c r="DP36" s="188"/>
      <c r="DQ36" s="188"/>
      <c r="DR36" s="188"/>
      <c r="DS36" s="188"/>
      <c r="DT36" s="188"/>
      <c r="DU36" s="188"/>
      <c r="DV36" s="188"/>
      <c r="DW36" s="188"/>
      <c r="DX36" s="188"/>
      <c r="DY36" s="188"/>
    </row>
    <row r="37" spans="1:129" x14ac:dyDescent="0.25">
      <c r="A37" s="223"/>
      <c r="B37" s="223"/>
      <c r="C37" s="224"/>
      <c r="D37" s="224"/>
      <c r="E37" s="224"/>
      <c r="F37" s="224"/>
      <c r="G37" s="225"/>
      <c r="H37" s="225"/>
      <c r="I37" s="224"/>
      <c r="J37" s="224"/>
      <c r="K37" s="224"/>
      <c r="L37" s="269"/>
      <c r="M37" s="263"/>
      <c r="N37" s="291" t="s">
        <v>800</v>
      </c>
      <c r="O37" s="223"/>
      <c r="BB37" s="230"/>
      <c r="BC37" s="187"/>
      <c r="BD37" s="187"/>
      <c r="BE37" s="187"/>
      <c r="BF37" s="187"/>
      <c r="BG37" s="187"/>
      <c r="BH37" s="187"/>
      <c r="BI37" s="187"/>
      <c r="BJ37" s="187"/>
      <c r="BK37" s="187"/>
      <c r="BL37" s="187"/>
      <c r="BM37" s="187"/>
      <c r="BN37" s="187"/>
      <c r="BO37" s="187"/>
      <c r="BP37" s="187"/>
      <c r="BQ37" s="187"/>
      <c r="BR37" s="187"/>
      <c r="BS37" s="187"/>
      <c r="BT37" s="187"/>
      <c r="BU37" s="187"/>
      <c r="BV37" s="187"/>
      <c r="BW37" s="187"/>
      <c r="BX37" s="187"/>
      <c r="BY37" s="188"/>
      <c r="BZ37" s="188"/>
      <c r="CA37" s="188"/>
      <c r="CB37" s="188"/>
      <c r="CC37" s="188"/>
      <c r="CD37" s="188"/>
      <c r="CE37" s="188"/>
      <c r="CF37" s="188"/>
      <c r="CG37" s="188"/>
      <c r="CH37" s="188"/>
      <c r="CI37" s="188"/>
      <c r="CJ37" s="188"/>
      <c r="CK37" s="188"/>
      <c r="CL37" s="188"/>
      <c r="CM37" s="188"/>
      <c r="CN37" s="187"/>
      <c r="CO37" s="187"/>
      <c r="CP37" s="187"/>
      <c r="CQ37" s="187"/>
      <c r="CR37" s="187"/>
      <c r="CS37" s="187"/>
      <c r="CT37" s="187"/>
      <c r="CU37" s="187"/>
      <c r="CV37" s="187"/>
      <c r="CW37" s="187"/>
      <c r="CX37" s="187"/>
      <c r="CY37" s="187"/>
      <c r="CZ37" s="187"/>
      <c r="DA37" s="187"/>
      <c r="DB37" s="187"/>
      <c r="DC37" s="187"/>
      <c r="DD37" s="187"/>
      <c r="DE37" s="187"/>
      <c r="DF37" s="187"/>
      <c r="DG37" s="187"/>
      <c r="DH37" s="187"/>
      <c r="DI37" s="187"/>
      <c r="DJ37" s="187"/>
      <c r="DK37" s="188"/>
      <c r="DL37" s="188"/>
      <c r="DM37" s="188"/>
      <c r="DN37" s="188"/>
      <c r="DO37" s="188"/>
      <c r="DP37" s="188"/>
      <c r="DQ37" s="188"/>
      <c r="DR37" s="188"/>
      <c r="DS37" s="188"/>
      <c r="DT37" s="188"/>
      <c r="DU37" s="188"/>
      <c r="DV37" s="188"/>
      <c r="DW37" s="188"/>
      <c r="DX37" s="188"/>
      <c r="DY37" s="188"/>
    </row>
    <row r="38" spans="1:129" x14ac:dyDescent="0.25">
      <c r="A38" s="223"/>
      <c r="B38" s="223"/>
      <c r="C38" s="224"/>
      <c r="D38" s="224"/>
      <c r="E38" s="224"/>
      <c r="F38" s="224"/>
      <c r="G38" s="225"/>
      <c r="H38" s="225"/>
      <c r="I38" s="224"/>
      <c r="J38" s="224"/>
      <c r="K38" s="224"/>
      <c r="L38" s="269"/>
      <c r="M38" s="263"/>
      <c r="N38" s="263" t="s">
        <v>800</v>
      </c>
      <c r="O38" s="223"/>
      <c r="BB38" s="230"/>
      <c r="BC38" s="187"/>
      <c r="BD38" s="187"/>
      <c r="BE38" s="187"/>
      <c r="BF38" s="187"/>
      <c r="BG38" s="187"/>
      <c r="BH38" s="187"/>
      <c r="BI38" s="187"/>
      <c r="BJ38" s="187"/>
      <c r="BK38" s="187"/>
      <c r="BL38" s="187"/>
      <c r="BM38" s="187"/>
      <c r="BN38" s="187"/>
      <c r="BO38" s="187"/>
      <c r="BP38" s="187"/>
      <c r="BQ38" s="187"/>
      <c r="BR38" s="187"/>
      <c r="BS38" s="187"/>
      <c r="BT38" s="187"/>
      <c r="BU38" s="187"/>
      <c r="BV38" s="187"/>
      <c r="BW38" s="187"/>
      <c r="BX38" s="187"/>
      <c r="BY38" s="188"/>
      <c r="BZ38" s="188"/>
      <c r="CA38" s="188"/>
      <c r="CB38" s="188"/>
      <c r="CC38" s="188"/>
      <c r="CD38" s="188"/>
      <c r="CE38" s="188"/>
      <c r="CF38" s="188"/>
      <c r="CG38" s="188"/>
      <c r="CH38" s="188"/>
      <c r="CI38" s="188"/>
      <c r="CJ38" s="188"/>
      <c r="CK38" s="188"/>
      <c r="CL38" s="188"/>
      <c r="CM38" s="188"/>
      <c r="CN38" s="187"/>
      <c r="CO38" s="187"/>
      <c r="CP38" s="187"/>
      <c r="CQ38" s="187"/>
      <c r="CR38" s="187"/>
      <c r="CS38" s="187"/>
      <c r="CT38" s="187"/>
      <c r="CU38" s="187"/>
      <c r="CV38" s="187"/>
      <c r="CW38" s="187"/>
      <c r="CX38" s="187"/>
      <c r="CY38" s="187"/>
      <c r="CZ38" s="187"/>
      <c r="DA38" s="187"/>
      <c r="DB38" s="187"/>
      <c r="DC38" s="187"/>
      <c r="DD38" s="187"/>
      <c r="DE38" s="187"/>
      <c r="DF38" s="187"/>
      <c r="DG38" s="187"/>
      <c r="DH38" s="187"/>
      <c r="DI38" s="187"/>
      <c r="DJ38" s="187"/>
      <c r="DK38" s="188"/>
      <c r="DL38" s="188"/>
      <c r="DM38" s="188"/>
      <c r="DN38" s="188"/>
      <c r="DO38" s="188"/>
      <c r="DP38" s="188"/>
      <c r="DQ38" s="188"/>
      <c r="DR38" s="188"/>
      <c r="DS38" s="188"/>
      <c r="DT38" s="188"/>
      <c r="DU38" s="188"/>
      <c r="DV38" s="188"/>
      <c r="DW38" s="188"/>
      <c r="DX38" s="188"/>
      <c r="DY38" s="188"/>
    </row>
    <row r="39" spans="1:129" x14ac:dyDescent="0.25">
      <c r="A39" s="223"/>
      <c r="B39" s="223"/>
      <c r="C39" s="224"/>
      <c r="D39" s="224"/>
      <c r="E39" s="224"/>
      <c r="F39" s="224"/>
      <c r="G39" s="225"/>
      <c r="H39" s="225"/>
      <c r="I39" s="224"/>
      <c r="J39" s="224"/>
      <c r="K39" s="224"/>
      <c r="L39" s="269"/>
      <c r="M39" s="223"/>
      <c r="N39" s="263" t="s">
        <v>800</v>
      </c>
      <c r="O39" s="223"/>
      <c r="BB39" s="230"/>
      <c r="BC39" s="187"/>
      <c r="BD39" s="187"/>
      <c r="BE39" s="187"/>
      <c r="BF39" s="187"/>
      <c r="BG39" s="187"/>
      <c r="BH39" s="187"/>
      <c r="BI39" s="187"/>
      <c r="BJ39" s="187"/>
      <c r="BK39" s="187"/>
      <c r="BL39" s="187"/>
      <c r="BM39" s="187"/>
      <c r="BN39" s="187"/>
      <c r="BO39" s="187"/>
      <c r="BP39" s="187"/>
      <c r="BQ39" s="187"/>
      <c r="BR39" s="187"/>
      <c r="BS39" s="187"/>
      <c r="BT39" s="187"/>
      <c r="BU39" s="187"/>
      <c r="BV39" s="187"/>
      <c r="BW39" s="187"/>
      <c r="BX39" s="187"/>
      <c r="BY39" s="188"/>
      <c r="BZ39" s="188"/>
      <c r="CA39" s="188"/>
      <c r="CB39" s="188"/>
      <c r="CC39" s="188"/>
      <c r="CD39" s="188"/>
      <c r="CE39" s="188"/>
      <c r="CF39" s="188"/>
      <c r="CG39" s="188"/>
      <c r="CH39" s="188"/>
      <c r="CI39" s="188"/>
      <c r="CJ39" s="188"/>
      <c r="CK39" s="188"/>
      <c r="CL39" s="188"/>
      <c r="CM39" s="188"/>
      <c r="CN39" s="187"/>
      <c r="CO39" s="187"/>
      <c r="CP39" s="187"/>
      <c r="CQ39" s="187"/>
      <c r="CR39" s="187"/>
      <c r="CS39" s="187"/>
      <c r="CT39" s="187"/>
      <c r="CU39" s="187"/>
      <c r="CV39" s="187"/>
      <c r="CW39" s="187"/>
      <c r="CX39" s="187"/>
      <c r="CY39" s="187"/>
      <c r="CZ39" s="187"/>
      <c r="DA39" s="187"/>
      <c r="DB39" s="187"/>
      <c r="DC39" s="187"/>
      <c r="DD39" s="187"/>
      <c r="DE39" s="187"/>
      <c r="DF39" s="187"/>
      <c r="DG39" s="187"/>
      <c r="DH39" s="187"/>
      <c r="DI39" s="187"/>
      <c r="DJ39" s="187"/>
      <c r="DK39" s="188"/>
      <c r="DL39" s="188"/>
      <c r="DM39" s="188"/>
      <c r="DN39" s="188"/>
      <c r="DO39" s="188"/>
      <c r="DP39" s="188"/>
      <c r="DQ39" s="188"/>
      <c r="DR39" s="188"/>
      <c r="DS39" s="188"/>
      <c r="DT39" s="188"/>
      <c r="DU39" s="188"/>
      <c r="DV39" s="188"/>
      <c r="DW39" s="188"/>
      <c r="DX39" s="188"/>
      <c r="DY39" s="188"/>
    </row>
    <row r="40" spans="1:129" x14ac:dyDescent="0.25">
      <c r="A40" s="223"/>
      <c r="B40" s="223"/>
      <c r="C40" s="224"/>
      <c r="D40" s="224"/>
      <c r="E40" s="224"/>
      <c r="F40" s="224"/>
      <c r="G40" s="225"/>
      <c r="H40" s="225"/>
      <c r="I40" s="224"/>
      <c r="J40" s="224"/>
      <c r="K40" s="224"/>
      <c r="L40" s="269"/>
      <c r="M40" s="223"/>
      <c r="N40" s="291" t="s">
        <v>800</v>
      </c>
      <c r="O40" s="223"/>
      <c r="BB40" s="230"/>
      <c r="BC40" s="187"/>
      <c r="BD40" s="187"/>
      <c r="BE40" s="187"/>
      <c r="BF40" s="187"/>
      <c r="BG40" s="187"/>
      <c r="BH40" s="187"/>
      <c r="BI40" s="187"/>
      <c r="BJ40" s="187"/>
      <c r="BK40" s="187"/>
      <c r="BL40" s="187"/>
      <c r="BM40" s="187"/>
      <c r="BN40" s="187"/>
      <c r="BO40" s="187"/>
      <c r="BP40" s="187"/>
      <c r="BQ40" s="187"/>
      <c r="BR40" s="187"/>
      <c r="BS40" s="187"/>
      <c r="BT40" s="187"/>
      <c r="BU40" s="187"/>
      <c r="BV40" s="187"/>
      <c r="BW40" s="187"/>
      <c r="BX40" s="187"/>
      <c r="BY40" s="188"/>
      <c r="BZ40" s="188"/>
      <c r="CA40" s="188"/>
      <c r="CB40" s="188"/>
      <c r="CC40" s="188"/>
      <c r="CD40" s="188"/>
      <c r="CE40" s="188"/>
      <c r="CF40" s="188"/>
      <c r="CG40" s="188"/>
      <c r="CH40" s="188"/>
      <c r="CI40" s="188"/>
      <c r="CJ40" s="188"/>
      <c r="CK40" s="188"/>
      <c r="CL40" s="188"/>
      <c r="CM40" s="188"/>
      <c r="CN40" s="187"/>
      <c r="CO40" s="187"/>
      <c r="CP40" s="187"/>
      <c r="CQ40" s="187"/>
      <c r="CR40" s="187"/>
      <c r="CS40" s="187"/>
      <c r="CT40" s="187"/>
      <c r="CU40" s="187"/>
      <c r="CV40" s="187"/>
      <c r="CW40" s="187"/>
      <c r="CX40" s="187"/>
      <c r="CY40" s="187"/>
      <c r="CZ40" s="187"/>
      <c r="DA40" s="187"/>
      <c r="DB40" s="187"/>
      <c r="DC40" s="187"/>
      <c r="DD40" s="187"/>
      <c r="DE40" s="187"/>
      <c r="DF40" s="187"/>
      <c r="DG40" s="187"/>
      <c r="DH40" s="187"/>
      <c r="DI40" s="187"/>
      <c r="DJ40" s="187"/>
      <c r="DK40" s="188"/>
      <c r="DL40" s="188"/>
      <c r="DM40" s="188"/>
      <c r="DN40" s="188"/>
      <c r="DO40" s="188"/>
      <c r="DP40" s="188"/>
      <c r="DQ40" s="188"/>
      <c r="DR40" s="188"/>
      <c r="DS40" s="188"/>
      <c r="DT40" s="188"/>
      <c r="DU40" s="188"/>
      <c r="DV40" s="188"/>
      <c r="DW40" s="188"/>
      <c r="DX40" s="188"/>
      <c r="DY40" s="188"/>
    </row>
    <row r="41" spans="1:129" x14ac:dyDescent="0.25">
      <c r="A41" s="223"/>
      <c r="B41" s="223"/>
      <c r="C41" s="224"/>
      <c r="D41" s="224"/>
      <c r="E41" s="224"/>
      <c r="F41" s="224"/>
      <c r="G41" s="225"/>
      <c r="H41" s="225"/>
      <c r="I41" s="224"/>
      <c r="J41" s="224"/>
      <c r="K41" s="224"/>
      <c r="L41" s="269"/>
      <c r="M41" s="223"/>
      <c r="N41" s="263" t="s">
        <v>800</v>
      </c>
      <c r="O41" s="223"/>
      <c r="BB41" s="230"/>
      <c r="BC41" s="187"/>
      <c r="BD41" s="187"/>
      <c r="BE41" s="187"/>
      <c r="BF41" s="187"/>
      <c r="BG41" s="187"/>
      <c r="BH41" s="187"/>
      <c r="BI41" s="187"/>
      <c r="BJ41" s="187"/>
      <c r="BK41" s="187"/>
      <c r="BL41" s="187"/>
      <c r="BM41" s="187"/>
      <c r="BN41" s="187"/>
      <c r="BO41" s="187"/>
      <c r="BP41" s="187"/>
      <c r="BQ41" s="187"/>
      <c r="BR41" s="187"/>
      <c r="BS41" s="187"/>
      <c r="BT41" s="187"/>
      <c r="BU41" s="187"/>
      <c r="BV41" s="187"/>
      <c r="BW41" s="187"/>
      <c r="BX41" s="187"/>
      <c r="BY41" s="188"/>
      <c r="BZ41" s="188"/>
      <c r="CA41" s="188"/>
      <c r="CB41" s="188"/>
      <c r="CC41" s="188"/>
      <c r="CD41" s="188"/>
      <c r="CE41" s="188"/>
      <c r="CF41" s="188"/>
      <c r="CG41" s="188"/>
      <c r="CH41" s="188"/>
      <c r="CI41" s="188"/>
      <c r="CJ41" s="188"/>
      <c r="CK41" s="188"/>
      <c r="CL41" s="188"/>
      <c r="CM41" s="188"/>
      <c r="CN41" s="187"/>
      <c r="CO41" s="187"/>
      <c r="CP41" s="187"/>
      <c r="CQ41" s="187"/>
      <c r="CR41" s="187"/>
      <c r="CS41" s="187"/>
      <c r="CT41" s="187"/>
      <c r="CU41" s="187"/>
      <c r="CV41" s="187"/>
      <c r="CW41" s="187"/>
      <c r="CX41" s="187"/>
      <c r="CY41" s="187"/>
      <c r="CZ41" s="187"/>
      <c r="DA41" s="187"/>
      <c r="DB41" s="187"/>
      <c r="DC41" s="187"/>
      <c r="DD41" s="187"/>
      <c r="DE41" s="187"/>
      <c r="DF41" s="187"/>
      <c r="DG41" s="187"/>
      <c r="DH41" s="187"/>
      <c r="DI41" s="187"/>
      <c r="DJ41" s="187"/>
      <c r="DK41" s="188"/>
      <c r="DL41" s="188"/>
      <c r="DM41" s="188"/>
      <c r="DN41" s="188"/>
      <c r="DO41" s="188"/>
      <c r="DP41" s="188"/>
      <c r="DQ41" s="188"/>
      <c r="DR41" s="188"/>
      <c r="DS41" s="188"/>
      <c r="DT41" s="188"/>
      <c r="DU41" s="188"/>
      <c r="DV41" s="188"/>
      <c r="DW41" s="188"/>
      <c r="DX41" s="188"/>
      <c r="DY41" s="188"/>
    </row>
    <row r="42" spans="1:129" x14ac:dyDescent="0.25">
      <c r="A42" s="223"/>
      <c r="B42" s="223"/>
      <c r="C42" s="224"/>
      <c r="D42" s="224"/>
      <c r="E42" s="224"/>
      <c r="F42" s="224"/>
      <c r="G42" s="225"/>
      <c r="H42" s="225"/>
      <c r="I42" s="224"/>
      <c r="J42" s="224"/>
      <c r="K42" s="224"/>
      <c r="L42" s="269"/>
      <c r="M42" s="223"/>
      <c r="N42" s="263" t="s">
        <v>800</v>
      </c>
      <c r="O42" s="223"/>
      <c r="BB42" s="230"/>
      <c r="BC42" s="187"/>
      <c r="BD42" s="187"/>
      <c r="BE42" s="187"/>
      <c r="BF42" s="187"/>
      <c r="BG42" s="187"/>
      <c r="BH42" s="187"/>
      <c r="BI42" s="187"/>
      <c r="BJ42" s="187"/>
      <c r="BK42" s="187"/>
      <c r="BL42" s="187"/>
      <c r="BM42" s="187"/>
      <c r="BN42" s="187"/>
      <c r="BO42" s="187"/>
      <c r="BP42" s="187"/>
      <c r="BQ42" s="187"/>
      <c r="BR42" s="187"/>
      <c r="BS42" s="187"/>
      <c r="BT42" s="187"/>
      <c r="BU42" s="187"/>
      <c r="BV42" s="187"/>
      <c r="BW42" s="187"/>
      <c r="BX42" s="187"/>
      <c r="BY42" s="188"/>
      <c r="BZ42" s="188"/>
      <c r="CA42" s="188"/>
      <c r="CB42" s="188"/>
      <c r="CC42" s="188"/>
      <c r="CD42" s="188"/>
      <c r="CE42" s="188"/>
      <c r="CF42" s="188"/>
      <c r="CG42" s="188"/>
      <c r="CH42" s="188"/>
      <c r="CI42" s="188"/>
      <c r="CJ42" s="188"/>
      <c r="CK42" s="188"/>
      <c r="CL42" s="188"/>
      <c r="CM42" s="188"/>
      <c r="CN42" s="187"/>
      <c r="CO42" s="187"/>
      <c r="CP42" s="187"/>
      <c r="CQ42" s="187"/>
      <c r="CR42" s="187"/>
      <c r="CS42" s="187"/>
      <c r="CT42" s="187"/>
      <c r="CU42" s="187"/>
      <c r="CV42" s="187"/>
      <c r="CW42" s="187"/>
      <c r="CX42" s="187"/>
      <c r="CY42" s="187"/>
      <c r="CZ42" s="187"/>
      <c r="DA42" s="187"/>
      <c r="DB42" s="187"/>
      <c r="DC42" s="187"/>
      <c r="DD42" s="187"/>
      <c r="DE42" s="187"/>
      <c r="DF42" s="187"/>
      <c r="DG42" s="187"/>
      <c r="DH42" s="187"/>
      <c r="DI42" s="187"/>
      <c r="DJ42" s="187"/>
      <c r="DK42" s="188"/>
      <c r="DL42" s="188"/>
      <c r="DM42" s="188"/>
      <c r="DN42" s="188"/>
      <c r="DO42" s="188"/>
      <c r="DP42" s="188"/>
      <c r="DQ42" s="188"/>
      <c r="DR42" s="188"/>
      <c r="DS42" s="188"/>
      <c r="DT42" s="188"/>
      <c r="DU42" s="188"/>
      <c r="DV42" s="188"/>
      <c r="DW42" s="188"/>
      <c r="DX42" s="188"/>
      <c r="DY42" s="188"/>
    </row>
    <row r="43" spans="1:129" x14ac:dyDescent="0.25">
      <c r="A43" s="223"/>
      <c r="B43" s="223"/>
      <c r="C43" s="224"/>
      <c r="D43" s="224"/>
      <c r="E43" s="224"/>
      <c r="F43" s="224"/>
      <c r="G43" s="225"/>
      <c r="H43" s="225"/>
      <c r="I43" s="224"/>
      <c r="J43" s="224"/>
      <c r="K43" s="224"/>
      <c r="L43" s="269"/>
      <c r="M43" s="223"/>
      <c r="N43" s="291" t="s">
        <v>800</v>
      </c>
      <c r="O43" s="223"/>
      <c r="BB43" s="230"/>
      <c r="BC43" s="187"/>
      <c r="BD43" s="187"/>
      <c r="BE43" s="187"/>
      <c r="BF43" s="187"/>
      <c r="BG43" s="187"/>
      <c r="BH43" s="187"/>
      <c r="BI43" s="187"/>
      <c r="BJ43" s="187"/>
      <c r="BK43" s="187"/>
      <c r="BL43" s="187"/>
      <c r="BM43" s="187"/>
      <c r="BN43" s="187"/>
      <c r="BO43" s="187"/>
      <c r="BP43" s="187"/>
      <c r="BQ43" s="187"/>
      <c r="BR43" s="187"/>
      <c r="BS43" s="187"/>
      <c r="BT43" s="187"/>
      <c r="BU43" s="187"/>
      <c r="BV43" s="187"/>
      <c r="BW43" s="187"/>
      <c r="BX43" s="187"/>
      <c r="BY43" s="188"/>
      <c r="BZ43" s="188"/>
      <c r="CA43" s="188"/>
      <c r="CB43" s="188"/>
      <c r="CC43" s="188"/>
      <c r="CD43" s="188"/>
      <c r="CE43" s="188"/>
      <c r="CF43" s="188"/>
      <c r="CG43" s="188"/>
      <c r="CH43" s="188"/>
      <c r="CI43" s="188"/>
      <c r="CJ43" s="188"/>
      <c r="CK43" s="188"/>
      <c r="CL43" s="188"/>
      <c r="CM43" s="188"/>
      <c r="CN43" s="187"/>
      <c r="CO43" s="187"/>
      <c r="CP43" s="187"/>
      <c r="CQ43" s="187"/>
      <c r="CR43" s="187"/>
      <c r="CS43" s="187"/>
      <c r="CT43" s="187"/>
      <c r="CU43" s="187"/>
      <c r="CV43" s="187"/>
      <c r="CW43" s="187"/>
      <c r="CX43" s="187"/>
      <c r="CY43" s="187"/>
      <c r="CZ43" s="187"/>
      <c r="DA43" s="187"/>
      <c r="DB43" s="187"/>
      <c r="DC43" s="187"/>
      <c r="DD43" s="187"/>
      <c r="DE43" s="187"/>
      <c r="DF43" s="187"/>
      <c r="DG43" s="187"/>
      <c r="DH43" s="187"/>
      <c r="DI43" s="187"/>
      <c r="DJ43" s="187"/>
      <c r="DK43" s="188"/>
      <c r="DL43" s="188"/>
      <c r="DM43" s="188"/>
      <c r="DN43" s="188"/>
      <c r="DO43" s="188"/>
      <c r="DP43" s="188"/>
      <c r="DQ43" s="188"/>
      <c r="DR43" s="188"/>
      <c r="DS43" s="188"/>
      <c r="DT43" s="188"/>
      <c r="DU43" s="188"/>
      <c r="DV43" s="188"/>
      <c r="DW43" s="188"/>
      <c r="DX43" s="188"/>
      <c r="DY43" s="188"/>
    </row>
    <row r="44" spans="1:129" x14ac:dyDescent="0.25">
      <c r="A44" s="223"/>
      <c r="B44" s="223"/>
      <c r="C44" s="224"/>
      <c r="D44" s="224"/>
      <c r="E44" s="224"/>
      <c r="F44" s="224"/>
      <c r="G44" s="225"/>
      <c r="H44" s="225"/>
      <c r="I44" s="224"/>
      <c r="J44" s="224"/>
      <c r="K44" s="224"/>
      <c r="L44" s="269"/>
      <c r="M44" s="223"/>
      <c r="N44" s="263" t="s">
        <v>800</v>
      </c>
      <c r="O44" s="223"/>
      <c r="BB44" s="230"/>
      <c r="BC44" s="187"/>
      <c r="BD44" s="187"/>
      <c r="BE44" s="187"/>
      <c r="BF44" s="187"/>
      <c r="BG44" s="187"/>
      <c r="BH44" s="187"/>
      <c r="BI44" s="187"/>
      <c r="BJ44" s="187"/>
      <c r="BK44" s="187"/>
      <c r="BL44" s="187"/>
      <c r="BM44" s="187"/>
      <c r="BN44" s="187"/>
      <c r="BO44" s="187"/>
      <c r="BP44" s="187"/>
      <c r="BQ44" s="187"/>
      <c r="BR44" s="187"/>
      <c r="BS44" s="187"/>
      <c r="BT44" s="187"/>
      <c r="BU44" s="187"/>
      <c r="BV44" s="187"/>
      <c r="BW44" s="187"/>
      <c r="BX44" s="187"/>
      <c r="BY44" s="188"/>
      <c r="BZ44" s="188"/>
      <c r="CA44" s="188"/>
      <c r="CB44" s="188"/>
      <c r="CC44" s="188"/>
      <c r="CD44" s="188"/>
      <c r="CE44" s="188"/>
      <c r="CF44" s="188"/>
      <c r="CG44" s="188"/>
      <c r="CH44" s="188"/>
      <c r="CI44" s="188"/>
      <c r="CJ44" s="188"/>
      <c r="CK44" s="188"/>
      <c r="CL44" s="188"/>
      <c r="CM44" s="188"/>
      <c r="CN44" s="187"/>
      <c r="CO44" s="187"/>
      <c r="CP44" s="187"/>
      <c r="CQ44" s="187"/>
      <c r="CR44" s="187"/>
      <c r="CS44" s="187"/>
      <c r="CT44" s="187"/>
      <c r="CU44" s="187"/>
      <c r="CV44" s="187"/>
      <c r="CW44" s="187"/>
      <c r="CX44" s="187"/>
      <c r="CY44" s="187"/>
      <c r="CZ44" s="187"/>
      <c r="DA44" s="187"/>
      <c r="DB44" s="187"/>
      <c r="DC44" s="187"/>
      <c r="DD44" s="187"/>
      <c r="DE44" s="187"/>
      <c r="DF44" s="187"/>
      <c r="DG44" s="187"/>
      <c r="DH44" s="187"/>
      <c r="DI44" s="187"/>
      <c r="DJ44" s="187"/>
      <c r="DK44" s="188"/>
      <c r="DL44" s="188"/>
      <c r="DM44" s="188"/>
      <c r="DN44" s="188"/>
      <c r="DO44" s="188"/>
      <c r="DP44" s="188"/>
      <c r="DQ44" s="188"/>
      <c r="DR44" s="188"/>
      <c r="DS44" s="188"/>
      <c r="DT44" s="188"/>
      <c r="DU44" s="188"/>
      <c r="DV44" s="188"/>
      <c r="DW44" s="188"/>
      <c r="DX44" s="188"/>
      <c r="DY44" s="188"/>
    </row>
    <row r="45" spans="1:129" x14ac:dyDescent="0.25">
      <c r="A45" s="223"/>
      <c r="B45" s="223"/>
      <c r="C45" s="224"/>
      <c r="D45" s="224"/>
      <c r="E45" s="224"/>
      <c r="F45" s="224"/>
      <c r="G45" s="225"/>
      <c r="H45" s="225"/>
      <c r="I45" s="224"/>
      <c r="J45" s="224"/>
      <c r="K45" s="224"/>
      <c r="L45" s="269"/>
      <c r="M45" s="223"/>
      <c r="N45" s="263" t="s">
        <v>800</v>
      </c>
      <c r="O45" s="223"/>
      <c r="BB45" s="230"/>
      <c r="BC45" s="187"/>
      <c r="BD45" s="187"/>
      <c r="BE45" s="187"/>
      <c r="BF45" s="187"/>
      <c r="BG45" s="187"/>
      <c r="BH45" s="187"/>
      <c r="BI45" s="187"/>
      <c r="BJ45" s="187"/>
      <c r="BK45" s="187"/>
      <c r="BL45" s="187"/>
      <c r="BM45" s="187"/>
      <c r="BN45" s="187"/>
      <c r="BO45" s="187"/>
      <c r="BP45" s="187"/>
      <c r="BQ45" s="187"/>
      <c r="BR45" s="187"/>
      <c r="BS45" s="187"/>
      <c r="BT45" s="187"/>
      <c r="BU45" s="187"/>
      <c r="BV45" s="187"/>
      <c r="BW45" s="187"/>
      <c r="BX45" s="187"/>
      <c r="BY45" s="188"/>
      <c r="BZ45" s="188"/>
      <c r="CA45" s="188"/>
      <c r="CB45" s="188"/>
      <c r="CC45" s="188"/>
      <c r="CD45" s="188"/>
      <c r="CE45" s="188"/>
      <c r="CF45" s="188"/>
      <c r="CG45" s="188"/>
      <c r="CH45" s="188"/>
      <c r="CI45" s="188"/>
      <c r="CJ45" s="188"/>
      <c r="CK45" s="188"/>
      <c r="CL45" s="188"/>
      <c r="CM45" s="188"/>
      <c r="CN45" s="187"/>
      <c r="CO45" s="187"/>
      <c r="CP45" s="187"/>
      <c r="CQ45" s="187"/>
      <c r="CR45" s="187"/>
      <c r="CS45" s="187"/>
      <c r="CT45" s="187"/>
      <c r="CU45" s="187"/>
      <c r="CV45" s="187"/>
      <c r="CW45" s="187"/>
      <c r="CX45" s="187"/>
      <c r="CY45" s="187"/>
      <c r="CZ45" s="187"/>
      <c r="DA45" s="187"/>
      <c r="DB45" s="187"/>
      <c r="DC45" s="187"/>
      <c r="DD45" s="187"/>
      <c r="DE45" s="187"/>
      <c r="DF45" s="187"/>
      <c r="DG45" s="187"/>
      <c r="DH45" s="187"/>
      <c r="DI45" s="187"/>
      <c r="DJ45" s="187"/>
      <c r="DK45" s="188"/>
      <c r="DL45" s="188"/>
      <c r="DM45" s="188"/>
      <c r="DN45" s="188"/>
      <c r="DO45" s="188"/>
      <c r="DP45" s="188"/>
      <c r="DQ45" s="188"/>
      <c r="DR45" s="188"/>
      <c r="DS45" s="188"/>
      <c r="DT45" s="188"/>
      <c r="DU45" s="188"/>
      <c r="DV45" s="188"/>
      <c r="DW45" s="188"/>
      <c r="DX45" s="188"/>
      <c r="DY45" s="188"/>
    </row>
    <row r="46" spans="1:129" x14ac:dyDescent="0.25">
      <c r="A46" s="223"/>
      <c r="B46" s="223"/>
      <c r="C46" s="224"/>
      <c r="D46" s="224"/>
      <c r="E46" s="224"/>
      <c r="F46" s="224"/>
      <c r="G46" s="225"/>
      <c r="H46" s="225"/>
      <c r="I46" s="224"/>
      <c r="J46" s="224"/>
      <c r="K46" s="224"/>
      <c r="L46" s="269"/>
      <c r="M46" s="223"/>
      <c r="N46" s="291" t="s">
        <v>800</v>
      </c>
      <c r="O46" s="223"/>
      <c r="BB46" s="230"/>
      <c r="BC46" s="187"/>
      <c r="BD46" s="187"/>
      <c r="BE46" s="187"/>
      <c r="BF46" s="187"/>
      <c r="BG46" s="187"/>
      <c r="BH46" s="187"/>
      <c r="BI46" s="187"/>
      <c r="BJ46" s="187"/>
      <c r="BK46" s="187"/>
      <c r="BL46" s="187"/>
      <c r="BM46" s="187"/>
      <c r="BN46" s="187"/>
      <c r="BO46" s="187"/>
      <c r="BP46" s="187"/>
      <c r="BQ46" s="187"/>
      <c r="BR46" s="187"/>
      <c r="BS46" s="187"/>
      <c r="BT46" s="187"/>
      <c r="BU46" s="187"/>
      <c r="BV46" s="187"/>
      <c r="BW46" s="187"/>
      <c r="BX46" s="187"/>
      <c r="BY46" s="188"/>
      <c r="BZ46" s="188"/>
      <c r="CA46" s="188"/>
      <c r="CB46" s="188"/>
      <c r="CC46" s="188"/>
      <c r="CD46" s="188"/>
      <c r="CE46" s="188"/>
      <c r="CF46" s="188"/>
      <c r="CG46" s="188"/>
      <c r="CH46" s="188"/>
      <c r="CI46" s="188"/>
      <c r="CJ46" s="188"/>
      <c r="CK46" s="188"/>
      <c r="CL46" s="188"/>
      <c r="CM46" s="188"/>
    </row>
    <row r="47" spans="1:129" x14ac:dyDescent="0.25">
      <c r="A47" s="223"/>
      <c r="B47" s="223"/>
      <c r="C47" s="224"/>
      <c r="D47" s="224"/>
      <c r="E47" s="224"/>
      <c r="F47" s="224"/>
      <c r="G47" s="225"/>
      <c r="H47" s="225"/>
      <c r="I47" s="224"/>
      <c r="J47" s="224"/>
      <c r="K47" s="224"/>
      <c r="L47" s="269"/>
      <c r="M47" s="223"/>
      <c r="N47" s="263" t="s">
        <v>800</v>
      </c>
      <c r="O47" s="223"/>
      <c r="BB47" s="230"/>
      <c r="BC47" s="187"/>
      <c r="BD47" s="187"/>
      <c r="BE47" s="187"/>
      <c r="BF47" s="187"/>
      <c r="BG47" s="187"/>
      <c r="BH47" s="187"/>
      <c r="BI47" s="187"/>
      <c r="BJ47" s="187"/>
      <c r="BK47" s="187"/>
      <c r="BL47" s="187"/>
      <c r="BM47" s="187"/>
      <c r="BN47" s="187"/>
      <c r="BO47" s="187"/>
      <c r="BP47" s="187"/>
      <c r="BQ47" s="187"/>
      <c r="BR47" s="187"/>
      <c r="BS47" s="187"/>
      <c r="BT47" s="187"/>
      <c r="BU47" s="187"/>
      <c r="BV47" s="187"/>
      <c r="BW47" s="187"/>
      <c r="BX47" s="187"/>
      <c r="BY47" s="188"/>
      <c r="BZ47" s="188"/>
      <c r="CA47" s="188"/>
      <c r="CB47" s="188"/>
      <c r="CC47" s="188"/>
      <c r="CD47" s="188"/>
      <c r="CE47" s="188"/>
      <c r="CF47" s="188"/>
      <c r="CG47" s="188"/>
      <c r="CH47" s="188"/>
      <c r="CI47" s="188"/>
      <c r="CJ47" s="188"/>
      <c r="CK47" s="188"/>
      <c r="CL47" s="188"/>
      <c r="CM47" s="188"/>
    </row>
    <row r="48" spans="1:129" x14ac:dyDescent="0.25">
      <c r="A48" s="223"/>
      <c r="B48" s="223"/>
      <c r="C48" s="224"/>
      <c r="D48" s="224"/>
      <c r="E48" s="224"/>
      <c r="F48" s="224"/>
      <c r="G48" s="225"/>
      <c r="H48" s="225"/>
      <c r="I48" s="224"/>
      <c r="J48" s="224"/>
      <c r="K48" s="224"/>
      <c r="L48" s="269"/>
      <c r="M48" s="223"/>
      <c r="N48" s="263" t="s">
        <v>800</v>
      </c>
      <c r="O48" s="223"/>
      <c r="BB48" s="230"/>
      <c r="BC48" s="187"/>
      <c r="BD48" s="187"/>
      <c r="BE48" s="187"/>
      <c r="BF48" s="187"/>
      <c r="BG48" s="187"/>
      <c r="BH48" s="187"/>
      <c r="BI48" s="187"/>
      <c r="BJ48" s="187"/>
      <c r="BK48" s="187"/>
      <c r="BL48" s="187"/>
      <c r="BM48" s="187"/>
      <c r="BN48" s="187"/>
      <c r="BO48" s="187"/>
      <c r="BP48" s="187"/>
      <c r="BQ48" s="187"/>
      <c r="BR48" s="187"/>
      <c r="BS48" s="187"/>
      <c r="BT48" s="187"/>
      <c r="BU48" s="187"/>
      <c r="BV48" s="187"/>
      <c r="BW48" s="187"/>
      <c r="BX48" s="187"/>
      <c r="BY48" s="188"/>
      <c r="BZ48" s="188"/>
      <c r="CA48" s="188"/>
      <c r="CB48" s="188"/>
      <c r="CC48" s="188"/>
      <c r="CD48" s="188"/>
      <c r="CE48" s="188"/>
      <c r="CF48" s="188"/>
      <c r="CG48" s="188"/>
      <c r="CH48" s="188"/>
      <c r="CI48" s="188"/>
      <c r="CJ48" s="188"/>
      <c r="CK48" s="188"/>
      <c r="CL48" s="188"/>
      <c r="CM48" s="188"/>
    </row>
    <row r="49" spans="1:91" x14ac:dyDescent="0.25">
      <c r="A49" s="223"/>
      <c r="B49" s="223"/>
      <c r="C49" s="224"/>
      <c r="D49" s="224"/>
      <c r="E49" s="224"/>
      <c r="F49" s="224"/>
      <c r="G49" s="225"/>
      <c r="H49" s="225"/>
      <c r="I49" s="224"/>
      <c r="J49" s="224"/>
      <c r="K49" s="224"/>
      <c r="L49" s="269"/>
      <c r="M49" s="223"/>
      <c r="N49" s="291" t="s">
        <v>800</v>
      </c>
      <c r="O49" s="223"/>
      <c r="BB49" s="230"/>
      <c r="BC49" s="187"/>
      <c r="BD49" s="187"/>
      <c r="BE49" s="187"/>
      <c r="BF49" s="187"/>
      <c r="BG49" s="187"/>
      <c r="BH49" s="187"/>
      <c r="BI49" s="187"/>
      <c r="BJ49" s="187"/>
      <c r="BK49" s="187"/>
      <c r="BL49" s="187"/>
      <c r="BM49" s="187"/>
      <c r="BN49" s="187"/>
      <c r="BO49" s="187"/>
      <c r="BP49" s="187"/>
      <c r="BQ49" s="187"/>
      <c r="BR49" s="187"/>
      <c r="BS49" s="187"/>
      <c r="BT49" s="187"/>
      <c r="BU49" s="187"/>
      <c r="BV49" s="187"/>
      <c r="BW49" s="187"/>
      <c r="BX49" s="187"/>
      <c r="BY49" s="188"/>
      <c r="BZ49" s="188"/>
      <c r="CA49" s="188"/>
      <c r="CB49" s="188"/>
      <c r="CC49" s="188"/>
      <c r="CD49" s="188"/>
      <c r="CE49" s="188"/>
      <c r="CF49" s="188"/>
      <c r="CG49" s="188"/>
      <c r="CH49" s="188"/>
      <c r="CI49" s="188"/>
      <c r="CJ49" s="188"/>
      <c r="CK49" s="188"/>
      <c r="CL49" s="188"/>
      <c r="CM49" s="188"/>
    </row>
    <row r="50" spans="1:91" x14ac:dyDescent="0.25">
      <c r="A50" s="223"/>
      <c r="B50" s="223"/>
      <c r="C50" s="224"/>
      <c r="D50" s="224"/>
      <c r="E50" s="224"/>
      <c r="F50" s="224"/>
      <c r="G50" s="225"/>
      <c r="H50" s="225"/>
      <c r="I50" s="224"/>
      <c r="J50" s="224"/>
      <c r="K50" s="224"/>
      <c r="L50" s="269"/>
      <c r="M50" s="223"/>
      <c r="N50" s="263" t="s">
        <v>800</v>
      </c>
      <c r="O50" s="223"/>
      <c r="BB50" s="230"/>
      <c r="BC50" s="187"/>
      <c r="BD50" s="187"/>
      <c r="BE50" s="187"/>
      <c r="BF50" s="187"/>
      <c r="BG50" s="187"/>
      <c r="BH50" s="187"/>
      <c r="BI50" s="187"/>
      <c r="BJ50" s="187"/>
      <c r="BK50" s="187"/>
      <c r="BL50" s="187"/>
      <c r="BM50" s="187"/>
      <c r="BN50" s="187"/>
      <c r="BO50" s="187"/>
      <c r="BP50" s="187"/>
      <c r="BQ50" s="187"/>
      <c r="BR50" s="187"/>
      <c r="BS50" s="187"/>
      <c r="BT50" s="187"/>
      <c r="BU50" s="187"/>
      <c r="BV50" s="187"/>
      <c r="BW50" s="187"/>
      <c r="BX50" s="187"/>
      <c r="BY50" s="188"/>
      <c r="BZ50" s="188"/>
      <c r="CA50" s="188"/>
      <c r="CB50" s="188"/>
      <c r="CC50" s="188"/>
      <c r="CD50" s="188"/>
      <c r="CE50" s="188"/>
      <c r="CF50" s="188"/>
      <c r="CG50" s="188"/>
      <c r="CH50" s="188"/>
      <c r="CI50" s="188"/>
      <c r="CJ50" s="188"/>
      <c r="CK50" s="188"/>
      <c r="CL50" s="188"/>
      <c r="CM50" s="188"/>
    </row>
    <row r="51" spans="1:91" x14ac:dyDescent="0.25">
      <c r="A51" s="223"/>
      <c r="B51" s="223"/>
      <c r="C51" s="224"/>
      <c r="D51" s="224"/>
      <c r="E51" s="224"/>
      <c r="F51" s="224"/>
      <c r="G51" s="225"/>
      <c r="H51" s="225"/>
      <c r="I51" s="224"/>
      <c r="J51" s="224"/>
      <c r="K51" s="224"/>
      <c r="L51" s="269"/>
      <c r="M51" s="223"/>
      <c r="N51" s="263" t="s">
        <v>800</v>
      </c>
      <c r="O51" s="223"/>
      <c r="BB51" s="230"/>
      <c r="BC51" s="187"/>
      <c r="BD51" s="187"/>
      <c r="BE51" s="187"/>
      <c r="BF51" s="187"/>
      <c r="BG51" s="187"/>
      <c r="BH51" s="187"/>
      <c r="BI51" s="187"/>
      <c r="BJ51" s="187"/>
      <c r="BK51" s="187"/>
      <c r="BL51" s="187"/>
      <c r="BM51" s="187"/>
      <c r="BN51" s="187"/>
      <c r="BO51" s="187"/>
      <c r="BP51" s="187"/>
      <c r="BQ51" s="187"/>
      <c r="BR51" s="187"/>
      <c r="BS51" s="187"/>
      <c r="BT51" s="187"/>
      <c r="BU51" s="187"/>
      <c r="BV51" s="187"/>
      <c r="BW51" s="187"/>
      <c r="BX51" s="187"/>
      <c r="BY51" s="188"/>
      <c r="BZ51" s="188"/>
      <c r="CA51" s="188"/>
      <c r="CB51" s="188"/>
      <c r="CC51" s="188"/>
      <c r="CD51" s="188"/>
      <c r="CE51" s="188"/>
      <c r="CF51" s="188"/>
      <c r="CG51" s="188"/>
      <c r="CH51" s="188"/>
      <c r="CI51" s="188"/>
      <c r="CJ51" s="188"/>
      <c r="CK51" s="188"/>
      <c r="CL51" s="188"/>
      <c r="CM51" s="188"/>
    </row>
    <row r="52" spans="1:91" x14ac:dyDescent="0.25">
      <c r="A52" s="223"/>
      <c r="B52" s="223"/>
      <c r="C52" s="224"/>
      <c r="D52" s="224"/>
      <c r="E52" s="224"/>
      <c r="F52" s="224"/>
      <c r="G52" s="225"/>
      <c r="H52" s="225"/>
      <c r="I52" s="224"/>
      <c r="J52" s="224"/>
      <c r="K52" s="224"/>
      <c r="L52" s="269"/>
      <c r="M52" s="223"/>
      <c r="N52" s="291" t="s">
        <v>800</v>
      </c>
      <c r="O52" s="223"/>
      <c r="BB52" s="230"/>
      <c r="BC52" s="187"/>
      <c r="BD52" s="187"/>
      <c r="BE52" s="187"/>
      <c r="BF52" s="187"/>
      <c r="BG52" s="187"/>
      <c r="BH52" s="187"/>
      <c r="BI52" s="187"/>
      <c r="BJ52" s="187"/>
      <c r="BK52" s="187"/>
      <c r="BL52" s="187"/>
      <c r="BM52" s="187"/>
      <c r="BN52" s="187"/>
      <c r="BO52" s="187"/>
      <c r="BP52" s="187"/>
      <c r="BQ52" s="187"/>
      <c r="BR52" s="187"/>
      <c r="BS52" s="187"/>
      <c r="BT52" s="187"/>
      <c r="BU52" s="187"/>
      <c r="BV52" s="187"/>
      <c r="BW52" s="187"/>
      <c r="BX52" s="187"/>
      <c r="BY52" s="188"/>
      <c r="BZ52" s="188"/>
      <c r="CA52" s="188"/>
      <c r="CB52" s="188"/>
      <c r="CC52" s="188"/>
      <c r="CD52" s="188"/>
      <c r="CE52" s="188"/>
      <c r="CF52" s="188"/>
      <c r="CG52" s="188"/>
      <c r="CH52" s="188"/>
      <c r="CI52" s="188"/>
      <c r="CJ52" s="188"/>
      <c r="CK52" s="188"/>
      <c r="CL52" s="188"/>
      <c r="CM52" s="188"/>
    </row>
    <row r="53" spans="1:91" x14ac:dyDescent="0.25">
      <c r="A53" s="223"/>
      <c r="B53" s="223"/>
      <c r="C53" s="224"/>
      <c r="D53" s="224"/>
      <c r="E53" s="224"/>
      <c r="F53" s="224"/>
      <c r="G53" s="225"/>
      <c r="H53" s="225"/>
      <c r="I53" s="224"/>
      <c r="J53" s="224"/>
      <c r="K53" s="224"/>
      <c r="L53" s="269"/>
      <c r="M53" s="223"/>
      <c r="N53" s="263" t="s">
        <v>800</v>
      </c>
      <c r="O53" s="223"/>
      <c r="BB53" s="230"/>
      <c r="BC53" s="187"/>
      <c r="BD53" s="187"/>
      <c r="BE53" s="187"/>
      <c r="BF53" s="187"/>
      <c r="BG53" s="187"/>
      <c r="BH53" s="187"/>
      <c r="BI53" s="187"/>
      <c r="BJ53" s="187"/>
      <c r="BK53" s="187"/>
      <c r="BL53" s="187"/>
      <c r="BM53" s="187"/>
      <c r="BN53" s="187"/>
      <c r="BO53" s="187"/>
      <c r="BP53" s="187"/>
      <c r="BQ53" s="187"/>
      <c r="BR53" s="187"/>
      <c r="BS53" s="187"/>
      <c r="BT53" s="187"/>
      <c r="BU53" s="187"/>
      <c r="BV53" s="187"/>
      <c r="BW53" s="187"/>
      <c r="BX53" s="187"/>
      <c r="BY53" s="188"/>
      <c r="BZ53" s="188"/>
      <c r="CA53" s="188"/>
      <c r="CB53" s="188"/>
      <c r="CC53" s="188"/>
      <c r="CD53" s="188"/>
      <c r="CE53" s="188"/>
      <c r="CF53" s="188"/>
      <c r="CG53" s="188"/>
      <c r="CH53" s="188"/>
      <c r="CI53" s="188"/>
      <c r="CJ53" s="188"/>
      <c r="CK53" s="188"/>
      <c r="CL53" s="188"/>
      <c r="CM53" s="188"/>
    </row>
    <row r="54" spans="1:91" x14ac:dyDescent="0.25">
      <c r="A54" s="223"/>
      <c r="B54" s="223"/>
      <c r="C54" s="224"/>
      <c r="D54" s="224"/>
      <c r="E54" s="224"/>
      <c r="F54" s="224"/>
      <c r="G54" s="225"/>
      <c r="H54" s="225"/>
      <c r="I54" s="224"/>
      <c r="J54" s="224"/>
      <c r="K54" s="224"/>
      <c r="L54" s="269"/>
      <c r="M54" s="223"/>
      <c r="N54" s="263" t="s">
        <v>800</v>
      </c>
      <c r="O54" s="223"/>
      <c r="BB54" s="230"/>
      <c r="BC54" s="187"/>
      <c r="BD54" s="187"/>
      <c r="BE54" s="187"/>
      <c r="BF54" s="187"/>
      <c r="BG54" s="187"/>
      <c r="BH54" s="187"/>
      <c r="BI54" s="187"/>
      <c r="BJ54" s="187"/>
      <c r="BK54" s="187"/>
      <c r="BL54" s="187"/>
      <c r="BM54" s="187"/>
      <c r="BN54" s="187"/>
      <c r="BO54" s="187"/>
      <c r="BP54" s="187"/>
      <c r="BQ54" s="187"/>
      <c r="BR54" s="187"/>
      <c r="BS54" s="187"/>
      <c r="BT54" s="187"/>
      <c r="BU54" s="187"/>
      <c r="BV54" s="187"/>
      <c r="BW54" s="187"/>
      <c r="BX54" s="187"/>
      <c r="BY54" s="188"/>
      <c r="BZ54" s="188"/>
      <c r="CA54" s="188"/>
      <c r="CB54" s="188"/>
      <c r="CC54" s="188"/>
      <c r="CD54" s="188"/>
      <c r="CE54" s="188"/>
      <c r="CF54" s="188"/>
      <c r="CG54" s="188"/>
      <c r="CH54" s="188"/>
      <c r="CI54" s="188"/>
      <c r="CJ54" s="188"/>
      <c r="CK54" s="188"/>
      <c r="CL54" s="188"/>
      <c r="CM54" s="188"/>
    </row>
    <row r="55" spans="1:91" x14ac:dyDescent="0.25">
      <c r="A55" s="223"/>
      <c r="B55" s="223"/>
      <c r="C55" s="224"/>
      <c r="D55" s="224"/>
      <c r="E55" s="224"/>
      <c r="F55" s="224"/>
      <c r="G55" s="225"/>
      <c r="H55" s="225"/>
      <c r="I55" s="224"/>
      <c r="J55" s="224"/>
      <c r="K55" s="224"/>
      <c r="L55" s="269"/>
      <c r="M55" s="223"/>
      <c r="N55" s="291" t="s">
        <v>800</v>
      </c>
      <c r="O55" s="223"/>
      <c r="BB55" s="230"/>
      <c r="BC55" s="187"/>
      <c r="BD55" s="187"/>
      <c r="BE55" s="187"/>
      <c r="BF55" s="187"/>
      <c r="BG55" s="187"/>
      <c r="BH55" s="187"/>
      <c r="BI55" s="187"/>
      <c r="BJ55" s="187"/>
      <c r="BK55" s="187"/>
      <c r="BL55" s="187"/>
      <c r="BM55" s="187"/>
      <c r="BN55" s="187"/>
      <c r="BO55" s="187"/>
      <c r="BP55" s="187"/>
      <c r="BQ55" s="187"/>
      <c r="BR55" s="187"/>
      <c r="BS55" s="187"/>
      <c r="BT55" s="187"/>
      <c r="BU55" s="187"/>
      <c r="BV55" s="187"/>
      <c r="BW55" s="187"/>
      <c r="BX55" s="187"/>
      <c r="BY55" s="188"/>
      <c r="BZ55" s="188"/>
      <c r="CA55" s="188"/>
      <c r="CB55" s="188"/>
      <c r="CC55" s="188"/>
      <c r="CD55" s="188"/>
      <c r="CE55" s="188"/>
      <c r="CF55" s="188"/>
      <c r="CG55" s="188"/>
      <c r="CH55" s="188"/>
      <c r="CI55" s="188"/>
      <c r="CJ55" s="188"/>
      <c r="CK55" s="188"/>
      <c r="CL55" s="188"/>
      <c r="CM55" s="188"/>
    </row>
    <row r="56" spans="1:91" x14ac:dyDescent="0.25">
      <c r="A56" s="223"/>
      <c r="B56" s="223"/>
      <c r="C56" s="224"/>
      <c r="D56" s="224"/>
      <c r="E56" s="224"/>
      <c r="F56" s="224"/>
      <c r="G56" s="225"/>
      <c r="H56" s="225"/>
      <c r="I56" s="224"/>
      <c r="J56" s="224"/>
      <c r="K56" s="224"/>
      <c r="L56" s="269"/>
      <c r="M56" s="223"/>
      <c r="N56" s="263" t="s">
        <v>800</v>
      </c>
      <c r="O56" s="223"/>
      <c r="BB56" s="230"/>
      <c r="BC56" s="187"/>
      <c r="BD56" s="187"/>
      <c r="BE56" s="187"/>
      <c r="BF56" s="187"/>
      <c r="BG56" s="187"/>
      <c r="BH56" s="187"/>
      <c r="BI56" s="187"/>
      <c r="BJ56" s="187"/>
      <c r="BK56" s="187"/>
      <c r="BL56" s="187"/>
      <c r="BM56" s="187"/>
      <c r="BN56" s="187"/>
      <c r="BO56" s="187"/>
      <c r="BP56" s="187"/>
      <c r="BQ56" s="187"/>
      <c r="BR56" s="187"/>
      <c r="BS56" s="187"/>
      <c r="BT56" s="187"/>
      <c r="BU56" s="187"/>
      <c r="BV56" s="187"/>
      <c r="BW56" s="187"/>
      <c r="BX56" s="187"/>
      <c r="BY56" s="188"/>
      <c r="BZ56" s="188"/>
      <c r="CA56" s="188"/>
      <c r="CB56" s="188"/>
      <c r="CC56" s="188"/>
      <c r="CD56" s="188"/>
      <c r="CE56" s="188"/>
      <c r="CF56" s="188"/>
      <c r="CG56" s="188"/>
      <c r="CH56" s="188"/>
      <c r="CI56" s="188"/>
      <c r="CJ56" s="188"/>
      <c r="CK56" s="188"/>
      <c r="CL56" s="188"/>
      <c r="CM56" s="188"/>
    </row>
    <row r="57" spans="1:91" x14ac:dyDescent="0.25">
      <c r="A57" s="223"/>
      <c r="B57" s="223"/>
      <c r="C57" s="224"/>
      <c r="D57" s="224"/>
      <c r="E57" s="224"/>
      <c r="F57" s="224"/>
      <c r="G57" s="225"/>
      <c r="H57" s="225"/>
      <c r="I57" s="224"/>
      <c r="J57" s="224"/>
      <c r="K57" s="224"/>
      <c r="L57" s="269"/>
      <c r="M57" s="223"/>
      <c r="N57" s="263" t="s">
        <v>800</v>
      </c>
      <c r="O57" s="223"/>
      <c r="BB57" s="230"/>
      <c r="BC57" s="187"/>
      <c r="BD57" s="187"/>
      <c r="BE57" s="187"/>
      <c r="BF57" s="187"/>
      <c r="BG57" s="187"/>
      <c r="BH57" s="187"/>
      <c r="BI57" s="187"/>
      <c r="BJ57" s="187"/>
      <c r="BK57" s="187"/>
      <c r="BL57" s="187"/>
      <c r="BM57" s="187"/>
      <c r="BN57" s="187"/>
      <c r="BO57" s="187"/>
      <c r="BP57" s="187"/>
      <c r="BQ57" s="187"/>
      <c r="BR57" s="187"/>
      <c r="BS57" s="187"/>
      <c r="BT57" s="187"/>
      <c r="BU57" s="187"/>
      <c r="BV57" s="187"/>
      <c r="BW57" s="187"/>
      <c r="BX57" s="187"/>
      <c r="BY57" s="188"/>
      <c r="BZ57" s="188"/>
      <c r="CA57" s="188"/>
      <c r="CB57" s="188"/>
      <c r="CC57" s="188"/>
      <c r="CD57" s="188"/>
      <c r="CE57" s="188"/>
      <c r="CF57" s="188"/>
      <c r="CG57" s="188"/>
      <c r="CH57" s="188"/>
      <c r="CI57" s="188"/>
      <c r="CJ57" s="188"/>
      <c r="CK57" s="188"/>
      <c r="CL57" s="188"/>
      <c r="CM57" s="188"/>
    </row>
    <row r="58" spans="1:91" x14ac:dyDescent="0.25">
      <c r="A58" s="223"/>
      <c r="B58" s="223"/>
      <c r="C58" s="224"/>
      <c r="D58" s="224"/>
      <c r="E58" s="224"/>
      <c r="F58" s="224"/>
      <c r="G58" s="225"/>
      <c r="H58" s="225"/>
      <c r="I58" s="224"/>
      <c r="J58" s="224"/>
      <c r="K58" s="224"/>
      <c r="L58" s="269"/>
      <c r="M58" s="223"/>
      <c r="N58" s="291" t="s">
        <v>800</v>
      </c>
      <c r="O58" s="223"/>
      <c r="BB58" s="230"/>
      <c r="BC58" s="187"/>
      <c r="BD58" s="187"/>
      <c r="BE58" s="187"/>
      <c r="BF58" s="187"/>
      <c r="BG58" s="187"/>
      <c r="BH58" s="187"/>
      <c r="BI58" s="187"/>
      <c r="BJ58" s="187"/>
      <c r="BK58" s="187"/>
      <c r="BL58" s="187"/>
      <c r="BM58" s="187"/>
      <c r="BN58" s="187"/>
      <c r="BO58" s="187"/>
      <c r="BP58" s="187"/>
      <c r="BQ58" s="187"/>
      <c r="BR58" s="187"/>
      <c r="BS58" s="187"/>
      <c r="BT58" s="187"/>
      <c r="BU58" s="187"/>
      <c r="BV58" s="187"/>
      <c r="BW58" s="187"/>
      <c r="BX58" s="187"/>
      <c r="BY58" s="188"/>
      <c r="BZ58" s="188"/>
      <c r="CA58" s="188"/>
      <c r="CB58" s="188"/>
      <c r="CC58" s="188"/>
      <c r="CD58" s="188"/>
      <c r="CE58" s="188"/>
      <c r="CF58" s="188"/>
      <c r="CG58" s="188"/>
      <c r="CH58" s="188"/>
      <c r="CI58" s="188"/>
      <c r="CJ58" s="188"/>
      <c r="CK58" s="188"/>
      <c r="CL58" s="188"/>
      <c r="CM58" s="188"/>
    </row>
    <row r="59" spans="1:91" x14ac:dyDescent="0.25">
      <c r="A59" s="223"/>
      <c r="B59" s="223"/>
      <c r="C59" s="224"/>
      <c r="D59" s="224"/>
      <c r="E59" s="224"/>
      <c r="F59" s="224"/>
      <c r="G59" s="225"/>
      <c r="H59" s="225"/>
      <c r="I59" s="224"/>
      <c r="J59" s="224"/>
      <c r="K59" s="224"/>
      <c r="L59" s="269"/>
      <c r="M59" s="223"/>
      <c r="N59" s="263" t="s">
        <v>800</v>
      </c>
      <c r="O59" s="223"/>
      <c r="BB59" s="230"/>
      <c r="BC59" s="187"/>
      <c r="BD59" s="187"/>
      <c r="BE59" s="187"/>
      <c r="BF59" s="187"/>
      <c r="BG59" s="187"/>
      <c r="BH59" s="187"/>
      <c r="BI59" s="187"/>
      <c r="BJ59" s="187"/>
      <c r="BK59" s="187"/>
      <c r="BL59" s="187"/>
      <c r="BM59" s="187"/>
      <c r="BN59" s="187"/>
      <c r="BO59" s="187"/>
      <c r="BP59" s="187"/>
      <c r="BQ59" s="187"/>
      <c r="BR59" s="187"/>
      <c r="BS59" s="187"/>
      <c r="BT59" s="187"/>
      <c r="BU59" s="187"/>
      <c r="BV59" s="187"/>
      <c r="BW59" s="187"/>
      <c r="BX59" s="187"/>
      <c r="BY59" s="188"/>
      <c r="BZ59" s="188"/>
      <c r="CA59" s="188"/>
      <c r="CB59" s="188"/>
      <c r="CC59" s="188"/>
      <c r="CD59" s="188"/>
      <c r="CE59" s="188"/>
      <c r="CF59" s="188"/>
      <c r="CG59" s="188"/>
      <c r="CH59" s="188"/>
      <c r="CI59" s="188"/>
      <c r="CJ59" s="188"/>
      <c r="CK59" s="188"/>
      <c r="CL59" s="188"/>
      <c r="CM59" s="188"/>
    </row>
    <row r="60" spans="1:91" x14ac:dyDescent="0.25">
      <c r="A60" s="223"/>
      <c r="B60" s="223"/>
      <c r="C60" s="224"/>
      <c r="D60" s="224"/>
      <c r="E60" s="224"/>
      <c r="F60" s="224"/>
      <c r="G60" s="225"/>
      <c r="H60" s="225"/>
      <c r="I60" s="224"/>
      <c r="J60" s="224"/>
      <c r="K60" s="224"/>
      <c r="L60" s="269"/>
      <c r="M60" s="223"/>
      <c r="N60" s="263" t="s">
        <v>800</v>
      </c>
      <c r="O60" s="223"/>
      <c r="BB60" s="230"/>
      <c r="BC60" s="187"/>
      <c r="BD60" s="187"/>
      <c r="BE60" s="187"/>
      <c r="BF60" s="187"/>
      <c r="BG60" s="187"/>
      <c r="BH60" s="187"/>
      <c r="BI60" s="187"/>
      <c r="BJ60" s="187"/>
      <c r="BK60" s="187"/>
      <c r="BL60" s="187"/>
      <c r="BM60" s="187"/>
      <c r="BN60" s="187"/>
      <c r="BO60" s="187"/>
      <c r="BP60" s="187"/>
      <c r="BQ60" s="187"/>
      <c r="BR60" s="187"/>
      <c r="BS60" s="187"/>
      <c r="BT60" s="187"/>
      <c r="BU60" s="187"/>
      <c r="BV60" s="187"/>
      <c r="BW60" s="187"/>
      <c r="BX60" s="187"/>
      <c r="BY60" s="188"/>
      <c r="BZ60" s="188"/>
      <c r="CA60" s="188"/>
      <c r="CB60" s="188"/>
      <c r="CC60" s="188"/>
      <c r="CD60" s="188"/>
      <c r="CE60" s="188"/>
      <c r="CF60" s="188"/>
      <c r="CG60" s="188"/>
      <c r="CH60" s="188"/>
      <c r="CI60" s="188"/>
      <c r="CJ60" s="188"/>
      <c r="CK60" s="188"/>
      <c r="CL60" s="188"/>
      <c r="CM60" s="188"/>
    </row>
    <row r="61" spans="1:91" x14ac:dyDescent="0.25">
      <c r="A61" s="223"/>
      <c r="B61" s="223"/>
      <c r="C61" s="224"/>
      <c r="D61" s="224"/>
      <c r="E61" s="224"/>
      <c r="F61" s="224"/>
      <c r="G61" s="225"/>
      <c r="H61" s="225"/>
      <c r="I61" s="224"/>
      <c r="J61" s="224"/>
      <c r="K61" s="224"/>
      <c r="L61" s="269"/>
      <c r="M61" s="223"/>
      <c r="N61" s="291" t="s">
        <v>800</v>
      </c>
      <c r="O61" s="223"/>
      <c r="BB61" s="230"/>
      <c r="BC61" s="187"/>
      <c r="BD61" s="187"/>
      <c r="BE61" s="187"/>
      <c r="BF61" s="187"/>
      <c r="BG61" s="187"/>
      <c r="BH61" s="187"/>
      <c r="BI61" s="187"/>
      <c r="BJ61" s="187"/>
      <c r="BK61" s="187"/>
      <c r="BL61" s="187"/>
      <c r="BM61" s="187"/>
      <c r="BN61" s="187"/>
      <c r="BO61" s="187"/>
      <c r="BP61" s="187"/>
      <c r="BQ61" s="187"/>
      <c r="BR61" s="187"/>
      <c r="BS61" s="187"/>
      <c r="BT61" s="187"/>
      <c r="BU61" s="187"/>
      <c r="BV61" s="187"/>
      <c r="BW61" s="187"/>
      <c r="BX61" s="187"/>
      <c r="BY61" s="188"/>
      <c r="BZ61" s="188"/>
      <c r="CA61" s="188"/>
      <c r="CB61" s="188"/>
      <c r="CC61" s="188"/>
      <c r="CD61" s="188"/>
      <c r="CE61" s="188"/>
      <c r="CF61" s="188"/>
      <c r="CG61" s="188"/>
      <c r="CH61" s="188"/>
      <c r="CI61" s="188"/>
      <c r="CJ61" s="188"/>
      <c r="CK61" s="188"/>
      <c r="CL61" s="188"/>
      <c r="CM61" s="188"/>
    </row>
    <row r="62" spans="1:91" x14ac:dyDescent="0.25">
      <c r="A62" s="223"/>
      <c r="B62" s="223"/>
      <c r="C62" s="224"/>
      <c r="D62" s="224"/>
      <c r="E62" s="224"/>
      <c r="F62" s="224"/>
      <c r="G62" s="225"/>
      <c r="H62" s="225"/>
      <c r="I62" s="224"/>
      <c r="J62" s="224"/>
      <c r="K62" s="224"/>
      <c r="L62" s="269"/>
      <c r="M62" s="223"/>
      <c r="N62" s="263" t="s">
        <v>800</v>
      </c>
      <c r="O62" s="223"/>
      <c r="BB62" s="230"/>
      <c r="BC62" s="187"/>
      <c r="BD62" s="187"/>
      <c r="BE62" s="187"/>
      <c r="BF62" s="187"/>
      <c r="BG62" s="187"/>
      <c r="BH62" s="187"/>
      <c r="BI62" s="187"/>
      <c r="BJ62" s="187"/>
      <c r="BK62" s="187"/>
      <c r="BL62" s="187"/>
      <c r="BM62" s="187"/>
      <c r="BN62" s="187"/>
      <c r="BO62" s="187"/>
      <c r="BP62" s="187"/>
      <c r="BQ62" s="187"/>
      <c r="BR62" s="187"/>
      <c r="BS62" s="187"/>
      <c r="BT62" s="187"/>
      <c r="BU62" s="187"/>
      <c r="BV62" s="187"/>
      <c r="BW62" s="187"/>
      <c r="BX62" s="187"/>
      <c r="BY62" s="188"/>
      <c r="BZ62" s="188"/>
      <c r="CA62" s="188"/>
      <c r="CB62" s="188"/>
      <c r="CC62" s="188"/>
      <c r="CD62" s="188"/>
      <c r="CE62" s="188"/>
      <c r="CF62" s="188"/>
      <c r="CG62" s="188"/>
      <c r="CH62" s="188"/>
      <c r="CI62" s="188"/>
      <c r="CJ62" s="188"/>
      <c r="CK62" s="188"/>
      <c r="CL62" s="188"/>
      <c r="CM62" s="188"/>
    </row>
    <row r="63" spans="1:91" x14ac:dyDescent="0.25">
      <c r="A63" s="223"/>
      <c r="B63" s="223"/>
      <c r="C63" s="224"/>
      <c r="D63" s="224"/>
      <c r="E63" s="224"/>
      <c r="F63" s="224"/>
      <c r="G63" s="225"/>
      <c r="H63" s="225"/>
      <c r="I63" s="224"/>
      <c r="J63" s="224"/>
      <c r="K63" s="224"/>
      <c r="L63" s="269"/>
      <c r="M63" s="223"/>
      <c r="N63" s="263" t="s">
        <v>800</v>
      </c>
      <c r="O63" s="223"/>
      <c r="BB63" s="230"/>
      <c r="BC63" s="187"/>
      <c r="BD63" s="187"/>
      <c r="BE63" s="187"/>
      <c r="BF63" s="187"/>
      <c r="BG63" s="187"/>
      <c r="BH63" s="187"/>
      <c r="BI63" s="187"/>
      <c r="BJ63" s="187"/>
      <c r="BK63" s="187"/>
      <c r="BL63" s="187"/>
      <c r="BM63" s="187"/>
      <c r="BN63" s="187"/>
      <c r="BO63" s="187"/>
      <c r="BP63" s="187"/>
      <c r="BQ63" s="187"/>
      <c r="BR63" s="187"/>
      <c r="BS63" s="187"/>
      <c r="BT63" s="187"/>
      <c r="BU63" s="187"/>
      <c r="BV63" s="187"/>
      <c r="BW63" s="187"/>
      <c r="BX63" s="187"/>
      <c r="BY63" s="188"/>
      <c r="BZ63" s="188"/>
      <c r="CA63" s="188"/>
      <c r="CB63" s="188"/>
      <c r="CC63" s="188"/>
      <c r="CD63" s="188"/>
      <c r="CE63" s="188"/>
      <c r="CF63" s="188"/>
      <c r="CG63" s="188"/>
      <c r="CH63" s="188"/>
      <c r="CI63" s="188"/>
      <c r="CJ63" s="188"/>
      <c r="CK63" s="188"/>
      <c r="CL63" s="188"/>
      <c r="CM63" s="188"/>
    </row>
    <row r="64" spans="1:91" x14ac:dyDescent="0.25">
      <c r="A64" s="223"/>
      <c r="B64" s="223"/>
      <c r="C64" s="224"/>
      <c r="D64" s="224"/>
      <c r="E64" s="224"/>
      <c r="F64" s="224"/>
      <c r="G64" s="225"/>
      <c r="H64" s="225"/>
      <c r="I64" s="224"/>
      <c r="J64" s="224"/>
      <c r="K64" s="224"/>
      <c r="L64" s="269"/>
      <c r="M64" s="223"/>
      <c r="N64" s="291" t="s">
        <v>800</v>
      </c>
      <c r="O64" s="223"/>
      <c r="BB64" s="230"/>
      <c r="BC64" s="187"/>
      <c r="BD64" s="187"/>
      <c r="BE64" s="187"/>
      <c r="BF64" s="187"/>
      <c r="BG64" s="187"/>
      <c r="BH64" s="187"/>
      <c r="BI64" s="187"/>
      <c r="BJ64" s="187"/>
      <c r="BK64" s="187"/>
      <c r="BL64" s="187"/>
      <c r="BM64" s="187"/>
      <c r="BN64" s="187"/>
      <c r="BO64" s="187"/>
      <c r="BP64" s="187"/>
      <c r="BQ64" s="187"/>
      <c r="BR64" s="187"/>
      <c r="BS64" s="187"/>
      <c r="BT64" s="187"/>
      <c r="BU64" s="187"/>
      <c r="BV64" s="187"/>
      <c r="BW64" s="187"/>
      <c r="BX64" s="187"/>
      <c r="BY64" s="188"/>
      <c r="BZ64" s="188"/>
      <c r="CA64" s="188"/>
      <c r="CB64" s="188"/>
      <c r="CC64" s="188"/>
      <c r="CD64" s="188"/>
      <c r="CE64" s="188"/>
      <c r="CF64" s="188"/>
      <c r="CG64" s="188"/>
      <c r="CH64" s="188"/>
      <c r="CI64" s="188"/>
      <c r="CJ64" s="188"/>
      <c r="CK64" s="188"/>
      <c r="CL64" s="188"/>
      <c r="CM64" s="188"/>
    </row>
    <row r="65" spans="1:91" x14ac:dyDescent="0.25">
      <c r="A65" s="223"/>
      <c r="B65" s="223"/>
      <c r="C65" s="224"/>
      <c r="D65" s="224"/>
      <c r="E65" s="224"/>
      <c r="F65" s="224"/>
      <c r="G65" s="225"/>
      <c r="H65" s="225"/>
      <c r="I65" s="224"/>
      <c r="J65" s="224"/>
      <c r="K65" s="224"/>
      <c r="L65" s="269"/>
      <c r="M65" s="223"/>
      <c r="N65" s="263" t="s">
        <v>800</v>
      </c>
      <c r="O65" s="223"/>
      <c r="BB65" s="230"/>
      <c r="BC65" s="187"/>
      <c r="BD65" s="187"/>
      <c r="BE65" s="187"/>
      <c r="BF65" s="187"/>
      <c r="BG65" s="187"/>
      <c r="BH65" s="187"/>
      <c r="BI65" s="187"/>
      <c r="BJ65" s="187"/>
      <c r="BK65" s="187"/>
      <c r="BL65" s="187"/>
      <c r="BM65" s="187"/>
      <c r="BN65" s="187"/>
      <c r="BO65" s="187"/>
      <c r="BP65" s="187"/>
      <c r="BQ65" s="187"/>
      <c r="BR65" s="187"/>
      <c r="BS65" s="187"/>
      <c r="BT65" s="187"/>
      <c r="BU65" s="187"/>
      <c r="BV65" s="187"/>
      <c r="BW65" s="187"/>
      <c r="BX65" s="187"/>
      <c r="BY65" s="188"/>
      <c r="BZ65" s="188"/>
      <c r="CA65" s="188"/>
      <c r="CB65" s="188"/>
      <c r="CC65" s="188"/>
      <c r="CD65" s="188"/>
      <c r="CE65" s="188"/>
      <c r="CF65" s="188"/>
      <c r="CG65" s="188"/>
      <c r="CH65" s="188"/>
      <c r="CI65" s="188"/>
      <c r="CJ65" s="188"/>
      <c r="CK65" s="188"/>
      <c r="CL65" s="188"/>
      <c r="CM65" s="188"/>
    </row>
    <row r="66" spans="1:91" x14ac:dyDescent="0.25">
      <c r="A66" s="223"/>
      <c r="B66" s="223"/>
      <c r="C66" s="224"/>
      <c r="D66" s="224"/>
      <c r="E66" s="224"/>
      <c r="F66" s="224"/>
      <c r="G66" s="225"/>
      <c r="H66" s="225"/>
      <c r="I66" s="224"/>
      <c r="J66" s="224"/>
      <c r="K66" s="224"/>
      <c r="L66" s="269"/>
      <c r="M66" s="223"/>
      <c r="N66" s="263" t="s">
        <v>800</v>
      </c>
      <c r="O66" s="223"/>
      <c r="BB66" s="230"/>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8"/>
      <c r="BZ66" s="188"/>
      <c r="CA66" s="188"/>
      <c r="CB66" s="188"/>
      <c r="CC66" s="188"/>
      <c r="CD66" s="188"/>
      <c r="CE66" s="188"/>
      <c r="CF66" s="188"/>
      <c r="CG66" s="188"/>
      <c r="CH66" s="188"/>
      <c r="CI66" s="188"/>
      <c r="CJ66" s="188"/>
      <c r="CK66" s="188"/>
      <c r="CL66" s="188"/>
      <c r="CM66" s="188"/>
    </row>
    <row r="67" spans="1:91" x14ac:dyDescent="0.25">
      <c r="A67" s="223"/>
      <c r="B67" s="223"/>
      <c r="C67" s="224"/>
      <c r="D67" s="224"/>
      <c r="E67" s="224"/>
      <c r="F67" s="224"/>
      <c r="G67" s="225"/>
      <c r="H67" s="225"/>
      <c r="I67" s="224"/>
      <c r="J67" s="224"/>
      <c r="K67" s="224"/>
      <c r="L67" s="269"/>
      <c r="M67" s="223"/>
      <c r="N67" s="291" t="s">
        <v>800</v>
      </c>
      <c r="O67" s="223"/>
      <c r="BB67" s="230"/>
      <c r="BC67" s="187"/>
      <c r="BD67" s="187"/>
      <c r="BE67" s="187"/>
      <c r="BF67" s="187"/>
      <c r="BG67" s="187"/>
      <c r="BH67" s="187"/>
      <c r="BI67" s="187"/>
      <c r="BJ67" s="187"/>
      <c r="BK67" s="187"/>
      <c r="BL67" s="187"/>
      <c r="BM67" s="187"/>
      <c r="BN67" s="187"/>
      <c r="BO67" s="187"/>
      <c r="BP67" s="187"/>
      <c r="BQ67" s="187"/>
      <c r="BR67" s="187"/>
      <c r="BS67" s="187"/>
      <c r="BT67" s="187"/>
      <c r="BU67" s="187"/>
      <c r="BV67" s="187"/>
      <c r="BW67" s="187"/>
      <c r="BX67" s="187"/>
      <c r="BY67" s="188"/>
      <c r="BZ67" s="188"/>
      <c r="CA67" s="188"/>
      <c r="CB67" s="188"/>
      <c r="CC67" s="188"/>
      <c r="CD67" s="188"/>
      <c r="CE67" s="188"/>
      <c r="CF67" s="188"/>
      <c r="CG67" s="188"/>
      <c r="CH67" s="188"/>
      <c r="CI67" s="188"/>
      <c r="CJ67" s="188"/>
      <c r="CK67" s="188"/>
      <c r="CL67" s="188"/>
      <c r="CM67" s="188"/>
    </row>
    <row r="68" spans="1:91" x14ac:dyDescent="0.25">
      <c r="A68" s="223"/>
      <c r="B68" s="223"/>
      <c r="C68" s="224"/>
      <c r="D68" s="224"/>
      <c r="E68" s="224"/>
      <c r="F68" s="224"/>
      <c r="G68" s="225"/>
      <c r="H68" s="225"/>
      <c r="I68" s="224"/>
      <c r="J68" s="224"/>
      <c r="K68" s="224"/>
      <c r="L68" s="269"/>
      <c r="M68" s="223"/>
      <c r="N68" s="263" t="s">
        <v>800</v>
      </c>
      <c r="O68" s="223"/>
      <c r="BB68" s="230"/>
      <c r="BC68" s="187"/>
      <c r="BD68" s="187"/>
      <c r="BE68" s="187"/>
      <c r="BF68" s="187"/>
      <c r="BG68" s="187"/>
      <c r="BH68" s="187"/>
      <c r="BI68" s="187"/>
      <c r="BJ68" s="187"/>
      <c r="BK68" s="187"/>
      <c r="BL68" s="187"/>
      <c r="BM68" s="187"/>
      <c r="BN68" s="187"/>
      <c r="BO68" s="187"/>
      <c r="BP68" s="187"/>
      <c r="BQ68" s="187"/>
      <c r="BR68" s="187"/>
      <c r="BS68" s="187"/>
      <c r="BT68" s="187"/>
      <c r="BU68" s="187"/>
      <c r="BV68" s="187"/>
      <c r="BW68" s="187"/>
      <c r="BX68" s="187"/>
      <c r="BY68" s="188"/>
      <c r="BZ68" s="188"/>
      <c r="CA68" s="188"/>
      <c r="CB68" s="188"/>
      <c r="CC68" s="188"/>
      <c r="CD68" s="188"/>
      <c r="CE68" s="188"/>
      <c r="CF68" s="188"/>
      <c r="CG68" s="188"/>
      <c r="CH68" s="188"/>
      <c r="CI68" s="188"/>
      <c r="CJ68" s="188"/>
      <c r="CK68" s="188"/>
      <c r="CL68" s="188"/>
      <c r="CM68" s="188"/>
    </row>
    <row r="69" spans="1:91" x14ac:dyDescent="0.25">
      <c r="A69" s="223"/>
      <c r="B69" s="223"/>
      <c r="C69" s="224"/>
      <c r="D69" s="224"/>
      <c r="E69" s="224"/>
      <c r="F69" s="224"/>
      <c r="G69" s="225"/>
      <c r="H69" s="225"/>
      <c r="I69" s="224"/>
      <c r="J69" s="224"/>
      <c r="K69" s="224"/>
      <c r="L69" s="269"/>
      <c r="M69" s="223"/>
      <c r="N69" s="263" t="s">
        <v>800</v>
      </c>
      <c r="O69" s="223"/>
      <c r="BB69" s="230"/>
      <c r="BC69" s="187"/>
      <c r="BD69" s="187"/>
      <c r="BE69" s="187"/>
      <c r="BF69" s="187"/>
      <c r="BG69" s="187"/>
      <c r="BH69" s="187"/>
      <c r="BI69" s="187"/>
      <c r="BJ69" s="187"/>
      <c r="BK69" s="187"/>
      <c r="BL69" s="187"/>
      <c r="BM69" s="187"/>
      <c r="BN69" s="187"/>
      <c r="BO69" s="187"/>
      <c r="BP69" s="187"/>
      <c r="BQ69" s="187"/>
      <c r="BR69" s="187"/>
      <c r="BS69" s="187"/>
      <c r="BT69" s="187"/>
      <c r="BU69" s="187"/>
      <c r="BV69" s="187"/>
      <c r="BW69" s="187"/>
      <c r="BX69" s="187"/>
      <c r="BY69" s="188"/>
      <c r="BZ69" s="188"/>
      <c r="CA69" s="188"/>
      <c r="CB69" s="188"/>
      <c r="CC69" s="188"/>
      <c r="CD69" s="188"/>
      <c r="CE69" s="188"/>
      <c r="CF69" s="188"/>
      <c r="CG69" s="188"/>
      <c r="CH69" s="188"/>
      <c r="CI69" s="188"/>
      <c r="CJ69" s="188"/>
      <c r="CK69" s="188"/>
      <c r="CL69" s="188"/>
      <c r="CM69" s="188"/>
    </row>
    <row r="70" spans="1:91" x14ac:dyDescent="0.25">
      <c r="A70" s="223"/>
      <c r="B70" s="223"/>
      <c r="C70" s="224"/>
      <c r="D70" s="224"/>
      <c r="E70" s="224"/>
      <c r="F70" s="224"/>
      <c r="G70" s="225"/>
      <c r="H70" s="225"/>
      <c r="I70" s="224"/>
      <c r="J70" s="224"/>
      <c r="K70" s="224"/>
      <c r="L70" s="269"/>
      <c r="M70" s="223"/>
      <c r="N70" s="291" t="s">
        <v>800</v>
      </c>
      <c r="O70" s="223"/>
      <c r="BB70" s="230"/>
      <c r="BC70" s="187"/>
      <c r="BD70" s="187"/>
      <c r="BE70" s="187"/>
      <c r="BF70" s="187"/>
      <c r="BG70" s="187"/>
      <c r="BH70" s="187"/>
      <c r="BI70" s="187"/>
      <c r="BJ70" s="187"/>
      <c r="BK70" s="187"/>
      <c r="BL70" s="187"/>
      <c r="BM70" s="187"/>
      <c r="BN70" s="187"/>
      <c r="BO70" s="187"/>
      <c r="BP70" s="187"/>
      <c r="BQ70" s="187"/>
      <c r="BR70" s="187"/>
      <c r="BS70" s="187"/>
      <c r="BT70" s="187"/>
      <c r="BU70" s="187"/>
      <c r="BV70" s="187"/>
      <c r="BW70" s="187"/>
      <c r="BX70" s="187"/>
      <c r="BY70" s="188"/>
      <c r="BZ70" s="188"/>
      <c r="CA70" s="188"/>
      <c r="CB70" s="188"/>
      <c r="CC70" s="188"/>
      <c r="CD70" s="188"/>
      <c r="CE70" s="188"/>
      <c r="CF70" s="188"/>
      <c r="CG70" s="188"/>
      <c r="CH70" s="188"/>
      <c r="CI70" s="188"/>
      <c r="CJ70" s="188"/>
      <c r="CK70" s="188"/>
      <c r="CL70" s="188"/>
      <c r="CM70" s="188"/>
    </row>
    <row r="71" spans="1:91" x14ac:dyDescent="0.25">
      <c r="A71" s="223"/>
      <c r="B71" s="223"/>
      <c r="C71" s="224"/>
      <c r="D71" s="224"/>
      <c r="E71" s="224"/>
      <c r="F71" s="224"/>
      <c r="G71" s="225"/>
      <c r="H71" s="225"/>
      <c r="I71" s="224"/>
      <c r="J71" s="224"/>
      <c r="K71" s="224"/>
      <c r="L71" s="269"/>
      <c r="M71" s="223"/>
      <c r="N71" s="263" t="s">
        <v>800</v>
      </c>
      <c r="O71" s="223"/>
      <c r="BB71" s="230"/>
      <c r="BC71" s="187"/>
      <c r="BD71" s="187"/>
      <c r="BE71" s="187"/>
      <c r="BF71" s="187"/>
      <c r="BG71" s="187"/>
      <c r="BH71" s="187"/>
      <c r="BI71" s="187"/>
      <c r="BJ71" s="187"/>
      <c r="BK71" s="187"/>
      <c r="BL71" s="187"/>
      <c r="BM71" s="187"/>
      <c r="BN71" s="187"/>
      <c r="BO71" s="187"/>
      <c r="BP71" s="187"/>
      <c r="BQ71" s="187"/>
      <c r="BR71" s="187"/>
      <c r="BS71" s="187"/>
      <c r="BT71" s="187"/>
      <c r="BU71" s="187"/>
      <c r="BV71" s="187"/>
      <c r="BW71" s="187"/>
      <c r="BX71" s="187"/>
      <c r="BY71" s="188"/>
      <c r="BZ71" s="188"/>
      <c r="CA71" s="188"/>
      <c r="CB71" s="188"/>
      <c r="CC71" s="188"/>
      <c r="CD71" s="188"/>
      <c r="CE71" s="188"/>
      <c r="CF71" s="188"/>
      <c r="CG71" s="188"/>
      <c r="CH71" s="188"/>
      <c r="CI71" s="188"/>
      <c r="CJ71" s="188"/>
      <c r="CK71" s="188"/>
      <c r="CL71" s="188"/>
      <c r="CM71" s="188"/>
    </row>
    <row r="72" spans="1:91" x14ac:dyDescent="0.25">
      <c r="A72" s="223"/>
      <c r="B72" s="223"/>
      <c r="C72" s="224"/>
      <c r="D72" s="224"/>
      <c r="E72" s="224"/>
      <c r="F72" s="224"/>
      <c r="G72" s="225"/>
      <c r="H72" s="225"/>
      <c r="I72" s="224"/>
      <c r="J72" s="224"/>
      <c r="K72" s="224"/>
      <c r="L72" s="269"/>
      <c r="M72" s="223"/>
      <c r="N72" s="263" t="s">
        <v>800</v>
      </c>
      <c r="O72" s="223"/>
      <c r="BB72" s="230"/>
      <c r="BC72" s="187"/>
      <c r="BD72" s="187"/>
      <c r="BE72" s="187"/>
      <c r="BF72" s="187"/>
      <c r="BG72" s="187"/>
      <c r="BH72" s="187"/>
      <c r="BI72" s="187"/>
      <c r="BJ72" s="187"/>
      <c r="BK72" s="187"/>
      <c r="BL72" s="187"/>
      <c r="BM72" s="187"/>
      <c r="BN72" s="187"/>
      <c r="BO72" s="187"/>
      <c r="BP72" s="187"/>
      <c r="BQ72" s="187"/>
      <c r="BR72" s="187"/>
      <c r="BS72" s="187"/>
      <c r="BT72" s="187"/>
      <c r="BU72" s="187"/>
      <c r="BV72" s="187"/>
      <c r="BW72" s="187"/>
      <c r="BX72" s="187"/>
      <c r="BY72" s="188"/>
      <c r="BZ72" s="188"/>
      <c r="CA72" s="188"/>
      <c r="CB72" s="188"/>
      <c r="CC72" s="188"/>
      <c r="CD72" s="188"/>
      <c r="CE72" s="188"/>
      <c r="CF72" s="188"/>
      <c r="CG72" s="188"/>
      <c r="CH72" s="188"/>
      <c r="CI72" s="188"/>
      <c r="CJ72" s="188"/>
      <c r="CK72" s="188"/>
      <c r="CL72" s="188"/>
      <c r="CM72" s="188"/>
    </row>
    <row r="73" spans="1:91" x14ac:dyDescent="0.25">
      <c r="A73" s="223"/>
      <c r="B73" s="223"/>
      <c r="C73" s="224"/>
      <c r="D73" s="224"/>
      <c r="E73" s="224"/>
      <c r="F73" s="224"/>
      <c r="G73" s="225"/>
      <c r="H73" s="225"/>
      <c r="I73" s="224"/>
      <c r="J73" s="224"/>
      <c r="K73" s="224"/>
      <c r="L73" s="269"/>
      <c r="M73" s="223"/>
      <c r="N73" s="291" t="s">
        <v>800</v>
      </c>
      <c r="O73" s="223"/>
      <c r="BB73" s="230"/>
      <c r="BC73" s="187"/>
      <c r="BD73" s="187"/>
      <c r="BE73" s="187"/>
      <c r="BF73" s="187"/>
      <c r="BG73" s="187"/>
      <c r="BH73" s="187"/>
      <c r="BI73" s="187"/>
      <c r="BJ73" s="187"/>
      <c r="BK73" s="187"/>
      <c r="BL73" s="187"/>
      <c r="BM73" s="187"/>
      <c r="BN73" s="187"/>
      <c r="BO73" s="187"/>
      <c r="BP73" s="187"/>
      <c r="BQ73" s="187"/>
      <c r="BR73" s="187"/>
      <c r="BS73" s="187"/>
      <c r="BT73" s="187"/>
      <c r="BU73" s="187"/>
      <c r="BV73" s="187"/>
      <c r="BW73" s="187"/>
      <c r="BX73" s="187"/>
      <c r="BY73" s="188"/>
      <c r="BZ73" s="188"/>
      <c r="CA73" s="188"/>
      <c r="CB73" s="188"/>
      <c r="CC73" s="188"/>
      <c r="CD73" s="188"/>
      <c r="CE73" s="188"/>
      <c r="CF73" s="188"/>
      <c r="CG73" s="188"/>
      <c r="CH73" s="188"/>
      <c r="CI73" s="188"/>
      <c r="CJ73" s="188"/>
      <c r="CK73" s="188"/>
      <c r="CL73" s="188"/>
      <c r="CM73" s="188"/>
    </row>
    <row r="74" spans="1:91" x14ac:dyDescent="0.25">
      <c r="A74" s="223"/>
      <c r="B74" s="223"/>
      <c r="C74" s="224"/>
      <c r="D74" s="224"/>
      <c r="E74" s="224"/>
      <c r="F74" s="224"/>
      <c r="G74" s="225"/>
      <c r="H74" s="225"/>
      <c r="I74" s="224"/>
      <c r="J74" s="224"/>
      <c r="K74" s="224"/>
      <c r="L74" s="269"/>
      <c r="M74" s="223"/>
      <c r="N74" s="263" t="s">
        <v>800</v>
      </c>
      <c r="O74" s="223"/>
      <c r="BB74" s="230"/>
      <c r="BC74" s="187"/>
      <c r="BD74" s="187"/>
      <c r="BE74" s="187"/>
      <c r="BF74" s="187"/>
      <c r="BG74" s="187"/>
      <c r="BH74" s="187"/>
      <c r="BI74" s="187"/>
      <c r="BJ74" s="187"/>
      <c r="BK74" s="187"/>
      <c r="BL74" s="187"/>
      <c r="BM74" s="187"/>
      <c r="BN74" s="187"/>
      <c r="BO74" s="187"/>
      <c r="BP74" s="187"/>
      <c r="BQ74" s="187"/>
      <c r="BR74" s="187"/>
      <c r="BS74" s="187"/>
      <c r="BT74" s="187"/>
      <c r="BU74" s="187"/>
      <c r="BV74" s="187"/>
      <c r="BW74" s="187"/>
      <c r="BX74" s="187"/>
      <c r="BY74" s="188"/>
      <c r="BZ74" s="188"/>
      <c r="CA74" s="188"/>
      <c r="CB74" s="188"/>
      <c r="CC74" s="188"/>
      <c r="CD74" s="188"/>
      <c r="CE74" s="188"/>
      <c r="CF74" s="188"/>
      <c r="CG74" s="188"/>
      <c r="CH74" s="188"/>
      <c r="CI74" s="188"/>
      <c r="CJ74" s="188"/>
      <c r="CK74" s="188"/>
      <c r="CL74" s="188"/>
      <c r="CM74" s="188"/>
    </row>
    <row r="75" spans="1:91" x14ac:dyDescent="0.25">
      <c r="A75" s="223"/>
      <c r="B75" s="223"/>
      <c r="C75" s="224"/>
      <c r="D75" s="224"/>
      <c r="E75" s="224"/>
      <c r="F75" s="224"/>
      <c r="G75" s="225"/>
      <c r="H75" s="225"/>
      <c r="I75" s="224"/>
      <c r="J75" s="224"/>
      <c r="K75" s="224"/>
      <c r="L75" s="269"/>
      <c r="M75" s="223"/>
      <c r="N75" s="263" t="s">
        <v>800</v>
      </c>
      <c r="O75" s="223"/>
      <c r="BB75" s="230"/>
      <c r="BC75" s="187"/>
      <c r="BD75" s="187"/>
      <c r="BE75" s="187"/>
      <c r="BF75" s="187"/>
      <c r="BG75" s="187"/>
      <c r="BH75" s="187"/>
      <c r="BI75" s="187"/>
      <c r="BJ75" s="187"/>
      <c r="BK75" s="187"/>
      <c r="BL75" s="187"/>
      <c r="BM75" s="187"/>
      <c r="BN75" s="187"/>
      <c r="BO75" s="187"/>
      <c r="BP75" s="187"/>
      <c r="BQ75" s="187"/>
      <c r="BR75" s="187"/>
      <c r="BS75" s="187"/>
      <c r="BT75" s="187"/>
      <c r="BU75" s="187"/>
      <c r="BV75" s="187"/>
      <c r="BW75" s="187"/>
      <c r="BX75" s="187"/>
      <c r="BY75" s="188"/>
      <c r="BZ75" s="188"/>
      <c r="CA75" s="188"/>
      <c r="CB75" s="188"/>
      <c r="CC75" s="188"/>
      <c r="CD75" s="188"/>
      <c r="CE75" s="188"/>
      <c r="CF75" s="188"/>
      <c r="CG75" s="188"/>
      <c r="CH75" s="188"/>
      <c r="CI75" s="188"/>
      <c r="CJ75" s="188"/>
      <c r="CK75" s="188"/>
      <c r="CL75" s="188"/>
      <c r="CM75" s="188"/>
    </row>
    <row r="76" spans="1:91" x14ac:dyDescent="0.25">
      <c r="A76" s="223"/>
      <c r="B76" s="223"/>
      <c r="C76" s="224"/>
      <c r="D76" s="224"/>
      <c r="E76" s="224"/>
      <c r="F76" s="224"/>
      <c r="G76" s="225"/>
      <c r="H76" s="225"/>
      <c r="I76" s="224"/>
      <c r="J76" s="224"/>
      <c r="K76" s="224"/>
      <c r="L76" s="269"/>
      <c r="M76" s="223"/>
      <c r="N76" s="291" t="s">
        <v>800</v>
      </c>
      <c r="O76" s="223"/>
      <c r="BB76" s="230"/>
      <c r="BC76" s="187"/>
      <c r="BD76" s="187"/>
      <c r="BE76" s="187"/>
      <c r="BF76" s="187"/>
      <c r="BG76" s="187"/>
      <c r="BH76" s="187"/>
      <c r="BI76" s="187"/>
      <c r="BJ76" s="187"/>
      <c r="BK76" s="187"/>
      <c r="BL76" s="187"/>
      <c r="BM76" s="187"/>
      <c r="BN76" s="187"/>
      <c r="BO76" s="187"/>
      <c r="BP76" s="187"/>
      <c r="BQ76" s="187"/>
      <c r="BR76" s="187"/>
      <c r="BS76" s="187"/>
      <c r="BT76" s="187"/>
      <c r="BU76" s="187"/>
      <c r="BV76" s="187"/>
      <c r="BW76" s="187"/>
      <c r="BX76" s="187"/>
      <c r="BY76" s="188"/>
      <c r="BZ76" s="188"/>
      <c r="CA76" s="188"/>
      <c r="CB76" s="188"/>
      <c r="CC76" s="188"/>
      <c r="CD76" s="188"/>
      <c r="CE76" s="188"/>
      <c r="CF76" s="188"/>
      <c r="CG76" s="188"/>
      <c r="CH76" s="188"/>
      <c r="CI76" s="188"/>
      <c r="CJ76" s="188"/>
      <c r="CK76" s="188"/>
      <c r="CL76" s="188"/>
      <c r="CM76" s="188"/>
    </row>
    <row r="77" spans="1:91" x14ac:dyDescent="0.25">
      <c r="A77" s="223"/>
      <c r="B77" s="223"/>
      <c r="C77" s="224"/>
      <c r="D77" s="224"/>
      <c r="E77" s="224"/>
      <c r="F77" s="224"/>
      <c r="G77" s="225"/>
      <c r="H77" s="225"/>
      <c r="I77" s="224"/>
      <c r="J77" s="224"/>
      <c r="K77" s="224"/>
      <c r="L77" s="269"/>
      <c r="M77" s="223"/>
      <c r="N77" s="263" t="s">
        <v>800</v>
      </c>
      <c r="O77" s="223"/>
      <c r="BB77" s="230"/>
      <c r="BC77" s="187"/>
      <c r="BD77" s="187"/>
      <c r="BE77" s="187"/>
      <c r="BF77" s="187"/>
      <c r="BG77" s="187"/>
      <c r="BH77" s="187"/>
      <c r="BI77" s="187"/>
      <c r="BJ77" s="187"/>
      <c r="BK77" s="187"/>
      <c r="BL77" s="187"/>
      <c r="BM77" s="187"/>
      <c r="BN77" s="187"/>
      <c r="BO77" s="187"/>
      <c r="BP77" s="187"/>
      <c r="BQ77" s="187"/>
      <c r="BR77" s="187"/>
      <c r="BS77" s="187"/>
      <c r="BT77" s="187"/>
      <c r="BU77" s="187"/>
      <c r="BV77" s="187"/>
      <c r="BW77" s="187"/>
      <c r="BX77" s="187"/>
      <c r="BY77" s="188"/>
      <c r="BZ77" s="188"/>
      <c r="CA77" s="188"/>
      <c r="CB77" s="188"/>
      <c r="CC77" s="188"/>
      <c r="CD77" s="188"/>
      <c r="CE77" s="188"/>
      <c r="CF77" s="188"/>
      <c r="CG77" s="188"/>
      <c r="CH77" s="188"/>
      <c r="CI77" s="188"/>
      <c r="CJ77" s="188"/>
      <c r="CK77" s="188"/>
      <c r="CL77" s="188"/>
      <c r="CM77" s="188"/>
    </row>
    <row r="78" spans="1:91" x14ac:dyDescent="0.25">
      <c r="A78" s="223"/>
      <c r="B78" s="223"/>
      <c r="C78" s="224"/>
      <c r="D78" s="224"/>
      <c r="E78" s="224"/>
      <c r="F78" s="224"/>
      <c r="G78" s="225"/>
      <c r="H78" s="225"/>
      <c r="I78" s="224"/>
      <c r="J78" s="224"/>
      <c r="K78" s="224"/>
      <c r="L78" s="269"/>
      <c r="M78" s="223"/>
      <c r="N78" s="263" t="s">
        <v>800</v>
      </c>
      <c r="O78" s="223"/>
      <c r="BB78" s="230"/>
      <c r="BC78" s="187"/>
      <c r="BD78" s="187"/>
      <c r="BE78" s="187"/>
      <c r="BF78" s="187"/>
      <c r="BG78" s="187"/>
      <c r="BH78" s="187"/>
      <c r="BI78" s="187"/>
      <c r="BJ78" s="187"/>
      <c r="BK78" s="187"/>
      <c r="BL78" s="187"/>
      <c r="BM78" s="187"/>
      <c r="BN78" s="187"/>
      <c r="BO78" s="187"/>
      <c r="BP78" s="187"/>
      <c r="BQ78" s="187"/>
      <c r="BR78" s="187"/>
      <c r="BS78" s="187"/>
      <c r="BT78" s="187"/>
      <c r="BU78" s="187"/>
      <c r="BV78" s="187"/>
      <c r="BW78" s="187"/>
      <c r="BX78" s="187"/>
      <c r="BY78" s="188"/>
      <c r="BZ78" s="188"/>
      <c r="CA78" s="188"/>
      <c r="CB78" s="188"/>
      <c r="CC78" s="188"/>
      <c r="CD78" s="188"/>
      <c r="CE78" s="188"/>
      <c r="CF78" s="188"/>
      <c r="CG78" s="188"/>
      <c r="CH78" s="188"/>
      <c r="CI78" s="188"/>
      <c r="CJ78" s="188"/>
      <c r="CK78" s="188"/>
      <c r="CL78" s="188"/>
      <c r="CM78" s="188"/>
    </row>
    <row r="79" spans="1:91" x14ac:dyDescent="0.25">
      <c r="A79" s="223"/>
      <c r="B79" s="223"/>
      <c r="C79" s="224"/>
      <c r="D79" s="224"/>
      <c r="E79" s="224"/>
      <c r="F79" s="224"/>
      <c r="G79" s="225"/>
      <c r="H79" s="225"/>
      <c r="I79" s="224"/>
      <c r="J79" s="224"/>
      <c r="K79" s="224"/>
      <c r="L79" s="269"/>
      <c r="M79" s="223"/>
      <c r="N79" s="291" t="s">
        <v>800</v>
      </c>
      <c r="O79" s="223"/>
      <c r="BB79" s="230"/>
      <c r="BC79" s="187"/>
      <c r="BD79" s="187"/>
      <c r="BE79" s="187"/>
      <c r="BF79" s="187"/>
      <c r="BG79" s="187"/>
      <c r="BH79" s="187"/>
      <c r="BI79" s="187"/>
      <c r="BJ79" s="187"/>
      <c r="BK79" s="187"/>
      <c r="BL79" s="187"/>
      <c r="BM79" s="187"/>
      <c r="BN79" s="187"/>
      <c r="BO79" s="187"/>
      <c r="BP79" s="187"/>
      <c r="BQ79" s="187"/>
      <c r="BR79" s="187"/>
      <c r="BS79" s="187"/>
      <c r="BT79" s="187"/>
      <c r="BU79" s="187"/>
      <c r="BV79" s="187"/>
      <c r="BW79" s="187"/>
      <c r="BX79" s="187"/>
      <c r="BY79" s="188"/>
      <c r="BZ79" s="188"/>
      <c r="CA79" s="188"/>
      <c r="CB79" s="188"/>
      <c r="CC79" s="188"/>
      <c r="CD79" s="188"/>
      <c r="CE79" s="188"/>
      <c r="CF79" s="188"/>
      <c r="CG79" s="188"/>
      <c r="CH79" s="188"/>
      <c r="CI79" s="188"/>
      <c r="CJ79" s="188"/>
      <c r="CK79" s="188"/>
      <c r="CL79" s="188"/>
      <c r="CM79" s="188"/>
    </row>
    <row r="80" spans="1:91" x14ac:dyDescent="0.25">
      <c r="A80" s="223"/>
      <c r="B80" s="223"/>
      <c r="C80" s="224"/>
      <c r="D80" s="224"/>
      <c r="E80" s="224"/>
      <c r="F80" s="224"/>
      <c r="G80" s="225"/>
      <c r="H80" s="225"/>
      <c r="I80" s="224"/>
      <c r="J80" s="224"/>
      <c r="K80" s="224"/>
      <c r="L80" s="269"/>
      <c r="M80" s="223"/>
      <c r="N80" s="263" t="s">
        <v>800</v>
      </c>
      <c r="O80" s="223"/>
      <c r="BB80" s="230"/>
      <c r="BC80" s="187"/>
      <c r="BD80" s="187"/>
      <c r="BE80" s="187"/>
      <c r="BF80" s="187"/>
      <c r="BG80" s="187"/>
      <c r="BH80" s="187"/>
      <c r="BI80" s="187"/>
      <c r="BJ80" s="187"/>
      <c r="BK80" s="187"/>
      <c r="BL80" s="187"/>
      <c r="BM80" s="187"/>
      <c r="BN80" s="187"/>
      <c r="BO80" s="187"/>
      <c r="BP80" s="187"/>
      <c r="BQ80" s="187"/>
      <c r="BR80" s="187"/>
      <c r="BS80" s="187"/>
      <c r="BT80" s="187"/>
      <c r="BU80" s="187"/>
      <c r="BV80" s="187"/>
      <c r="BW80" s="187"/>
      <c r="BX80" s="187"/>
      <c r="BY80" s="188"/>
      <c r="BZ80" s="188"/>
      <c r="CA80" s="188"/>
      <c r="CB80" s="188"/>
      <c r="CC80" s="188"/>
      <c r="CD80" s="188"/>
      <c r="CE80" s="188"/>
      <c r="CF80" s="188"/>
      <c r="CG80" s="188"/>
      <c r="CH80" s="188"/>
      <c r="CI80" s="188"/>
      <c r="CJ80" s="188"/>
      <c r="CK80" s="188"/>
      <c r="CL80" s="188"/>
      <c r="CM80" s="188"/>
    </row>
    <row r="81" spans="1:91" x14ac:dyDescent="0.25">
      <c r="A81" s="223"/>
      <c r="B81" s="223"/>
      <c r="C81" s="224"/>
      <c r="D81" s="224"/>
      <c r="E81" s="224"/>
      <c r="F81" s="224"/>
      <c r="G81" s="225"/>
      <c r="H81" s="225"/>
      <c r="I81" s="224"/>
      <c r="J81" s="224"/>
      <c r="K81" s="224"/>
      <c r="L81" s="269"/>
      <c r="M81" s="223"/>
      <c r="N81" s="263" t="s">
        <v>800</v>
      </c>
      <c r="O81" s="223"/>
      <c r="BB81" s="230"/>
      <c r="BC81" s="187"/>
      <c r="BD81" s="187"/>
      <c r="BE81" s="187"/>
      <c r="BF81" s="187"/>
      <c r="BG81" s="187"/>
      <c r="BH81" s="187"/>
      <c r="BI81" s="187"/>
      <c r="BJ81" s="187"/>
      <c r="BK81" s="187"/>
      <c r="BL81" s="187"/>
      <c r="BM81" s="187"/>
      <c r="BN81" s="187"/>
      <c r="BO81" s="187"/>
      <c r="BP81" s="187"/>
      <c r="BQ81" s="187"/>
      <c r="BR81" s="187"/>
      <c r="BS81" s="187"/>
      <c r="BT81" s="187"/>
      <c r="BU81" s="187"/>
      <c r="BV81" s="187"/>
      <c r="BW81" s="187"/>
      <c r="BX81" s="187"/>
      <c r="BY81" s="188"/>
      <c r="BZ81" s="188"/>
      <c r="CA81" s="188"/>
      <c r="CB81" s="188"/>
      <c r="CC81" s="188"/>
      <c r="CD81" s="188"/>
      <c r="CE81" s="188"/>
      <c r="CF81" s="188"/>
      <c r="CG81" s="188"/>
      <c r="CH81" s="188"/>
      <c r="CI81" s="188"/>
      <c r="CJ81" s="188"/>
      <c r="CK81" s="188"/>
      <c r="CL81" s="188"/>
      <c r="CM81" s="188"/>
    </row>
    <row r="82" spans="1:91" x14ac:dyDescent="0.25">
      <c r="A82" s="223"/>
      <c r="B82" s="223"/>
      <c r="C82" s="224"/>
      <c r="D82" s="224"/>
      <c r="E82" s="224"/>
      <c r="F82" s="224"/>
      <c r="G82" s="225"/>
      <c r="H82" s="225"/>
      <c r="I82" s="224"/>
      <c r="J82" s="224"/>
      <c r="K82" s="224"/>
      <c r="L82" s="269"/>
      <c r="M82" s="223"/>
      <c r="N82" s="291" t="s">
        <v>800</v>
      </c>
      <c r="O82" s="223"/>
      <c r="BB82" s="230"/>
      <c r="BC82" s="187"/>
      <c r="BD82" s="187"/>
      <c r="BE82" s="187"/>
      <c r="BF82" s="187"/>
      <c r="BG82" s="187"/>
      <c r="BH82" s="187"/>
      <c r="BI82" s="187"/>
      <c r="BJ82" s="187"/>
      <c r="BK82" s="187"/>
      <c r="BL82" s="187"/>
      <c r="BM82" s="187"/>
      <c r="BN82" s="187"/>
      <c r="BO82" s="187"/>
      <c r="BP82" s="187"/>
      <c r="BQ82" s="187"/>
      <c r="BR82" s="187"/>
      <c r="BS82" s="187"/>
      <c r="BT82" s="187"/>
      <c r="BU82" s="187"/>
      <c r="BV82" s="187"/>
      <c r="BW82" s="187"/>
      <c r="BX82" s="187"/>
      <c r="BY82" s="188"/>
      <c r="BZ82" s="188"/>
      <c r="CA82" s="188"/>
      <c r="CB82" s="188"/>
      <c r="CC82" s="188"/>
      <c r="CD82" s="188"/>
      <c r="CE82" s="188"/>
      <c r="CF82" s="188"/>
      <c r="CG82" s="188"/>
      <c r="CH82" s="188"/>
      <c r="CI82" s="188"/>
      <c r="CJ82" s="188"/>
      <c r="CK82" s="188"/>
      <c r="CL82" s="188"/>
      <c r="CM82" s="188"/>
    </row>
    <row r="83" spans="1:91" x14ac:dyDescent="0.25">
      <c r="A83" s="223"/>
      <c r="B83" s="223"/>
      <c r="C83" s="224"/>
      <c r="D83" s="224"/>
      <c r="E83" s="224"/>
      <c r="F83" s="224"/>
      <c r="G83" s="225"/>
      <c r="H83" s="225"/>
      <c r="I83" s="224"/>
      <c r="J83" s="224"/>
      <c r="K83" s="224"/>
      <c r="L83" s="269"/>
      <c r="M83" s="223"/>
      <c r="N83" s="263" t="s">
        <v>800</v>
      </c>
      <c r="O83" s="223"/>
      <c r="BB83" s="230"/>
      <c r="BC83" s="187"/>
      <c r="BD83" s="187"/>
      <c r="BE83" s="187"/>
      <c r="BF83" s="187"/>
      <c r="BG83" s="187"/>
      <c r="BH83" s="187"/>
      <c r="BI83" s="187"/>
      <c r="BJ83" s="187"/>
      <c r="BK83" s="187"/>
      <c r="BL83" s="187"/>
      <c r="BM83" s="187"/>
      <c r="BN83" s="187"/>
      <c r="BO83" s="187"/>
      <c r="BP83" s="187"/>
      <c r="BQ83" s="187"/>
      <c r="BR83" s="187"/>
      <c r="BS83" s="187"/>
      <c r="BT83" s="187"/>
      <c r="BU83" s="187"/>
      <c r="BV83" s="187"/>
      <c r="BW83" s="187"/>
      <c r="BX83" s="187"/>
      <c r="BY83" s="188"/>
      <c r="BZ83" s="188"/>
      <c r="CA83" s="188"/>
      <c r="CB83" s="188"/>
      <c r="CC83" s="188"/>
      <c r="CD83" s="188"/>
      <c r="CE83" s="188"/>
      <c r="CF83" s="188"/>
      <c r="CG83" s="188"/>
      <c r="CH83" s="188"/>
      <c r="CI83" s="188"/>
      <c r="CJ83" s="188"/>
      <c r="CK83" s="188"/>
      <c r="CL83" s="188"/>
      <c r="CM83" s="188"/>
    </row>
    <row r="84" spans="1:91" x14ac:dyDescent="0.25">
      <c r="A84" s="223"/>
      <c r="B84" s="223"/>
      <c r="C84" s="224"/>
      <c r="D84" s="224"/>
      <c r="E84" s="224"/>
      <c r="F84" s="224"/>
      <c r="G84" s="225"/>
      <c r="H84" s="225"/>
      <c r="I84" s="224"/>
      <c r="J84" s="224"/>
      <c r="K84" s="224"/>
      <c r="L84" s="269"/>
      <c r="M84" s="223"/>
      <c r="N84" s="263" t="s">
        <v>800</v>
      </c>
      <c r="O84" s="223"/>
      <c r="BB84" s="230"/>
      <c r="BC84" s="187"/>
      <c r="BD84" s="187"/>
      <c r="BE84" s="187"/>
      <c r="BF84" s="187"/>
      <c r="BG84" s="187"/>
      <c r="BH84" s="187"/>
      <c r="BI84" s="187"/>
      <c r="BJ84" s="187"/>
      <c r="BK84" s="187"/>
      <c r="BL84" s="187"/>
      <c r="BM84" s="187"/>
      <c r="BN84" s="187"/>
      <c r="BO84" s="187"/>
      <c r="BP84" s="187"/>
      <c r="BQ84" s="187"/>
      <c r="BR84" s="187"/>
      <c r="BS84" s="187"/>
      <c r="BT84" s="187"/>
      <c r="BU84" s="187"/>
      <c r="BV84" s="187"/>
      <c r="BW84" s="187"/>
      <c r="BX84" s="187"/>
      <c r="BY84" s="188"/>
      <c r="BZ84" s="188"/>
      <c r="CA84" s="188"/>
      <c r="CB84" s="188"/>
      <c r="CC84" s="188"/>
      <c r="CD84" s="188"/>
      <c r="CE84" s="188"/>
      <c r="CF84" s="188"/>
      <c r="CG84" s="188"/>
      <c r="CH84" s="188"/>
      <c r="CI84" s="188"/>
      <c r="CJ84" s="188"/>
      <c r="CK84" s="188"/>
      <c r="CL84" s="188"/>
      <c r="CM84" s="188"/>
    </row>
    <row r="85" spans="1:91" x14ac:dyDescent="0.25">
      <c r="A85" s="223"/>
      <c r="B85" s="223"/>
      <c r="C85" s="224"/>
      <c r="D85" s="224"/>
      <c r="E85" s="224"/>
      <c r="F85" s="224"/>
      <c r="G85" s="225"/>
      <c r="H85" s="225"/>
      <c r="I85" s="224"/>
      <c r="J85" s="224"/>
      <c r="K85" s="224"/>
      <c r="L85" s="269"/>
      <c r="M85" s="223"/>
      <c r="N85" s="291" t="s">
        <v>800</v>
      </c>
      <c r="O85" s="223"/>
      <c r="BB85" s="230"/>
      <c r="BC85" s="187"/>
      <c r="BD85" s="187"/>
      <c r="BE85" s="187"/>
      <c r="BF85" s="187"/>
      <c r="BG85" s="187"/>
      <c r="BH85" s="187"/>
      <c r="BI85" s="187"/>
      <c r="BJ85" s="187"/>
      <c r="BK85" s="187"/>
      <c r="BL85" s="187"/>
      <c r="BM85" s="187"/>
      <c r="BN85" s="187"/>
      <c r="BO85" s="187"/>
      <c r="BP85" s="187"/>
      <c r="BQ85" s="187"/>
      <c r="BR85" s="187"/>
      <c r="BS85" s="187"/>
      <c r="BT85" s="187"/>
      <c r="BU85" s="187"/>
      <c r="BV85" s="187"/>
      <c r="BW85" s="187"/>
      <c r="BX85" s="187"/>
      <c r="BY85" s="188"/>
      <c r="BZ85" s="188"/>
      <c r="CA85" s="188"/>
      <c r="CB85" s="188"/>
      <c r="CC85" s="188"/>
      <c r="CD85" s="188"/>
      <c r="CE85" s="188"/>
      <c r="CF85" s="188"/>
      <c r="CG85" s="188"/>
      <c r="CH85" s="188"/>
      <c r="CI85" s="188"/>
      <c r="CJ85" s="188"/>
      <c r="CK85" s="188"/>
      <c r="CL85" s="188"/>
      <c r="CM85" s="188"/>
    </row>
    <row r="86" spans="1:91" x14ac:dyDescent="0.25">
      <c r="A86" s="223"/>
      <c r="B86" s="223"/>
      <c r="C86" s="224"/>
      <c r="D86" s="224"/>
      <c r="E86" s="224"/>
      <c r="F86" s="224"/>
      <c r="G86" s="225"/>
      <c r="H86" s="225"/>
      <c r="I86" s="224"/>
      <c r="J86" s="224"/>
      <c r="K86" s="224"/>
      <c r="L86" s="269"/>
      <c r="M86" s="223"/>
      <c r="N86" s="263" t="s">
        <v>800</v>
      </c>
      <c r="O86" s="223"/>
      <c r="BB86" s="230"/>
      <c r="BC86" s="187"/>
      <c r="BD86" s="187"/>
      <c r="BE86" s="187"/>
      <c r="BF86" s="187"/>
      <c r="BG86" s="187"/>
      <c r="BH86" s="187"/>
      <c r="BI86" s="187"/>
      <c r="BJ86" s="187"/>
      <c r="BK86" s="187"/>
      <c r="BL86" s="187"/>
      <c r="BM86" s="187"/>
      <c r="BN86" s="187"/>
      <c r="BO86" s="187"/>
      <c r="BP86" s="187"/>
      <c r="BQ86" s="187"/>
      <c r="BR86" s="187"/>
      <c r="BS86" s="187"/>
      <c r="BT86" s="187"/>
      <c r="BU86" s="187"/>
      <c r="BV86" s="187"/>
      <c r="BW86" s="187"/>
      <c r="BX86" s="187"/>
      <c r="BY86" s="188"/>
      <c r="BZ86" s="188"/>
      <c r="CA86" s="188"/>
      <c r="CB86" s="188"/>
      <c r="CC86" s="188"/>
      <c r="CD86" s="188"/>
      <c r="CE86" s="188"/>
      <c r="CF86" s="188"/>
      <c r="CG86" s="188"/>
      <c r="CH86" s="188"/>
      <c r="CI86" s="188"/>
      <c r="CJ86" s="188"/>
      <c r="CK86" s="188"/>
      <c r="CL86" s="188"/>
      <c r="CM86" s="188"/>
    </row>
    <row r="87" spans="1:91" x14ac:dyDescent="0.25">
      <c r="A87" s="223"/>
      <c r="B87" s="223"/>
      <c r="C87" s="224"/>
      <c r="D87" s="224"/>
      <c r="E87" s="224"/>
      <c r="F87" s="224"/>
      <c r="G87" s="225"/>
      <c r="H87" s="225"/>
      <c r="I87" s="224"/>
      <c r="J87" s="224"/>
      <c r="K87" s="224"/>
      <c r="L87" s="269"/>
      <c r="M87" s="223"/>
      <c r="N87" s="263" t="s">
        <v>800</v>
      </c>
      <c r="O87" s="223"/>
      <c r="BB87" s="230"/>
      <c r="BC87" s="187"/>
      <c r="BD87" s="187"/>
      <c r="BE87" s="187"/>
      <c r="BF87" s="187"/>
      <c r="BG87" s="187"/>
      <c r="BH87" s="187"/>
      <c r="BI87" s="187"/>
      <c r="BJ87" s="187"/>
      <c r="BK87" s="187"/>
      <c r="BL87" s="187"/>
      <c r="BM87" s="187"/>
      <c r="BN87" s="187"/>
      <c r="BO87" s="187"/>
      <c r="BP87" s="187"/>
      <c r="BQ87" s="187"/>
      <c r="BR87" s="187"/>
      <c r="BS87" s="187"/>
      <c r="BT87" s="187"/>
      <c r="BU87" s="187"/>
      <c r="BV87" s="187"/>
      <c r="BW87" s="187"/>
      <c r="BX87" s="187"/>
      <c r="BY87" s="188"/>
      <c r="BZ87" s="188"/>
      <c r="CA87" s="188"/>
      <c r="CB87" s="188"/>
      <c r="CC87" s="188"/>
      <c r="CD87" s="188"/>
      <c r="CE87" s="188"/>
      <c r="CF87" s="188"/>
      <c r="CG87" s="188"/>
      <c r="CH87" s="188"/>
      <c r="CI87" s="188"/>
      <c r="CJ87" s="188"/>
      <c r="CK87" s="188"/>
      <c r="CL87" s="188"/>
      <c r="CM87" s="188"/>
    </row>
    <row r="88" spans="1:91" x14ac:dyDescent="0.25">
      <c r="A88" s="223"/>
      <c r="B88" s="223"/>
      <c r="C88" s="224"/>
      <c r="D88" s="224"/>
      <c r="E88" s="224"/>
      <c r="F88" s="224"/>
      <c r="G88" s="225"/>
      <c r="H88" s="225"/>
      <c r="I88" s="224"/>
      <c r="J88" s="224"/>
      <c r="K88" s="224"/>
      <c r="L88" s="269"/>
      <c r="M88" s="223"/>
      <c r="N88" s="291" t="s">
        <v>800</v>
      </c>
      <c r="O88" s="223"/>
      <c r="BB88" s="230"/>
      <c r="BC88" s="187"/>
      <c r="BD88" s="187"/>
      <c r="BE88" s="187"/>
      <c r="BF88" s="187"/>
      <c r="BG88" s="187"/>
      <c r="BH88" s="187"/>
      <c r="BI88" s="187"/>
      <c r="BJ88" s="187"/>
      <c r="BK88" s="187"/>
      <c r="BL88" s="187"/>
      <c r="BM88" s="187"/>
      <c r="BN88" s="187"/>
      <c r="BO88" s="187"/>
      <c r="BP88" s="187"/>
      <c r="BQ88" s="187"/>
      <c r="BR88" s="187"/>
      <c r="BS88" s="187"/>
      <c r="BT88" s="187"/>
      <c r="BU88" s="187"/>
      <c r="BV88" s="187"/>
      <c r="BW88" s="187"/>
      <c r="BX88" s="187"/>
      <c r="BY88" s="188"/>
      <c r="BZ88" s="188"/>
      <c r="CA88" s="188"/>
      <c r="CB88" s="188"/>
      <c r="CC88" s="188"/>
      <c r="CD88" s="188"/>
      <c r="CE88" s="188"/>
      <c r="CF88" s="188"/>
      <c r="CG88" s="188"/>
      <c r="CH88" s="188"/>
      <c r="CI88" s="188"/>
      <c r="CJ88" s="188"/>
      <c r="CK88" s="188"/>
      <c r="CL88" s="188"/>
      <c r="CM88" s="188"/>
    </row>
    <row r="89" spans="1:91" x14ac:dyDescent="0.25">
      <c r="A89" s="223"/>
      <c r="B89" s="223"/>
      <c r="C89" s="224"/>
      <c r="D89" s="224"/>
      <c r="E89" s="224"/>
      <c r="F89" s="224"/>
      <c r="G89" s="225"/>
      <c r="H89" s="225"/>
      <c r="I89" s="224"/>
      <c r="J89" s="224"/>
      <c r="K89" s="224"/>
      <c r="L89" s="269"/>
      <c r="M89" s="223"/>
      <c r="N89" s="263" t="s">
        <v>800</v>
      </c>
      <c r="O89" s="223"/>
      <c r="BB89" s="230"/>
      <c r="BC89" s="187"/>
      <c r="BD89" s="187"/>
      <c r="BE89" s="187"/>
      <c r="BF89" s="187"/>
      <c r="BG89" s="187"/>
      <c r="BH89" s="187"/>
      <c r="BI89" s="187"/>
      <c r="BJ89" s="187"/>
      <c r="BK89" s="187"/>
      <c r="BL89" s="187"/>
      <c r="BM89" s="187"/>
      <c r="BN89" s="187"/>
      <c r="BO89" s="187"/>
      <c r="BP89" s="187"/>
      <c r="BQ89" s="187"/>
      <c r="BR89" s="187"/>
      <c r="BS89" s="187"/>
      <c r="BT89" s="187"/>
      <c r="BU89" s="187"/>
      <c r="BV89" s="187"/>
      <c r="BW89" s="187"/>
      <c r="BX89" s="187"/>
      <c r="BY89" s="188"/>
      <c r="BZ89" s="188"/>
      <c r="CA89" s="188"/>
      <c r="CB89" s="188"/>
      <c r="CC89" s="188"/>
      <c r="CD89" s="188"/>
      <c r="CE89" s="188"/>
      <c r="CF89" s="188"/>
      <c r="CG89" s="188"/>
      <c r="CH89" s="188"/>
      <c r="CI89" s="188"/>
      <c r="CJ89" s="188"/>
      <c r="CK89" s="188"/>
      <c r="CL89" s="188"/>
      <c r="CM89" s="188"/>
    </row>
    <row r="90" spans="1:91" x14ac:dyDescent="0.25">
      <c r="A90" s="223"/>
      <c r="B90" s="223"/>
      <c r="C90" s="224"/>
      <c r="D90" s="224"/>
      <c r="E90" s="224"/>
      <c r="F90" s="224"/>
      <c r="G90" s="225"/>
      <c r="H90" s="225"/>
      <c r="I90" s="224"/>
      <c r="J90" s="224"/>
      <c r="K90" s="224"/>
      <c r="L90" s="269"/>
      <c r="M90" s="223"/>
      <c r="N90" s="263" t="s">
        <v>800</v>
      </c>
      <c r="O90" s="223"/>
      <c r="BB90" s="230"/>
      <c r="BC90" s="187"/>
      <c r="BD90" s="187"/>
      <c r="BE90" s="187"/>
      <c r="BF90" s="187"/>
      <c r="BG90" s="187"/>
      <c r="BH90" s="187"/>
      <c r="BI90" s="187"/>
      <c r="BJ90" s="187"/>
      <c r="BK90" s="187"/>
      <c r="BL90" s="187"/>
      <c r="BM90" s="187"/>
      <c r="BN90" s="187"/>
      <c r="BO90" s="187"/>
      <c r="BP90" s="187"/>
      <c r="BQ90" s="187"/>
      <c r="BR90" s="187"/>
      <c r="BS90" s="187"/>
      <c r="BT90" s="187"/>
      <c r="BU90" s="187"/>
      <c r="BV90" s="187"/>
      <c r="BW90" s="187"/>
      <c r="BX90" s="187"/>
      <c r="BY90" s="188"/>
      <c r="BZ90" s="188"/>
      <c r="CA90" s="188"/>
      <c r="CB90" s="188"/>
      <c r="CC90" s="188"/>
      <c r="CD90" s="188"/>
      <c r="CE90" s="188"/>
      <c r="CF90" s="188"/>
      <c r="CG90" s="188"/>
      <c r="CH90" s="188"/>
      <c r="CI90" s="188"/>
      <c r="CJ90" s="188"/>
      <c r="CK90" s="188"/>
      <c r="CL90" s="188"/>
      <c r="CM90" s="188"/>
    </row>
    <row r="91" spans="1:91" x14ac:dyDescent="0.25">
      <c r="A91" s="223"/>
      <c r="B91" s="223"/>
      <c r="C91" s="224"/>
      <c r="D91" s="224"/>
      <c r="E91" s="224"/>
      <c r="F91" s="224"/>
      <c r="G91" s="225"/>
      <c r="H91" s="225"/>
      <c r="I91" s="224"/>
      <c r="J91" s="224"/>
      <c r="K91" s="224"/>
      <c r="L91" s="269"/>
      <c r="M91" s="223"/>
      <c r="N91" s="291" t="s">
        <v>800</v>
      </c>
      <c r="O91" s="223"/>
      <c r="BB91" s="230"/>
      <c r="BC91" s="187"/>
      <c r="BD91" s="187"/>
      <c r="BE91" s="187"/>
      <c r="BF91" s="187"/>
      <c r="BG91" s="187"/>
      <c r="BH91" s="187"/>
      <c r="BI91" s="187"/>
      <c r="BJ91" s="187"/>
      <c r="BK91" s="187"/>
      <c r="BL91" s="187"/>
      <c r="BM91" s="187"/>
      <c r="BN91" s="187"/>
      <c r="BO91" s="187"/>
      <c r="BP91" s="187"/>
      <c r="BQ91" s="187"/>
      <c r="BR91" s="187"/>
      <c r="BS91" s="187"/>
      <c r="BT91" s="187"/>
      <c r="BU91" s="187"/>
      <c r="BV91" s="187"/>
      <c r="BW91" s="187"/>
      <c r="BX91" s="187"/>
      <c r="BY91" s="188"/>
      <c r="BZ91" s="188"/>
      <c r="CA91" s="188"/>
      <c r="CB91" s="188"/>
      <c r="CC91" s="188"/>
      <c r="CD91" s="188"/>
      <c r="CE91" s="188"/>
      <c r="CF91" s="188"/>
      <c r="CG91" s="188"/>
      <c r="CH91" s="188"/>
      <c r="CI91" s="188"/>
      <c r="CJ91" s="188"/>
      <c r="CK91" s="188"/>
      <c r="CL91" s="188"/>
      <c r="CM91" s="188"/>
    </row>
    <row r="92" spans="1:91" x14ac:dyDescent="0.25">
      <c r="A92" s="223"/>
      <c r="B92" s="223"/>
      <c r="C92" s="224"/>
      <c r="D92" s="224"/>
      <c r="E92" s="224"/>
      <c r="F92" s="224"/>
      <c r="G92" s="225"/>
      <c r="H92" s="225"/>
      <c r="I92" s="224"/>
      <c r="J92" s="224"/>
      <c r="K92" s="224"/>
      <c r="L92" s="269"/>
      <c r="M92" s="223"/>
      <c r="N92" s="263" t="s">
        <v>800</v>
      </c>
      <c r="O92" s="223"/>
      <c r="BB92" s="230"/>
      <c r="BC92" s="187"/>
      <c r="BD92" s="187"/>
      <c r="BE92" s="187"/>
      <c r="BF92" s="187"/>
      <c r="BG92" s="187"/>
      <c r="BH92" s="187"/>
      <c r="BI92" s="187"/>
      <c r="BJ92" s="187"/>
      <c r="BK92" s="187"/>
      <c r="BL92" s="187"/>
      <c r="BM92" s="187"/>
      <c r="BN92" s="187"/>
      <c r="BO92" s="187"/>
      <c r="BP92" s="187"/>
      <c r="BQ92" s="187"/>
      <c r="BR92" s="187"/>
      <c r="BS92" s="187"/>
      <c r="BT92" s="187"/>
      <c r="BU92" s="187"/>
      <c r="BV92" s="187"/>
      <c r="BW92" s="187"/>
      <c r="BX92" s="187"/>
      <c r="BY92" s="188"/>
      <c r="BZ92" s="188"/>
      <c r="CA92" s="188"/>
      <c r="CB92" s="188"/>
      <c r="CC92" s="188"/>
      <c r="CD92" s="188"/>
      <c r="CE92" s="188"/>
      <c r="CF92" s="188"/>
      <c r="CG92" s="188"/>
      <c r="CH92" s="188"/>
      <c r="CI92" s="188"/>
      <c r="CJ92" s="188"/>
      <c r="CK92" s="188"/>
      <c r="CL92" s="188"/>
      <c r="CM92" s="188"/>
    </row>
    <row r="93" spans="1:91" x14ac:dyDescent="0.25">
      <c r="A93" s="223"/>
      <c r="B93" s="223"/>
      <c r="C93" s="224"/>
      <c r="D93" s="224"/>
      <c r="E93" s="224"/>
      <c r="F93" s="224"/>
      <c r="G93" s="225"/>
      <c r="H93" s="225"/>
      <c r="I93" s="224"/>
      <c r="J93" s="224"/>
      <c r="K93" s="224"/>
      <c r="L93" s="269"/>
      <c r="M93" s="223"/>
      <c r="N93" s="263" t="s">
        <v>800</v>
      </c>
      <c r="O93" s="223"/>
      <c r="BB93" s="230"/>
      <c r="BC93" s="187"/>
      <c r="BD93" s="187"/>
      <c r="BE93" s="187"/>
      <c r="BF93" s="187"/>
      <c r="BG93" s="187"/>
      <c r="BH93" s="187"/>
      <c r="BI93" s="187"/>
      <c r="BJ93" s="187"/>
      <c r="BK93" s="187"/>
      <c r="BL93" s="187"/>
      <c r="BM93" s="187"/>
      <c r="BN93" s="187"/>
      <c r="BO93" s="187"/>
      <c r="BP93" s="187"/>
      <c r="BQ93" s="187"/>
      <c r="BR93" s="187"/>
      <c r="BS93" s="187"/>
      <c r="BT93" s="187"/>
      <c r="BU93" s="187"/>
      <c r="BV93" s="187"/>
      <c r="BW93" s="187"/>
      <c r="BX93" s="187"/>
      <c r="BY93" s="188"/>
      <c r="BZ93" s="188"/>
      <c r="CA93" s="188"/>
      <c r="CB93" s="188"/>
      <c r="CC93" s="188"/>
      <c r="CD93" s="188"/>
      <c r="CE93" s="188"/>
      <c r="CF93" s="188"/>
      <c r="CG93" s="188"/>
      <c r="CH93" s="188"/>
      <c r="CI93" s="188"/>
      <c r="CJ93" s="188"/>
      <c r="CK93" s="188"/>
      <c r="CL93" s="188"/>
      <c r="CM93" s="188"/>
    </row>
    <row r="94" spans="1:91" x14ac:dyDescent="0.25">
      <c r="A94" s="223"/>
      <c r="B94" s="223"/>
      <c r="C94" s="224"/>
      <c r="D94" s="224"/>
      <c r="E94" s="224"/>
      <c r="F94" s="224"/>
      <c r="G94" s="225"/>
      <c r="H94" s="225"/>
      <c r="I94" s="224"/>
      <c r="J94" s="224"/>
      <c r="K94" s="224"/>
      <c r="L94" s="269"/>
      <c r="M94" s="223"/>
      <c r="N94" s="291" t="s">
        <v>800</v>
      </c>
      <c r="O94" s="223"/>
      <c r="BB94" s="230"/>
      <c r="BC94" s="187"/>
      <c r="BD94" s="187"/>
      <c r="BE94" s="187"/>
      <c r="BF94" s="187"/>
      <c r="BG94" s="187"/>
      <c r="BH94" s="187"/>
      <c r="BI94" s="187"/>
      <c r="BJ94" s="187"/>
      <c r="BK94" s="187"/>
      <c r="BL94" s="187"/>
      <c r="BM94" s="187"/>
      <c r="BN94" s="187"/>
      <c r="BO94" s="187"/>
      <c r="BP94" s="187"/>
      <c r="BQ94" s="187"/>
      <c r="BR94" s="187"/>
      <c r="BS94" s="187"/>
      <c r="BT94" s="187"/>
      <c r="BU94" s="187"/>
      <c r="BV94" s="187"/>
      <c r="BW94" s="187"/>
      <c r="BX94" s="187"/>
      <c r="BY94" s="188"/>
      <c r="BZ94" s="188"/>
      <c r="CA94" s="188"/>
      <c r="CB94" s="188"/>
      <c r="CC94" s="188"/>
      <c r="CD94" s="188"/>
      <c r="CE94" s="188"/>
      <c r="CF94" s="188"/>
      <c r="CG94" s="188"/>
      <c r="CH94" s="188"/>
      <c r="CI94" s="188"/>
      <c r="CJ94" s="188"/>
      <c r="CK94" s="188"/>
      <c r="CL94" s="188"/>
      <c r="CM94" s="188"/>
    </row>
    <row r="95" spans="1:91" x14ac:dyDescent="0.25">
      <c r="A95" s="223"/>
      <c r="B95" s="223"/>
      <c r="C95" s="224"/>
      <c r="D95" s="224"/>
      <c r="E95" s="224"/>
      <c r="F95" s="224"/>
      <c r="G95" s="225"/>
      <c r="H95" s="225"/>
      <c r="I95" s="224"/>
      <c r="J95" s="224"/>
      <c r="K95" s="224"/>
      <c r="L95" s="269"/>
      <c r="M95" s="223"/>
      <c r="N95" s="263" t="s">
        <v>800</v>
      </c>
      <c r="O95" s="223"/>
      <c r="BB95" s="230"/>
      <c r="BC95" s="187"/>
      <c r="BD95" s="187"/>
      <c r="BE95" s="187"/>
      <c r="BF95" s="187"/>
      <c r="BG95" s="187"/>
      <c r="BH95" s="187"/>
      <c r="BI95" s="187"/>
      <c r="BJ95" s="187"/>
      <c r="BK95" s="187"/>
      <c r="BL95" s="187"/>
      <c r="BM95" s="187"/>
      <c r="BN95" s="187"/>
      <c r="BO95" s="187"/>
      <c r="BP95" s="187"/>
      <c r="BQ95" s="187"/>
      <c r="BR95" s="187"/>
      <c r="BS95" s="187"/>
      <c r="BT95" s="187"/>
      <c r="BU95" s="187"/>
      <c r="BV95" s="187"/>
      <c r="BW95" s="187"/>
      <c r="BX95" s="187"/>
      <c r="BY95" s="188"/>
      <c r="BZ95" s="188"/>
      <c r="CA95" s="188"/>
      <c r="CB95" s="188"/>
      <c r="CC95" s="188"/>
      <c r="CD95" s="188"/>
      <c r="CE95" s="188"/>
      <c r="CF95" s="188"/>
      <c r="CG95" s="188"/>
      <c r="CH95" s="188"/>
      <c r="CI95" s="188"/>
      <c r="CJ95" s="188"/>
      <c r="CK95" s="188"/>
      <c r="CL95" s="188"/>
      <c r="CM95" s="188"/>
    </row>
    <row r="96" spans="1:91" x14ac:dyDescent="0.25">
      <c r="A96" s="223"/>
      <c r="B96" s="223"/>
      <c r="C96" s="224"/>
      <c r="D96" s="224"/>
      <c r="E96" s="224"/>
      <c r="F96" s="224"/>
      <c r="G96" s="225"/>
      <c r="H96" s="225"/>
      <c r="I96" s="224"/>
      <c r="J96" s="224"/>
      <c r="K96" s="224"/>
      <c r="L96" s="269"/>
      <c r="M96" s="223"/>
      <c r="N96" s="263" t="s">
        <v>800</v>
      </c>
      <c r="O96" s="223"/>
      <c r="BB96" s="230"/>
      <c r="BC96" s="187"/>
      <c r="BD96" s="187"/>
      <c r="BE96" s="187"/>
      <c r="BF96" s="187"/>
      <c r="BG96" s="187"/>
      <c r="BH96" s="187"/>
      <c r="BI96" s="187"/>
      <c r="BJ96" s="187"/>
      <c r="BK96" s="187"/>
      <c r="BL96" s="187"/>
      <c r="BM96" s="187"/>
      <c r="BN96" s="187"/>
      <c r="BO96" s="187"/>
      <c r="BP96" s="187"/>
      <c r="BQ96" s="187"/>
      <c r="BR96" s="187"/>
      <c r="BS96" s="187"/>
      <c r="BT96" s="187"/>
      <c r="BU96" s="187"/>
      <c r="BV96" s="187"/>
      <c r="BW96" s="187"/>
      <c r="BX96" s="187"/>
      <c r="BY96" s="188"/>
      <c r="BZ96" s="188"/>
      <c r="CA96" s="188"/>
      <c r="CB96" s="188"/>
      <c r="CC96" s="188"/>
      <c r="CD96" s="188"/>
      <c r="CE96" s="188"/>
      <c r="CF96" s="188"/>
      <c r="CG96" s="188"/>
      <c r="CH96" s="188"/>
      <c r="CI96" s="188"/>
      <c r="CJ96" s="188"/>
      <c r="CK96" s="188"/>
      <c r="CL96" s="188"/>
      <c r="CM96" s="188"/>
    </row>
    <row r="97" spans="1:91" x14ac:dyDescent="0.25">
      <c r="A97" s="223"/>
      <c r="B97" s="223"/>
      <c r="C97" s="224"/>
      <c r="D97" s="224"/>
      <c r="E97" s="224"/>
      <c r="F97" s="224"/>
      <c r="G97" s="225"/>
      <c r="H97" s="225"/>
      <c r="I97" s="224"/>
      <c r="J97" s="224"/>
      <c r="K97" s="224"/>
      <c r="L97" s="269"/>
      <c r="M97" s="223"/>
      <c r="N97" s="291" t="s">
        <v>800</v>
      </c>
      <c r="O97" s="223"/>
      <c r="BB97" s="230"/>
      <c r="BC97" s="187"/>
      <c r="BD97" s="187"/>
      <c r="BE97" s="187"/>
      <c r="BF97" s="187"/>
      <c r="BG97" s="187"/>
      <c r="BH97" s="187"/>
      <c r="BI97" s="187"/>
      <c r="BJ97" s="187"/>
      <c r="BK97" s="187"/>
      <c r="BL97" s="187"/>
      <c r="BM97" s="187"/>
      <c r="BN97" s="187"/>
      <c r="BO97" s="187"/>
      <c r="BP97" s="187"/>
      <c r="BQ97" s="187"/>
      <c r="BR97" s="187"/>
      <c r="BS97" s="187"/>
      <c r="BT97" s="187"/>
      <c r="BU97" s="187"/>
      <c r="BV97" s="187"/>
      <c r="BW97" s="187"/>
      <c r="BX97" s="187"/>
      <c r="BY97" s="188"/>
      <c r="BZ97" s="188"/>
      <c r="CA97" s="188"/>
      <c r="CB97" s="188"/>
      <c r="CC97" s="188"/>
      <c r="CD97" s="188"/>
      <c r="CE97" s="188"/>
      <c r="CF97" s="188"/>
      <c r="CG97" s="188"/>
      <c r="CH97" s="188"/>
      <c r="CI97" s="188"/>
      <c r="CJ97" s="188"/>
      <c r="CK97" s="188"/>
      <c r="CL97" s="188"/>
      <c r="CM97" s="188"/>
    </row>
    <row r="98" spans="1:91" x14ac:dyDescent="0.25">
      <c r="A98" s="223"/>
      <c r="B98" s="223"/>
      <c r="C98" s="224"/>
      <c r="D98" s="224"/>
      <c r="E98" s="224"/>
      <c r="F98" s="224"/>
      <c r="G98" s="225"/>
      <c r="H98" s="225"/>
      <c r="I98" s="224"/>
      <c r="J98" s="224"/>
      <c r="K98" s="224"/>
      <c r="L98" s="269"/>
      <c r="M98" s="223"/>
      <c r="N98" s="263" t="s">
        <v>800</v>
      </c>
      <c r="O98" s="223"/>
      <c r="BB98" s="230"/>
      <c r="BC98" s="187"/>
      <c r="BD98" s="187"/>
      <c r="BE98" s="187"/>
      <c r="BF98" s="187"/>
      <c r="BG98" s="187"/>
      <c r="BH98" s="187"/>
      <c r="BI98" s="187"/>
      <c r="BJ98" s="187"/>
      <c r="BK98" s="187"/>
      <c r="BL98" s="187"/>
      <c r="BM98" s="187"/>
      <c r="BN98" s="187"/>
      <c r="BO98" s="187"/>
      <c r="BP98" s="187"/>
      <c r="BQ98" s="187"/>
      <c r="BR98" s="187"/>
      <c r="BS98" s="187"/>
      <c r="BT98" s="187"/>
      <c r="BU98" s="187"/>
      <c r="BV98" s="187"/>
      <c r="BW98" s="187"/>
      <c r="BX98" s="187"/>
      <c r="BY98" s="188"/>
      <c r="BZ98" s="188"/>
      <c r="CA98" s="188"/>
      <c r="CB98" s="188"/>
      <c r="CC98" s="188"/>
      <c r="CD98" s="188"/>
      <c r="CE98" s="188"/>
      <c r="CF98" s="188"/>
      <c r="CG98" s="188"/>
      <c r="CH98" s="188"/>
      <c r="CI98" s="188"/>
      <c r="CJ98" s="188"/>
      <c r="CK98" s="188"/>
      <c r="CL98" s="188"/>
      <c r="CM98" s="188"/>
    </row>
    <row r="99" spans="1:91" x14ac:dyDescent="0.25">
      <c r="A99" s="223"/>
      <c r="B99" s="223"/>
      <c r="C99" s="224"/>
      <c r="D99" s="224"/>
      <c r="E99" s="224"/>
      <c r="F99" s="224"/>
      <c r="G99" s="225"/>
      <c r="H99" s="225"/>
      <c r="I99" s="224"/>
      <c r="J99" s="224"/>
      <c r="K99" s="224"/>
      <c r="L99" s="269"/>
      <c r="M99" s="223"/>
      <c r="N99" s="263" t="s">
        <v>800</v>
      </c>
      <c r="O99" s="223"/>
      <c r="BB99" s="230"/>
      <c r="BC99" s="187"/>
      <c r="BD99" s="187"/>
      <c r="BE99" s="187"/>
      <c r="BF99" s="187"/>
      <c r="BG99" s="187"/>
      <c r="BH99" s="187"/>
      <c r="BI99" s="187"/>
      <c r="BJ99" s="187"/>
      <c r="BK99" s="187"/>
      <c r="BL99" s="187"/>
      <c r="BM99" s="187"/>
      <c r="BN99" s="187"/>
      <c r="BO99" s="187"/>
      <c r="BP99" s="187"/>
      <c r="BQ99" s="187"/>
      <c r="BR99" s="187"/>
      <c r="BS99" s="187"/>
      <c r="BT99" s="187"/>
      <c r="BU99" s="187"/>
      <c r="BV99" s="187"/>
      <c r="BW99" s="187"/>
      <c r="BX99" s="187"/>
      <c r="BY99" s="188"/>
      <c r="BZ99" s="188"/>
      <c r="CA99" s="188"/>
      <c r="CB99" s="188"/>
      <c r="CC99" s="188"/>
      <c r="CD99" s="188"/>
      <c r="CE99" s="188"/>
      <c r="CF99" s="188"/>
      <c r="CG99" s="188"/>
      <c r="CH99" s="188"/>
      <c r="CI99" s="188"/>
      <c r="CJ99" s="188"/>
      <c r="CK99" s="188"/>
      <c r="CL99" s="188"/>
      <c r="CM99" s="188"/>
    </row>
    <row r="100" spans="1:91" x14ac:dyDescent="0.25">
      <c r="A100" s="223"/>
      <c r="B100" s="223"/>
      <c r="C100" s="224"/>
      <c r="D100" s="224"/>
      <c r="E100" s="224"/>
      <c r="F100" s="224"/>
      <c r="G100" s="225"/>
      <c r="H100" s="225"/>
      <c r="I100" s="224"/>
      <c r="J100" s="224"/>
      <c r="K100" s="224"/>
      <c r="L100" s="269"/>
      <c r="M100" s="223"/>
      <c r="N100" s="291" t="s">
        <v>800</v>
      </c>
      <c r="O100" s="223"/>
      <c r="BB100" s="230"/>
      <c r="BC100" s="187"/>
      <c r="BD100" s="187"/>
      <c r="BE100" s="187"/>
      <c r="BF100" s="187"/>
      <c r="BG100" s="187"/>
      <c r="BH100" s="187"/>
      <c r="BI100" s="187"/>
      <c r="BJ100" s="187"/>
      <c r="BK100" s="187"/>
      <c r="BL100" s="187"/>
      <c r="BM100" s="187"/>
      <c r="BN100" s="187"/>
      <c r="BO100" s="187"/>
      <c r="BP100" s="187"/>
      <c r="BQ100" s="187"/>
      <c r="BR100" s="187"/>
      <c r="BS100" s="187"/>
      <c r="BT100" s="187"/>
      <c r="BU100" s="187"/>
      <c r="BV100" s="187"/>
      <c r="BW100" s="187"/>
      <c r="BX100" s="187"/>
      <c r="BY100" s="188"/>
      <c r="BZ100" s="188"/>
      <c r="CA100" s="188"/>
      <c r="CB100" s="188"/>
      <c r="CC100" s="188"/>
      <c r="CD100" s="188"/>
      <c r="CE100" s="188"/>
      <c r="CF100" s="188"/>
      <c r="CG100" s="188"/>
      <c r="CH100" s="188"/>
      <c r="CI100" s="188"/>
      <c r="CJ100" s="188"/>
      <c r="CK100" s="188"/>
      <c r="CL100" s="188"/>
      <c r="CM100" s="188"/>
    </row>
    <row r="101" spans="1:91" x14ac:dyDescent="0.25">
      <c r="A101" s="223"/>
      <c r="B101" s="223"/>
      <c r="C101" s="224"/>
      <c r="D101" s="224"/>
      <c r="E101" s="224"/>
      <c r="F101" s="224"/>
      <c r="G101" s="225"/>
      <c r="H101" s="225"/>
      <c r="I101" s="224"/>
      <c r="J101" s="224"/>
      <c r="K101" s="224"/>
      <c r="L101" s="269"/>
      <c r="M101" s="223"/>
      <c r="N101" s="263" t="s">
        <v>800</v>
      </c>
      <c r="O101" s="223"/>
      <c r="BB101" s="230"/>
      <c r="BC101" s="187"/>
      <c r="BD101" s="187"/>
      <c r="BE101" s="187"/>
      <c r="BF101" s="187"/>
      <c r="BG101" s="187"/>
      <c r="BH101" s="187"/>
      <c r="BI101" s="187"/>
      <c r="BJ101" s="187"/>
      <c r="BK101" s="187"/>
      <c r="BL101" s="187"/>
      <c r="BM101" s="187"/>
      <c r="BN101" s="187"/>
      <c r="BO101" s="187"/>
      <c r="BP101" s="187"/>
      <c r="BQ101" s="187"/>
      <c r="BR101" s="187"/>
      <c r="BS101" s="187"/>
      <c r="BT101" s="187"/>
      <c r="BU101" s="187"/>
      <c r="BV101" s="187"/>
      <c r="BW101" s="187"/>
      <c r="BX101" s="187"/>
      <c r="BY101" s="188"/>
      <c r="BZ101" s="188"/>
      <c r="CA101" s="188"/>
      <c r="CB101" s="188"/>
      <c r="CC101" s="188"/>
      <c r="CD101" s="188"/>
      <c r="CE101" s="188"/>
      <c r="CF101" s="188"/>
      <c r="CG101" s="188"/>
      <c r="CH101" s="188"/>
      <c r="CI101" s="188"/>
      <c r="CJ101" s="188"/>
      <c r="CK101" s="188"/>
      <c r="CL101" s="188"/>
      <c r="CM101" s="188"/>
    </row>
    <row r="102" spans="1:91" x14ac:dyDescent="0.25">
      <c r="A102" s="223"/>
      <c r="B102" s="223"/>
      <c r="C102" s="224"/>
      <c r="D102" s="224"/>
      <c r="E102" s="224"/>
      <c r="F102" s="224"/>
      <c r="G102" s="225"/>
      <c r="H102" s="225"/>
      <c r="I102" s="224"/>
      <c r="J102" s="224"/>
      <c r="K102" s="224"/>
      <c r="L102" s="269"/>
      <c r="M102" s="223"/>
      <c r="N102" s="263" t="s">
        <v>800</v>
      </c>
      <c r="O102" s="223"/>
      <c r="BB102" s="230"/>
      <c r="BC102" s="187"/>
      <c r="BD102" s="187"/>
      <c r="BE102" s="187"/>
      <c r="BF102" s="187"/>
      <c r="BG102" s="187"/>
      <c r="BH102" s="187"/>
      <c r="BI102" s="187"/>
      <c r="BJ102" s="187"/>
      <c r="BK102" s="187"/>
      <c r="BL102" s="187"/>
      <c r="BM102" s="187"/>
      <c r="BN102" s="187"/>
      <c r="BO102" s="187"/>
      <c r="BP102" s="187"/>
      <c r="BQ102" s="187"/>
      <c r="BR102" s="187"/>
      <c r="BS102" s="187"/>
      <c r="BT102" s="187"/>
      <c r="BU102" s="187"/>
      <c r="BV102" s="187"/>
      <c r="BW102" s="187"/>
      <c r="BX102" s="187"/>
      <c r="BY102" s="188"/>
      <c r="BZ102" s="188"/>
      <c r="CA102" s="188"/>
      <c r="CB102" s="188"/>
      <c r="CC102" s="188"/>
      <c r="CD102" s="188"/>
      <c r="CE102" s="188"/>
      <c r="CF102" s="188"/>
      <c r="CG102" s="188"/>
      <c r="CH102" s="188"/>
      <c r="CI102" s="188"/>
      <c r="CJ102" s="188"/>
      <c r="CK102" s="188"/>
      <c r="CL102" s="188"/>
      <c r="CM102" s="188"/>
    </row>
    <row r="103" spans="1:91" x14ac:dyDescent="0.25">
      <c r="A103" s="223"/>
      <c r="B103" s="223"/>
      <c r="C103" s="224"/>
      <c r="D103" s="224"/>
      <c r="E103" s="224"/>
      <c r="F103" s="224"/>
      <c r="G103" s="225"/>
      <c r="H103" s="225"/>
      <c r="I103" s="224"/>
      <c r="J103" s="224"/>
      <c r="K103" s="224"/>
      <c r="L103" s="269"/>
      <c r="M103" s="223"/>
      <c r="N103" s="291" t="s">
        <v>800</v>
      </c>
      <c r="O103" s="223"/>
      <c r="BB103" s="230"/>
      <c r="BC103" s="187"/>
      <c r="BD103" s="187"/>
      <c r="BE103" s="187"/>
      <c r="BF103" s="187"/>
      <c r="BG103" s="187"/>
      <c r="BH103" s="187"/>
      <c r="BI103" s="187"/>
      <c r="BJ103" s="187"/>
      <c r="BK103" s="187"/>
      <c r="BL103" s="187"/>
      <c r="BM103" s="187"/>
      <c r="BN103" s="187"/>
      <c r="BO103" s="187"/>
      <c r="BP103" s="187"/>
      <c r="BQ103" s="187"/>
      <c r="BR103" s="187"/>
      <c r="BS103" s="187"/>
      <c r="BT103" s="187"/>
      <c r="BU103" s="187"/>
      <c r="BV103" s="187"/>
      <c r="BW103" s="187"/>
      <c r="BX103" s="187"/>
      <c r="BY103" s="188"/>
      <c r="BZ103" s="188"/>
      <c r="CA103" s="188"/>
      <c r="CB103" s="188"/>
      <c r="CC103" s="188"/>
      <c r="CD103" s="188"/>
      <c r="CE103" s="188"/>
      <c r="CF103" s="188"/>
      <c r="CG103" s="188"/>
      <c r="CH103" s="188"/>
      <c r="CI103" s="188"/>
      <c r="CJ103" s="188"/>
      <c r="CK103" s="188"/>
      <c r="CL103" s="188"/>
      <c r="CM103" s="188"/>
    </row>
    <row r="104" spans="1:91" x14ac:dyDescent="0.25">
      <c r="A104" s="223"/>
      <c r="B104" s="223"/>
      <c r="C104" s="224"/>
      <c r="D104" s="224"/>
      <c r="E104" s="224"/>
      <c r="F104" s="224"/>
      <c r="G104" s="225"/>
      <c r="H104" s="225"/>
      <c r="I104" s="224"/>
      <c r="J104" s="224"/>
      <c r="K104" s="224"/>
      <c r="L104" s="269"/>
      <c r="M104" s="223"/>
      <c r="N104" s="263" t="s">
        <v>800</v>
      </c>
      <c r="O104" s="223"/>
      <c r="BB104" s="230"/>
      <c r="BC104" s="187"/>
      <c r="BD104" s="187"/>
      <c r="BE104" s="187"/>
      <c r="BF104" s="187"/>
      <c r="BG104" s="187"/>
      <c r="BH104" s="187"/>
      <c r="BI104" s="187"/>
      <c r="BJ104" s="187"/>
      <c r="BK104" s="187"/>
      <c r="BL104" s="187"/>
      <c r="BM104" s="187"/>
      <c r="BN104" s="187"/>
      <c r="BO104" s="187"/>
      <c r="BP104" s="187"/>
      <c r="BQ104" s="187"/>
      <c r="BR104" s="187"/>
      <c r="BS104" s="187"/>
      <c r="BT104" s="187"/>
      <c r="BU104" s="187"/>
      <c r="BV104" s="187"/>
      <c r="BW104" s="187"/>
      <c r="BX104" s="187"/>
      <c r="BY104" s="188"/>
      <c r="BZ104" s="188"/>
      <c r="CA104" s="188"/>
      <c r="CB104" s="188"/>
      <c r="CC104" s="188"/>
      <c r="CD104" s="188"/>
      <c r="CE104" s="188"/>
      <c r="CF104" s="188"/>
      <c r="CG104" s="188"/>
      <c r="CH104" s="188"/>
      <c r="CI104" s="188"/>
      <c r="CJ104" s="188"/>
      <c r="CK104" s="188"/>
      <c r="CL104" s="188"/>
      <c r="CM104" s="188"/>
    </row>
  </sheetData>
  <customSheetViews>
    <customSheetView guid="{35139CDC-7B22-4BB4-A27E-0C639571C225}" hiddenColumns="1">
      <pane ySplit="3" topLeftCell="A4" activePane="bottomLeft" state="frozen"/>
      <selection pane="bottomLeft" activeCell="BY17" sqref="BY17:CM26"/>
      <pageMargins left="0.7" right="0.7" top="0.75" bottom="0.75" header="0.3" footer="0.3"/>
    </customSheetView>
    <customSheetView guid="{42F19D52-E208-414F-9E2E-506DF902926F}" hiddenColumns="1">
      <pane ySplit="3" topLeftCell="A4" activePane="bottomLeft" state="frozen"/>
      <selection pane="bottomLeft" activeCell="BY17" sqref="BY17:CM26"/>
      <pageMargins left="0.7" right="0.7" top="0.75" bottom="0.75" header="0.3" footer="0.3"/>
    </customSheetView>
    <customSheetView guid="{BE266B8E-38B0-4631-9C30-67CA48A8BD7F}" hiddenColumns="1">
      <pane ySplit="3" topLeftCell="A4" activePane="bottomLeft" state="frozen"/>
      <selection pane="bottomLeft" activeCell="BD7" sqref="BD7"/>
      <pageMargins left="0.7" right="0.7" top="0.75" bottom="0.75" header="0.3" footer="0.3"/>
    </customSheetView>
    <customSheetView guid="{9DC468DE-D883-45B4-B188-265B9DA68425}" hiddenColumns="1">
      <pane xSplit="1" topLeftCell="BY1" activePane="topRight" state="frozen"/>
      <selection pane="topRight" activeCell="CM19" sqref="CM19"/>
      <pageMargins left="0.7" right="0.7" top="0.75" bottom="0.75" header="0.3" footer="0.3"/>
      <pageSetup orientation="portrait" r:id="rId1"/>
    </customSheetView>
    <customSheetView guid="{42945F95-5627-491B-A345-A07B64F7E806}" hiddenColumns="1">
      <selection activeCell="D7" sqref="D7"/>
      <pageMargins left="0.7" right="0.7" top="0.75" bottom="0.75" header="0.3" footer="0.3"/>
      <pageSetup orientation="portrait" r:id="rId2"/>
    </customSheetView>
    <customSheetView guid="{BD1DF852-269B-4C2F-AF89-1FA576EA4603}" hiddenColumns="1">
      <pane ySplit="3" topLeftCell="A4" activePane="bottomLeft" state="frozen"/>
      <selection pane="bottomLeft" activeCell="A4" sqref="A4"/>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1"/>
  <sheetViews>
    <sheetView workbookViewId="0">
      <selection activeCell="E4" sqref="E4"/>
    </sheetView>
  </sheetViews>
  <sheetFormatPr defaultRowHeight="15" x14ac:dyDescent="0.25"/>
  <cols>
    <col min="1" max="1" width="20.7109375" customWidth="1"/>
    <col min="2" max="2" width="24.140625" customWidth="1"/>
    <col min="3" max="3" width="27" customWidth="1"/>
    <col min="4" max="4" width="30.7109375" customWidth="1"/>
    <col min="5" max="5" width="59.42578125" customWidth="1"/>
    <col min="6" max="6" width="40.42578125" customWidth="1"/>
    <col min="7" max="7" width="54.85546875" hidden="1" customWidth="1"/>
    <col min="8" max="8" width="9.140625" hidden="1" customWidth="1"/>
    <col min="9" max="9" width="15.85546875" hidden="1" customWidth="1"/>
    <col min="10" max="10" width="9.140625" hidden="1" customWidth="1"/>
    <col min="11" max="11" width="24.7109375" hidden="1" customWidth="1"/>
    <col min="12" max="12" width="9.140625" customWidth="1"/>
  </cols>
  <sheetData>
    <row r="1" spans="1:11" ht="15.75" thickBot="1" x14ac:dyDescent="0.3">
      <c r="A1" s="172"/>
      <c r="B1" s="22" t="s">
        <v>783</v>
      </c>
      <c r="C1" s="22" t="s">
        <v>783</v>
      </c>
      <c r="D1" s="22" t="s">
        <v>783</v>
      </c>
      <c r="E1" s="22" t="s">
        <v>783</v>
      </c>
      <c r="F1" s="22" t="s">
        <v>1020</v>
      </c>
    </row>
    <row r="2" spans="1:11" ht="15.75" thickBot="1" x14ac:dyDescent="0.3">
      <c r="A2" s="104" t="s">
        <v>724</v>
      </c>
      <c r="B2" s="112" t="s">
        <v>725</v>
      </c>
      <c r="C2" s="112" t="s">
        <v>726</v>
      </c>
      <c r="D2" s="112" t="s">
        <v>782</v>
      </c>
      <c r="E2" s="111" t="s">
        <v>814</v>
      </c>
      <c r="F2" s="103" t="s">
        <v>813</v>
      </c>
      <c r="I2" s="253" t="s">
        <v>951</v>
      </c>
      <c r="K2" t="s">
        <v>30</v>
      </c>
    </row>
    <row r="3" spans="1:11" ht="15.75" thickBot="1" x14ac:dyDescent="0.3">
      <c r="A3" s="110">
        <f>IF('Team Info'!$B$2 = "Away",4180,4280)</f>
        <v>4280</v>
      </c>
      <c r="B3" s="254" t="s">
        <v>1013</v>
      </c>
      <c r="C3" s="254" t="s">
        <v>1013</v>
      </c>
      <c r="D3" s="120" t="s">
        <v>994</v>
      </c>
      <c r="E3" s="116" t="s">
        <v>1056</v>
      </c>
      <c r="F3" s="42" t="s">
        <v>728</v>
      </c>
      <c r="I3" t="str">
        <f>B3 &amp;" " &amp; C3</f>
        <v>COACH COACH</v>
      </c>
      <c r="K3" t="str">
        <f>B26</f>
        <v>COACHING RÉSUMÉ</v>
      </c>
    </row>
    <row r="4" spans="1:11" ht="15.75" thickBot="1" x14ac:dyDescent="0.3">
      <c r="A4" s="110">
        <f>A3+1</f>
        <v>4281</v>
      </c>
      <c r="B4" s="256" t="str">
        <f>B3</f>
        <v>COACH</v>
      </c>
      <c r="C4" s="256" t="str">
        <f>C3</f>
        <v>COACH</v>
      </c>
      <c r="D4" s="120"/>
      <c r="E4" s="116"/>
      <c r="F4" s="41"/>
      <c r="I4" t="str">
        <f>B4 &amp;" " &amp; C4</f>
        <v>COACH COACH</v>
      </c>
    </row>
    <row r="5" spans="1:11" ht="15.75" thickBot="1" x14ac:dyDescent="0.3">
      <c r="A5" s="110">
        <f t="shared" ref="A5:A12" si="0">A4+1</f>
        <v>4282</v>
      </c>
      <c r="B5" s="255" t="s">
        <v>1014</v>
      </c>
      <c r="C5" s="255" t="s">
        <v>1018</v>
      </c>
      <c r="D5" s="113"/>
      <c r="E5" s="100"/>
      <c r="F5" s="41"/>
      <c r="I5" t="str">
        <f t="shared" ref="I5:I24" si="1">B5 &amp;" " &amp; C5</f>
        <v>ASST LAST2</v>
      </c>
      <c r="K5" t="s">
        <v>32</v>
      </c>
    </row>
    <row r="6" spans="1:11" ht="15.75" thickBot="1" x14ac:dyDescent="0.3">
      <c r="A6" s="110">
        <f t="shared" si="0"/>
        <v>4283</v>
      </c>
      <c r="B6" s="255" t="s">
        <v>1016</v>
      </c>
      <c r="C6" s="255" t="s">
        <v>1018</v>
      </c>
      <c r="D6" s="113"/>
      <c r="E6" s="100"/>
      <c r="F6" s="41"/>
      <c r="I6" t="str">
        <f t="shared" si="1"/>
        <v>ASST2 LAST2</v>
      </c>
    </row>
    <row r="7" spans="1:11" ht="15.75" thickBot="1" x14ac:dyDescent="0.3">
      <c r="A7" s="110">
        <f t="shared" si="0"/>
        <v>4284</v>
      </c>
      <c r="B7" s="255" t="s">
        <v>1015</v>
      </c>
      <c r="C7" s="255" t="s">
        <v>1017</v>
      </c>
      <c r="D7" s="113"/>
      <c r="E7" s="100"/>
      <c r="F7" s="41"/>
      <c r="I7" t="str">
        <f t="shared" si="1"/>
        <v>ASST3 LAST3</v>
      </c>
    </row>
    <row r="8" spans="1:11" ht="15.75" thickBot="1" x14ac:dyDescent="0.3">
      <c r="A8" s="110">
        <f t="shared" si="0"/>
        <v>4285</v>
      </c>
      <c r="B8" s="255" t="s">
        <v>981</v>
      </c>
      <c r="C8" s="255" t="s">
        <v>986</v>
      </c>
      <c r="D8" s="113"/>
      <c r="E8" s="100"/>
      <c r="F8" s="41"/>
      <c r="I8" t="str">
        <f t="shared" si="1"/>
        <v>ASST4 LAST4</v>
      </c>
      <c r="K8" t="s">
        <v>957</v>
      </c>
    </row>
    <row r="9" spans="1:11" ht="15.75" thickBot="1" x14ac:dyDescent="0.3">
      <c r="A9" s="110">
        <f t="shared" si="0"/>
        <v>4286</v>
      </c>
      <c r="B9" s="255" t="s">
        <v>982</v>
      </c>
      <c r="C9" s="255" t="s">
        <v>987</v>
      </c>
      <c r="D9" s="113"/>
      <c r="E9" s="100"/>
      <c r="F9" s="128"/>
      <c r="I9" t="str">
        <f t="shared" si="1"/>
        <v>ASST5 LAST5</v>
      </c>
      <c r="K9" t="str">
        <f>B30</f>
        <v>LINE 1 TEXT HERE
LINE 2 TEXT HERE</v>
      </c>
    </row>
    <row r="10" spans="1:11" ht="15.75" thickBot="1" x14ac:dyDescent="0.3">
      <c r="A10" s="110">
        <f t="shared" si="0"/>
        <v>4287</v>
      </c>
      <c r="B10" s="255" t="s">
        <v>983</v>
      </c>
      <c r="C10" s="255" t="s">
        <v>988</v>
      </c>
      <c r="D10" s="114"/>
      <c r="E10" s="117"/>
      <c r="F10" s="102"/>
      <c r="I10" t="str">
        <f t="shared" si="1"/>
        <v>ASST6 LAST6</v>
      </c>
    </row>
    <row r="11" spans="1:11" ht="15.75" thickBot="1" x14ac:dyDescent="0.3">
      <c r="A11" s="110">
        <f t="shared" si="0"/>
        <v>4288</v>
      </c>
      <c r="B11" s="255" t="s">
        <v>984</v>
      </c>
      <c r="C11" s="255" t="s">
        <v>989</v>
      </c>
      <c r="D11" s="115"/>
      <c r="E11" s="118"/>
      <c r="F11" s="101"/>
      <c r="I11" t="str">
        <f t="shared" si="1"/>
        <v>ASST7 LAST7</v>
      </c>
      <c r="K11" t="s">
        <v>958</v>
      </c>
    </row>
    <row r="12" spans="1:11" ht="15.75" thickBot="1" x14ac:dyDescent="0.3">
      <c r="A12" s="110">
        <f t="shared" si="0"/>
        <v>4289</v>
      </c>
      <c r="B12" s="255" t="s">
        <v>985</v>
      </c>
      <c r="C12" s="255" t="s">
        <v>990</v>
      </c>
      <c r="D12" s="115"/>
      <c r="E12" s="119"/>
      <c r="F12" s="101"/>
      <c r="I12" t="str">
        <f t="shared" si="1"/>
        <v>ASST8 LAST8</v>
      </c>
      <c r="K12" t="str">
        <f>B32</f>
        <v>LINE2 TEST
LINE 2A</v>
      </c>
    </row>
    <row r="13" spans="1:11" hidden="1" x14ac:dyDescent="0.25">
      <c r="A13" s="49" t="s">
        <v>724</v>
      </c>
      <c r="B13" s="49" t="s">
        <v>725</v>
      </c>
      <c r="C13" s="49" t="s">
        <v>726</v>
      </c>
      <c r="D13" s="49"/>
      <c r="E13" s="49" t="s">
        <v>727</v>
      </c>
      <c r="F13" s="49" t="s">
        <v>729</v>
      </c>
      <c r="I13" t="str">
        <f t="shared" si="1"/>
        <v>First Name CAPS Last Name CAPS</v>
      </c>
    </row>
    <row r="14" spans="1:11" hidden="1" x14ac:dyDescent="0.25">
      <c r="A14" s="50">
        <f>IF('Team Info'!$B$2 = "Away",190,290)</f>
        <v>290</v>
      </c>
      <c r="B14" s="50" t="s">
        <v>730</v>
      </c>
      <c r="C14" s="50" t="s">
        <v>731</v>
      </c>
      <c r="D14" s="50"/>
      <c r="E14" s="51" t="s">
        <v>735</v>
      </c>
      <c r="F14" s="52"/>
      <c r="I14" s="253" t="s">
        <v>952</v>
      </c>
      <c r="K14" t="s">
        <v>36</v>
      </c>
    </row>
    <row r="15" spans="1:11" hidden="1" x14ac:dyDescent="0.25">
      <c r="A15" s="40">
        <f>A14+1</f>
        <v>291</v>
      </c>
      <c r="B15" s="37" t="s">
        <v>732</v>
      </c>
      <c r="C15" s="37" t="s">
        <v>733</v>
      </c>
      <c r="D15" s="37"/>
      <c r="E15" s="43" t="s">
        <v>734</v>
      </c>
      <c r="F15" s="44"/>
      <c r="I15" t="str">
        <f t="shared" si="1"/>
        <v>RUFFIN McNEIL</v>
      </c>
      <c r="K15" t="str">
        <f>B34</f>
        <v>LINE 3 TEST
LINE 3A</v>
      </c>
    </row>
    <row r="16" spans="1:11" hidden="1" x14ac:dyDescent="0.25">
      <c r="A16" s="40">
        <f>A14+2</f>
        <v>292</v>
      </c>
      <c r="B16" s="37" t="s">
        <v>736</v>
      </c>
      <c r="C16" s="37" t="s">
        <v>736</v>
      </c>
      <c r="D16" s="37"/>
      <c r="E16" s="43"/>
      <c r="F16" s="44"/>
      <c r="I16" t="str">
        <f t="shared" si="1"/>
        <v>DEF. COACH DEF. COACH</v>
      </c>
    </row>
    <row r="17" spans="1:11" hidden="1" x14ac:dyDescent="0.25">
      <c r="A17" s="40">
        <f>A14+3</f>
        <v>293</v>
      </c>
      <c r="B17" s="37" t="s">
        <v>736</v>
      </c>
      <c r="C17" s="37" t="s">
        <v>736</v>
      </c>
      <c r="D17" s="37"/>
      <c r="E17" s="43"/>
      <c r="F17" s="44"/>
      <c r="I17" t="str">
        <f t="shared" si="1"/>
        <v>DEF. COACH DEF. COACH</v>
      </c>
      <c r="K17" t="s">
        <v>959</v>
      </c>
    </row>
    <row r="18" spans="1:11" hidden="1" x14ac:dyDescent="0.25">
      <c r="A18" s="40">
        <f>A14+4</f>
        <v>294</v>
      </c>
      <c r="B18" s="37" t="s">
        <v>736</v>
      </c>
      <c r="C18" s="37" t="s">
        <v>736</v>
      </c>
      <c r="D18" s="37"/>
      <c r="E18" s="43"/>
      <c r="F18" s="44"/>
      <c r="I18" t="str">
        <f t="shared" si="1"/>
        <v>DEF. COACH DEF. COACH</v>
      </c>
      <c r="K18" t="str">
        <f>B36</f>
        <v>LINE 4 TEST
LINE 4A</v>
      </c>
    </row>
    <row r="19" spans="1:11" hidden="1" x14ac:dyDescent="0.25">
      <c r="A19" s="40">
        <f>A14+5</f>
        <v>295</v>
      </c>
      <c r="B19" s="37" t="s">
        <v>736</v>
      </c>
      <c r="C19" s="37" t="s">
        <v>736</v>
      </c>
      <c r="D19" s="37"/>
      <c r="E19" s="43"/>
      <c r="F19" s="44"/>
      <c r="I19" t="str">
        <f t="shared" si="1"/>
        <v>DEF. COACH DEF. COACH</v>
      </c>
    </row>
    <row r="20" spans="1:11" hidden="1" x14ac:dyDescent="0.25">
      <c r="A20" s="40">
        <f>A14+6</f>
        <v>296</v>
      </c>
      <c r="B20" s="37" t="s">
        <v>736</v>
      </c>
      <c r="C20" s="37" t="s">
        <v>736</v>
      </c>
      <c r="D20" s="37"/>
      <c r="E20" s="43"/>
      <c r="F20" s="44"/>
      <c r="I20" t="str">
        <f t="shared" si="1"/>
        <v>DEF. COACH DEF. COACH</v>
      </c>
      <c r="K20" t="s">
        <v>37</v>
      </c>
    </row>
    <row r="21" spans="1:11" hidden="1" x14ac:dyDescent="0.25">
      <c r="A21" s="40">
        <f>A14+7</f>
        <v>297</v>
      </c>
      <c r="B21" s="37" t="s">
        <v>736</v>
      </c>
      <c r="C21" s="37" t="s">
        <v>736</v>
      </c>
      <c r="D21" s="37"/>
      <c r="E21" s="45"/>
      <c r="F21" s="47"/>
      <c r="I21" t="str">
        <f t="shared" si="1"/>
        <v>DEF. COACH DEF. COACH</v>
      </c>
      <c r="K21" t="str">
        <f>B38</f>
        <v>DROPLINE HERE</v>
      </c>
    </row>
    <row r="22" spans="1:11" hidden="1" x14ac:dyDescent="0.25">
      <c r="A22" s="40">
        <f>A14+8</f>
        <v>298</v>
      </c>
      <c r="B22" s="37" t="s">
        <v>736</v>
      </c>
      <c r="C22" s="37" t="s">
        <v>736</v>
      </c>
      <c r="D22" s="37"/>
      <c r="E22" s="45"/>
      <c r="F22" s="47"/>
      <c r="I22" t="str">
        <f t="shared" si="1"/>
        <v>DEF. COACH DEF. COACH</v>
      </c>
    </row>
    <row r="23" spans="1:11" ht="15.75" hidden="1" thickBot="1" x14ac:dyDescent="0.3">
      <c r="A23" s="48">
        <f>A14+9</f>
        <v>299</v>
      </c>
      <c r="B23" s="105" t="s">
        <v>736</v>
      </c>
      <c r="C23" s="105" t="s">
        <v>736</v>
      </c>
      <c r="D23" s="105"/>
      <c r="E23" s="106"/>
      <c r="F23" s="107"/>
      <c r="I23" t="str">
        <f t="shared" si="1"/>
        <v>DEF. COACH DEF. COACH</v>
      </c>
      <c r="K23" t="s">
        <v>960</v>
      </c>
    </row>
    <row r="24" spans="1:11" ht="15.75" thickBot="1" x14ac:dyDescent="0.3">
      <c r="A24" s="80" t="s">
        <v>769</v>
      </c>
      <c r="B24" s="81"/>
      <c r="C24" s="81"/>
      <c r="D24" s="81"/>
      <c r="E24" s="108"/>
      <c r="F24" s="109"/>
      <c r="I24" t="str">
        <f t="shared" si="1"/>
        <v xml:space="preserve"> </v>
      </c>
      <c r="K24">
        <f>B27</f>
        <v>3</v>
      </c>
    </row>
    <row r="25" spans="1:11" x14ac:dyDescent="0.25">
      <c r="A25" s="17" t="s">
        <v>784</v>
      </c>
      <c r="B25" s="22">
        <f>IF('Team Info'!$B$2 = "Away",4179,4279)</f>
        <v>4279</v>
      </c>
    </row>
    <row r="26" spans="1:11" x14ac:dyDescent="0.25">
      <c r="A26" s="18" t="s">
        <v>31</v>
      </c>
      <c r="B26" s="26" t="s">
        <v>773</v>
      </c>
      <c r="D26" t="s">
        <v>955</v>
      </c>
    </row>
    <row r="27" spans="1:11" x14ac:dyDescent="0.25">
      <c r="A27" s="18" t="s">
        <v>788</v>
      </c>
      <c r="B27" s="99">
        <v>3</v>
      </c>
      <c r="D27" t="s">
        <v>956</v>
      </c>
    </row>
    <row r="28" spans="1:11" x14ac:dyDescent="0.25">
      <c r="A28" s="129" t="s">
        <v>798</v>
      </c>
      <c r="B28" s="130" t="str">
        <f>B3</f>
        <v>COACH</v>
      </c>
    </row>
    <row r="29" spans="1:11" x14ac:dyDescent="0.25">
      <c r="A29" s="129" t="s">
        <v>799</v>
      </c>
      <c r="B29" s="130" t="str">
        <f>C3</f>
        <v>COACH</v>
      </c>
    </row>
    <row r="30" spans="1:11" ht="15" customHeight="1" x14ac:dyDescent="0.25">
      <c r="A30" s="313" t="s">
        <v>33</v>
      </c>
      <c r="B30" s="315" t="s">
        <v>1021</v>
      </c>
    </row>
    <row r="31" spans="1:11" x14ac:dyDescent="0.25">
      <c r="A31" s="314"/>
      <c r="B31" s="316"/>
    </row>
    <row r="32" spans="1:11" ht="15" customHeight="1" x14ac:dyDescent="0.25">
      <c r="A32" s="313" t="s">
        <v>34</v>
      </c>
      <c r="B32" s="315" t="s">
        <v>1022</v>
      </c>
    </row>
    <row r="33" spans="1:2" x14ac:dyDescent="0.25">
      <c r="A33" s="314"/>
      <c r="B33" s="316"/>
    </row>
    <row r="34" spans="1:2" ht="15" customHeight="1" x14ac:dyDescent="0.25">
      <c r="A34" s="313" t="s">
        <v>35</v>
      </c>
      <c r="B34" s="315" t="s">
        <v>1023</v>
      </c>
    </row>
    <row r="35" spans="1:2" x14ac:dyDescent="0.25">
      <c r="A35" s="314"/>
      <c r="B35" s="316"/>
    </row>
    <row r="36" spans="1:2" ht="15" customHeight="1" x14ac:dyDescent="0.25">
      <c r="A36" s="313" t="s">
        <v>786</v>
      </c>
      <c r="B36" s="315" t="s">
        <v>1024</v>
      </c>
    </row>
    <row r="37" spans="1:2" x14ac:dyDescent="0.25">
      <c r="A37" s="314"/>
      <c r="B37" s="316"/>
    </row>
    <row r="38" spans="1:2" x14ac:dyDescent="0.25">
      <c r="A38" s="98" t="s">
        <v>787</v>
      </c>
      <c r="B38" s="131" t="s">
        <v>1025</v>
      </c>
    </row>
    <row r="41" spans="1:2" x14ac:dyDescent="0.25">
      <c r="A41" t="s">
        <v>785</v>
      </c>
    </row>
  </sheetData>
  <customSheetViews>
    <customSheetView guid="{35139CDC-7B22-4BB4-A27E-0C639571C225}" hiddenRows="1" hiddenColumns="1">
      <selection activeCell="E4" sqref="E4"/>
      <pageMargins left="0.7" right="0.7" top="0.75" bottom="0.75" header="0.3" footer="0.3"/>
      <pageSetup orientation="portrait" r:id="rId1"/>
    </customSheetView>
    <customSheetView guid="{42F19D52-E208-414F-9E2E-506DF902926F}" hiddenRows="1" hiddenColumns="1">
      <selection activeCell="E4" sqref="E4"/>
      <pageMargins left="0.7" right="0.7" top="0.75" bottom="0.75" header="0.3" footer="0.3"/>
      <pageSetup orientation="portrait" r:id="rId2"/>
    </customSheetView>
    <customSheetView guid="{BE266B8E-38B0-4631-9C30-67CA48A8BD7F}" hiddenRows="1" hiddenColumns="1">
      <selection activeCell="I1" sqref="I1:K1048576"/>
      <pageMargins left="0.7" right="0.7" top="0.75" bottom="0.75" header="0.3" footer="0.3"/>
      <pageSetup orientation="portrait" r:id="rId3"/>
    </customSheetView>
    <customSheetView guid="{9DC468DE-D883-45B4-B188-265B9DA68425}" hiddenColumns="1" topLeftCell="A13">
      <selection activeCell="E10" sqref="E10"/>
      <pageMargins left="0.7" right="0.7" top="0.75" bottom="0.75" header="0.3" footer="0.3"/>
      <pageSetup orientation="portrait" r:id="rId4"/>
    </customSheetView>
    <customSheetView guid="{6A3B2C41-2DBC-4B17-AB58-12C85E3A6B8A}" hiddenRows="1">
      <selection activeCell="C2" sqref="C2"/>
      <pageMargins left="0.7" right="0.7" top="0.75" bottom="0.75" header="0.3" footer="0.3"/>
      <pageSetup orientation="portrait" r:id="rId5"/>
    </customSheetView>
    <customSheetView guid="{6960175A-17E1-4BDD-98F7-6E9A590B8B7F}" hiddenColumns="1">
      <selection activeCell="H25" sqref="H25"/>
      <pageMargins left="0.7" right="0.7" top="0.75" bottom="0.75" header="0.3" footer="0.3"/>
      <pageSetup orientation="portrait" r:id="rId6"/>
    </customSheetView>
    <customSheetView guid="{DB365F32-166D-4348-BCE9-F0F1DB0B73A9}" hiddenColumns="1">
      <selection activeCell="D23" sqref="D23:D33"/>
      <pageMargins left="0.7" right="0.7" top="0.75" bottom="0.75" header="0.3" footer="0.3"/>
      <pageSetup orientation="portrait" r:id="rId7"/>
    </customSheetView>
    <customSheetView guid="{6EDF2E63-E51E-449A-B1C5-EFB1FD6A259C}" hiddenColumns="1">
      <selection activeCell="D23" sqref="D23:D33"/>
      <pageMargins left="0.7" right="0.7" top="0.75" bottom="0.75" header="0.3" footer="0.3"/>
      <pageSetup orientation="portrait" r:id="rId8"/>
    </customSheetView>
    <customSheetView guid="{46B088B4-7F51-4D35-9F00-2268626FA819}" hiddenRows="1">
      <selection activeCell="E13" sqref="E13"/>
      <pageMargins left="0.7" right="0.7" top="0.75" bottom="0.75" header="0.3" footer="0.3"/>
      <pageSetup orientation="portrait" r:id="rId9"/>
    </customSheetView>
    <customSheetView guid="{42945F95-5627-491B-A345-A07B64F7E806}" hiddenRows="1">
      <selection activeCell="D26" sqref="D26"/>
      <pageMargins left="0.7" right="0.7" top="0.75" bottom="0.75" header="0.3" footer="0.3"/>
      <pageSetup orientation="portrait" r:id="rId10"/>
    </customSheetView>
    <customSheetView guid="{BD1DF852-269B-4C2F-AF89-1FA576EA4603}" showPageBreaks="1" hiddenRows="1">
      <selection activeCell="B45" sqref="B45:B46"/>
      <pageMargins left="0.7" right="0.7" top="0.75" bottom="0.75" header="0.3" footer="0.3"/>
      <pageSetup orientation="portrait" r:id="rId11"/>
    </customSheetView>
  </customSheetViews>
  <mergeCells count="8">
    <mergeCell ref="A36:A37"/>
    <mergeCell ref="B36:B37"/>
    <mergeCell ref="A30:A31"/>
    <mergeCell ref="B30:B31"/>
    <mergeCell ref="A32:A33"/>
    <mergeCell ref="B32:B33"/>
    <mergeCell ref="A34:A35"/>
    <mergeCell ref="B34:B35"/>
  </mergeCells>
  <phoneticPr fontId="32" type="noConversion"/>
  <pageMargins left="0.7" right="0.7" top="0.75" bottom="0.75" header="0.3" footer="0.3"/>
  <pageSetup orientation="portrait"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104"/>
  <sheetViews>
    <sheetView workbookViewId="0">
      <pane ySplit="3" topLeftCell="A4" activePane="bottomLeft" state="frozen"/>
      <selection pane="bottomLeft" activeCell="A4" sqref="A4"/>
    </sheetView>
  </sheetViews>
  <sheetFormatPr defaultColWidth="9.140625" defaultRowHeight="15" x14ac:dyDescent="0.25"/>
  <cols>
    <col min="3" max="10" width="12.7109375" customWidth="1"/>
    <col min="11" max="11" width="20.7109375" customWidth="1"/>
    <col min="12" max="12" width="15.85546875" customWidth="1"/>
    <col min="13" max="15" width="20.7109375" customWidth="1"/>
    <col min="16" max="16" width="9.140625" style="8" hidden="1" customWidth="1"/>
    <col min="17" max="18" width="9.140625" hidden="1" customWidth="1"/>
    <col min="19" max="19" width="8.5703125" hidden="1" customWidth="1"/>
    <col min="20" max="20" width="9.140625" hidden="1" customWidth="1"/>
    <col min="21" max="22" width="60.7109375" hidden="1" customWidth="1"/>
    <col min="23" max="23" width="20.7109375" hidden="1" customWidth="1"/>
    <col min="24" max="24" width="15.7109375" hidden="1" customWidth="1"/>
    <col min="25" max="25" width="20.7109375" hidden="1" customWidth="1"/>
    <col min="26" max="26" width="11.140625" hidden="1" customWidth="1"/>
    <col min="27" max="28" width="12.7109375" hidden="1" customWidth="1"/>
    <col min="29" max="29" width="11.5703125" hidden="1" customWidth="1"/>
    <col min="30" max="30" width="9.140625" style="8" hidden="1" customWidth="1"/>
    <col min="31" max="31" width="12.7109375" hidden="1" customWidth="1"/>
    <col min="32" max="32" width="9.140625" hidden="1" customWidth="1"/>
    <col min="33" max="33" width="12.7109375" hidden="1" customWidth="1"/>
    <col min="34" max="34" width="9.140625" hidden="1" customWidth="1"/>
    <col min="35" max="35" width="9.140625" style="261" hidden="1" customWidth="1"/>
    <col min="36" max="58" width="9.140625" customWidth="1"/>
    <col min="59" max="96" width="6.7109375" customWidth="1"/>
  </cols>
  <sheetData>
    <row r="1" spans="1:35" x14ac:dyDescent="0.25">
      <c r="A1" s="17" t="s">
        <v>38</v>
      </c>
      <c r="B1" s="93" t="s">
        <v>1131</v>
      </c>
      <c r="C1" s="94"/>
      <c r="D1" s="94"/>
      <c r="E1" s="94"/>
      <c r="F1" s="94"/>
      <c r="G1" s="264"/>
      <c r="H1" s="94"/>
      <c r="I1" s="94"/>
      <c r="J1" s="94"/>
      <c r="K1" s="173"/>
      <c r="L1" s="94"/>
      <c r="M1" s="173"/>
      <c r="N1" s="94"/>
      <c r="O1" s="95"/>
      <c r="U1" t="str">
        <f>IF('Team Info'!$B$21="BASEBALL","SBALL","CBASE")</f>
        <v>SBALL</v>
      </c>
      <c r="AI1" s="260"/>
    </row>
    <row r="2" spans="1:35" x14ac:dyDescent="0.25">
      <c r="A2" s="56"/>
      <c r="B2" s="89"/>
      <c r="C2" s="90"/>
      <c r="D2" s="90"/>
      <c r="E2" s="132"/>
      <c r="F2" s="132"/>
      <c r="G2" s="267"/>
      <c r="H2" s="90"/>
      <c r="I2" s="90"/>
      <c r="J2" s="90"/>
      <c r="K2" s="90"/>
      <c r="L2" s="92"/>
      <c r="M2" s="91" t="s">
        <v>774</v>
      </c>
      <c r="N2" s="91"/>
      <c r="O2" s="96" t="s">
        <v>775</v>
      </c>
    </row>
    <row r="3" spans="1:35" x14ac:dyDescent="0.25">
      <c r="A3" s="24" t="s">
        <v>39</v>
      </c>
      <c r="B3" s="85" t="s">
        <v>40</v>
      </c>
      <c r="C3" s="86" t="s">
        <v>41</v>
      </c>
      <c r="D3" s="86" t="s">
        <v>42</v>
      </c>
      <c r="E3" s="87" t="s">
        <v>43</v>
      </c>
      <c r="F3" s="87" t="s">
        <v>898</v>
      </c>
      <c r="G3" s="87" t="s">
        <v>899</v>
      </c>
      <c r="H3" s="87" t="s">
        <v>44</v>
      </c>
      <c r="I3" s="87" t="s">
        <v>45</v>
      </c>
      <c r="J3" s="87" t="s">
        <v>46</v>
      </c>
      <c r="K3" s="88" t="s">
        <v>47</v>
      </c>
      <c r="L3" s="87" t="s">
        <v>48</v>
      </c>
      <c r="M3" s="87" t="s">
        <v>842</v>
      </c>
      <c r="N3" s="4" t="s">
        <v>789</v>
      </c>
      <c r="O3" s="4" t="s">
        <v>738</v>
      </c>
      <c r="P3" s="4" t="s">
        <v>810</v>
      </c>
      <c r="Q3" s="19" t="s">
        <v>49</v>
      </c>
      <c r="R3" s="19" t="s">
        <v>897</v>
      </c>
      <c r="S3" s="19" t="s">
        <v>906</v>
      </c>
      <c r="T3" s="19" t="s">
        <v>868</v>
      </c>
      <c r="U3" s="20" t="s">
        <v>50</v>
      </c>
      <c r="V3" s="20" t="s">
        <v>792</v>
      </c>
      <c r="W3" s="20" t="s">
        <v>910</v>
      </c>
      <c r="X3" s="3" t="s">
        <v>51</v>
      </c>
      <c r="Y3" s="121" t="s">
        <v>790</v>
      </c>
      <c r="Z3" s="3" t="s">
        <v>52</v>
      </c>
      <c r="AA3" s="121" t="s">
        <v>725</v>
      </c>
      <c r="AB3" s="121" t="s">
        <v>726</v>
      </c>
      <c r="AC3" s="53" t="s">
        <v>48</v>
      </c>
      <c r="AD3" s="190" t="s">
        <v>48</v>
      </c>
      <c r="AE3" s="121" t="s">
        <v>791</v>
      </c>
      <c r="AF3" s="121" t="s">
        <v>947</v>
      </c>
      <c r="AG3" s="121" t="s">
        <v>954</v>
      </c>
      <c r="AH3" s="20" t="s">
        <v>910</v>
      </c>
      <c r="AI3" s="262" t="s">
        <v>965</v>
      </c>
    </row>
    <row r="4" spans="1:35" x14ac:dyDescent="0.25">
      <c r="A4" s="25">
        <v>1</v>
      </c>
      <c r="B4" s="189">
        <v>1</v>
      </c>
      <c r="C4" s="171" t="str">
        <f t="shared" ref="C4:C35" si="0">IFERROR(INDEX(NAME_RANGE,MATCH(B4,NUM_RANGE,FALSE),2),"-")</f>
        <v>Firstname</v>
      </c>
      <c r="D4" s="171" t="str">
        <f t="shared" ref="D4:D35" si="1">IFERROR(INDEX(NAME_RANGE,MATCH(B4,NUM_RANGE,FALSE),1),"-")</f>
        <v>Lastname</v>
      </c>
      <c r="E4" s="259" t="str">
        <f t="shared" ref="E4:E35" si="2">IFERROR(VLOOKUP($B4,INPUT_RANGE,2,FALSE),"-")</f>
        <v>P</v>
      </c>
      <c r="F4" s="259">
        <f t="shared" ref="F4:F35" si="3">IFERROR(VLOOKUP($B4,INPUT_RANGE,3,FALSE),"-")</f>
        <v>0</v>
      </c>
      <c r="G4" s="259" t="str">
        <f t="shared" ref="G4:G53" si="4">IFERROR(VLOOKUP($B4,INPUT_RANGE,4,FALSE),"-")</f>
        <v>RHP</v>
      </c>
      <c r="H4" s="259" t="str">
        <f t="shared" ref="H4:H35" si="5">IFERROR(VLOOKUP($B4,INPUT_RANGE,7,FALSE),"-")</f>
        <v>6'2"</v>
      </c>
      <c r="I4" s="259">
        <f t="shared" ref="I4:I35" si="6">IFERROR(VLOOKUP($B4,INPUT_RANGE,8,FALSE),"-")</f>
        <v>0</v>
      </c>
      <c r="J4" s="294" t="s">
        <v>800</v>
      </c>
      <c r="K4" s="259" t="str">
        <f t="shared" ref="K4:K35" si="7">IFERROR(VLOOKUP($B4,INPUT_RANGE,5,FALSE)&amp;", "&amp;VLOOKUP($B4,INPUT_RANGE,6,FALSE),"-")</f>
        <v>Callahan, FL</v>
      </c>
      <c r="L4" s="259">
        <f t="shared" ref="L4:L35" si="8">IFERROR(VLOOKUP($B4,INPUT_RANGE,9,FALSE),"-")</f>
        <v>1</v>
      </c>
      <c r="M4" s="259">
        <f t="shared" ref="M4:M35" si="9">IFERROR(VLOOKUP($B4,INPUT_RANGE,11,FALSE),"-")</f>
        <v>0</v>
      </c>
      <c r="N4" s="259" t="str">
        <f t="shared" ref="N4:N35" si="10">IFERROR(VLOOKUP($B4,INPUT_RANGE,12,FALSE),"-")</f>
        <v/>
      </c>
      <c r="O4" s="259"/>
      <c r="P4" s="8">
        <f>IF(M3="Header", 0, 1)</f>
        <v>1</v>
      </c>
      <c r="Q4" s="124" t="str">
        <f ca="1">IF(J4="","",INT(YEARFRAC($J4, TODAY())))</f>
        <v/>
      </c>
      <c r="R4" s="124" t="str">
        <f ca="1">IF(Q4="","","Age: " &amp; Q4)</f>
        <v/>
      </c>
      <c r="S4" s="124" t="str">
        <f t="shared" ref="S4:S35" si="11">RIGHT(ROUND(VLOOKUP(B4,INPUT_RANGE,54,FALSE)/VLOOKUP(B4,INPUT_RANGE,52,FALSE),3),4)</f>
        <v>.667</v>
      </c>
      <c r="T4" s="124">
        <f>VLOOKUP($B4,INPUT_RANGE,57,FALSE)</f>
        <v>1</v>
      </c>
      <c r="U4" s="123" t="str">
        <f>"D:\IMS Images\Headshots\"&amp;IF('Team Info'!$B$21="BASEBALL","CBASE","SBALL")&amp;"\"&amp;'Team Info'!$B$11&amp;"\"&amp;D4&amp;"_"&amp;C4&amp;".png"</f>
        <v>D:\IMS Images\Headshots\CBASE\GENERIC_BASEBALL\Lastname_Firstname.png</v>
      </c>
      <c r="V4" s="123" t="str">
        <f>"D:\IMS Images\ActionShots\"&amp;IF('Team Info'!$B$21="BASEBALL","CBASE","SBALL")&amp;"\"&amp;'Team Info'!$B$11&amp;"\"&amp;D4&amp;"_"&amp;C4&amp;".png"</f>
        <v>D:\IMS Images\ActionShots\CBASE\GENERIC_BASEBALL\Lastname_Firstname.png</v>
      </c>
      <c r="W4" s="192" t="str">
        <f>B4 &amp; " " &amp; X4</f>
        <v>1 Firstname Lastname</v>
      </c>
      <c r="X4" s="122" t="str">
        <f t="shared" ref="X4:X35" si="12">C4&amp;" "&amp;D4</f>
        <v>Firstname Lastname</v>
      </c>
      <c r="Y4" s="122" t="str">
        <f t="shared" ref="Y4:Y35" si="13">UPPER(X4)</f>
        <v>FIRSTNAME LASTNAME</v>
      </c>
      <c r="Z4" s="122" t="str">
        <f t="shared" ref="Z4:Z35" si="14">LEFT(C4,1)&amp;". "&amp;D4</f>
        <v>F. Lastname</v>
      </c>
      <c r="AA4" s="122" t="str">
        <f>UPPER(C4)</f>
        <v>FIRSTNAME</v>
      </c>
      <c r="AB4" s="122" t="str">
        <f>UPPER(D4)</f>
        <v>LASTNAME</v>
      </c>
      <c r="AC4" s="125" t="str">
        <f>IF($L4=4,"Senior",IF($L4=3,"Junior",IF($L4=2,"Sophomore",IF($L4=1,"Freshman",""))))</f>
        <v>Freshman</v>
      </c>
      <c r="AD4" s="191" t="str">
        <f>IF($L4=4,"SR",IF($L4=3,"JR",IF($L4=2,"SO",IF($L4=1,"FR",""))))</f>
        <v>FR</v>
      </c>
      <c r="AE4" s="122" t="str">
        <f t="shared" ref="AE4:AE35" si="15">UPPER(AC4)</f>
        <v>FRESHMAN</v>
      </c>
      <c r="AF4" s="122" t="str">
        <f>$I4 &amp; " lbs"</f>
        <v>0 lbs</v>
      </c>
      <c r="AG4" s="122" t="str">
        <f>"MAJOR: " &amp; UPPER(M4)</f>
        <v>MAJOR: 0</v>
      </c>
      <c r="AH4" s="192" t="str">
        <f>B4 &amp; " " &amp; UPPER(X4)</f>
        <v>1 FIRSTNAME LASTNAME</v>
      </c>
      <c r="AI4" s="266" t="str">
        <f>IF(T4=0,"1st",$T4+1&amp;IF(AND(MOD(ABS($T4+1),100)&gt;10,MOD(ABS($T4+1),100)&lt;14),"th",CHOOSE(MOD(ABS($T4+1),10)+1,"th","st","nd","rd","th","th","th","th","th","th")))</f>
        <v>2nd</v>
      </c>
    </row>
    <row r="5" spans="1:35" x14ac:dyDescent="0.25">
      <c r="A5" s="25">
        <v>2</v>
      </c>
      <c r="B5" s="5">
        <v>2</v>
      </c>
      <c r="C5" s="171" t="str">
        <f t="shared" si="0"/>
        <v>Firstname</v>
      </c>
      <c r="D5" s="171" t="str">
        <f t="shared" si="1"/>
        <v>LastName</v>
      </c>
      <c r="E5" s="259" t="str">
        <f t="shared" si="2"/>
        <v>SS</v>
      </c>
      <c r="F5" s="259" t="str">
        <f t="shared" si="3"/>
        <v>R</v>
      </c>
      <c r="G5" s="259" t="str">
        <f t="shared" si="4"/>
        <v>R</v>
      </c>
      <c r="H5" s="259" t="str">
        <f t="shared" si="5"/>
        <v>6'1"</v>
      </c>
      <c r="I5" s="259">
        <f t="shared" si="6"/>
        <v>0</v>
      </c>
      <c r="J5" s="294" t="s">
        <v>800</v>
      </c>
      <c r="K5" s="259" t="str">
        <f t="shared" si="7"/>
        <v>Charlotte, NC</v>
      </c>
      <c r="L5" s="259">
        <f t="shared" si="8"/>
        <v>4</v>
      </c>
      <c r="M5" s="259">
        <f t="shared" si="9"/>
        <v>0</v>
      </c>
      <c r="N5" s="259" t="str">
        <f t="shared" si="10"/>
        <v/>
      </c>
      <c r="O5" s="259"/>
      <c r="Q5" s="124" t="str">
        <f t="shared" ref="Q5:Q68" ca="1" si="16">IF(J5="","",INT(YEARFRAC($J5, TODAY())))</f>
        <v/>
      </c>
      <c r="R5" s="124" t="str">
        <f t="shared" ref="R5:R68" ca="1" si="17">IF(Q5="","","Age: " &amp; Q5)</f>
        <v/>
      </c>
      <c r="S5" s="124" t="str">
        <f t="shared" si="11"/>
        <v>.259</v>
      </c>
      <c r="T5" s="124">
        <f t="shared" ref="T5:T35" si="18">VLOOKUP($B5,INPUT_RANGE,57,FALSE)</f>
        <v>1</v>
      </c>
      <c r="U5" s="123" t="str">
        <f>"D:\IMS Images\Headshots\"&amp;IF('Team Info'!$B$21="BASEBALL","CBASE","SBALL")&amp;"\"&amp;'Team Info'!$B$11&amp;"\"&amp;D5&amp;"_"&amp;C5&amp;".png"</f>
        <v>D:\IMS Images\Headshots\CBASE\GENERIC_BASEBALL\LastName_Firstname.png</v>
      </c>
      <c r="V5" s="123" t="str">
        <f>"D:\IMS Images\ActionShots\"&amp;IF('Team Info'!$B$21="BASEBALL","CBASE","SBALL")&amp;"\"&amp;'Team Info'!$B$11&amp;"\"&amp;D5&amp;"_"&amp;C5&amp;".png"</f>
        <v>D:\IMS Images\ActionShots\CBASE\GENERIC_BASEBALL\LastName_Firstname.png</v>
      </c>
      <c r="W5" s="192" t="str">
        <f t="shared" ref="W5:W68" si="19">B5 &amp; " " &amp; X5</f>
        <v>2 Firstname LastName</v>
      </c>
      <c r="X5" s="122" t="str">
        <f t="shared" si="12"/>
        <v>Firstname LastName</v>
      </c>
      <c r="Y5" s="122" t="str">
        <f t="shared" si="13"/>
        <v>FIRSTNAME LASTNAME</v>
      </c>
      <c r="Z5" s="122" t="str">
        <f t="shared" si="14"/>
        <v>F. LastName</v>
      </c>
      <c r="AA5" s="122" t="str">
        <f t="shared" ref="AA5:AA68" si="20">UPPER(C5)</f>
        <v>FIRSTNAME</v>
      </c>
      <c r="AB5" s="122" t="str">
        <f t="shared" ref="AB5:AB68" si="21">UPPER(D5)</f>
        <v>LASTNAME</v>
      </c>
      <c r="AC5" s="125" t="str">
        <f t="shared" ref="AC5:AC68" si="22">IF($L5=4,"Senior",IF($L5=3,"Junior",IF($L5=2,"Sophomore",IF($L5=1,"Freshman",""))))</f>
        <v>Senior</v>
      </c>
      <c r="AD5" s="191" t="str">
        <f t="shared" ref="AD5:AD68" si="23">IF($L5=4,"SR",IF($L5=3,"JR",IF($L5=2,"SO",IF($L5=1,"FR",""))))</f>
        <v>SR</v>
      </c>
      <c r="AE5" s="122" t="str">
        <f t="shared" si="15"/>
        <v>SENIOR</v>
      </c>
      <c r="AF5" s="122" t="str">
        <f t="shared" ref="AF5:AF68" si="24">$I5 &amp; " lbs"</f>
        <v>0 lbs</v>
      </c>
      <c r="AG5" s="122" t="str">
        <f t="shared" ref="AG5:AG68" si="25">"MAJOR: " &amp; UPPER(M5)</f>
        <v>MAJOR: 0</v>
      </c>
      <c r="AH5" s="192" t="str">
        <f t="shared" ref="AH5:AH68" si="26">B5 &amp; " " &amp; UPPER(X5)</f>
        <v>2 FIRSTNAME LASTNAME</v>
      </c>
      <c r="AI5" s="266" t="str">
        <f t="shared" ref="AI5:AI68" si="27">IF(T5=0,"1st",$T5+1&amp;IF(AND(MOD(ABS($T5+1),100)&gt;10,MOD(ABS($T5+1),100)&lt;14),"th",CHOOSE(MOD(ABS($T5+1),10)+1,"th","st","nd","rd","th","th","th","th","th","th")))</f>
        <v>2nd</v>
      </c>
    </row>
    <row r="6" spans="1:35" x14ac:dyDescent="0.25">
      <c r="A6" s="25">
        <v>3</v>
      </c>
      <c r="B6" s="5">
        <v>3</v>
      </c>
      <c r="C6" s="171" t="str">
        <f t="shared" si="0"/>
        <v>-</v>
      </c>
      <c r="D6" s="171" t="str">
        <f t="shared" si="1"/>
        <v>-</v>
      </c>
      <c r="E6" s="259" t="str">
        <f t="shared" si="2"/>
        <v>-</v>
      </c>
      <c r="F6" s="259" t="str">
        <f t="shared" si="3"/>
        <v>-</v>
      </c>
      <c r="G6" s="259" t="str">
        <f t="shared" si="4"/>
        <v>-</v>
      </c>
      <c r="H6" s="259" t="str">
        <f t="shared" si="5"/>
        <v>-</v>
      </c>
      <c r="I6" s="259" t="str">
        <f t="shared" si="6"/>
        <v>-</v>
      </c>
      <c r="J6" s="294" t="s">
        <v>800</v>
      </c>
      <c r="K6" s="259" t="str">
        <f t="shared" si="7"/>
        <v>-</v>
      </c>
      <c r="L6" s="259" t="str">
        <f t="shared" si="8"/>
        <v>-</v>
      </c>
      <c r="M6" s="259" t="str">
        <f t="shared" si="9"/>
        <v>-</v>
      </c>
      <c r="N6" s="259" t="str">
        <f t="shared" si="10"/>
        <v>-</v>
      </c>
      <c r="O6" s="259"/>
      <c r="Q6" s="124" t="str">
        <f t="shared" ca="1" si="16"/>
        <v/>
      </c>
      <c r="R6" s="124" t="str">
        <f t="shared" ca="1" si="17"/>
        <v/>
      </c>
      <c r="S6" s="124" t="e">
        <f t="shared" si="11"/>
        <v>#N/A</v>
      </c>
      <c r="T6" s="124" t="e">
        <f t="shared" si="18"/>
        <v>#N/A</v>
      </c>
      <c r="U6" s="123" t="str">
        <f>"D:\IMS Images\Headshots\"&amp;IF('Team Info'!$B$21="BASEBALL","CBASE","SBALL")&amp;"\"&amp;'Team Info'!$B$11&amp;"\"&amp;D6&amp;"_"&amp;C6&amp;".png"</f>
        <v>D:\IMS Images\Headshots\CBASE\GENERIC_BASEBALL\-_-.png</v>
      </c>
      <c r="V6" s="123" t="str">
        <f>"D:\IMS Images\ActionShots\"&amp;IF('Team Info'!$B$21="BASEBALL","CBASE","SBALL")&amp;"\"&amp;'Team Info'!$B$11&amp;"\"&amp;D6&amp;"_"&amp;C6&amp;".png"</f>
        <v>D:\IMS Images\ActionShots\CBASE\GENERIC_BASEBALL\-_-.png</v>
      </c>
      <c r="W6" s="192" t="str">
        <f t="shared" si="19"/>
        <v>3 - -</v>
      </c>
      <c r="X6" s="122" t="str">
        <f t="shared" si="12"/>
        <v>- -</v>
      </c>
      <c r="Y6" s="122" t="str">
        <f t="shared" si="13"/>
        <v>- -</v>
      </c>
      <c r="Z6" s="122" t="str">
        <f t="shared" si="14"/>
        <v>-. -</v>
      </c>
      <c r="AA6" s="122" t="str">
        <f t="shared" si="20"/>
        <v>-</v>
      </c>
      <c r="AB6" s="122" t="str">
        <f t="shared" si="21"/>
        <v>-</v>
      </c>
      <c r="AC6" s="125" t="str">
        <f t="shared" si="22"/>
        <v/>
      </c>
      <c r="AD6" s="191" t="str">
        <f t="shared" si="23"/>
        <v/>
      </c>
      <c r="AE6" s="122" t="str">
        <f t="shared" si="15"/>
        <v/>
      </c>
      <c r="AF6" s="122" t="str">
        <f t="shared" si="24"/>
        <v>- lbs</v>
      </c>
      <c r="AG6" s="122" t="str">
        <f t="shared" si="25"/>
        <v>MAJOR: -</v>
      </c>
      <c r="AH6" s="192" t="str">
        <f t="shared" si="26"/>
        <v>3 - -</v>
      </c>
      <c r="AI6" s="266" t="e">
        <f t="shared" si="27"/>
        <v>#N/A</v>
      </c>
    </row>
    <row r="7" spans="1:35" x14ac:dyDescent="0.25">
      <c r="A7" s="25">
        <v>4</v>
      </c>
      <c r="B7" s="5">
        <v>4</v>
      </c>
      <c r="C7" s="171" t="str">
        <f t="shared" si="0"/>
        <v>-</v>
      </c>
      <c r="D7" s="171" t="str">
        <f t="shared" si="1"/>
        <v>-</v>
      </c>
      <c r="E7" s="259" t="str">
        <f t="shared" si="2"/>
        <v>-</v>
      </c>
      <c r="F7" s="259" t="str">
        <f t="shared" si="3"/>
        <v>-</v>
      </c>
      <c r="G7" s="259" t="str">
        <f t="shared" si="4"/>
        <v>-</v>
      </c>
      <c r="H7" s="259" t="str">
        <f t="shared" si="5"/>
        <v>-</v>
      </c>
      <c r="I7" s="259" t="str">
        <f t="shared" si="6"/>
        <v>-</v>
      </c>
      <c r="J7" s="294" t="s">
        <v>800</v>
      </c>
      <c r="K7" s="259" t="str">
        <f t="shared" si="7"/>
        <v>-</v>
      </c>
      <c r="L7" s="259" t="str">
        <f t="shared" si="8"/>
        <v>-</v>
      </c>
      <c r="M7" s="259" t="str">
        <f t="shared" si="9"/>
        <v>-</v>
      </c>
      <c r="N7" s="259" t="str">
        <f t="shared" si="10"/>
        <v>-</v>
      </c>
      <c r="O7" s="259"/>
      <c r="P7" s="8" t="s">
        <v>843</v>
      </c>
      <c r="Q7" s="124" t="str">
        <f t="shared" ca="1" si="16"/>
        <v/>
      </c>
      <c r="R7" s="124" t="str">
        <f t="shared" ca="1" si="17"/>
        <v/>
      </c>
      <c r="S7" s="124" t="e">
        <f t="shared" si="11"/>
        <v>#N/A</v>
      </c>
      <c r="T7" s="124" t="e">
        <f t="shared" si="18"/>
        <v>#N/A</v>
      </c>
      <c r="U7" s="123" t="str">
        <f>"D:\IMS Images\Headshots\"&amp;IF('Team Info'!$B$21="BASEBALL","CBASE","SBALL")&amp;"\"&amp;'Team Info'!$B$11&amp;"\"&amp;D7&amp;"_"&amp;C7&amp;".png"</f>
        <v>D:\IMS Images\Headshots\CBASE\GENERIC_BASEBALL\-_-.png</v>
      </c>
      <c r="V7" s="123" t="str">
        <f>"D:\IMS Images\ActionShots\"&amp;IF('Team Info'!$B$21="BASEBALL","CBASE","SBALL")&amp;"\"&amp;'Team Info'!$B$11&amp;"\"&amp;D7&amp;"_"&amp;C7&amp;".png"</f>
        <v>D:\IMS Images\ActionShots\CBASE\GENERIC_BASEBALL\-_-.png</v>
      </c>
      <c r="W7" s="192" t="str">
        <f t="shared" si="19"/>
        <v>4 - -</v>
      </c>
      <c r="X7" s="122" t="str">
        <f t="shared" si="12"/>
        <v>- -</v>
      </c>
      <c r="Y7" s="122" t="str">
        <f t="shared" si="13"/>
        <v>- -</v>
      </c>
      <c r="Z7" s="122" t="str">
        <f t="shared" si="14"/>
        <v>-. -</v>
      </c>
      <c r="AA7" s="122" t="str">
        <f t="shared" si="20"/>
        <v>-</v>
      </c>
      <c r="AB7" s="122" t="str">
        <f t="shared" si="21"/>
        <v>-</v>
      </c>
      <c r="AC7" s="125" t="str">
        <f t="shared" si="22"/>
        <v/>
      </c>
      <c r="AD7" s="191" t="str">
        <f t="shared" si="23"/>
        <v/>
      </c>
      <c r="AE7" s="122" t="str">
        <f t="shared" si="15"/>
        <v/>
      </c>
      <c r="AF7" s="122" t="str">
        <f t="shared" si="24"/>
        <v>- lbs</v>
      </c>
      <c r="AG7" s="122" t="str">
        <f t="shared" si="25"/>
        <v>MAJOR: -</v>
      </c>
      <c r="AH7" s="192" t="str">
        <f t="shared" si="26"/>
        <v>4 - -</v>
      </c>
      <c r="AI7" s="266" t="e">
        <f t="shared" si="27"/>
        <v>#N/A</v>
      </c>
    </row>
    <row r="8" spans="1:35" x14ac:dyDescent="0.25">
      <c r="A8" s="25">
        <v>5</v>
      </c>
      <c r="B8" s="5">
        <v>5</v>
      </c>
      <c r="C8" s="171" t="str">
        <f t="shared" si="0"/>
        <v>-</v>
      </c>
      <c r="D8" s="171" t="str">
        <f t="shared" si="1"/>
        <v>-</v>
      </c>
      <c r="E8" s="259" t="str">
        <f t="shared" si="2"/>
        <v>-</v>
      </c>
      <c r="F8" s="259" t="str">
        <f t="shared" si="3"/>
        <v>-</v>
      </c>
      <c r="G8" s="259" t="str">
        <f t="shared" si="4"/>
        <v>-</v>
      </c>
      <c r="H8" s="259" t="str">
        <f t="shared" si="5"/>
        <v>-</v>
      </c>
      <c r="I8" s="259" t="str">
        <f t="shared" si="6"/>
        <v>-</v>
      </c>
      <c r="J8" s="294" t="s">
        <v>800</v>
      </c>
      <c r="K8" s="259" t="str">
        <f t="shared" si="7"/>
        <v>-</v>
      </c>
      <c r="L8" s="259" t="str">
        <f t="shared" si="8"/>
        <v>-</v>
      </c>
      <c r="M8" s="259" t="str">
        <f t="shared" si="9"/>
        <v>-</v>
      </c>
      <c r="N8" s="259" t="str">
        <f t="shared" si="10"/>
        <v>-</v>
      </c>
      <c r="O8" s="259"/>
      <c r="P8" s="8" t="s">
        <v>782</v>
      </c>
      <c r="Q8" s="124" t="str">
        <f t="shared" ca="1" si="16"/>
        <v/>
      </c>
      <c r="R8" s="124" t="str">
        <f t="shared" ca="1" si="17"/>
        <v/>
      </c>
      <c r="S8" s="124" t="e">
        <f t="shared" si="11"/>
        <v>#N/A</v>
      </c>
      <c r="T8" s="124" t="e">
        <f t="shared" si="18"/>
        <v>#N/A</v>
      </c>
      <c r="U8" s="123" t="str">
        <f>"D:\IMS Images\Headshots\"&amp;IF('Team Info'!$B$21="BASEBALL","CBASE","SBALL")&amp;"\"&amp;'Team Info'!$B$11&amp;"\"&amp;D8&amp;"_"&amp;C8&amp;".png"</f>
        <v>D:\IMS Images\Headshots\CBASE\GENERIC_BASEBALL\-_-.png</v>
      </c>
      <c r="V8" s="123" t="str">
        <f>"D:\IMS Images\ActionShots\"&amp;IF('Team Info'!$B$21="BASEBALL","CBASE","SBALL")&amp;"\"&amp;'Team Info'!$B$11&amp;"\"&amp;D8&amp;"_"&amp;C8&amp;".png"</f>
        <v>D:\IMS Images\ActionShots\CBASE\GENERIC_BASEBALL\-_-.png</v>
      </c>
      <c r="W8" s="192" t="str">
        <f t="shared" si="19"/>
        <v>5 - -</v>
      </c>
      <c r="X8" s="122" t="str">
        <f t="shared" si="12"/>
        <v>- -</v>
      </c>
      <c r="Y8" s="122" t="str">
        <f t="shared" si="13"/>
        <v>- -</v>
      </c>
      <c r="Z8" s="122" t="str">
        <f t="shared" si="14"/>
        <v>-. -</v>
      </c>
      <c r="AA8" s="122" t="str">
        <f t="shared" si="20"/>
        <v>-</v>
      </c>
      <c r="AB8" s="122" t="str">
        <f t="shared" si="21"/>
        <v>-</v>
      </c>
      <c r="AC8" s="125" t="str">
        <f t="shared" si="22"/>
        <v/>
      </c>
      <c r="AD8" s="191" t="str">
        <f t="shared" si="23"/>
        <v/>
      </c>
      <c r="AE8" s="122" t="str">
        <f t="shared" si="15"/>
        <v/>
      </c>
      <c r="AF8" s="122" t="str">
        <f t="shared" si="24"/>
        <v>- lbs</v>
      </c>
      <c r="AG8" s="122" t="str">
        <f t="shared" si="25"/>
        <v>MAJOR: -</v>
      </c>
      <c r="AH8" s="192" t="str">
        <f t="shared" si="26"/>
        <v>5 - -</v>
      </c>
      <c r="AI8" s="266" t="e">
        <f t="shared" si="27"/>
        <v>#N/A</v>
      </c>
    </row>
    <row r="9" spans="1:35" x14ac:dyDescent="0.25">
      <c r="A9" s="25">
        <v>6</v>
      </c>
      <c r="B9" s="5">
        <v>6</v>
      </c>
      <c r="C9" s="171" t="str">
        <f t="shared" si="0"/>
        <v>-</v>
      </c>
      <c r="D9" s="171" t="str">
        <f t="shared" si="1"/>
        <v>-</v>
      </c>
      <c r="E9" s="259" t="str">
        <f t="shared" si="2"/>
        <v>-</v>
      </c>
      <c r="F9" s="259" t="str">
        <f t="shared" si="3"/>
        <v>-</v>
      </c>
      <c r="G9" s="259" t="str">
        <f t="shared" si="4"/>
        <v>-</v>
      </c>
      <c r="H9" s="259" t="str">
        <f t="shared" si="5"/>
        <v>-</v>
      </c>
      <c r="I9" s="259" t="str">
        <f t="shared" si="6"/>
        <v>-</v>
      </c>
      <c r="J9" s="294" t="s">
        <v>800</v>
      </c>
      <c r="K9" s="259" t="str">
        <f t="shared" si="7"/>
        <v>-</v>
      </c>
      <c r="L9" s="259" t="str">
        <f t="shared" si="8"/>
        <v>-</v>
      </c>
      <c r="M9" s="259" t="str">
        <f t="shared" si="9"/>
        <v>-</v>
      </c>
      <c r="N9" s="259" t="str">
        <f t="shared" si="10"/>
        <v>-</v>
      </c>
      <c r="O9" s="259"/>
      <c r="P9" s="8" t="s">
        <v>842</v>
      </c>
      <c r="Q9" s="124" t="str">
        <f t="shared" ca="1" si="16"/>
        <v/>
      </c>
      <c r="R9" s="124" t="str">
        <f t="shared" ca="1" si="17"/>
        <v/>
      </c>
      <c r="S9" s="124" t="e">
        <f t="shared" si="11"/>
        <v>#N/A</v>
      </c>
      <c r="T9" s="124" t="e">
        <f t="shared" si="18"/>
        <v>#N/A</v>
      </c>
      <c r="U9" s="123" t="str">
        <f>"D:\IMS Images\Headshots\"&amp;IF('Team Info'!$B$21="BASEBALL","CBASE","SBALL")&amp;"\"&amp;'Team Info'!$B$11&amp;"\"&amp;D9&amp;"_"&amp;C9&amp;".png"</f>
        <v>D:\IMS Images\Headshots\CBASE\GENERIC_BASEBALL\-_-.png</v>
      </c>
      <c r="V9" s="123" t="str">
        <f>"D:\IMS Images\ActionShots\"&amp;IF('Team Info'!$B$21="BASEBALL","CBASE","SBALL")&amp;"\"&amp;'Team Info'!$B$11&amp;"\"&amp;D9&amp;"_"&amp;C9&amp;".png"</f>
        <v>D:\IMS Images\ActionShots\CBASE\GENERIC_BASEBALL\-_-.png</v>
      </c>
      <c r="W9" s="192" t="str">
        <f t="shared" si="19"/>
        <v>6 - -</v>
      </c>
      <c r="X9" s="122" t="str">
        <f t="shared" si="12"/>
        <v>- -</v>
      </c>
      <c r="Y9" s="122" t="str">
        <f t="shared" si="13"/>
        <v>- -</v>
      </c>
      <c r="Z9" s="122" t="str">
        <f t="shared" si="14"/>
        <v>-. -</v>
      </c>
      <c r="AA9" s="122" t="str">
        <f t="shared" si="20"/>
        <v>-</v>
      </c>
      <c r="AB9" s="122" t="str">
        <f t="shared" si="21"/>
        <v>-</v>
      </c>
      <c r="AC9" s="125" t="str">
        <f t="shared" si="22"/>
        <v/>
      </c>
      <c r="AD9" s="191" t="str">
        <f t="shared" si="23"/>
        <v/>
      </c>
      <c r="AE9" s="122" t="str">
        <f t="shared" si="15"/>
        <v/>
      </c>
      <c r="AF9" s="122" t="str">
        <f t="shared" si="24"/>
        <v>- lbs</v>
      </c>
      <c r="AG9" s="122" t="str">
        <f t="shared" si="25"/>
        <v>MAJOR: -</v>
      </c>
      <c r="AH9" s="192" t="str">
        <f t="shared" si="26"/>
        <v>6 - -</v>
      </c>
      <c r="AI9" s="266" t="e">
        <f t="shared" si="27"/>
        <v>#N/A</v>
      </c>
    </row>
    <row r="10" spans="1:35" x14ac:dyDescent="0.25">
      <c r="A10" s="25">
        <v>7</v>
      </c>
      <c r="B10" s="5">
        <v>7</v>
      </c>
      <c r="C10" s="171" t="str">
        <f t="shared" si="0"/>
        <v>-</v>
      </c>
      <c r="D10" s="171" t="str">
        <f t="shared" si="1"/>
        <v>-</v>
      </c>
      <c r="E10" s="259" t="str">
        <f t="shared" si="2"/>
        <v>-</v>
      </c>
      <c r="F10" s="259" t="str">
        <f t="shared" si="3"/>
        <v>-</v>
      </c>
      <c r="G10" s="259" t="str">
        <f t="shared" si="4"/>
        <v>-</v>
      </c>
      <c r="H10" s="259" t="str">
        <f t="shared" si="5"/>
        <v>-</v>
      </c>
      <c r="I10" s="259" t="str">
        <f t="shared" si="6"/>
        <v>-</v>
      </c>
      <c r="J10" s="294" t="s">
        <v>800</v>
      </c>
      <c r="K10" s="259" t="str">
        <f t="shared" si="7"/>
        <v>-</v>
      </c>
      <c r="L10" s="259" t="str">
        <f t="shared" si="8"/>
        <v>-</v>
      </c>
      <c r="M10" s="259" t="str">
        <f t="shared" si="9"/>
        <v>-</v>
      </c>
      <c r="N10" s="259" t="str">
        <f t="shared" si="10"/>
        <v>-</v>
      </c>
      <c r="O10" s="259"/>
      <c r="Q10" s="124" t="str">
        <f t="shared" ca="1" si="16"/>
        <v/>
      </c>
      <c r="R10" s="124" t="str">
        <f t="shared" ca="1" si="17"/>
        <v/>
      </c>
      <c r="S10" s="124" t="e">
        <f t="shared" si="11"/>
        <v>#N/A</v>
      </c>
      <c r="T10" s="124" t="e">
        <f t="shared" si="18"/>
        <v>#N/A</v>
      </c>
      <c r="U10" s="123" t="str">
        <f>"D:\IMS Images\Headshots\"&amp;IF('Team Info'!$B$21="BASEBALL","CBASE","SBALL")&amp;"\"&amp;'Team Info'!$B$11&amp;"\"&amp;D10&amp;"_"&amp;C10&amp;".png"</f>
        <v>D:\IMS Images\Headshots\CBASE\GENERIC_BASEBALL\-_-.png</v>
      </c>
      <c r="V10" s="123" t="str">
        <f>"D:\IMS Images\ActionShots\"&amp;IF('Team Info'!$B$21="BASEBALL","CBASE","SBALL")&amp;"\"&amp;'Team Info'!$B$11&amp;"\"&amp;D10&amp;"_"&amp;C10&amp;".png"</f>
        <v>D:\IMS Images\ActionShots\CBASE\GENERIC_BASEBALL\-_-.png</v>
      </c>
      <c r="W10" s="192" t="str">
        <f t="shared" si="19"/>
        <v>7 - -</v>
      </c>
      <c r="X10" s="122" t="str">
        <f t="shared" si="12"/>
        <v>- -</v>
      </c>
      <c r="Y10" s="122" t="str">
        <f t="shared" si="13"/>
        <v>- -</v>
      </c>
      <c r="Z10" s="122" t="str">
        <f t="shared" si="14"/>
        <v>-. -</v>
      </c>
      <c r="AA10" s="122" t="str">
        <f t="shared" si="20"/>
        <v>-</v>
      </c>
      <c r="AB10" s="122" t="str">
        <f t="shared" si="21"/>
        <v>-</v>
      </c>
      <c r="AC10" s="125" t="str">
        <f t="shared" si="22"/>
        <v/>
      </c>
      <c r="AD10" s="191" t="str">
        <f t="shared" si="23"/>
        <v/>
      </c>
      <c r="AE10" s="122" t="str">
        <f t="shared" si="15"/>
        <v/>
      </c>
      <c r="AF10" s="122" t="str">
        <f t="shared" si="24"/>
        <v>- lbs</v>
      </c>
      <c r="AG10" s="122" t="str">
        <f t="shared" si="25"/>
        <v>MAJOR: -</v>
      </c>
      <c r="AH10" s="192" t="str">
        <f t="shared" si="26"/>
        <v>7 - -</v>
      </c>
      <c r="AI10" s="266" t="e">
        <f t="shared" si="27"/>
        <v>#N/A</v>
      </c>
    </row>
    <row r="11" spans="1:35" x14ac:dyDescent="0.25">
      <c r="A11" s="25">
        <v>8</v>
      </c>
      <c r="B11" s="5">
        <v>8</v>
      </c>
      <c r="C11" s="171" t="str">
        <f t="shared" si="0"/>
        <v>-</v>
      </c>
      <c r="D11" s="171" t="str">
        <f t="shared" si="1"/>
        <v>-</v>
      </c>
      <c r="E11" s="259" t="str">
        <f t="shared" si="2"/>
        <v>-</v>
      </c>
      <c r="F11" s="259" t="str">
        <f t="shared" si="3"/>
        <v>-</v>
      </c>
      <c r="G11" s="259" t="str">
        <f t="shared" si="4"/>
        <v>-</v>
      </c>
      <c r="H11" s="259" t="str">
        <f t="shared" si="5"/>
        <v>-</v>
      </c>
      <c r="I11" s="259" t="str">
        <f t="shared" si="6"/>
        <v>-</v>
      </c>
      <c r="J11" s="294" t="s">
        <v>800</v>
      </c>
      <c r="K11" s="259" t="str">
        <f t="shared" si="7"/>
        <v>-</v>
      </c>
      <c r="L11" s="259" t="str">
        <f t="shared" si="8"/>
        <v>-</v>
      </c>
      <c r="M11" s="259" t="str">
        <f t="shared" si="9"/>
        <v>-</v>
      </c>
      <c r="N11" s="259" t="str">
        <f t="shared" si="10"/>
        <v>-</v>
      </c>
      <c r="O11" s="259"/>
      <c r="Q11" s="124" t="str">
        <f t="shared" ca="1" si="16"/>
        <v/>
      </c>
      <c r="R11" s="124" t="str">
        <f t="shared" ca="1" si="17"/>
        <v/>
      </c>
      <c r="S11" s="124" t="e">
        <f t="shared" si="11"/>
        <v>#N/A</v>
      </c>
      <c r="T11" s="124" t="e">
        <f t="shared" si="18"/>
        <v>#N/A</v>
      </c>
      <c r="U11" s="123" t="str">
        <f>"D:\IMS Images\Headshots\"&amp;IF('Team Info'!$B$21="BASEBALL","CBASE","SBALL")&amp;"\"&amp;'Team Info'!$B$11&amp;"\"&amp;D11&amp;"_"&amp;C11&amp;".png"</f>
        <v>D:\IMS Images\Headshots\CBASE\GENERIC_BASEBALL\-_-.png</v>
      </c>
      <c r="V11" s="123" t="str">
        <f>"D:\IMS Images\ActionShots\"&amp;IF('Team Info'!$B$21="BASEBALL","CBASE","SBALL")&amp;"\"&amp;'Team Info'!$B$11&amp;"\"&amp;D11&amp;"_"&amp;C11&amp;".png"</f>
        <v>D:\IMS Images\ActionShots\CBASE\GENERIC_BASEBALL\-_-.png</v>
      </c>
      <c r="W11" s="192" t="str">
        <f t="shared" si="19"/>
        <v>8 - -</v>
      </c>
      <c r="X11" s="122" t="str">
        <f t="shared" si="12"/>
        <v>- -</v>
      </c>
      <c r="Y11" s="122" t="str">
        <f t="shared" si="13"/>
        <v>- -</v>
      </c>
      <c r="Z11" s="122" t="str">
        <f t="shared" si="14"/>
        <v>-. -</v>
      </c>
      <c r="AA11" s="122" t="str">
        <f t="shared" si="20"/>
        <v>-</v>
      </c>
      <c r="AB11" s="122" t="str">
        <f t="shared" si="21"/>
        <v>-</v>
      </c>
      <c r="AC11" s="125" t="str">
        <f t="shared" si="22"/>
        <v/>
      </c>
      <c r="AD11" s="191" t="str">
        <f t="shared" si="23"/>
        <v/>
      </c>
      <c r="AE11" s="122" t="str">
        <f t="shared" si="15"/>
        <v/>
      </c>
      <c r="AF11" s="122" t="str">
        <f t="shared" si="24"/>
        <v>- lbs</v>
      </c>
      <c r="AG11" s="122" t="str">
        <f t="shared" si="25"/>
        <v>MAJOR: -</v>
      </c>
      <c r="AH11" s="192" t="str">
        <f t="shared" si="26"/>
        <v>8 - -</v>
      </c>
      <c r="AI11" s="266" t="e">
        <f t="shared" si="27"/>
        <v>#N/A</v>
      </c>
    </row>
    <row r="12" spans="1:35" x14ac:dyDescent="0.25">
      <c r="A12" s="25">
        <v>9</v>
      </c>
      <c r="B12" s="5">
        <v>9</v>
      </c>
      <c r="C12" s="171" t="str">
        <f t="shared" si="0"/>
        <v>-</v>
      </c>
      <c r="D12" s="171" t="str">
        <f t="shared" si="1"/>
        <v>-</v>
      </c>
      <c r="E12" s="259" t="str">
        <f t="shared" si="2"/>
        <v>-</v>
      </c>
      <c r="F12" s="259" t="str">
        <f t="shared" si="3"/>
        <v>-</v>
      </c>
      <c r="G12" s="259" t="str">
        <f t="shared" si="4"/>
        <v>-</v>
      </c>
      <c r="H12" s="259" t="str">
        <f t="shared" si="5"/>
        <v>-</v>
      </c>
      <c r="I12" s="259" t="str">
        <f t="shared" si="6"/>
        <v>-</v>
      </c>
      <c r="J12" s="294" t="s">
        <v>800</v>
      </c>
      <c r="K12" s="259" t="str">
        <f t="shared" si="7"/>
        <v>-</v>
      </c>
      <c r="L12" s="259" t="str">
        <f t="shared" si="8"/>
        <v>-</v>
      </c>
      <c r="M12" s="259" t="str">
        <f t="shared" si="9"/>
        <v>-</v>
      </c>
      <c r="N12" s="259" t="str">
        <f t="shared" si="10"/>
        <v>-</v>
      </c>
      <c r="O12" s="259"/>
      <c r="Q12" s="124" t="str">
        <f t="shared" ca="1" si="16"/>
        <v/>
      </c>
      <c r="R12" s="124" t="str">
        <f t="shared" ca="1" si="17"/>
        <v/>
      </c>
      <c r="S12" s="124" t="e">
        <f t="shared" si="11"/>
        <v>#N/A</v>
      </c>
      <c r="T12" s="124" t="e">
        <f t="shared" si="18"/>
        <v>#N/A</v>
      </c>
      <c r="U12" s="123" t="str">
        <f>"D:\IMS Images\Headshots\"&amp;IF('Team Info'!$B$21="BASEBALL","CBASE","SBALL")&amp;"\"&amp;'Team Info'!$B$11&amp;"\"&amp;D12&amp;"_"&amp;C12&amp;".png"</f>
        <v>D:\IMS Images\Headshots\CBASE\GENERIC_BASEBALL\-_-.png</v>
      </c>
      <c r="V12" s="123" t="str">
        <f>"D:\IMS Images\ActionShots\"&amp;IF('Team Info'!$B$21="BASEBALL","CBASE","SBALL")&amp;"\"&amp;'Team Info'!$B$11&amp;"\"&amp;D12&amp;"_"&amp;C12&amp;".png"</f>
        <v>D:\IMS Images\ActionShots\CBASE\GENERIC_BASEBALL\-_-.png</v>
      </c>
      <c r="W12" s="192" t="str">
        <f t="shared" si="19"/>
        <v>9 - -</v>
      </c>
      <c r="X12" s="122" t="str">
        <f t="shared" si="12"/>
        <v>- -</v>
      </c>
      <c r="Y12" s="122" t="str">
        <f t="shared" si="13"/>
        <v>- -</v>
      </c>
      <c r="Z12" s="122" t="str">
        <f t="shared" si="14"/>
        <v>-. -</v>
      </c>
      <c r="AA12" s="122" t="str">
        <f t="shared" si="20"/>
        <v>-</v>
      </c>
      <c r="AB12" s="122" t="str">
        <f t="shared" si="21"/>
        <v>-</v>
      </c>
      <c r="AC12" s="125" t="str">
        <f t="shared" si="22"/>
        <v/>
      </c>
      <c r="AD12" s="191" t="str">
        <f t="shared" si="23"/>
        <v/>
      </c>
      <c r="AE12" s="122" t="str">
        <f t="shared" si="15"/>
        <v/>
      </c>
      <c r="AF12" s="122" t="str">
        <f t="shared" si="24"/>
        <v>- lbs</v>
      </c>
      <c r="AG12" s="122" t="str">
        <f t="shared" si="25"/>
        <v>MAJOR: -</v>
      </c>
      <c r="AH12" s="192" t="str">
        <f t="shared" si="26"/>
        <v>9 - -</v>
      </c>
      <c r="AI12" s="266" t="e">
        <f t="shared" si="27"/>
        <v>#N/A</v>
      </c>
    </row>
    <row r="13" spans="1:35" x14ac:dyDescent="0.25">
      <c r="A13" s="25">
        <v>10</v>
      </c>
      <c r="B13" s="5">
        <v>10</v>
      </c>
      <c r="C13" s="171" t="str">
        <f t="shared" si="0"/>
        <v>-</v>
      </c>
      <c r="D13" s="171" t="str">
        <f t="shared" si="1"/>
        <v>-</v>
      </c>
      <c r="E13" s="259" t="str">
        <f t="shared" si="2"/>
        <v>-</v>
      </c>
      <c r="F13" s="259" t="str">
        <f t="shared" si="3"/>
        <v>-</v>
      </c>
      <c r="G13" s="259" t="str">
        <f t="shared" si="4"/>
        <v>-</v>
      </c>
      <c r="H13" s="259" t="str">
        <f t="shared" si="5"/>
        <v>-</v>
      </c>
      <c r="I13" s="259" t="str">
        <f t="shared" si="6"/>
        <v>-</v>
      </c>
      <c r="J13" s="294" t="s">
        <v>800</v>
      </c>
      <c r="K13" s="259" t="str">
        <f t="shared" si="7"/>
        <v>-</v>
      </c>
      <c r="L13" s="259" t="str">
        <f t="shared" si="8"/>
        <v>-</v>
      </c>
      <c r="M13" s="259" t="str">
        <f t="shared" si="9"/>
        <v>-</v>
      </c>
      <c r="N13" s="259" t="str">
        <f t="shared" si="10"/>
        <v>-</v>
      </c>
      <c r="O13" s="259"/>
      <c r="Q13" s="124" t="str">
        <f t="shared" ca="1" si="16"/>
        <v/>
      </c>
      <c r="R13" s="124" t="str">
        <f t="shared" ca="1" si="17"/>
        <v/>
      </c>
      <c r="S13" s="124" t="e">
        <f t="shared" si="11"/>
        <v>#N/A</v>
      </c>
      <c r="T13" s="124" t="e">
        <f t="shared" si="18"/>
        <v>#N/A</v>
      </c>
      <c r="U13" s="123" t="str">
        <f>"D:\IMS Images\Headshots\"&amp;IF('Team Info'!$B$21="BASEBALL","CBASE","SBALL")&amp;"\"&amp;'Team Info'!$B$11&amp;"\"&amp;D13&amp;"_"&amp;C13&amp;".png"</f>
        <v>D:\IMS Images\Headshots\CBASE\GENERIC_BASEBALL\-_-.png</v>
      </c>
      <c r="V13" s="123" t="str">
        <f>"D:\IMS Images\ActionShots\"&amp;IF('Team Info'!$B$21="BASEBALL","CBASE","SBALL")&amp;"\"&amp;'Team Info'!$B$11&amp;"\"&amp;D13&amp;"_"&amp;C13&amp;".png"</f>
        <v>D:\IMS Images\ActionShots\CBASE\GENERIC_BASEBALL\-_-.png</v>
      </c>
      <c r="W13" s="192" t="str">
        <f t="shared" si="19"/>
        <v>10 - -</v>
      </c>
      <c r="X13" s="122" t="str">
        <f t="shared" si="12"/>
        <v>- -</v>
      </c>
      <c r="Y13" s="122" t="str">
        <f t="shared" si="13"/>
        <v>- -</v>
      </c>
      <c r="Z13" s="122" t="str">
        <f t="shared" si="14"/>
        <v>-. -</v>
      </c>
      <c r="AA13" s="122" t="str">
        <f t="shared" si="20"/>
        <v>-</v>
      </c>
      <c r="AB13" s="122" t="str">
        <f t="shared" si="21"/>
        <v>-</v>
      </c>
      <c r="AC13" s="125" t="str">
        <f t="shared" si="22"/>
        <v/>
      </c>
      <c r="AD13" s="191" t="str">
        <f t="shared" si="23"/>
        <v/>
      </c>
      <c r="AE13" s="122" t="str">
        <f t="shared" si="15"/>
        <v/>
      </c>
      <c r="AF13" s="122" t="str">
        <f t="shared" si="24"/>
        <v>- lbs</v>
      </c>
      <c r="AG13" s="122" t="str">
        <f t="shared" si="25"/>
        <v>MAJOR: -</v>
      </c>
      <c r="AH13" s="192" t="str">
        <f t="shared" si="26"/>
        <v>10 - -</v>
      </c>
      <c r="AI13" s="266" t="e">
        <f t="shared" si="27"/>
        <v>#N/A</v>
      </c>
    </row>
    <row r="14" spans="1:35" x14ac:dyDescent="0.25">
      <c r="A14" s="25">
        <v>11</v>
      </c>
      <c r="B14" s="5">
        <v>11</v>
      </c>
      <c r="C14" s="171" t="str">
        <f t="shared" si="0"/>
        <v>-</v>
      </c>
      <c r="D14" s="171" t="str">
        <f t="shared" si="1"/>
        <v>-</v>
      </c>
      <c r="E14" s="259" t="str">
        <f t="shared" si="2"/>
        <v>-</v>
      </c>
      <c r="F14" s="259" t="str">
        <f t="shared" si="3"/>
        <v>-</v>
      </c>
      <c r="G14" s="259" t="str">
        <f t="shared" si="4"/>
        <v>-</v>
      </c>
      <c r="H14" s="259" t="str">
        <f t="shared" si="5"/>
        <v>-</v>
      </c>
      <c r="I14" s="259" t="str">
        <f t="shared" si="6"/>
        <v>-</v>
      </c>
      <c r="J14" s="294" t="s">
        <v>800</v>
      </c>
      <c r="K14" s="259" t="str">
        <f t="shared" si="7"/>
        <v>-</v>
      </c>
      <c r="L14" s="259" t="str">
        <f t="shared" si="8"/>
        <v>-</v>
      </c>
      <c r="M14" s="259" t="str">
        <f t="shared" si="9"/>
        <v>-</v>
      </c>
      <c r="N14" s="259" t="str">
        <f t="shared" si="10"/>
        <v>-</v>
      </c>
      <c r="O14" s="259"/>
      <c r="Q14" s="124" t="str">
        <f t="shared" ca="1" si="16"/>
        <v/>
      </c>
      <c r="R14" s="124" t="str">
        <f t="shared" ca="1" si="17"/>
        <v/>
      </c>
      <c r="S14" s="124" t="e">
        <f t="shared" si="11"/>
        <v>#N/A</v>
      </c>
      <c r="T14" s="124" t="e">
        <f t="shared" si="18"/>
        <v>#N/A</v>
      </c>
      <c r="U14" s="123" t="str">
        <f>"D:\IMS Images\Headshots\"&amp;IF('Team Info'!$B$21="BASEBALL","CBASE","SBALL")&amp;"\"&amp;'Team Info'!$B$11&amp;"\"&amp;D14&amp;"_"&amp;C14&amp;".png"</f>
        <v>D:\IMS Images\Headshots\CBASE\GENERIC_BASEBALL\-_-.png</v>
      </c>
      <c r="V14" s="123" t="str">
        <f>"D:\IMS Images\ActionShots\"&amp;IF('Team Info'!$B$21="BASEBALL","CBASE","SBALL")&amp;"\"&amp;'Team Info'!$B$11&amp;"\"&amp;D14&amp;"_"&amp;C14&amp;".png"</f>
        <v>D:\IMS Images\ActionShots\CBASE\GENERIC_BASEBALL\-_-.png</v>
      </c>
      <c r="W14" s="192" t="str">
        <f t="shared" si="19"/>
        <v>11 - -</v>
      </c>
      <c r="X14" s="122" t="str">
        <f t="shared" si="12"/>
        <v>- -</v>
      </c>
      <c r="Y14" s="122" t="str">
        <f t="shared" si="13"/>
        <v>- -</v>
      </c>
      <c r="Z14" s="122" t="str">
        <f t="shared" si="14"/>
        <v>-. -</v>
      </c>
      <c r="AA14" s="122" t="str">
        <f t="shared" si="20"/>
        <v>-</v>
      </c>
      <c r="AB14" s="122" t="str">
        <f t="shared" si="21"/>
        <v>-</v>
      </c>
      <c r="AC14" s="125" t="str">
        <f t="shared" si="22"/>
        <v/>
      </c>
      <c r="AD14" s="191" t="str">
        <f t="shared" si="23"/>
        <v/>
      </c>
      <c r="AE14" s="122" t="str">
        <f t="shared" si="15"/>
        <v/>
      </c>
      <c r="AF14" s="122" t="str">
        <f t="shared" si="24"/>
        <v>- lbs</v>
      </c>
      <c r="AG14" s="122" t="str">
        <f t="shared" si="25"/>
        <v>MAJOR: -</v>
      </c>
      <c r="AH14" s="192" t="str">
        <f t="shared" si="26"/>
        <v>11 - -</v>
      </c>
      <c r="AI14" s="266" t="e">
        <f t="shared" si="27"/>
        <v>#N/A</v>
      </c>
    </row>
    <row r="15" spans="1:35" x14ac:dyDescent="0.25">
      <c r="A15" s="25">
        <v>12</v>
      </c>
      <c r="B15" s="5">
        <v>12</v>
      </c>
      <c r="C15" s="171" t="str">
        <f t="shared" si="0"/>
        <v>-</v>
      </c>
      <c r="D15" s="171" t="str">
        <f t="shared" si="1"/>
        <v>-</v>
      </c>
      <c r="E15" s="259" t="str">
        <f t="shared" si="2"/>
        <v>-</v>
      </c>
      <c r="F15" s="259" t="str">
        <f t="shared" si="3"/>
        <v>-</v>
      </c>
      <c r="G15" s="259" t="str">
        <f t="shared" si="4"/>
        <v>-</v>
      </c>
      <c r="H15" s="259" t="str">
        <f t="shared" si="5"/>
        <v>-</v>
      </c>
      <c r="I15" s="259" t="str">
        <f t="shared" si="6"/>
        <v>-</v>
      </c>
      <c r="J15" s="294" t="s">
        <v>800</v>
      </c>
      <c r="K15" s="259" t="str">
        <f t="shared" si="7"/>
        <v>-</v>
      </c>
      <c r="L15" s="259" t="str">
        <f t="shared" si="8"/>
        <v>-</v>
      </c>
      <c r="M15" s="259" t="str">
        <f t="shared" si="9"/>
        <v>-</v>
      </c>
      <c r="N15" s="259" t="str">
        <f t="shared" si="10"/>
        <v>-</v>
      </c>
      <c r="O15" s="259"/>
      <c r="Q15" s="124" t="str">
        <f t="shared" ca="1" si="16"/>
        <v/>
      </c>
      <c r="R15" s="124" t="str">
        <f t="shared" ca="1" si="17"/>
        <v/>
      </c>
      <c r="S15" s="124" t="e">
        <f t="shared" si="11"/>
        <v>#N/A</v>
      </c>
      <c r="T15" s="124" t="e">
        <f t="shared" si="18"/>
        <v>#N/A</v>
      </c>
      <c r="U15" s="123" t="str">
        <f>"D:\IMS Images\Headshots\"&amp;IF('Team Info'!$B$21="BASEBALL","CBASE","SBALL")&amp;"\"&amp;'Team Info'!$B$11&amp;"\"&amp;D15&amp;"_"&amp;C15&amp;".png"</f>
        <v>D:\IMS Images\Headshots\CBASE\GENERIC_BASEBALL\-_-.png</v>
      </c>
      <c r="V15" s="123" t="str">
        <f>"D:\IMS Images\ActionShots\"&amp;IF('Team Info'!$B$21="BASEBALL","CBASE","SBALL")&amp;"\"&amp;'Team Info'!$B$11&amp;"\"&amp;D15&amp;"_"&amp;C15&amp;".png"</f>
        <v>D:\IMS Images\ActionShots\CBASE\GENERIC_BASEBALL\-_-.png</v>
      </c>
      <c r="W15" s="192" t="str">
        <f t="shared" si="19"/>
        <v>12 - -</v>
      </c>
      <c r="X15" s="122" t="str">
        <f t="shared" si="12"/>
        <v>- -</v>
      </c>
      <c r="Y15" s="122" t="str">
        <f t="shared" si="13"/>
        <v>- -</v>
      </c>
      <c r="Z15" s="122" t="str">
        <f t="shared" si="14"/>
        <v>-. -</v>
      </c>
      <c r="AA15" s="122" t="str">
        <f t="shared" si="20"/>
        <v>-</v>
      </c>
      <c r="AB15" s="122" t="str">
        <f t="shared" si="21"/>
        <v>-</v>
      </c>
      <c r="AC15" s="125" t="str">
        <f t="shared" si="22"/>
        <v/>
      </c>
      <c r="AD15" s="191" t="str">
        <f t="shared" si="23"/>
        <v/>
      </c>
      <c r="AE15" s="122" t="str">
        <f t="shared" si="15"/>
        <v/>
      </c>
      <c r="AF15" s="122" t="str">
        <f t="shared" si="24"/>
        <v>- lbs</v>
      </c>
      <c r="AG15" s="122" t="str">
        <f t="shared" si="25"/>
        <v>MAJOR: -</v>
      </c>
      <c r="AH15" s="192" t="str">
        <f t="shared" si="26"/>
        <v>12 - -</v>
      </c>
      <c r="AI15" s="266" t="e">
        <f t="shared" si="27"/>
        <v>#N/A</v>
      </c>
    </row>
    <row r="16" spans="1:35" x14ac:dyDescent="0.25">
      <c r="A16" s="25">
        <v>13</v>
      </c>
      <c r="B16" s="5">
        <v>13</v>
      </c>
      <c r="C16" s="171" t="str">
        <f t="shared" si="0"/>
        <v>-</v>
      </c>
      <c r="D16" s="171" t="str">
        <f t="shared" si="1"/>
        <v>-</v>
      </c>
      <c r="E16" s="259" t="str">
        <f t="shared" si="2"/>
        <v>-</v>
      </c>
      <c r="F16" s="259" t="str">
        <f t="shared" si="3"/>
        <v>-</v>
      </c>
      <c r="G16" s="259" t="str">
        <f t="shared" si="4"/>
        <v>-</v>
      </c>
      <c r="H16" s="259" t="str">
        <f t="shared" si="5"/>
        <v>-</v>
      </c>
      <c r="I16" s="259" t="str">
        <f t="shared" si="6"/>
        <v>-</v>
      </c>
      <c r="J16" s="294" t="s">
        <v>800</v>
      </c>
      <c r="K16" s="259" t="str">
        <f t="shared" si="7"/>
        <v>-</v>
      </c>
      <c r="L16" s="259" t="str">
        <f t="shared" si="8"/>
        <v>-</v>
      </c>
      <c r="M16" s="259" t="str">
        <f t="shared" si="9"/>
        <v>-</v>
      </c>
      <c r="N16" s="259" t="str">
        <f t="shared" si="10"/>
        <v>-</v>
      </c>
      <c r="O16" s="259"/>
      <c r="Q16" s="124" t="str">
        <f t="shared" ca="1" si="16"/>
        <v/>
      </c>
      <c r="R16" s="124" t="str">
        <f t="shared" ca="1" si="17"/>
        <v/>
      </c>
      <c r="S16" s="124" t="e">
        <f t="shared" si="11"/>
        <v>#N/A</v>
      </c>
      <c r="T16" s="124" t="e">
        <f t="shared" si="18"/>
        <v>#N/A</v>
      </c>
      <c r="U16" s="123" t="str">
        <f>"D:\IMS Images\Headshots\"&amp;IF('Team Info'!$B$21="BASEBALL","CBASE","SBALL")&amp;"\"&amp;'Team Info'!$B$11&amp;"\"&amp;D16&amp;"_"&amp;C16&amp;".png"</f>
        <v>D:\IMS Images\Headshots\CBASE\GENERIC_BASEBALL\-_-.png</v>
      </c>
      <c r="V16" s="123" t="str">
        <f>"D:\IMS Images\ActionShots\"&amp;IF('Team Info'!$B$21="BASEBALL","CBASE","SBALL")&amp;"\"&amp;'Team Info'!$B$11&amp;"\"&amp;D16&amp;"_"&amp;C16&amp;".png"</f>
        <v>D:\IMS Images\ActionShots\CBASE\GENERIC_BASEBALL\-_-.png</v>
      </c>
      <c r="W16" s="192" t="str">
        <f t="shared" si="19"/>
        <v>13 - -</v>
      </c>
      <c r="X16" s="122" t="str">
        <f t="shared" si="12"/>
        <v>- -</v>
      </c>
      <c r="Y16" s="122" t="str">
        <f t="shared" si="13"/>
        <v>- -</v>
      </c>
      <c r="Z16" s="122" t="str">
        <f t="shared" si="14"/>
        <v>-. -</v>
      </c>
      <c r="AA16" s="122" t="str">
        <f t="shared" si="20"/>
        <v>-</v>
      </c>
      <c r="AB16" s="122" t="str">
        <f t="shared" si="21"/>
        <v>-</v>
      </c>
      <c r="AC16" s="125" t="str">
        <f t="shared" si="22"/>
        <v/>
      </c>
      <c r="AD16" s="191" t="str">
        <f t="shared" si="23"/>
        <v/>
      </c>
      <c r="AE16" s="122" t="str">
        <f t="shared" si="15"/>
        <v/>
      </c>
      <c r="AF16" s="122" t="str">
        <f t="shared" si="24"/>
        <v>- lbs</v>
      </c>
      <c r="AG16" s="122" t="str">
        <f t="shared" si="25"/>
        <v>MAJOR: -</v>
      </c>
      <c r="AH16" s="192" t="str">
        <f t="shared" si="26"/>
        <v>13 - -</v>
      </c>
      <c r="AI16" s="266" t="e">
        <f t="shared" si="27"/>
        <v>#N/A</v>
      </c>
    </row>
    <row r="17" spans="1:35" x14ac:dyDescent="0.25">
      <c r="A17" s="25">
        <v>14</v>
      </c>
      <c r="B17" s="5">
        <v>14</v>
      </c>
      <c r="C17" s="171" t="str">
        <f t="shared" si="0"/>
        <v>-</v>
      </c>
      <c r="D17" s="171" t="str">
        <f t="shared" si="1"/>
        <v>-</v>
      </c>
      <c r="E17" s="259" t="str">
        <f t="shared" si="2"/>
        <v>-</v>
      </c>
      <c r="F17" s="259" t="str">
        <f t="shared" si="3"/>
        <v>-</v>
      </c>
      <c r="G17" s="259" t="str">
        <f t="shared" si="4"/>
        <v>-</v>
      </c>
      <c r="H17" s="259" t="str">
        <f t="shared" si="5"/>
        <v>-</v>
      </c>
      <c r="I17" s="259" t="str">
        <f t="shared" si="6"/>
        <v>-</v>
      </c>
      <c r="J17" s="294" t="s">
        <v>800</v>
      </c>
      <c r="K17" s="259" t="str">
        <f t="shared" si="7"/>
        <v>-</v>
      </c>
      <c r="L17" s="259" t="str">
        <f t="shared" si="8"/>
        <v>-</v>
      </c>
      <c r="M17" s="259" t="str">
        <f t="shared" si="9"/>
        <v>-</v>
      </c>
      <c r="N17" s="259" t="str">
        <f t="shared" si="10"/>
        <v>-</v>
      </c>
      <c r="O17" s="259"/>
      <c r="Q17" s="124" t="str">
        <f t="shared" ca="1" si="16"/>
        <v/>
      </c>
      <c r="R17" s="124" t="str">
        <f t="shared" ca="1" si="17"/>
        <v/>
      </c>
      <c r="S17" s="124" t="e">
        <f t="shared" si="11"/>
        <v>#N/A</v>
      </c>
      <c r="T17" s="124" t="e">
        <f t="shared" si="18"/>
        <v>#N/A</v>
      </c>
      <c r="U17" s="123" t="str">
        <f>"D:\IMS Images\Headshots\"&amp;IF('Team Info'!$B$21="BASEBALL","CBASE","SBALL")&amp;"\"&amp;'Team Info'!$B$11&amp;"\"&amp;D17&amp;"_"&amp;C17&amp;".png"</f>
        <v>D:\IMS Images\Headshots\CBASE\GENERIC_BASEBALL\-_-.png</v>
      </c>
      <c r="V17" s="123" t="str">
        <f>"D:\IMS Images\ActionShots\"&amp;IF('Team Info'!$B$21="BASEBALL","CBASE","SBALL")&amp;"\"&amp;'Team Info'!$B$11&amp;"\"&amp;D17&amp;"_"&amp;C17&amp;".png"</f>
        <v>D:\IMS Images\ActionShots\CBASE\GENERIC_BASEBALL\-_-.png</v>
      </c>
      <c r="W17" s="192" t="str">
        <f t="shared" si="19"/>
        <v>14 - -</v>
      </c>
      <c r="X17" s="122" t="str">
        <f t="shared" si="12"/>
        <v>- -</v>
      </c>
      <c r="Y17" s="122" t="str">
        <f t="shared" si="13"/>
        <v>- -</v>
      </c>
      <c r="Z17" s="122" t="str">
        <f t="shared" si="14"/>
        <v>-. -</v>
      </c>
      <c r="AA17" s="122" t="str">
        <f t="shared" si="20"/>
        <v>-</v>
      </c>
      <c r="AB17" s="122" t="str">
        <f t="shared" si="21"/>
        <v>-</v>
      </c>
      <c r="AC17" s="125" t="str">
        <f t="shared" si="22"/>
        <v/>
      </c>
      <c r="AD17" s="191" t="str">
        <f t="shared" si="23"/>
        <v/>
      </c>
      <c r="AE17" s="122" t="str">
        <f t="shared" si="15"/>
        <v/>
      </c>
      <c r="AF17" s="122" t="str">
        <f t="shared" si="24"/>
        <v>- lbs</v>
      </c>
      <c r="AG17" s="122" t="str">
        <f t="shared" si="25"/>
        <v>MAJOR: -</v>
      </c>
      <c r="AH17" s="192" t="str">
        <f t="shared" si="26"/>
        <v>14 - -</v>
      </c>
      <c r="AI17" s="266" t="e">
        <f t="shared" si="27"/>
        <v>#N/A</v>
      </c>
    </row>
    <row r="18" spans="1:35" x14ac:dyDescent="0.25">
      <c r="A18" s="25">
        <v>15</v>
      </c>
      <c r="B18" s="5">
        <v>15</v>
      </c>
      <c r="C18" s="171" t="str">
        <f t="shared" si="0"/>
        <v>-</v>
      </c>
      <c r="D18" s="171" t="str">
        <f t="shared" si="1"/>
        <v>-</v>
      </c>
      <c r="E18" s="259" t="str">
        <f t="shared" si="2"/>
        <v>-</v>
      </c>
      <c r="F18" s="259" t="str">
        <f t="shared" si="3"/>
        <v>-</v>
      </c>
      <c r="G18" s="259" t="str">
        <f t="shared" si="4"/>
        <v>-</v>
      </c>
      <c r="H18" s="259" t="str">
        <f t="shared" si="5"/>
        <v>-</v>
      </c>
      <c r="I18" s="259" t="str">
        <f t="shared" si="6"/>
        <v>-</v>
      </c>
      <c r="J18" s="294" t="s">
        <v>800</v>
      </c>
      <c r="K18" s="259" t="str">
        <f t="shared" si="7"/>
        <v>-</v>
      </c>
      <c r="L18" s="259" t="str">
        <f t="shared" si="8"/>
        <v>-</v>
      </c>
      <c r="M18" s="259" t="str">
        <f t="shared" si="9"/>
        <v>-</v>
      </c>
      <c r="N18" s="259" t="str">
        <f t="shared" si="10"/>
        <v>-</v>
      </c>
      <c r="O18" s="259"/>
      <c r="Q18" s="124" t="str">
        <f t="shared" ca="1" si="16"/>
        <v/>
      </c>
      <c r="R18" s="124" t="str">
        <f t="shared" ca="1" si="17"/>
        <v/>
      </c>
      <c r="S18" s="124" t="e">
        <f t="shared" si="11"/>
        <v>#N/A</v>
      </c>
      <c r="T18" s="124" t="e">
        <f t="shared" si="18"/>
        <v>#N/A</v>
      </c>
      <c r="U18" s="123" t="str">
        <f>"D:\IMS Images\Headshots\"&amp;IF('Team Info'!$B$21="BASEBALL","CBASE","SBALL")&amp;"\"&amp;'Team Info'!$B$11&amp;"\"&amp;D18&amp;"_"&amp;C18&amp;".png"</f>
        <v>D:\IMS Images\Headshots\CBASE\GENERIC_BASEBALL\-_-.png</v>
      </c>
      <c r="V18" s="123" t="str">
        <f>"D:\IMS Images\ActionShots\"&amp;IF('Team Info'!$B$21="BASEBALL","CBASE","SBALL")&amp;"\"&amp;'Team Info'!$B$11&amp;"\"&amp;D18&amp;"_"&amp;C18&amp;".png"</f>
        <v>D:\IMS Images\ActionShots\CBASE\GENERIC_BASEBALL\-_-.png</v>
      </c>
      <c r="W18" s="192" t="str">
        <f t="shared" si="19"/>
        <v>15 - -</v>
      </c>
      <c r="X18" s="122" t="str">
        <f t="shared" si="12"/>
        <v>- -</v>
      </c>
      <c r="Y18" s="122" t="str">
        <f t="shared" si="13"/>
        <v>- -</v>
      </c>
      <c r="Z18" s="122" t="str">
        <f t="shared" si="14"/>
        <v>-. -</v>
      </c>
      <c r="AA18" s="122" t="str">
        <f t="shared" si="20"/>
        <v>-</v>
      </c>
      <c r="AB18" s="122" t="str">
        <f t="shared" si="21"/>
        <v>-</v>
      </c>
      <c r="AC18" s="125" t="str">
        <f t="shared" si="22"/>
        <v/>
      </c>
      <c r="AD18" s="191" t="str">
        <f t="shared" si="23"/>
        <v/>
      </c>
      <c r="AE18" s="122" t="str">
        <f t="shared" si="15"/>
        <v/>
      </c>
      <c r="AF18" s="122" t="str">
        <f t="shared" si="24"/>
        <v>- lbs</v>
      </c>
      <c r="AG18" s="122" t="str">
        <f t="shared" si="25"/>
        <v>MAJOR: -</v>
      </c>
      <c r="AH18" s="192" t="str">
        <f t="shared" si="26"/>
        <v>15 - -</v>
      </c>
      <c r="AI18" s="266" t="e">
        <f t="shared" si="27"/>
        <v>#N/A</v>
      </c>
    </row>
    <row r="19" spans="1:35" x14ac:dyDescent="0.25">
      <c r="A19" s="25">
        <v>16</v>
      </c>
      <c r="B19" s="5">
        <v>16</v>
      </c>
      <c r="C19" s="171" t="str">
        <f t="shared" si="0"/>
        <v>-</v>
      </c>
      <c r="D19" s="171" t="str">
        <f t="shared" si="1"/>
        <v>-</v>
      </c>
      <c r="E19" s="259" t="str">
        <f t="shared" si="2"/>
        <v>-</v>
      </c>
      <c r="F19" s="259" t="str">
        <f t="shared" si="3"/>
        <v>-</v>
      </c>
      <c r="G19" s="259" t="str">
        <f t="shared" si="4"/>
        <v>-</v>
      </c>
      <c r="H19" s="259" t="str">
        <f t="shared" si="5"/>
        <v>-</v>
      </c>
      <c r="I19" s="259" t="str">
        <f t="shared" si="6"/>
        <v>-</v>
      </c>
      <c r="J19" s="294" t="s">
        <v>800</v>
      </c>
      <c r="K19" s="259" t="str">
        <f t="shared" si="7"/>
        <v>-</v>
      </c>
      <c r="L19" s="259" t="str">
        <f t="shared" si="8"/>
        <v>-</v>
      </c>
      <c r="M19" s="259" t="str">
        <f t="shared" si="9"/>
        <v>-</v>
      </c>
      <c r="N19" s="259" t="str">
        <f t="shared" si="10"/>
        <v>-</v>
      </c>
      <c r="O19" s="259"/>
      <c r="Q19" s="124" t="str">
        <f t="shared" ca="1" si="16"/>
        <v/>
      </c>
      <c r="R19" s="124" t="str">
        <f t="shared" ca="1" si="17"/>
        <v/>
      </c>
      <c r="S19" s="124" t="e">
        <f t="shared" si="11"/>
        <v>#N/A</v>
      </c>
      <c r="T19" s="124" t="e">
        <f t="shared" si="18"/>
        <v>#N/A</v>
      </c>
      <c r="U19" s="123" t="str">
        <f>"D:\IMS Images\Headshots\"&amp;IF('Team Info'!$B$21="BASEBALL","CBASE","SBALL")&amp;"\"&amp;'Team Info'!$B$11&amp;"\"&amp;D19&amp;"_"&amp;C19&amp;".png"</f>
        <v>D:\IMS Images\Headshots\CBASE\GENERIC_BASEBALL\-_-.png</v>
      </c>
      <c r="V19" s="123" t="str">
        <f>"D:\IMS Images\ActionShots\"&amp;IF('Team Info'!$B$21="BASEBALL","CBASE","SBALL")&amp;"\"&amp;'Team Info'!$B$11&amp;"\"&amp;D19&amp;"_"&amp;C19&amp;".png"</f>
        <v>D:\IMS Images\ActionShots\CBASE\GENERIC_BASEBALL\-_-.png</v>
      </c>
      <c r="W19" s="192" t="str">
        <f t="shared" si="19"/>
        <v>16 - -</v>
      </c>
      <c r="X19" s="122" t="str">
        <f t="shared" si="12"/>
        <v>- -</v>
      </c>
      <c r="Y19" s="122" t="str">
        <f t="shared" si="13"/>
        <v>- -</v>
      </c>
      <c r="Z19" s="122" t="str">
        <f t="shared" si="14"/>
        <v>-. -</v>
      </c>
      <c r="AA19" s="122" t="str">
        <f t="shared" si="20"/>
        <v>-</v>
      </c>
      <c r="AB19" s="122" t="str">
        <f t="shared" si="21"/>
        <v>-</v>
      </c>
      <c r="AC19" s="125" t="str">
        <f t="shared" si="22"/>
        <v/>
      </c>
      <c r="AD19" s="191" t="str">
        <f t="shared" si="23"/>
        <v/>
      </c>
      <c r="AE19" s="122" t="str">
        <f t="shared" si="15"/>
        <v/>
      </c>
      <c r="AF19" s="122" t="str">
        <f t="shared" si="24"/>
        <v>- lbs</v>
      </c>
      <c r="AG19" s="122" t="str">
        <f t="shared" si="25"/>
        <v>MAJOR: -</v>
      </c>
      <c r="AH19" s="192" t="str">
        <f t="shared" si="26"/>
        <v>16 - -</v>
      </c>
      <c r="AI19" s="266" t="e">
        <f t="shared" si="27"/>
        <v>#N/A</v>
      </c>
    </row>
    <row r="20" spans="1:35" x14ac:dyDescent="0.25">
      <c r="A20" s="25">
        <v>17</v>
      </c>
      <c r="B20" s="5">
        <v>17</v>
      </c>
      <c r="C20" s="171" t="str">
        <f t="shared" si="0"/>
        <v>-</v>
      </c>
      <c r="D20" s="171" t="str">
        <f t="shared" si="1"/>
        <v>-</v>
      </c>
      <c r="E20" s="259" t="str">
        <f t="shared" si="2"/>
        <v>-</v>
      </c>
      <c r="F20" s="259" t="str">
        <f t="shared" si="3"/>
        <v>-</v>
      </c>
      <c r="G20" s="259" t="str">
        <f t="shared" si="4"/>
        <v>-</v>
      </c>
      <c r="H20" s="259" t="str">
        <f t="shared" si="5"/>
        <v>-</v>
      </c>
      <c r="I20" s="259" t="str">
        <f t="shared" si="6"/>
        <v>-</v>
      </c>
      <c r="J20" s="294" t="s">
        <v>800</v>
      </c>
      <c r="K20" s="259" t="str">
        <f t="shared" si="7"/>
        <v>-</v>
      </c>
      <c r="L20" s="259" t="str">
        <f t="shared" si="8"/>
        <v>-</v>
      </c>
      <c r="M20" s="259" t="str">
        <f t="shared" si="9"/>
        <v>-</v>
      </c>
      <c r="N20" s="259" t="str">
        <f t="shared" si="10"/>
        <v>-</v>
      </c>
      <c r="O20" s="259"/>
      <c r="Q20" s="124" t="str">
        <f t="shared" ca="1" si="16"/>
        <v/>
      </c>
      <c r="R20" s="124" t="str">
        <f t="shared" ca="1" si="17"/>
        <v/>
      </c>
      <c r="S20" s="124" t="e">
        <f t="shared" si="11"/>
        <v>#N/A</v>
      </c>
      <c r="T20" s="124" t="e">
        <f t="shared" si="18"/>
        <v>#N/A</v>
      </c>
      <c r="U20" s="123" t="str">
        <f>"D:\IMS Images\Headshots\"&amp;IF('Team Info'!$B$21="BASEBALL","CBASE","SBALL")&amp;"\"&amp;'Team Info'!$B$11&amp;"\"&amp;D20&amp;"_"&amp;C20&amp;".png"</f>
        <v>D:\IMS Images\Headshots\CBASE\GENERIC_BASEBALL\-_-.png</v>
      </c>
      <c r="V20" s="123" t="str">
        <f>"D:\IMS Images\ActionShots\"&amp;IF('Team Info'!$B$21="BASEBALL","CBASE","SBALL")&amp;"\"&amp;'Team Info'!$B$11&amp;"\"&amp;D20&amp;"_"&amp;C20&amp;".png"</f>
        <v>D:\IMS Images\ActionShots\CBASE\GENERIC_BASEBALL\-_-.png</v>
      </c>
      <c r="W20" s="192" t="str">
        <f t="shared" si="19"/>
        <v>17 - -</v>
      </c>
      <c r="X20" s="122" t="str">
        <f t="shared" si="12"/>
        <v>- -</v>
      </c>
      <c r="Y20" s="122" t="str">
        <f t="shared" si="13"/>
        <v>- -</v>
      </c>
      <c r="Z20" s="122" t="str">
        <f t="shared" si="14"/>
        <v>-. -</v>
      </c>
      <c r="AA20" s="122" t="str">
        <f t="shared" si="20"/>
        <v>-</v>
      </c>
      <c r="AB20" s="122" t="str">
        <f t="shared" si="21"/>
        <v>-</v>
      </c>
      <c r="AC20" s="125" t="str">
        <f t="shared" si="22"/>
        <v/>
      </c>
      <c r="AD20" s="191" t="str">
        <f t="shared" si="23"/>
        <v/>
      </c>
      <c r="AE20" s="122" t="str">
        <f t="shared" si="15"/>
        <v/>
      </c>
      <c r="AF20" s="122" t="str">
        <f t="shared" si="24"/>
        <v>- lbs</v>
      </c>
      <c r="AG20" s="122" t="str">
        <f t="shared" si="25"/>
        <v>MAJOR: -</v>
      </c>
      <c r="AH20" s="192" t="str">
        <f t="shared" si="26"/>
        <v>17 - -</v>
      </c>
      <c r="AI20" s="266" t="e">
        <f t="shared" si="27"/>
        <v>#N/A</v>
      </c>
    </row>
    <row r="21" spans="1:35" x14ac:dyDescent="0.25">
      <c r="A21" s="25">
        <v>18</v>
      </c>
      <c r="B21" s="5">
        <v>18</v>
      </c>
      <c r="C21" s="171" t="str">
        <f t="shared" si="0"/>
        <v>-</v>
      </c>
      <c r="D21" s="171" t="str">
        <f t="shared" si="1"/>
        <v>-</v>
      </c>
      <c r="E21" s="259" t="str">
        <f t="shared" si="2"/>
        <v>-</v>
      </c>
      <c r="F21" s="259" t="str">
        <f t="shared" si="3"/>
        <v>-</v>
      </c>
      <c r="G21" s="259" t="str">
        <f t="shared" si="4"/>
        <v>-</v>
      </c>
      <c r="H21" s="259" t="str">
        <f t="shared" si="5"/>
        <v>-</v>
      </c>
      <c r="I21" s="259" t="str">
        <f t="shared" si="6"/>
        <v>-</v>
      </c>
      <c r="J21" s="294" t="s">
        <v>800</v>
      </c>
      <c r="K21" s="259" t="str">
        <f t="shared" si="7"/>
        <v>-</v>
      </c>
      <c r="L21" s="259" t="str">
        <f t="shared" si="8"/>
        <v>-</v>
      </c>
      <c r="M21" s="259" t="str">
        <f t="shared" si="9"/>
        <v>-</v>
      </c>
      <c r="N21" s="259" t="str">
        <f t="shared" si="10"/>
        <v>-</v>
      </c>
      <c r="O21" s="259"/>
      <c r="Q21" s="124" t="str">
        <f t="shared" ca="1" si="16"/>
        <v/>
      </c>
      <c r="R21" s="124" t="str">
        <f t="shared" ca="1" si="17"/>
        <v/>
      </c>
      <c r="S21" s="124" t="e">
        <f t="shared" si="11"/>
        <v>#N/A</v>
      </c>
      <c r="T21" s="124" t="e">
        <f t="shared" si="18"/>
        <v>#N/A</v>
      </c>
      <c r="U21" s="123" t="str">
        <f>"D:\IMS Images\Headshots\"&amp;IF('Team Info'!$B$21="BASEBALL","CBASE","SBALL")&amp;"\"&amp;'Team Info'!$B$11&amp;"\"&amp;D21&amp;"_"&amp;C21&amp;".png"</f>
        <v>D:\IMS Images\Headshots\CBASE\GENERIC_BASEBALL\-_-.png</v>
      </c>
      <c r="V21" s="123" t="str">
        <f>"D:\IMS Images\ActionShots\"&amp;IF('Team Info'!$B$21="BASEBALL","CBASE","SBALL")&amp;"\"&amp;'Team Info'!$B$11&amp;"\"&amp;D21&amp;"_"&amp;C21&amp;".png"</f>
        <v>D:\IMS Images\ActionShots\CBASE\GENERIC_BASEBALL\-_-.png</v>
      </c>
      <c r="W21" s="192" t="str">
        <f t="shared" si="19"/>
        <v>18 - -</v>
      </c>
      <c r="X21" s="122" t="str">
        <f t="shared" si="12"/>
        <v>- -</v>
      </c>
      <c r="Y21" s="122" t="str">
        <f t="shared" si="13"/>
        <v>- -</v>
      </c>
      <c r="Z21" s="122" t="str">
        <f t="shared" si="14"/>
        <v>-. -</v>
      </c>
      <c r="AA21" s="122" t="str">
        <f t="shared" si="20"/>
        <v>-</v>
      </c>
      <c r="AB21" s="122" t="str">
        <f t="shared" si="21"/>
        <v>-</v>
      </c>
      <c r="AC21" s="125" t="str">
        <f t="shared" si="22"/>
        <v/>
      </c>
      <c r="AD21" s="191" t="str">
        <f t="shared" si="23"/>
        <v/>
      </c>
      <c r="AE21" s="122" t="str">
        <f t="shared" si="15"/>
        <v/>
      </c>
      <c r="AF21" s="122" t="str">
        <f t="shared" si="24"/>
        <v>- lbs</v>
      </c>
      <c r="AG21" s="122" t="str">
        <f t="shared" si="25"/>
        <v>MAJOR: -</v>
      </c>
      <c r="AH21" s="192" t="str">
        <f t="shared" si="26"/>
        <v>18 - -</v>
      </c>
      <c r="AI21" s="266" t="e">
        <f t="shared" si="27"/>
        <v>#N/A</v>
      </c>
    </row>
    <row r="22" spans="1:35" x14ac:dyDescent="0.25">
      <c r="A22" s="25">
        <v>19</v>
      </c>
      <c r="B22" s="5">
        <v>19</v>
      </c>
      <c r="C22" s="171" t="str">
        <f t="shared" si="0"/>
        <v>-</v>
      </c>
      <c r="D22" s="171" t="str">
        <f t="shared" si="1"/>
        <v>-</v>
      </c>
      <c r="E22" s="259" t="str">
        <f t="shared" si="2"/>
        <v>-</v>
      </c>
      <c r="F22" s="259" t="str">
        <f t="shared" si="3"/>
        <v>-</v>
      </c>
      <c r="G22" s="259" t="str">
        <f t="shared" si="4"/>
        <v>-</v>
      </c>
      <c r="H22" s="259" t="str">
        <f t="shared" si="5"/>
        <v>-</v>
      </c>
      <c r="I22" s="259" t="str">
        <f t="shared" si="6"/>
        <v>-</v>
      </c>
      <c r="J22" s="294" t="s">
        <v>800</v>
      </c>
      <c r="K22" s="259" t="str">
        <f t="shared" si="7"/>
        <v>-</v>
      </c>
      <c r="L22" s="259" t="str">
        <f t="shared" si="8"/>
        <v>-</v>
      </c>
      <c r="M22" s="259" t="str">
        <f t="shared" si="9"/>
        <v>-</v>
      </c>
      <c r="N22" s="259" t="str">
        <f t="shared" si="10"/>
        <v>-</v>
      </c>
      <c r="O22" s="259"/>
      <c r="Q22" s="124" t="str">
        <f t="shared" ca="1" si="16"/>
        <v/>
      </c>
      <c r="R22" s="124" t="str">
        <f t="shared" ca="1" si="17"/>
        <v/>
      </c>
      <c r="S22" s="124" t="e">
        <f t="shared" si="11"/>
        <v>#N/A</v>
      </c>
      <c r="T22" s="124" t="e">
        <f t="shared" si="18"/>
        <v>#N/A</v>
      </c>
      <c r="U22" s="123" t="str">
        <f>"D:\IMS Images\Headshots\"&amp;IF('Team Info'!$B$21="BASEBALL","CBASE","SBALL")&amp;"\"&amp;'Team Info'!$B$11&amp;"\"&amp;D22&amp;"_"&amp;C22&amp;".png"</f>
        <v>D:\IMS Images\Headshots\CBASE\GENERIC_BASEBALL\-_-.png</v>
      </c>
      <c r="V22" s="123" t="str">
        <f>"D:\IMS Images\ActionShots\"&amp;IF('Team Info'!$B$21="BASEBALL","CBASE","SBALL")&amp;"\"&amp;'Team Info'!$B$11&amp;"\"&amp;D22&amp;"_"&amp;C22&amp;".png"</f>
        <v>D:\IMS Images\ActionShots\CBASE\GENERIC_BASEBALL\-_-.png</v>
      </c>
      <c r="W22" s="192" t="str">
        <f t="shared" si="19"/>
        <v>19 - -</v>
      </c>
      <c r="X22" s="122" t="str">
        <f t="shared" si="12"/>
        <v>- -</v>
      </c>
      <c r="Y22" s="122" t="str">
        <f t="shared" si="13"/>
        <v>- -</v>
      </c>
      <c r="Z22" s="122" t="str">
        <f t="shared" si="14"/>
        <v>-. -</v>
      </c>
      <c r="AA22" s="122" t="str">
        <f t="shared" si="20"/>
        <v>-</v>
      </c>
      <c r="AB22" s="122" t="str">
        <f t="shared" si="21"/>
        <v>-</v>
      </c>
      <c r="AC22" s="125" t="str">
        <f t="shared" si="22"/>
        <v/>
      </c>
      <c r="AD22" s="191" t="str">
        <f t="shared" si="23"/>
        <v/>
      </c>
      <c r="AE22" s="122" t="str">
        <f t="shared" si="15"/>
        <v/>
      </c>
      <c r="AF22" s="122" t="str">
        <f t="shared" si="24"/>
        <v>- lbs</v>
      </c>
      <c r="AG22" s="122" t="str">
        <f t="shared" si="25"/>
        <v>MAJOR: -</v>
      </c>
      <c r="AH22" s="192" t="str">
        <f t="shared" si="26"/>
        <v>19 - -</v>
      </c>
      <c r="AI22" s="266" t="e">
        <f t="shared" si="27"/>
        <v>#N/A</v>
      </c>
    </row>
    <row r="23" spans="1:35" x14ac:dyDescent="0.25">
      <c r="A23" s="25">
        <v>20</v>
      </c>
      <c r="B23" s="5">
        <v>20</v>
      </c>
      <c r="C23" s="171" t="str">
        <f t="shared" si="0"/>
        <v>-</v>
      </c>
      <c r="D23" s="171" t="str">
        <f t="shared" si="1"/>
        <v>-</v>
      </c>
      <c r="E23" s="259" t="str">
        <f t="shared" si="2"/>
        <v>-</v>
      </c>
      <c r="F23" s="259" t="str">
        <f t="shared" si="3"/>
        <v>-</v>
      </c>
      <c r="G23" s="259" t="str">
        <f t="shared" si="4"/>
        <v>-</v>
      </c>
      <c r="H23" s="259" t="str">
        <f t="shared" si="5"/>
        <v>-</v>
      </c>
      <c r="I23" s="259" t="str">
        <f t="shared" si="6"/>
        <v>-</v>
      </c>
      <c r="J23" s="294" t="s">
        <v>800</v>
      </c>
      <c r="K23" s="259" t="str">
        <f t="shared" si="7"/>
        <v>-</v>
      </c>
      <c r="L23" s="259" t="str">
        <f t="shared" si="8"/>
        <v>-</v>
      </c>
      <c r="M23" s="259" t="str">
        <f t="shared" si="9"/>
        <v>-</v>
      </c>
      <c r="N23" s="259" t="str">
        <f t="shared" si="10"/>
        <v>-</v>
      </c>
      <c r="O23" s="259"/>
      <c r="Q23" s="124" t="str">
        <f t="shared" ca="1" si="16"/>
        <v/>
      </c>
      <c r="R23" s="124" t="str">
        <f t="shared" ca="1" si="17"/>
        <v/>
      </c>
      <c r="S23" s="124" t="e">
        <f t="shared" si="11"/>
        <v>#N/A</v>
      </c>
      <c r="T23" s="124" t="e">
        <f t="shared" si="18"/>
        <v>#N/A</v>
      </c>
      <c r="U23" s="123" t="str">
        <f>"D:\IMS Images\Headshots\"&amp;IF('Team Info'!$B$21="BASEBALL","CBASE","SBALL")&amp;"\"&amp;'Team Info'!$B$11&amp;"\"&amp;D23&amp;"_"&amp;C23&amp;".png"</f>
        <v>D:\IMS Images\Headshots\CBASE\GENERIC_BASEBALL\-_-.png</v>
      </c>
      <c r="V23" s="123" t="str">
        <f>"D:\IMS Images\ActionShots\"&amp;IF('Team Info'!$B$21="BASEBALL","CBASE","SBALL")&amp;"\"&amp;'Team Info'!$B$11&amp;"\"&amp;D23&amp;"_"&amp;C23&amp;".png"</f>
        <v>D:\IMS Images\ActionShots\CBASE\GENERIC_BASEBALL\-_-.png</v>
      </c>
      <c r="W23" s="192" t="str">
        <f t="shared" si="19"/>
        <v>20 - -</v>
      </c>
      <c r="X23" s="122" t="str">
        <f t="shared" si="12"/>
        <v>- -</v>
      </c>
      <c r="Y23" s="122" t="str">
        <f t="shared" si="13"/>
        <v>- -</v>
      </c>
      <c r="Z23" s="122" t="str">
        <f t="shared" si="14"/>
        <v>-. -</v>
      </c>
      <c r="AA23" s="122" t="str">
        <f t="shared" si="20"/>
        <v>-</v>
      </c>
      <c r="AB23" s="122" t="str">
        <f t="shared" si="21"/>
        <v>-</v>
      </c>
      <c r="AC23" s="125" t="str">
        <f t="shared" si="22"/>
        <v/>
      </c>
      <c r="AD23" s="191" t="str">
        <f t="shared" si="23"/>
        <v/>
      </c>
      <c r="AE23" s="122" t="str">
        <f t="shared" si="15"/>
        <v/>
      </c>
      <c r="AF23" s="122" t="str">
        <f t="shared" si="24"/>
        <v>- lbs</v>
      </c>
      <c r="AG23" s="122" t="str">
        <f t="shared" si="25"/>
        <v>MAJOR: -</v>
      </c>
      <c r="AH23" s="192" t="str">
        <f t="shared" si="26"/>
        <v>20 - -</v>
      </c>
      <c r="AI23" s="266" t="e">
        <f t="shared" si="27"/>
        <v>#N/A</v>
      </c>
    </row>
    <row r="24" spans="1:35" x14ac:dyDescent="0.25">
      <c r="A24" s="25">
        <v>21</v>
      </c>
      <c r="B24" s="5">
        <v>21</v>
      </c>
      <c r="C24" s="171" t="str">
        <f t="shared" si="0"/>
        <v>-</v>
      </c>
      <c r="D24" s="171" t="str">
        <f t="shared" si="1"/>
        <v>-</v>
      </c>
      <c r="E24" s="259" t="str">
        <f t="shared" si="2"/>
        <v>-</v>
      </c>
      <c r="F24" s="259" t="str">
        <f t="shared" si="3"/>
        <v>-</v>
      </c>
      <c r="G24" s="259" t="str">
        <f t="shared" si="4"/>
        <v>-</v>
      </c>
      <c r="H24" s="259" t="str">
        <f t="shared" si="5"/>
        <v>-</v>
      </c>
      <c r="I24" s="259" t="str">
        <f t="shared" si="6"/>
        <v>-</v>
      </c>
      <c r="J24" s="294" t="s">
        <v>800</v>
      </c>
      <c r="K24" s="259" t="str">
        <f t="shared" si="7"/>
        <v>-</v>
      </c>
      <c r="L24" s="259" t="str">
        <f t="shared" si="8"/>
        <v>-</v>
      </c>
      <c r="M24" s="259" t="str">
        <f t="shared" si="9"/>
        <v>-</v>
      </c>
      <c r="N24" s="259" t="str">
        <f t="shared" si="10"/>
        <v>-</v>
      </c>
      <c r="O24" s="259"/>
      <c r="Q24" s="124" t="str">
        <f t="shared" ca="1" si="16"/>
        <v/>
      </c>
      <c r="R24" s="124" t="str">
        <f t="shared" ca="1" si="17"/>
        <v/>
      </c>
      <c r="S24" s="124" t="e">
        <f t="shared" si="11"/>
        <v>#N/A</v>
      </c>
      <c r="T24" s="124" t="e">
        <f t="shared" si="18"/>
        <v>#N/A</v>
      </c>
      <c r="U24" s="123" t="str">
        <f>"D:\IMS Images\Headshots\"&amp;IF('Team Info'!$B$21="BASEBALL","CBASE","SBALL")&amp;"\"&amp;'Team Info'!$B$11&amp;"\"&amp;D24&amp;"_"&amp;C24&amp;".png"</f>
        <v>D:\IMS Images\Headshots\CBASE\GENERIC_BASEBALL\-_-.png</v>
      </c>
      <c r="V24" s="123" t="str">
        <f>"D:\IMS Images\ActionShots\"&amp;IF('Team Info'!$B$21="BASEBALL","CBASE","SBALL")&amp;"\"&amp;'Team Info'!$B$11&amp;"\"&amp;D24&amp;"_"&amp;C24&amp;".png"</f>
        <v>D:\IMS Images\ActionShots\CBASE\GENERIC_BASEBALL\-_-.png</v>
      </c>
      <c r="W24" s="192" t="str">
        <f t="shared" si="19"/>
        <v>21 - -</v>
      </c>
      <c r="X24" s="122" t="str">
        <f t="shared" si="12"/>
        <v>- -</v>
      </c>
      <c r="Y24" s="122" t="str">
        <f t="shared" si="13"/>
        <v>- -</v>
      </c>
      <c r="Z24" s="122" t="str">
        <f t="shared" si="14"/>
        <v>-. -</v>
      </c>
      <c r="AA24" s="122" t="str">
        <f t="shared" si="20"/>
        <v>-</v>
      </c>
      <c r="AB24" s="122" t="str">
        <f t="shared" si="21"/>
        <v>-</v>
      </c>
      <c r="AC24" s="125" t="str">
        <f t="shared" si="22"/>
        <v/>
      </c>
      <c r="AD24" s="191" t="str">
        <f t="shared" si="23"/>
        <v/>
      </c>
      <c r="AE24" s="122" t="str">
        <f t="shared" si="15"/>
        <v/>
      </c>
      <c r="AF24" s="122" t="str">
        <f t="shared" si="24"/>
        <v>- lbs</v>
      </c>
      <c r="AG24" s="122" t="str">
        <f t="shared" si="25"/>
        <v>MAJOR: -</v>
      </c>
      <c r="AH24" s="192" t="str">
        <f t="shared" si="26"/>
        <v>21 - -</v>
      </c>
      <c r="AI24" s="266" t="e">
        <f t="shared" si="27"/>
        <v>#N/A</v>
      </c>
    </row>
    <row r="25" spans="1:35" x14ac:dyDescent="0.25">
      <c r="A25" s="25">
        <v>22</v>
      </c>
      <c r="B25" s="5">
        <v>22</v>
      </c>
      <c r="C25" s="171" t="str">
        <f t="shared" si="0"/>
        <v>-</v>
      </c>
      <c r="D25" s="171" t="str">
        <f t="shared" si="1"/>
        <v>-</v>
      </c>
      <c r="E25" s="259" t="str">
        <f t="shared" si="2"/>
        <v>-</v>
      </c>
      <c r="F25" s="259" t="str">
        <f t="shared" si="3"/>
        <v>-</v>
      </c>
      <c r="G25" s="259" t="str">
        <f t="shared" si="4"/>
        <v>-</v>
      </c>
      <c r="H25" s="259" t="str">
        <f t="shared" si="5"/>
        <v>-</v>
      </c>
      <c r="I25" s="259" t="str">
        <f t="shared" si="6"/>
        <v>-</v>
      </c>
      <c r="J25" s="294" t="s">
        <v>800</v>
      </c>
      <c r="K25" s="259" t="str">
        <f t="shared" si="7"/>
        <v>-</v>
      </c>
      <c r="L25" s="259" t="str">
        <f t="shared" si="8"/>
        <v>-</v>
      </c>
      <c r="M25" s="259" t="str">
        <f t="shared" si="9"/>
        <v>-</v>
      </c>
      <c r="N25" s="259" t="str">
        <f t="shared" si="10"/>
        <v>-</v>
      </c>
      <c r="O25" s="259"/>
      <c r="Q25" s="124" t="str">
        <f t="shared" ca="1" si="16"/>
        <v/>
      </c>
      <c r="R25" s="124" t="str">
        <f t="shared" ca="1" si="17"/>
        <v/>
      </c>
      <c r="S25" s="124" t="e">
        <f t="shared" si="11"/>
        <v>#N/A</v>
      </c>
      <c r="T25" s="124" t="e">
        <f t="shared" si="18"/>
        <v>#N/A</v>
      </c>
      <c r="U25" s="123" t="str">
        <f>"D:\IMS Images\Headshots\"&amp;IF('Team Info'!$B$21="BASEBALL","CBASE","SBALL")&amp;"\"&amp;'Team Info'!$B$11&amp;"\"&amp;D25&amp;"_"&amp;C25&amp;".png"</f>
        <v>D:\IMS Images\Headshots\CBASE\GENERIC_BASEBALL\-_-.png</v>
      </c>
      <c r="V25" s="123" t="str">
        <f>"D:\IMS Images\ActionShots\"&amp;IF('Team Info'!$B$21="BASEBALL","CBASE","SBALL")&amp;"\"&amp;'Team Info'!$B$11&amp;"\"&amp;D25&amp;"_"&amp;C25&amp;".png"</f>
        <v>D:\IMS Images\ActionShots\CBASE\GENERIC_BASEBALL\-_-.png</v>
      </c>
      <c r="W25" s="192" t="str">
        <f t="shared" si="19"/>
        <v>22 - -</v>
      </c>
      <c r="X25" s="122" t="str">
        <f t="shared" si="12"/>
        <v>- -</v>
      </c>
      <c r="Y25" s="122" t="str">
        <f t="shared" si="13"/>
        <v>- -</v>
      </c>
      <c r="Z25" s="122" t="str">
        <f t="shared" si="14"/>
        <v>-. -</v>
      </c>
      <c r="AA25" s="122" t="str">
        <f t="shared" si="20"/>
        <v>-</v>
      </c>
      <c r="AB25" s="122" t="str">
        <f t="shared" si="21"/>
        <v>-</v>
      </c>
      <c r="AC25" s="125" t="str">
        <f t="shared" si="22"/>
        <v/>
      </c>
      <c r="AD25" s="191" t="str">
        <f t="shared" si="23"/>
        <v/>
      </c>
      <c r="AE25" s="122" t="str">
        <f t="shared" si="15"/>
        <v/>
      </c>
      <c r="AF25" s="122" t="str">
        <f t="shared" si="24"/>
        <v>- lbs</v>
      </c>
      <c r="AG25" s="122" t="str">
        <f t="shared" si="25"/>
        <v>MAJOR: -</v>
      </c>
      <c r="AH25" s="192" t="str">
        <f t="shared" si="26"/>
        <v>22 - -</v>
      </c>
      <c r="AI25" s="266" t="e">
        <f t="shared" si="27"/>
        <v>#N/A</v>
      </c>
    </row>
    <row r="26" spans="1:35" x14ac:dyDescent="0.25">
      <c r="A26" s="25">
        <v>23</v>
      </c>
      <c r="B26" s="5">
        <v>23</v>
      </c>
      <c r="C26" s="171" t="str">
        <f t="shared" si="0"/>
        <v>-</v>
      </c>
      <c r="D26" s="171" t="str">
        <f t="shared" si="1"/>
        <v>-</v>
      </c>
      <c r="E26" s="259" t="str">
        <f t="shared" si="2"/>
        <v>-</v>
      </c>
      <c r="F26" s="259" t="str">
        <f t="shared" si="3"/>
        <v>-</v>
      </c>
      <c r="G26" s="259" t="str">
        <f t="shared" si="4"/>
        <v>-</v>
      </c>
      <c r="H26" s="259" t="str">
        <f t="shared" si="5"/>
        <v>-</v>
      </c>
      <c r="I26" s="259" t="str">
        <f t="shared" si="6"/>
        <v>-</v>
      </c>
      <c r="J26" s="294" t="s">
        <v>800</v>
      </c>
      <c r="K26" s="259" t="str">
        <f t="shared" si="7"/>
        <v>-</v>
      </c>
      <c r="L26" s="259" t="str">
        <f t="shared" si="8"/>
        <v>-</v>
      </c>
      <c r="M26" s="259" t="str">
        <f t="shared" si="9"/>
        <v>-</v>
      </c>
      <c r="N26" s="259" t="str">
        <f t="shared" si="10"/>
        <v>-</v>
      </c>
      <c r="O26" s="259"/>
      <c r="Q26" s="124" t="str">
        <f t="shared" ca="1" si="16"/>
        <v/>
      </c>
      <c r="R26" s="124" t="str">
        <f t="shared" ca="1" si="17"/>
        <v/>
      </c>
      <c r="S26" s="124" t="e">
        <f t="shared" si="11"/>
        <v>#N/A</v>
      </c>
      <c r="T26" s="124" t="e">
        <f t="shared" si="18"/>
        <v>#N/A</v>
      </c>
      <c r="U26" s="123" t="str">
        <f>"D:\IMS Images\Headshots\"&amp;IF('Team Info'!$B$21="BASEBALL","CBASE","SBALL")&amp;"\"&amp;'Team Info'!$B$11&amp;"\"&amp;D26&amp;"_"&amp;C26&amp;".png"</f>
        <v>D:\IMS Images\Headshots\CBASE\GENERIC_BASEBALL\-_-.png</v>
      </c>
      <c r="V26" s="123" t="str">
        <f>"D:\IMS Images\ActionShots\"&amp;IF('Team Info'!$B$21="BASEBALL","CBASE","SBALL")&amp;"\"&amp;'Team Info'!$B$11&amp;"\"&amp;D26&amp;"_"&amp;C26&amp;".png"</f>
        <v>D:\IMS Images\ActionShots\CBASE\GENERIC_BASEBALL\-_-.png</v>
      </c>
      <c r="W26" s="192" t="str">
        <f t="shared" si="19"/>
        <v>23 - -</v>
      </c>
      <c r="X26" s="122" t="str">
        <f t="shared" si="12"/>
        <v>- -</v>
      </c>
      <c r="Y26" s="122" t="str">
        <f t="shared" si="13"/>
        <v>- -</v>
      </c>
      <c r="Z26" s="122" t="str">
        <f t="shared" si="14"/>
        <v>-. -</v>
      </c>
      <c r="AA26" s="122" t="str">
        <f t="shared" si="20"/>
        <v>-</v>
      </c>
      <c r="AB26" s="122" t="str">
        <f t="shared" si="21"/>
        <v>-</v>
      </c>
      <c r="AC26" s="125" t="str">
        <f t="shared" si="22"/>
        <v/>
      </c>
      <c r="AD26" s="191" t="str">
        <f t="shared" si="23"/>
        <v/>
      </c>
      <c r="AE26" s="122" t="str">
        <f t="shared" si="15"/>
        <v/>
      </c>
      <c r="AF26" s="122" t="str">
        <f t="shared" si="24"/>
        <v>- lbs</v>
      </c>
      <c r="AG26" s="122" t="str">
        <f t="shared" si="25"/>
        <v>MAJOR: -</v>
      </c>
      <c r="AH26" s="192" t="str">
        <f t="shared" si="26"/>
        <v>23 - -</v>
      </c>
      <c r="AI26" s="266" t="e">
        <f t="shared" si="27"/>
        <v>#N/A</v>
      </c>
    </row>
    <row r="27" spans="1:35" x14ac:dyDescent="0.25">
      <c r="A27" s="25">
        <v>24</v>
      </c>
      <c r="B27" s="5">
        <v>24</v>
      </c>
      <c r="C27" s="171" t="str">
        <f t="shared" si="0"/>
        <v>-</v>
      </c>
      <c r="D27" s="171" t="str">
        <f t="shared" si="1"/>
        <v>-</v>
      </c>
      <c r="E27" s="259" t="str">
        <f t="shared" si="2"/>
        <v>-</v>
      </c>
      <c r="F27" s="259" t="str">
        <f t="shared" si="3"/>
        <v>-</v>
      </c>
      <c r="G27" s="259" t="str">
        <f t="shared" si="4"/>
        <v>-</v>
      </c>
      <c r="H27" s="259" t="str">
        <f t="shared" si="5"/>
        <v>-</v>
      </c>
      <c r="I27" s="259" t="str">
        <f t="shared" si="6"/>
        <v>-</v>
      </c>
      <c r="J27" s="294" t="s">
        <v>800</v>
      </c>
      <c r="K27" s="259" t="str">
        <f t="shared" si="7"/>
        <v>-</v>
      </c>
      <c r="L27" s="259" t="str">
        <f t="shared" si="8"/>
        <v>-</v>
      </c>
      <c r="M27" s="259" t="str">
        <f t="shared" si="9"/>
        <v>-</v>
      </c>
      <c r="N27" s="259" t="str">
        <f t="shared" si="10"/>
        <v>-</v>
      </c>
      <c r="O27" s="259"/>
      <c r="Q27" s="124" t="str">
        <f t="shared" ca="1" si="16"/>
        <v/>
      </c>
      <c r="R27" s="124" t="str">
        <f t="shared" ca="1" si="17"/>
        <v/>
      </c>
      <c r="S27" s="124" t="e">
        <f t="shared" si="11"/>
        <v>#N/A</v>
      </c>
      <c r="T27" s="124" t="e">
        <f t="shared" si="18"/>
        <v>#N/A</v>
      </c>
      <c r="U27" s="123" t="str">
        <f>"D:\IMS Images\Headshots\"&amp;IF('Team Info'!$B$21="BASEBALL","CBASE","SBALL")&amp;"\"&amp;'Team Info'!$B$11&amp;"\"&amp;D27&amp;"_"&amp;C27&amp;".png"</f>
        <v>D:\IMS Images\Headshots\CBASE\GENERIC_BASEBALL\-_-.png</v>
      </c>
      <c r="V27" s="123" t="str">
        <f>"D:\IMS Images\ActionShots\"&amp;IF('Team Info'!$B$21="BASEBALL","CBASE","SBALL")&amp;"\"&amp;'Team Info'!$B$11&amp;"\"&amp;D27&amp;"_"&amp;C27&amp;".png"</f>
        <v>D:\IMS Images\ActionShots\CBASE\GENERIC_BASEBALL\-_-.png</v>
      </c>
      <c r="W27" s="192" t="str">
        <f t="shared" si="19"/>
        <v>24 - -</v>
      </c>
      <c r="X27" s="122" t="str">
        <f t="shared" si="12"/>
        <v>- -</v>
      </c>
      <c r="Y27" s="122" t="str">
        <f t="shared" si="13"/>
        <v>- -</v>
      </c>
      <c r="Z27" s="122" t="str">
        <f t="shared" si="14"/>
        <v>-. -</v>
      </c>
      <c r="AA27" s="122" t="str">
        <f t="shared" si="20"/>
        <v>-</v>
      </c>
      <c r="AB27" s="122" t="str">
        <f t="shared" si="21"/>
        <v>-</v>
      </c>
      <c r="AC27" s="125" t="str">
        <f t="shared" si="22"/>
        <v/>
      </c>
      <c r="AD27" s="191" t="str">
        <f t="shared" si="23"/>
        <v/>
      </c>
      <c r="AE27" s="122" t="str">
        <f t="shared" si="15"/>
        <v/>
      </c>
      <c r="AF27" s="122" t="str">
        <f t="shared" si="24"/>
        <v>- lbs</v>
      </c>
      <c r="AG27" s="122" t="str">
        <f t="shared" si="25"/>
        <v>MAJOR: -</v>
      </c>
      <c r="AH27" s="192" t="str">
        <f t="shared" si="26"/>
        <v>24 - -</v>
      </c>
      <c r="AI27" s="266" t="e">
        <f t="shared" si="27"/>
        <v>#N/A</v>
      </c>
    </row>
    <row r="28" spans="1:35" x14ac:dyDescent="0.25">
      <c r="A28" s="25">
        <v>25</v>
      </c>
      <c r="B28" s="5">
        <v>25</v>
      </c>
      <c r="C28" s="171" t="str">
        <f t="shared" si="0"/>
        <v>-</v>
      </c>
      <c r="D28" s="171" t="str">
        <f t="shared" si="1"/>
        <v>-</v>
      </c>
      <c r="E28" s="259" t="str">
        <f t="shared" si="2"/>
        <v>-</v>
      </c>
      <c r="F28" s="259" t="str">
        <f t="shared" si="3"/>
        <v>-</v>
      </c>
      <c r="G28" s="259" t="str">
        <f t="shared" si="4"/>
        <v>-</v>
      </c>
      <c r="H28" s="259" t="str">
        <f t="shared" si="5"/>
        <v>-</v>
      </c>
      <c r="I28" s="259" t="str">
        <f t="shared" si="6"/>
        <v>-</v>
      </c>
      <c r="J28" s="294" t="s">
        <v>800</v>
      </c>
      <c r="K28" s="259" t="str">
        <f t="shared" si="7"/>
        <v>-</v>
      </c>
      <c r="L28" s="259" t="str">
        <f t="shared" si="8"/>
        <v>-</v>
      </c>
      <c r="M28" s="259" t="str">
        <f t="shared" si="9"/>
        <v>-</v>
      </c>
      <c r="N28" s="259" t="str">
        <f t="shared" si="10"/>
        <v>-</v>
      </c>
      <c r="O28" s="259"/>
      <c r="Q28" s="124" t="str">
        <f t="shared" ca="1" si="16"/>
        <v/>
      </c>
      <c r="R28" s="124" t="str">
        <f t="shared" ca="1" si="17"/>
        <v/>
      </c>
      <c r="S28" s="124" t="e">
        <f t="shared" si="11"/>
        <v>#N/A</v>
      </c>
      <c r="T28" s="124" t="e">
        <f t="shared" si="18"/>
        <v>#N/A</v>
      </c>
      <c r="U28" s="123" t="str">
        <f>"D:\IMS Images\Headshots\"&amp;IF('Team Info'!$B$21="BASEBALL","CBASE","SBALL")&amp;"\"&amp;'Team Info'!$B$11&amp;"\"&amp;D28&amp;"_"&amp;C28&amp;".png"</f>
        <v>D:\IMS Images\Headshots\CBASE\GENERIC_BASEBALL\-_-.png</v>
      </c>
      <c r="V28" s="123" t="str">
        <f>"D:\IMS Images\ActionShots\"&amp;IF('Team Info'!$B$21="BASEBALL","CBASE","SBALL")&amp;"\"&amp;'Team Info'!$B$11&amp;"\"&amp;D28&amp;"_"&amp;C28&amp;".png"</f>
        <v>D:\IMS Images\ActionShots\CBASE\GENERIC_BASEBALL\-_-.png</v>
      </c>
      <c r="W28" s="192" t="str">
        <f t="shared" si="19"/>
        <v>25 - -</v>
      </c>
      <c r="X28" s="122" t="str">
        <f t="shared" si="12"/>
        <v>- -</v>
      </c>
      <c r="Y28" s="122" t="str">
        <f t="shared" si="13"/>
        <v>- -</v>
      </c>
      <c r="Z28" s="122" t="str">
        <f t="shared" si="14"/>
        <v>-. -</v>
      </c>
      <c r="AA28" s="122" t="str">
        <f t="shared" si="20"/>
        <v>-</v>
      </c>
      <c r="AB28" s="122" t="str">
        <f t="shared" si="21"/>
        <v>-</v>
      </c>
      <c r="AC28" s="125" t="str">
        <f t="shared" si="22"/>
        <v/>
      </c>
      <c r="AD28" s="191" t="str">
        <f t="shared" si="23"/>
        <v/>
      </c>
      <c r="AE28" s="122" t="str">
        <f t="shared" si="15"/>
        <v/>
      </c>
      <c r="AF28" s="122" t="str">
        <f t="shared" si="24"/>
        <v>- lbs</v>
      </c>
      <c r="AG28" s="122" t="str">
        <f t="shared" si="25"/>
        <v>MAJOR: -</v>
      </c>
      <c r="AH28" s="192" t="str">
        <f t="shared" si="26"/>
        <v>25 - -</v>
      </c>
      <c r="AI28" s="266" t="e">
        <f t="shared" si="27"/>
        <v>#N/A</v>
      </c>
    </row>
    <row r="29" spans="1:35" x14ac:dyDescent="0.25">
      <c r="A29" s="25">
        <v>26</v>
      </c>
      <c r="B29" s="5">
        <v>26</v>
      </c>
      <c r="C29" s="171" t="str">
        <f t="shared" si="0"/>
        <v>-</v>
      </c>
      <c r="D29" s="171" t="str">
        <f t="shared" si="1"/>
        <v>-</v>
      </c>
      <c r="E29" s="259" t="str">
        <f t="shared" si="2"/>
        <v>-</v>
      </c>
      <c r="F29" s="259" t="str">
        <f t="shared" si="3"/>
        <v>-</v>
      </c>
      <c r="G29" s="259" t="str">
        <f t="shared" si="4"/>
        <v>-</v>
      </c>
      <c r="H29" s="259" t="str">
        <f t="shared" si="5"/>
        <v>-</v>
      </c>
      <c r="I29" s="259" t="str">
        <f t="shared" si="6"/>
        <v>-</v>
      </c>
      <c r="J29" s="294" t="s">
        <v>800</v>
      </c>
      <c r="K29" s="259" t="str">
        <f t="shared" si="7"/>
        <v>-</v>
      </c>
      <c r="L29" s="259" t="str">
        <f t="shared" si="8"/>
        <v>-</v>
      </c>
      <c r="M29" s="259" t="str">
        <f t="shared" si="9"/>
        <v>-</v>
      </c>
      <c r="N29" s="259" t="str">
        <f t="shared" si="10"/>
        <v>-</v>
      </c>
      <c r="O29" s="259"/>
      <c r="Q29" s="124" t="str">
        <f t="shared" ca="1" si="16"/>
        <v/>
      </c>
      <c r="R29" s="124" t="str">
        <f t="shared" ca="1" si="17"/>
        <v/>
      </c>
      <c r="S29" s="124" t="e">
        <f t="shared" si="11"/>
        <v>#N/A</v>
      </c>
      <c r="T29" s="124" t="e">
        <f t="shared" si="18"/>
        <v>#N/A</v>
      </c>
      <c r="U29" s="123" t="str">
        <f>"D:\IMS Images\Headshots\"&amp;IF('Team Info'!$B$21="BASEBALL","CBASE","SBALL")&amp;"\"&amp;'Team Info'!$B$11&amp;"\"&amp;D29&amp;"_"&amp;C29&amp;".png"</f>
        <v>D:\IMS Images\Headshots\CBASE\GENERIC_BASEBALL\-_-.png</v>
      </c>
      <c r="V29" s="123" t="str">
        <f>"D:\IMS Images\ActionShots\"&amp;IF('Team Info'!$B$21="BASEBALL","CBASE","SBALL")&amp;"\"&amp;'Team Info'!$B$11&amp;"\"&amp;D29&amp;"_"&amp;C29&amp;".png"</f>
        <v>D:\IMS Images\ActionShots\CBASE\GENERIC_BASEBALL\-_-.png</v>
      </c>
      <c r="W29" s="192" t="str">
        <f t="shared" si="19"/>
        <v>26 - -</v>
      </c>
      <c r="X29" s="122" t="str">
        <f t="shared" si="12"/>
        <v>- -</v>
      </c>
      <c r="Y29" s="122" t="str">
        <f t="shared" si="13"/>
        <v>- -</v>
      </c>
      <c r="Z29" s="122" t="str">
        <f t="shared" si="14"/>
        <v>-. -</v>
      </c>
      <c r="AA29" s="122" t="str">
        <f t="shared" si="20"/>
        <v>-</v>
      </c>
      <c r="AB29" s="122" t="str">
        <f t="shared" si="21"/>
        <v>-</v>
      </c>
      <c r="AC29" s="125" t="str">
        <f t="shared" si="22"/>
        <v/>
      </c>
      <c r="AD29" s="191" t="str">
        <f t="shared" si="23"/>
        <v/>
      </c>
      <c r="AE29" s="122" t="str">
        <f t="shared" si="15"/>
        <v/>
      </c>
      <c r="AF29" s="122" t="str">
        <f t="shared" si="24"/>
        <v>- lbs</v>
      </c>
      <c r="AG29" s="122" t="str">
        <f t="shared" si="25"/>
        <v>MAJOR: -</v>
      </c>
      <c r="AH29" s="192" t="str">
        <f t="shared" si="26"/>
        <v>26 - -</v>
      </c>
      <c r="AI29" s="266" t="e">
        <f t="shared" si="27"/>
        <v>#N/A</v>
      </c>
    </row>
    <row r="30" spans="1:35" x14ac:dyDescent="0.25">
      <c r="A30" s="25">
        <v>27</v>
      </c>
      <c r="B30" s="5">
        <v>27</v>
      </c>
      <c r="C30" s="171" t="str">
        <f t="shared" si="0"/>
        <v>-</v>
      </c>
      <c r="D30" s="171" t="str">
        <f t="shared" si="1"/>
        <v>-</v>
      </c>
      <c r="E30" s="259" t="str">
        <f t="shared" si="2"/>
        <v>-</v>
      </c>
      <c r="F30" s="259" t="str">
        <f t="shared" si="3"/>
        <v>-</v>
      </c>
      <c r="G30" s="259" t="str">
        <f t="shared" si="4"/>
        <v>-</v>
      </c>
      <c r="H30" s="259" t="str">
        <f t="shared" si="5"/>
        <v>-</v>
      </c>
      <c r="I30" s="259" t="str">
        <f t="shared" si="6"/>
        <v>-</v>
      </c>
      <c r="J30" s="294" t="s">
        <v>800</v>
      </c>
      <c r="K30" s="259" t="str">
        <f t="shared" si="7"/>
        <v>-</v>
      </c>
      <c r="L30" s="259" t="str">
        <f t="shared" si="8"/>
        <v>-</v>
      </c>
      <c r="M30" s="259" t="str">
        <f t="shared" si="9"/>
        <v>-</v>
      </c>
      <c r="N30" s="259" t="str">
        <f t="shared" si="10"/>
        <v>-</v>
      </c>
      <c r="O30" s="259"/>
      <c r="Q30" s="124" t="str">
        <f t="shared" ca="1" si="16"/>
        <v/>
      </c>
      <c r="R30" s="124" t="str">
        <f t="shared" ca="1" si="17"/>
        <v/>
      </c>
      <c r="S30" s="124" t="e">
        <f t="shared" si="11"/>
        <v>#N/A</v>
      </c>
      <c r="T30" s="124" t="e">
        <f t="shared" si="18"/>
        <v>#N/A</v>
      </c>
      <c r="U30" s="123" t="str">
        <f>"D:\IMS Images\Headshots\"&amp;IF('Team Info'!$B$21="BASEBALL","CBASE","SBALL")&amp;"\"&amp;'Team Info'!$B$11&amp;"\"&amp;D30&amp;"_"&amp;C30&amp;".png"</f>
        <v>D:\IMS Images\Headshots\CBASE\GENERIC_BASEBALL\-_-.png</v>
      </c>
      <c r="V30" s="123" t="str">
        <f>"D:\IMS Images\ActionShots\"&amp;IF('Team Info'!$B$21="BASEBALL","CBASE","SBALL")&amp;"\"&amp;'Team Info'!$B$11&amp;"\"&amp;D30&amp;"_"&amp;C30&amp;".png"</f>
        <v>D:\IMS Images\ActionShots\CBASE\GENERIC_BASEBALL\-_-.png</v>
      </c>
      <c r="W30" s="192" t="str">
        <f t="shared" si="19"/>
        <v>27 - -</v>
      </c>
      <c r="X30" s="122" t="str">
        <f t="shared" si="12"/>
        <v>- -</v>
      </c>
      <c r="Y30" s="122" t="str">
        <f t="shared" si="13"/>
        <v>- -</v>
      </c>
      <c r="Z30" s="122" t="str">
        <f t="shared" si="14"/>
        <v>-. -</v>
      </c>
      <c r="AA30" s="122" t="str">
        <f t="shared" si="20"/>
        <v>-</v>
      </c>
      <c r="AB30" s="122" t="str">
        <f t="shared" si="21"/>
        <v>-</v>
      </c>
      <c r="AC30" s="125" t="str">
        <f t="shared" si="22"/>
        <v/>
      </c>
      <c r="AD30" s="191" t="str">
        <f t="shared" si="23"/>
        <v/>
      </c>
      <c r="AE30" s="122" t="str">
        <f t="shared" si="15"/>
        <v/>
      </c>
      <c r="AF30" s="122" t="str">
        <f t="shared" si="24"/>
        <v>- lbs</v>
      </c>
      <c r="AG30" s="122" t="str">
        <f t="shared" si="25"/>
        <v>MAJOR: -</v>
      </c>
      <c r="AH30" s="192" t="str">
        <f t="shared" si="26"/>
        <v>27 - -</v>
      </c>
      <c r="AI30" s="266" t="e">
        <f t="shared" si="27"/>
        <v>#N/A</v>
      </c>
    </row>
    <row r="31" spans="1:35" x14ac:dyDescent="0.25">
      <c r="A31" s="25">
        <v>28</v>
      </c>
      <c r="B31" s="5">
        <v>28</v>
      </c>
      <c r="C31" s="171" t="str">
        <f t="shared" si="0"/>
        <v>-</v>
      </c>
      <c r="D31" s="171" t="str">
        <f t="shared" si="1"/>
        <v>-</v>
      </c>
      <c r="E31" s="259" t="str">
        <f t="shared" si="2"/>
        <v>-</v>
      </c>
      <c r="F31" s="259" t="str">
        <f t="shared" si="3"/>
        <v>-</v>
      </c>
      <c r="G31" s="259" t="str">
        <f t="shared" si="4"/>
        <v>-</v>
      </c>
      <c r="H31" s="259" t="str">
        <f t="shared" si="5"/>
        <v>-</v>
      </c>
      <c r="I31" s="259" t="str">
        <f t="shared" si="6"/>
        <v>-</v>
      </c>
      <c r="J31" s="294" t="s">
        <v>800</v>
      </c>
      <c r="K31" s="259" t="str">
        <f t="shared" si="7"/>
        <v>-</v>
      </c>
      <c r="L31" s="259" t="str">
        <f t="shared" si="8"/>
        <v>-</v>
      </c>
      <c r="M31" s="259" t="str">
        <f t="shared" si="9"/>
        <v>-</v>
      </c>
      <c r="N31" s="259" t="str">
        <f t="shared" si="10"/>
        <v>-</v>
      </c>
      <c r="O31" s="259"/>
      <c r="Q31" s="124" t="str">
        <f t="shared" ca="1" si="16"/>
        <v/>
      </c>
      <c r="R31" s="124" t="str">
        <f t="shared" ca="1" si="17"/>
        <v/>
      </c>
      <c r="S31" s="124" t="e">
        <f t="shared" si="11"/>
        <v>#N/A</v>
      </c>
      <c r="T31" s="124" t="e">
        <f t="shared" si="18"/>
        <v>#N/A</v>
      </c>
      <c r="U31" s="123" t="str">
        <f>"D:\IMS Images\Headshots\"&amp;IF('Team Info'!$B$21="BASEBALL","CBASE","SBALL")&amp;"\"&amp;'Team Info'!$B$11&amp;"\"&amp;D31&amp;"_"&amp;C31&amp;".png"</f>
        <v>D:\IMS Images\Headshots\CBASE\GENERIC_BASEBALL\-_-.png</v>
      </c>
      <c r="V31" s="123" t="str">
        <f>"D:\IMS Images\ActionShots\"&amp;IF('Team Info'!$B$21="BASEBALL","CBASE","SBALL")&amp;"\"&amp;'Team Info'!$B$11&amp;"\"&amp;D31&amp;"_"&amp;C31&amp;".png"</f>
        <v>D:\IMS Images\ActionShots\CBASE\GENERIC_BASEBALL\-_-.png</v>
      </c>
      <c r="W31" s="192" t="str">
        <f t="shared" si="19"/>
        <v>28 - -</v>
      </c>
      <c r="X31" s="122" t="str">
        <f t="shared" si="12"/>
        <v>- -</v>
      </c>
      <c r="Y31" s="122" t="str">
        <f t="shared" si="13"/>
        <v>- -</v>
      </c>
      <c r="Z31" s="122" t="str">
        <f t="shared" si="14"/>
        <v>-. -</v>
      </c>
      <c r="AA31" s="122" t="str">
        <f t="shared" si="20"/>
        <v>-</v>
      </c>
      <c r="AB31" s="122" t="str">
        <f t="shared" si="21"/>
        <v>-</v>
      </c>
      <c r="AC31" s="125" t="str">
        <f t="shared" si="22"/>
        <v/>
      </c>
      <c r="AD31" s="191" t="str">
        <f t="shared" si="23"/>
        <v/>
      </c>
      <c r="AE31" s="122" t="str">
        <f t="shared" si="15"/>
        <v/>
      </c>
      <c r="AF31" s="122" t="str">
        <f t="shared" si="24"/>
        <v>- lbs</v>
      </c>
      <c r="AG31" s="122" t="str">
        <f t="shared" si="25"/>
        <v>MAJOR: -</v>
      </c>
      <c r="AH31" s="192" t="str">
        <f t="shared" si="26"/>
        <v>28 - -</v>
      </c>
      <c r="AI31" s="266" t="e">
        <f t="shared" si="27"/>
        <v>#N/A</v>
      </c>
    </row>
    <row r="32" spans="1:35" x14ac:dyDescent="0.25">
      <c r="A32" s="25">
        <v>29</v>
      </c>
      <c r="B32" s="5">
        <v>29</v>
      </c>
      <c r="C32" s="171" t="str">
        <f t="shared" si="0"/>
        <v>-</v>
      </c>
      <c r="D32" s="171" t="str">
        <f t="shared" si="1"/>
        <v>-</v>
      </c>
      <c r="E32" s="259" t="str">
        <f t="shared" si="2"/>
        <v>-</v>
      </c>
      <c r="F32" s="259" t="str">
        <f t="shared" si="3"/>
        <v>-</v>
      </c>
      <c r="G32" s="259" t="str">
        <f t="shared" si="4"/>
        <v>-</v>
      </c>
      <c r="H32" s="259" t="str">
        <f t="shared" si="5"/>
        <v>-</v>
      </c>
      <c r="I32" s="259" t="str">
        <f t="shared" si="6"/>
        <v>-</v>
      </c>
      <c r="J32" s="294" t="s">
        <v>800</v>
      </c>
      <c r="K32" s="259" t="str">
        <f t="shared" si="7"/>
        <v>-</v>
      </c>
      <c r="L32" s="259" t="str">
        <f t="shared" si="8"/>
        <v>-</v>
      </c>
      <c r="M32" s="259" t="str">
        <f t="shared" si="9"/>
        <v>-</v>
      </c>
      <c r="N32" s="259" t="str">
        <f t="shared" si="10"/>
        <v>-</v>
      </c>
      <c r="O32" s="259"/>
      <c r="Q32" s="124" t="str">
        <f t="shared" ca="1" si="16"/>
        <v/>
      </c>
      <c r="R32" s="124" t="str">
        <f t="shared" ca="1" si="17"/>
        <v/>
      </c>
      <c r="S32" s="124" t="e">
        <f t="shared" si="11"/>
        <v>#N/A</v>
      </c>
      <c r="T32" s="124" t="e">
        <f t="shared" si="18"/>
        <v>#N/A</v>
      </c>
      <c r="U32" s="123" t="str">
        <f>"D:\IMS Images\Headshots\"&amp;IF('Team Info'!$B$21="BASEBALL","CBASE","SBALL")&amp;"\"&amp;'Team Info'!$B$11&amp;"\"&amp;D32&amp;"_"&amp;C32&amp;".png"</f>
        <v>D:\IMS Images\Headshots\CBASE\GENERIC_BASEBALL\-_-.png</v>
      </c>
      <c r="V32" s="123" t="str">
        <f>"D:\IMS Images\ActionShots\"&amp;IF('Team Info'!$B$21="BASEBALL","CBASE","SBALL")&amp;"\"&amp;'Team Info'!$B$11&amp;"\"&amp;D32&amp;"_"&amp;C32&amp;".png"</f>
        <v>D:\IMS Images\ActionShots\CBASE\GENERIC_BASEBALL\-_-.png</v>
      </c>
      <c r="W32" s="192" t="str">
        <f t="shared" si="19"/>
        <v>29 - -</v>
      </c>
      <c r="X32" s="122" t="str">
        <f t="shared" si="12"/>
        <v>- -</v>
      </c>
      <c r="Y32" s="122" t="str">
        <f t="shared" si="13"/>
        <v>- -</v>
      </c>
      <c r="Z32" s="122" t="str">
        <f t="shared" si="14"/>
        <v>-. -</v>
      </c>
      <c r="AA32" s="122" t="str">
        <f t="shared" si="20"/>
        <v>-</v>
      </c>
      <c r="AB32" s="122" t="str">
        <f t="shared" si="21"/>
        <v>-</v>
      </c>
      <c r="AC32" s="125" t="str">
        <f t="shared" si="22"/>
        <v/>
      </c>
      <c r="AD32" s="191" t="str">
        <f t="shared" si="23"/>
        <v/>
      </c>
      <c r="AE32" s="122" t="str">
        <f t="shared" si="15"/>
        <v/>
      </c>
      <c r="AF32" s="122" t="str">
        <f t="shared" si="24"/>
        <v>- lbs</v>
      </c>
      <c r="AG32" s="122" t="str">
        <f t="shared" si="25"/>
        <v>MAJOR: -</v>
      </c>
      <c r="AH32" s="192" t="str">
        <f t="shared" si="26"/>
        <v>29 - -</v>
      </c>
      <c r="AI32" s="266" t="e">
        <f t="shared" si="27"/>
        <v>#N/A</v>
      </c>
    </row>
    <row r="33" spans="1:35" x14ac:dyDescent="0.25">
      <c r="A33" s="25">
        <v>30</v>
      </c>
      <c r="B33" s="5">
        <v>30</v>
      </c>
      <c r="C33" s="171" t="str">
        <f t="shared" si="0"/>
        <v>-</v>
      </c>
      <c r="D33" s="171" t="str">
        <f t="shared" si="1"/>
        <v>-</v>
      </c>
      <c r="E33" s="259" t="str">
        <f t="shared" si="2"/>
        <v>-</v>
      </c>
      <c r="F33" s="259" t="str">
        <f t="shared" si="3"/>
        <v>-</v>
      </c>
      <c r="G33" s="259" t="str">
        <f t="shared" si="4"/>
        <v>-</v>
      </c>
      <c r="H33" s="259" t="str">
        <f t="shared" si="5"/>
        <v>-</v>
      </c>
      <c r="I33" s="259" t="str">
        <f t="shared" si="6"/>
        <v>-</v>
      </c>
      <c r="J33" s="294" t="s">
        <v>800</v>
      </c>
      <c r="K33" s="259" t="str">
        <f t="shared" si="7"/>
        <v>-</v>
      </c>
      <c r="L33" s="259" t="str">
        <f t="shared" si="8"/>
        <v>-</v>
      </c>
      <c r="M33" s="259" t="str">
        <f t="shared" si="9"/>
        <v>-</v>
      </c>
      <c r="N33" s="259" t="str">
        <f t="shared" si="10"/>
        <v>-</v>
      </c>
      <c r="O33" s="259"/>
      <c r="Q33" s="124" t="str">
        <f t="shared" ca="1" si="16"/>
        <v/>
      </c>
      <c r="R33" s="124" t="str">
        <f t="shared" ca="1" si="17"/>
        <v/>
      </c>
      <c r="S33" s="124" t="e">
        <f t="shared" si="11"/>
        <v>#N/A</v>
      </c>
      <c r="T33" s="124" t="e">
        <f t="shared" si="18"/>
        <v>#N/A</v>
      </c>
      <c r="U33" s="123" t="str">
        <f>"D:\IMS Images\Headshots\"&amp;IF('Team Info'!$B$21="BASEBALL","CBASE","SBALL")&amp;"\"&amp;'Team Info'!$B$11&amp;"\"&amp;D33&amp;"_"&amp;C33&amp;".png"</f>
        <v>D:\IMS Images\Headshots\CBASE\GENERIC_BASEBALL\-_-.png</v>
      </c>
      <c r="V33" s="123" t="str">
        <f>"D:\IMS Images\ActionShots\"&amp;IF('Team Info'!$B$21="BASEBALL","CBASE","SBALL")&amp;"\"&amp;'Team Info'!$B$11&amp;"\"&amp;D33&amp;"_"&amp;C33&amp;".png"</f>
        <v>D:\IMS Images\ActionShots\CBASE\GENERIC_BASEBALL\-_-.png</v>
      </c>
      <c r="W33" s="192" t="str">
        <f t="shared" si="19"/>
        <v>30 - -</v>
      </c>
      <c r="X33" s="122" t="str">
        <f t="shared" si="12"/>
        <v>- -</v>
      </c>
      <c r="Y33" s="122" t="str">
        <f t="shared" si="13"/>
        <v>- -</v>
      </c>
      <c r="Z33" s="122" t="str">
        <f t="shared" si="14"/>
        <v>-. -</v>
      </c>
      <c r="AA33" s="122" t="str">
        <f t="shared" si="20"/>
        <v>-</v>
      </c>
      <c r="AB33" s="122" t="str">
        <f t="shared" si="21"/>
        <v>-</v>
      </c>
      <c r="AC33" s="125" t="str">
        <f t="shared" si="22"/>
        <v/>
      </c>
      <c r="AD33" s="191" t="str">
        <f t="shared" si="23"/>
        <v/>
      </c>
      <c r="AE33" s="122" t="str">
        <f t="shared" si="15"/>
        <v/>
      </c>
      <c r="AF33" s="122" t="str">
        <f t="shared" si="24"/>
        <v>- lbs</v>
      </c>
      <c r="AG33" s="122" t="str">
        <f t="shared" si="25"/>
        <v>MAJOR: -</v>
      </c>
      <c r="AH33" s="192" t="str">
        <f t="shared" si="26"/>
        <v>30 - -</v>
      </c>
      <c r="AI33" s="266" t="e">
        <f t="shared" si="27"/>
        <v>#N/A</v>
      </c>
    </row>
    <row r="34" spans="1:35" x14ac:dyDescent="0.25">
      <c r="A34" s="25">
        <v>31</v>
      </c>
      <c r="B34" s="5">
        <v>31</v>
      </c>
      <c r="C34" s="171" t="str">
        <f t="shared" si="0"/>
        <v>-</v>
      </c>
      <c r="D34" s="171" t="str">
        <f t="shared" si="1"/>
        <v>-</v>
      </c>
      <c r="E34" s="259" t="str">
        <f t="shared" si="2"/>
        <v>-</v>
      </c>
      <c r="F34" s="259" t="str">
        <f t="shared" si="3"/>
        <v>-</v>
      </c>
      <c r="G34" s="259" t="str">
        <f t="shared" si="4"/>
        <v>-</v>
      </c>
      <c r="H34" s="259" t="str">
        <f t="shared" si="5"/>
        <v>-</v>
      </c>
      <c r="I34" s="259" t="str">
        <f t="shared" si="6"/>
        <v>-</v>
      </c>
      <c r="J34" s="294" t="s">
        <v>800</v>
      </c>
      <c r="K34" s="259" t="str">
        <f t="shared" si="7"/>
        <v>-</v>
      </c>
      <c r="L34" s="259" t="str">
        <f t="shared" si="8"/>
        <v>-</v>
      </c>
      <c r="M34" s="259" t="str">
        <f t="shared" si="9"/>
        <v>-</v>
      </c>
      <c r="N34" s="259" t="str">
        <f t="shared" si="10"/>
        <v>-</v>
      </c>
      <c r="O34" s="259"/>
      <c r="Q34" s="124" t="str">
        <f t="shared" ca="1" si="16"/>
        <v/>
      </c>
      <c r="R34" s="124" t="str">
        <f t="shared" ca="1" si="17"/>
        <v/>
      </c>
      <c r="S34" s="124" t="e">
        <f t="shared" si="11"/>
        <v>#N/A</v>
      </c>
      <c r="T34" s="124" t="e">
        <f t="shared" si="18"/>
        <v>#N/A</v>
      </c>
      <c r="U34" s="123" t="str">
        <f>"D:\IMS Images\Headshots\"&amp;IF('Team Info'!$B$21="BASEBALL","CBASE","SBALL")&amp;"\"&amp;'Team Info'!$B$11&amp;"\"&amp;D34&amp;"_"&amp;C34&amp;".png"</f>
        <v>D:\IMS Images\Headshots\CBASE\GENERIC_BASEBALL\-_-.png</v>
      </c>
      <c r="V34" s="123" t="str">
        <f>"D:\IMS Images\ActionShots\"&amp;IF('Team Info'!$B$21="BASEBALL","CBASE","SBALL")&amp;"\"&amp;'Team Info'!$B$11&amp;"\"&amp;D34&amp;"_"&amp;C34&amp;".png"</f>
        <v>D:\IMS Images\ActionShots\CBASE\GENERIC_BASEBALL\-_-.png</v>
      </c>
      <c r="W34" s="192" t="str">
        <f t="shared" si="19"/>
        <v>31 - -</v>
      </c>
      <c r="X34" s="122" t="str">
        <f t="shared" si="12"/>
        <v>- -</v>
      </c>
      <c r="Y34" s="122" t="str">
        <f t="shared" si="13"/>
        <v>- -</v>
      </c>
      <c r="Z34" s="122" t="str">
        <f t="shared" si="14"/>
        <v>-. -</v>
      </c>
      <c r="AA34" s="122" t="str">
        <f t="shared" si="20"/>
        <v>-</v>
      </c>
      <c r="AB34" s="122" t="str">
        <f t="shared" si="21"/>
        <v>-</v>
      </c>
      <c r="AC34" s="125" t="str">
        <f t="shared" si="22"/>
        <v/>
      </c>
      <c r="AD34" s="191" t="str">
        <f t="shared" si="23"/>
        <v/>
      </c>
      <c r="AE34" s="122" t="str">
        <f t="shared" si="15"/>
        <v/>
      </c>
      <c r="AF34" s="122" t="str">
        <f t="shared" si="24"/>
        <v>- lbs</v>
      </c>
      <c r="AG34" s="122" t="str">
        <f t="shared" si="25"/>
        <v>MAJOR: -</v>
      </c>
      <c r="AH34" s="192" t="str">
        <f t="shared" si="26"/>
        <v>31 - -</v>
      </c>
      <c r="AI34" s="266" t="e">
        <f t="shared" si="27"/>
        <v>#N/A</v>
      </c>
    </row>
    <row r="35" spans="1:35" x14ac:dyDescent="0.25">
      <c r="A35" s="25">
        <v>32</v>
      </c>
      <c r="B35" s="5">
        <v>32</v>
      </c>
      <c r="C35" s="171" t="str">
        <f t="shared" si="0"/>
        <v>-</v>
      </c>
      <c r="D35" s="171" t="str">
        <f t="shared" si="1"/>
        <v>-</v>
      </c>
      <c r="E35" s="259" t="str">
        <f t="shared" si="2"/>
        <v>-</v>
      </c>
      <c r="F35" s="259" t="str">
        <f t="shared" si="3"/>
        <v>-</v>
      </c>
      <c r="G35" s="259" t="str">
        <f t="shared" si="4"/>
        <v>-</v>
      </c>
      <c r="H35" s="259" t="str">
        <f t="shared" si="5"/>
        <v>-</v>
      </c>
      <c r="I35" s="259" t="str">
        <f t="shared" si="6"/>
        <v>-</v>
      </c>
      <c r="J35" s="294" t="s">
        <v>800</v>
      </c>
      <c r="K35" s="259" t="str">
        <f t="shared" si="7"/>
        <v>-</v>
      </c>
      <c r="L35" s="259" t="str">
        <f t="shared" si="8"/>
        <v>-</v>
      </c>
      <c r="M35" s="259" t="str">
        <f t="shared" si="9"/>
        <v>-</v>
      </c>
      <c r="N35" s="259" t="str">
        <f t="shared" si="10"/>
        <v>-</v>
      </c>
      <c r="O35" s="259"/>
      <c r="Q35" s="124" t="str">
        <f t="shared" ca="1" si="16"/>
        <v/>
      </c>
      <c r="R35" s="124" t="str">
        <f t="shared" ca="1" si="17"/>
        <v/>
      </c>
      <c r="S35" s="124" t="e">
        <f t="shared" si="11"/>
        <v>#N/A</v>
      </c>
      <c r="T35" s="124" t="e">
        <f t="shared" si="18"/>
        <v>#N/A</v>
      </c>
      <c r="U35" s="123" t="str">
        <f>"D:\IMS Images\Headshots\"&amp;IF('Team Info'!$B$21="BASEBALL","CBASE","SBALL")&amp;"\"&amp;'Team Info'!$B$11&amp;"\"&amp;D35&amp;"_"&amp;C35&amp;".png"</f>
        <v>D:\IMS Images\Headshots\CBASE\GENERIC_BASEBALL\-_-.png</v>
      </c>
      <c r="V35" s="123" t="str">
        <f>"D:\IMS Images\ActionShots\"&amp;IF('Team Info'!$B$21="BASEBALL","CBASE","SBALL")&amp;"\"&amp;'Team Info'!$B$11&amp;"\"&amp;D35&amp;"_"&amp;C35&amp;".png"</f>
        <v>D:\IMS Images\ActionShots\CBASE\GENERIC_BASEBALL\-_-.png</v>
      </c>
      <c r="W35" s="192" t="str">
        <f t="shared" si="19"/>
        <v>32 - -</v>
      </c>
      <c r="X35" s="122" t="str">
        <f t="shared" si="12"/>
        <v>- -</v>
      </c>
      <c r="Y35" s="122" t="str">
        <f t="shared" si="13"/>
        <v>- -</v>
      </c>
      <c r="Z35" s="122" t="str">
        <f t="shared" si="14"/>
        <v>-. -</v>
      </c>
      <c r="AA35" s="122" t="str">
        <f t="shared" si="20"/>
        <v>-</v>
      </c>
      <c r="AB35" s="122" t="str">
        <f t="shared" si="21"/>
        <v>-</v>
      </c>
      <c r="AC35" s="125" t="str">
        <f t="shared" si="22"/>
        <v/>
      </c>
      <c r="AD35" s="191" t="str">
        <f t="shared" si="23"/>
        <v/>
      </c>
      <c r="AE35" s="122" t="str">
        <f t="shared" si="15"/>
        <v/>
      </c>
      <c r="AF35" s="122" t="str">
        <f t="shared" si="24"/>
        <v>- lbs</v>
      </c>
      <c r="AG35" s="122" t="str">
        <f t="shared" si="25"/>
        <v>MAJOR: -</v>
      </c>
      <c r="AH35" s="192" t="str">
        <f t="shared" si="26"/>
        <v>32 - -</v>
      </c>
      <c r="AI35" s="266" t="e">
        <f t="shared" si="27"/>
        <v>#N/A</v>
      </c>
    </row>
    <row r="36" spans="1:35" x14ac:dyDescent="0.25">
      <c r="A36" s="25">
        <v>33</v>
      </c>
      <c r="B36" s="5">
        <v>33</v>
      </c>
      <c r="C36" s="171" t="str">
        <f t="shared" ref="C36:C67" si="28">IFERROR(INDEX(NAME_RANGE,MATCH(B36,NUM_RANGE,FALSE),2),"-")</f>
        <v>-</v>
      </c>
      <c r="D36" s="171" t="str">
        <f t="shared" ref="D36:D67" si="29">IFERROR(INDEX(NAME_RANGE,MATCH(B36,NUM_RANGE,FALSE),1),"-")</f>
        <v>-</v>
      </c>
      <c r="E36" s="259" t="str">
        <f t="shared" ref="E36:E67" si="30">IFERROR(VLOOKUP($B36,INPUT_RANGE,2,FALSE),"-")</f>
        <v>-</v>
      </c>
      <c r="F36" s="259" t="str">
        <f t="shared" ref="F36:F67" si="31">IFERROR(VLOOKUP($B36,INPUT_RANGE,3,FALSE),"-")</f>
        <v>-</v>
      </c>
      <c r="G36" s="259" t="str">
        <f t="shared" si="4"/>
        <v>-</v>
      </c>
      <c r="H36" s="259" t="str">
        <f t="shared" ref="H36:H67" si="32">IFERROR(VLOOKUP($B36,INPUT_RANGE,7,FALSE),"-")</f>
        <v>-</v>
      </c>
      <c r="I36" s="259" t="str">
        <f t="shared" ref="I36:I67" si="33">IFERROR(VLOOKUP($B36,INPUT_RANGE,8,FALSE),"-")</f>
        <v>-</v>
      </c>
      <c r="J36" s="294" t="s">
        <v>800</v>
      </c>
      <c r="K36" s="259" t="str">
        <f t="shared" ref="K36:K67" si="34">IFERROR(VLOOKUP($B36,INPUT_RANGE,5,FALSE)&amp;", "&amp;VLOOKUP($B36,INPUT_RANGE,6,FALSE),"-")</f>
        <v>-</v>
      </c>
      <c r="L36" s="259" t="str">
        <f t="shared" ref="L36:L67" si="35">IFERROR(VLOOKUP($B36,INPUT_RANGE,9,FALSE),"-")</f>
        <v>-</v>
      </c>
      <c r="M36" s="259" t="str">
        <f t="shared" ref="M36:M67" si="36">IFERROR(VLOOKUP($B36,INPUT_RANGE,11,FALSE),"-")</f>
        <v>-</v>
      </c>
      <c r="N36" s="259" t="str">
        <f t="shared" ref="N36:N67" si="37">IFERROR(VLOOKUP($B36,INPUT_RANGE,12,FALSE),"-")</f>
        <v>-</v>
      </c>
      <c r="O36" s="259"/>
      <c r="Q36" s="124" t="str">
        <f t="shared" ca="1" si="16"/>
        <v/>
      </c>
      <c r="R36" s="124" t="str">
        <f t="shared" ca="1" si="17"/>
        <v/>
      </c>
      <c r="S36" s="124" t="e">
        <f t="shared" ref="S36:S67" si="38">RIGHT(ROUND(VLOOKUP(B36,INPUT_RANGE,54,FALSE)/VLOOKUP(B36,INPUT_RANGE,52,FALSE),3),4)</f>
        <v>#N/A</v>
      </c>
      <c r="T36" s="124" t="e">
        <f t="shared" ref="T36:T67" si="39">VLOOKUP($B36,INPUT_RANGE,57,FALSE)</f>
        <v>#N/A</v>
      </c>
      <c r="U36" s="123" t="str">
        <f>"D:\IMS Images\Headshots\"&amp;IF('Team Info'!$B$21="BASEBALL","CBASE","SBALL")&amp;"\"&amp;'Team Info'!$B$11&amp;"\"&amp;D36&amp;"_"&amp;C36&amp;".png"</f>
        <v>D:\IMS Images\Headshots\CBASE\GENERIC_BASEBALL\-_-.png</v>
      </c>
      <c r="V36" s="123" t="str">
        <f>"D:\IMS Images\ActionShots\"&amp;IF('Team Info'!$B$21="BASEBALL","CBASE","SBALL")&amp;"\"&amp;'Team Info'!$B$11&amp;"\"&amp;D36&amp;"_"&amp;C36&amp;".png"</f>
        <v>D:\IMS Images\ActionShots\CBASE\GENERIC_BASEBALL\-_-.png</v>
      </c>
      <c r="W36" s="192" t="str">
        <f t="shared" si="19"/>
        <v>33 - -</v>
      </c>
      <c r="X36" s="122" t="str">
        <f t="shared" ref="X36:X67" si="40">C36&amp;" "&amp;D36</f>
        <v>- -</v>
      </c>
      <c r="Y36" s="122" t="str">
        <f t="shared" ref="Y36:Y67" si="41">UPPER(X36)</f>
        <v>- -</v>
      </c>
      <c r="Z36" s="122" t="str">
        <f t="shared" ref="Z36:Z67" si="42">LEFT(C36,1)&amp;". "&amp;D36</f>
        <v>-. -</v>
      </c>
      <c r="AA36" s="122" t="str">
        <f t="shared" si="20"/>
        <v>-</v>
      </c>
      <c r="AB36" s="122" t="str">
        <f t="shared" si="21"/>
        <v>-</v>
      </c>
      <c r="AC36" s="125" t="str">
        <f t="shared" si="22"/>
        <v/>
      </c>
      <c r="AD36" s="191" t="str">
        <f t="shared" si="23"/>
        <v/>
      </c>
      <c r="AE36" s="122" t="str">
        <f t="shared" ref="AE36:AE67" si="43">UPPER(AC36)</f>
        <v/>
      </c>
      <c r="AF36" s="122" t="str">
        <f t="shared" si="24"/>
        <v>- lbs</v>
      </c>
      <c r="AG36" s="122" t="str">
        <f t="shared" si="25"/>
        <v>MAJOR: -</v>
      </c>
      <c r="AH36" s="192" t="str">
        <f t="shared" si="26"/>
        <v>33 - -</v>
      </c>
      <c r="AI36" s="266" t="e">
        <f t="shared" si="27"/>
        <v>#N/A</v>
      </c>
    </row>
    <row r="37" spans="1:35" x14ac:dyDescent="0.25">
      <c r="A37" s="25">
        <v>34</v>
      </c>
      <c r="B37" s="5">
        <v>34</v>
      </c>
      <c r="C37" s="171" t="str">
        <f t="shared" si="28"/>
        <v>-</v>
      </c>
      <c r="D37" s="171" t="str">
        <f t="shared" si="29"/>
        <v>-</v>
      </c>
      <c r="E37" s="259" t="str">
        <f t="shared" si="30"/>
        <v>-</v>
      </c>
      <c r="F37" s="259" t="str">
        <f t="shared" si="31"/>
        <v>-</v>
      </c>
      <c r="G37" s="259" t="str">
        <f t="shared" si="4"/>
        <v>-</v>
      </c>
      <c r="H37" s="259" t="str">
        <f t="shared" si="32"/>
        <v>-</v>
      </c>
      <c r="I37" s="259" t="str">
        <f t="shared" si="33"/>
        <v>-</v>
      </c>
      <c r="J37" s="294" t="s">
        <v>800</v>
      </c>
      <c r="K37" s="259" t="str">
        <f t="shared" si="34"/>
        <v>-</v>
      </c>
      <c r="L37" s="259" t="str">
        <f t="shared" si="35"/>
        <v>-</v>
      </c>
      <c r="M37" s="259" t="str">
        <f t="shared" si="36"/>
        <v>-</v>
      </c>
      <c r="N37" s="259" t="str">
        <f t="shared" si="37"/>
        <v>-</v>
      </c>
      <c r="O37" s="259"/>
      <c r="Q37" s="124" t="str">
        <f t="shared" ca="1" si="16"/>
        <v/>
      </c>
      <c r="R37" s="124" t="str">
        <f t="shared" ca="1" si="17"/>
        <v/>
      </c>
      <c r="S37" s="124" t="e">
        <f t="shared" si="38"/>
        <v>#N/A</v>
      </c>
      <c r="T37" s="124" t="e">
        <f t="shared" si="39"/>
        <v>#N/A</v>
      </c>
      <c r="U37" s="123" t="str">
        <f>"D:\IMS Images\Headshots\"&amp;IF('Team Info'!$B$21="BASEBALL","CBASE","SBALL")&amp;"\"&amp;'Team Info'!$B$11&amp;"\"&amp;D37&amp;"_"&amp;C37&amp;".png"</f>
        <v>D:\IMS Images\Headshots\CBASE\GENERIC_BASEBALL\-_-.png</v>
      </c>
      <c r="V37" s="123" t="str">
        <f>"D:\IMS Images\ActionShots\"&amp;IF('Team Info'!$B$21="BASEBALL","CBASE","SBALL")&amp;"\"&amp;'Team Info'!$B$11&amp;"\"&amp;D37&amp;"_"&amp;C37&amp;".png"</f>
        <v>D:\IMS Images\ActionShots\CBASE\GENERIC_BASEBALL\-_-.png</v>
      </c>
      <c r="W37" s="192" t="str">
        <f t="shared" si="19"/>
        <v>34 - -</v>
      </c>
      <c r="X37" s="122" t="str">
        <f t="shared" si="40"/>
        <v>- -</v>
      </c>
      <c r="Y37" s="122" t="str">
        <f t="shared" si="41"/>
        <v>- -</v>
      </c>
      <c r="Z37" s="122" t="str">
        <f t="shared" si="42"/>
        <v>-. -</v>
      </c>
      <c r="AA37" s="122" t="str">
        <f t="shared" si="20"/>
        <v>-</v>
      </c>
      <c r="AB37" s="122" t="str">
        <f t="shared" si="21"/>
        <v>-</v>
      </c>
      <c r="AC37" s="125" t="str">
        <f t="shared" si="22"/>
        <v/>
      </c>
      <c r="AD37" s="191" t="str">
        <f t="shared" si="23"/>
        <v/>
      </c>
      <c r="AE37" s="122" t="str">
        <f t="shared" si="43"/>
        <v/>
      </c>
      <c r="AF37" s="122" t="str">
        <f t="shared" si="24"/>
        <v>- lbs</v>
      </c>
      <c r="AG37" s="122" t="str">
        <f t="shared" si="25"/>
        <v>MAJOR: -</v>
      </c>
      <c r="AH37" s="192" t="str">
        <f t="shared" si="26"/>
        <v>34 - -</v>
      </c>
      <c r="AI37" s="266" t="e">
        <f t="shared" si="27"/>
        <v>#N/A</v>
      </c>
    </row>
    <row r="38" spans="1:35" x14ac:dyDescent="0.25">
      <c r="A38" s="25">
        <v>35</v>
      </c>
      <c r="B38" s="5">
        <v>35</v>
      </c>
      <c r="C38" s="171" t="str">
        <f t="shared" si="28"/>
        <v>-</v>
      </c>
      <c r="D38" s="171" t="str">
        <f t="shared" si="29"/>
        <v>-</v>
      </c>
      <c r="E38" s="259" t="str">
        <f t="shared" si="30"/>
        <v>-</v>
      </c>
      <c r="F38" s="259" t="str">
        <f t="shared" si="31"/>
        <v>-</v>
      </c>
      <c r="G38" s="259" t="str">
        <f t="shared" si="4"/>
        <v>-</v>
      </c>
      <c r="H38" s="259" t="str">
        <f t="shared" si="32"/>
        <v>-</v>
      </c>
      <c r="I38" s="259" t="str">
        <f t="shared" si="33"/>
        <v>-</v>
      </c>
      <c r="J38" s="294" t="s">
        <v>800</v>
      </c>
      <c r="K38" s="259" t="str">
        <f t="shared" si="34"/>
        <v>-</v>
      </c>
      <c r="L38" s="259" t="str">
        <f t="shared" si="35"/>
        <v>-</v>
      </c>
      <c r="M38" s="259" t="str">
        <f t="shared" si="36"/>
        <v>-</v>
      </c>
      <c r="N38" s="259" t="str">
        <f t="shared" si="37"/>
        <v>-</v>
      </c>
      <c r="O38" s="259"/>
      <c r="Q38" s="124" t="str">
        <f t="shared" ca="1" si="16"/>
        <v/>
      </c>
      <c r="R38" s="124" t="str">
        <f t="shared" ca="1" si="17"/>
        <v/>
      </c>
      <c r="S38" s="124" t="e">
        <f t="shared" si="38"/>
        <v>#N/A</v>
      </c>
      <c r="T38" s="124" t="e">
        <f t="shared" si="39"/>
        <v>#N/A</v>
      </c>
      <c r="U38" s="123" t="str">
        <f>"D:\IMS Images\Headshots\"&amp;IF('Team Info'!$B$21="BASEBALL","CBASE","SBALL")&amp;"\"&amp;'Team Info'!$B$11&amp;"\"&amp;D38&amp;"_"&amp;C38&amp;".png"</f>
        <v>D:\IMS Images\Headshots\CBASE\GENERIC_BASEBALL\-_-.png</v>
      </c>
      <c r="V38" s="123" t="str">
        <f>"D:\IMS Images\ActionShots\"&amp;IF('Team Info'!$B$21="BASEBALL","CBASE","SBALL")&amp;"\"&amp;'Team Info'!$B$11&amp;"\"&amp;D38&amp;"_"&amp;C38&amp;".png"</f>
        <v>D:\IMS Images\ActionShots\CBASE\GENERIC_BASEBALL\-_-.png</v>
      </c>
      <c r="W38" s="192" t="str">
        <f t="shared" si="19"/>
        <v>35 - -</v>
      </c>
      <c r="X38" s="122" t="str">
        <f t="shared" si="40"/>
        <v>- -</v>
      </c>
      <c r="Y38" s="122" t="str">
        <f t="shared" si="41"/>
        <v>- -</v>
      </c>
      <c r="Z38" s="122" t="str">
        <f t="shared" si="42"/>
        <v>-. -</v>
      </c>
      <c r="AA38" s="122" t="str">
        <f t="shared" si="20"/>
        <v>-</v>
      </c>
      <c r="AB38" s="122" t="str">
        <f t="shared" si="21"/>
        <v>-</v>
      </c>
      <c r="AC38" s="125" t="str">
        <f t="shared" si="22"/>
        <v/>
      </c>
      <c r="AD38" s="191" t="str">
        <f t="shared" si="23"/>
        <v/>
      </c>
      <c r="AE38" s="122" t="str">
        <f t="shared" si="43"/>
        <v/>
      </c>
      <c r="AF38" s="122" t="str">
        <f t="shared" si="24"/>
        <v>- lbs</v>
      </c>
      <c r="AG38" s="122" t="str">
        <f t="shared" si="25"/>
        <v>MAJOR: -</v>
      </c>
      <c r="AH38" s="192" t="str">
        <f t="shared" si="26"/>
        <v>35 - -</v>
      </c>
      <c r="AI38" s="266" t="e">
        <f t="shared" si="27"/>
        <v>#N/A</v>
      </c>
    </row>
    <row r="39" spans="1:35" x14ac:dyDescent="0.25">
      <c r="A39" s="25">
        <v>36</v>
      </c>
      <c r="B39" s="5">
        <v>36</v>
      </c>
      <c r="C39" s="171" t="str">
        <f t="shared" si="28"/>
        <v>-</v>
      </c>
      <c r="D39" s="171" t="str">
        <f t="shared" si="29"/>
        <v>-</v>
      </c>
      <c r="E39" s="259" t="str">
        <f t="shared" si="30"/>
        <v>-</v>
      </c>
      <c r="F39" s="259" t="str">
        <f t="shared" si="31"/>
        <v>-</v>
      </c>
      <c r="G39" s="259" t="str">
        <f t="shared" si="4"/>
        <v>-</v>
      </c>
      <c r="H39" s="259" t="str">
        <f t="shared" si="32"/>
        <v>-</v>
      </c>
      <c r="I39" s="259" t="str">
        <f t="shared" si="33"/>
        <v>-</v>
      </c>
      <c r="J39" s="294" t="s">
        <v>800</v>
      </c>
      <c r="K39" s="259" t="str">
        <f t="shared" si="34"/>
        <v>-</v>
      </c>
      <c r="L39" s="259" t="str">
        <f t="shared" si="35"/>
        <v>-</v>
      </c>
      <c r="M39" s="259" t="str">
        <f t="shared" si="36"/>
        <v>-</v>
      </c>
      <c r="N39" s="259" t="str">
        <f t="shared" si="37"/>
        <v>-</v>
      </c>
      <c r="O39" s="259"/>
      <c r="Q39" s="124" t="str">
        <f t="shared" ca="1" si="16"/>
        <v/>
      </c>
      <c r="R39" s="124" t="str">
        <f t="shared" ca="1" si="17"/>
        <v/>
      </c>
      <c r="S39" s="124" t="e">
        <f t="shared" si="38"/>
        <v>#N/A</v>
      </c>
      <c r="T39" s="124" t="e">
        <f t="shared" si="39"/>
        <v>#N/A</v>
      </c>
      <c r="U39" s="123" t="str">
        <f>"D:\IMS Images\Headshots\"&amp;IF('Team Info'!$B$21="BASEBALL","CBASE","SBALL")&amp;"\"&amp;'Team Info'!$B$11&amp;"\"&amp;D39&amp;"_"&amp;C39&amp;".png"</f>
        <v>D:\IMS Images\Headshots\CBASE\GENERIC_BASEBALL\-_-.png</v>
      </c>
      <c r="V39" s="123" t="str">
        <f>"D:\IMS Images\ActionShots\"&amp;IF('Team Info'!$B$21="BASEBALL","CBASE","SBALL")&amp;"\"&amp;'Team Info'!$B$11&amp;"\"&amp;D39&amp;"_"&amp;C39&amp;".png"</f>
        <v>D:\IMS Images\ActionShots\CBASE\GENERIC_BASEBALL\-_-.png</v>
      </c>
      <c r="W39" s="192" t="str">
        <f t="shared" si="19"/>
        <v>36 - -</v>
      </c>
      <c r="X39" s="122" t="str">
        <f t="shared" si="40"/>
        <v>- -</v>
      </c>
      <c r="Y39" s="122" t="str">
        <f t="shared" si="41"/>
        <v>- -</v>
      </c>
      <c r="Z39" s="122" t="str">
        <f t="shared" si="42"/>
        <v>-. -</v>
      </c>
      <c r="AA39" s="122" t="str">
        <f t="shared" si="20"/>
        <v>-</v>
      </c>
      <c r="AB39" s="122" t="str">
        <f t="shared" si="21"/>
        <v>-</v>
      </c>
      <c r="AC39" s="125" t="str">
        <f t="shared" si="22"/>
        <v/>
      </c>
      <c r="AD39" s="191" t="str">
        <f t="shared" si="23"/>
        <v/>
      </c>
      <c r="AE39" s="122" t="str">
        <f t="shared" si="43"/>
        <v/>
      </c>
      <c r="AF39" s="122" t="str">
        <f t="shared" si="24"/>
        <v>- lbs</v>
      </c>
      <c r="AG39" s="122" t="str">
        <f t="shared" si="25"/>
        <v>MAJOR: -</v>
      </c>
      <c r="AH39" s="192" t="str">
        <f t="shared" si="26"/>
        <v>36 - -</v>
      </c>
      <c r="AI39" s="266" t="e">
        <f t="shared" si="27"/>
        <v>#N/A</v>
      </c>
    </row>
    <row r="40" spans="1:35" x14ac:dyDescent="0.25">
      <c r="A40" s="25">
        <v>37</v>
      </c>
      <c r="B40" s="5">
        <v>37</v>
      </c>
      <c r="C40" s="171" t="str">
        <f t="shared" si="28"/>
        <v>-</v>
      </c>
      <c r="D40" s="171" t="str">
        <f t="shared" si="29"/>
        <v>-</v>
      </c>
      <c r="E40" s="259" t="str">
        <f t="shared" si="30"/>
        <v>-</v>
      </c>
      <c r="F40" s="259" t="str">
        <f t="shared" si="31"/>
        <v>-</v>
      </c>
      <c r="G40" s="259" t="str">
        <f t="shared" si="4"/>
        <v>-</v>
      </c>
      <c r="H40" s="259" t="str">
        <f t="shared" si="32"/>
        <v>-</v>
      </c>
      <c r="I40" s="259" t="str">
        <f t="shared" si="33"/>
        <v>-</v>
      </c>
      <c r="J40" s="294" t="s">
        <v>800</v>
      </c>
      <c r="K40" s="259" t="str">
        <f t="shared" si="34"/>
        <v>-</v>
      </c>
      <c r="L40" s="259" t="str">
        <f t="shared" si="35"/>
        <v>-</v>
      </c>
      <c r="M40" s="259" t="str">
        <f t="shared" si="36"/>
        <v>-</v>
      </c>
      <c r="N40" s="259" t="str">
        <f t="shared" si="37"/>
        <v>-</v>
      </c>
      <c r="O40" s="259"/>
      <c r="Q40" s="124" t="str">
        <f t="shared" ca="1" si="16"/>
        <v/>
      </c>
      <c r="R40" s="124" t="str">
        <f t="shared" ca="1" si="17"/>
        <v/>
      </c>
      <c r="S40" s="124" t="e">
        <f t="shared" si="38"/>
        <v>#N/A</v>
      </c>
      <c r="T40" s="124" t="e">
        <f t="shared" si="39"/>
        <v>#N/A</v>
      </c>
      <c r="U40" s="123" t="str">
        <f>"D:\IMS Images\Headshots\"&amp;IF('Team Info'!$B$21="BASEBALL","CBASE","SBALL")&amp;"\"&amp;'Team Info'!$B$11&amp;"\"&amp;D40&amp;"_"&amp;C40&amp;".png"</f>
        <v>D:\IMS Images\Headshots\CBASE\GENERIC_BASEBALL\-_-.png</v>
      </c>
      <c r="V40" s="123" t="str">
        <f>"D:\IMS Images\ActionShots\"&amp;IF('Team Info'!$B$21="BASEBALL","CBASE","SBALL")&amp;"\"&amp;'Team Info'!$B$11&amp;"\"&amp;D40&amp;"_"&amp;C40&amp;".png"</f>
        <v>D:\IMS Images\ActionShots\CBASE\GENERIC_BASEBALL\-_-.png</v>
      </c>
      <c r="W40" s="192" t="str">
        <f t="shared" si="19"/>
        <v>37 - -</v>
      </c>
      <c r="X40" s="122" t="str">
        <f t="shared" si="40"/>
        <v>- -</v>
      </c>
      <c r="Y40" s="122" t="str">
        <f t="shared" si="41"/>
        <v>- -</v>
      </c>
      <c r="Z40" s="122" t="str">
        <f t="shared" si="42"/>
        <v>-. -</v>
      </c>
      <c r="AA40" s="122" t="str">
        <f t="shared" si="20"/>
        <v>-</v>
      </c>
      <c r="AB40" s="122" t="str">
        <f t="shared" si="21"/>
        <v>-</v>
      </c>
      <c r="AC40" s="125" t="str">
        <f t="shared" si="22"/>
        <v/>
      </c>
      <c r="AD40" s="191" t="str">
        <f t="shared" si="23"/>
        <v/>
      </c>
      <c r="AE40" s="122" t="str">
        <f t="shared" si="43"/>
        <v/>
      </c>
      <c r="AF40" s="122" t="str">
        <f t="shared" si="24"/>
        <v>- lbs</v>
      </c>
      <c r="AG40" s="122" t="str">
        <f t="shared" si="25"/>
        <v>MAJOR: -</v>
      </c>
      <c r="AH40" s="192" t="str">
        <f t="shared" si="26"/>
        <v>37 - -</v>
      </c>
      <c r="AI40" s="266" t="e">
        <f t="shared" si="27"/>
        <v>#N/A</v>
      </c>
    </row>
    <row r="41" spans="1:35" x14ac:dyDescent="0.25">
      <c r="A41" s="25">
        <v>38</v>
      </c>
      <c r="B41" s="5">
        <v>38</v>
      </c>
      <c r="C41" s="171" t="str">
        <f t="shared" si="28"/>
        <v>-</v>
      </c>
      <c r="D41" s="171" t="str">
        <f t="shared" si="29"/>
        <v>-</v>
      </c>
      <c r="E41" s="259" t="str">
        <f t="shared" si="30"/>
        <v>-</v>
      </c>
      <c r="F41" s="259" t="str">
        <f t="shared" si="31"/>
        <v>-</v>
      </c>
      <c r="G41" s="259" t="str">
        <f t="shared" si="4"/>
        <v>-</v>
      </c>
      <c r="H41" s="259" t="str">
        <f t="shared" si="32"/>
        <v>-</v>
      </c>
      <c r="I41" s="259" t="str">
        <f t="shared" si="33"/>
        <v>-</v>
      </c>
      <c r="J41" s="294" t="s">
        <v>800</v>
      </c>
      <c r="K41" s="259" t="str">
        <f t="shared" si="34"/>
        <v>-</v>
      </c>
      <c r="L41" s="259" t="str">
        <f t="shared" si="35"/>
        <v>-</v>
      </c>
      <c r="M41" s="259" t="str">
        <f t="shared" si="36"/>
        <v>-</v>
      </c>
      <c r="N41" s="259" t="str">
        <f t="shared" si="37"/>
        <v>-</v>
      </c>
      <c r="O41" s="259"/>
      <c r="Q41" s="124" t="str">
        <f t="shared" ca="1" si="16"/>
        <v/>
      </c>
      <c r="R41" s="124" t="str">
        <f t="shared" ca="1" si="17"/>
        <v/>
      </c>
      <c r="S41" s="124" t="e">
        <f t="shared" si="38"/>
        <v>#N/A</v>
      </c>
      <c r="T41" s="124" t="e">
        <f t="shared" si="39"/>
        <v>#N/A</v>
      </c>
      <c r="U41" s="123" t="str">
        <f>"D:\IMS Images\Headshots\"&amp;IF('Team Info'!$B$21="BASEBALL","CBASE","SBALL")&amp;"\"&amp;'Team Info'!$B$11&amp;"\"&amp;D41&amp;"_"&amp;C41&amp;".png"</f>
        <v>D:\IMS Images\Headshots\CBASE\GENERIC_BASEBALL\-_-.png</v>
      </c>
      <c r="V41" s="123" t="str">
        <f>"D:\IMS Images\ActionShots\"&amp;IF('Team Info'!$B$21="BASEBALL","CBASE","SBALL")&amp;"\"&amp;'Team Info'!$B$11&amp;"\"&amp;D41&amp;"_"&amp;C41&amp;".png"</f>
        <v>D:\IMS Images\ActionShots\CBASE\GENERIC_BASEBALL\-_-.png</v>
      </c>
      <c r="W41" s="192" t="str">
        <f t="shared" si="19"/>
        <v>38 - -</v>
      </c>
      <c r="X41" s="122" t="str">
        <f t="shared" si="40"/>
        <v>- -</v>
      </c>
      <c r="Y41" s="122" t="str">
        <f t="shared" si="41"/>
        <v>- -</v>
      </c>
      <c r="Z41" s="122" t="str">
        <f t="shared" si="42"/>
        <v>-. -</v>
      </c>
      <c r="AA41" s="122" t="str">
        <f t="shared" si="20"/>
        <v>-</v>
      </c>
      <c r="AB41" s="122" t="str">
        <f t="shared" si="21"/>
        <v>-</v>
      </c>
      <c r="AC41" s="125" t="str">
        <f t="shared" si="22"/>
        <v/>
      </c>
      <c r="AD41" s="191" t="str">
        <f t="shared" si="23"/>
        <v/>
      </c>
      <c r="AE41" s="122" t="str">
        <f t="shared" si="43"/>
        <v/>
      </c>
      <c r="AF41" s="122" t="str">
        <f t="shared" si="24"/>
        <v>- lbs</v>
      </c>
      <c r="AG41" s="122" t="str">
        <f t="shared" si="25"/>
        <v>MAJOR: -</v>
      </c>
      <c r="AH41" s="192" t="str">
        <f t="shared" si="26"/>
        <v>38 - -</v>
      </c>
      <c r="AI41" s="266" t="e">
        <f t="shared" si="27"/>
        <v>#N/A</v>
      </c>
    </row>
    <row r="42" spans="1:35" x14ac:dyDescent="0.25">
      <c r="A42" s="25">
        <v>39</v>
      </c>
      <c r="B42" s="5">
        <v>39</v>
      </c>
      <c r="C42" s="171" t="str">
        <f t="shared" si="28"/>
        <v>-</v>
      </c>
      <c r="D42" s="171" t="str">
        <f t="shared" si="29"/>
        <v>-</v>
      </c>
      <c r="E42" s="259" t="str">
        <f t="shared" si="30"/>
        <v>-</v>
      </c>
      <c r="F42" s="259" t="str">
        <f t="shared" si="31"/>
        <v>-</v>
      </c>
      <c r="G42" s="259" t="str">
        <f t="shared" si="4"/>
        <v>-</v>
      </c>
      <c r="H42" s="259" t="str">
        <f t="shared" si="32"/>
        <v>-</v>
      </c>
      <c r="I42" s="259" t="str">
        <f t="shared" si="33"/>
        <v>-</v>
      </c>
      <c r="J42" s="294" t="s">
        <v>800</v>
      </c>
      <c r="K42" s="259" t="str">
        <f t="shared" si="34"/>
        <v>-</v>
      </c>
      <c r="L42" s="259" t="str">
        <f t="shared" si="35"/>
        <v>-</v>
      </c>
      <c r="M42" s="259" t="str">
        <f t="shared" si="36"/>
        <v>-</v>
      </c>
      <c r="N42" s="259" t="str">
        <f t="shared" si="37"/>
        <v>-</v>
      </c>
      <c r="O42" s="259"/>
      <c r="Q42" s="124" t="str">
        <f t="shared" ca="1" si="16"/>
        <v/>
      </c>
      <c r="R42" s="124" t="str">
        <f t="shared" ca="1" si="17"/>
        <v/>
      </c>
      <c r="S42" s="124" t="e">
        <f t="shared" si="38"/>
        <v>#N/A</v>
      </c>
      <c r="T42" s="124" t="e">
        <f t="shared" si="39"/>
        <v>#N/A</v>
      </c>
      <c r="U42" s="123" t="str">
        <f>"D:\IMS Images\Headshots\"&amp;IF('Team Info'!$B$21="BASEBALL","CBASE","SBALL")&amp;"\"&amp;'Team Info'!$B$11&amp;"\"&amp;D42&amp;"_"&amp;C42&amp;".png"</f>
        <v>D:\IMS Images\Headshots\CBASE\GENERIC_BASEBALL\-_-.png</v>
      </c>
      <c r="V42" s="123" t="str">
        <f>"D:\IMS Images\ActionShots\"&amp;IF('Team Info'!$B$21="BASEBALL","CBASE","SBALL")&amp;"\"&amp;'Team Info'!$B$11&amp;"\"&amp;D42&amp;"_"&amp;C42&amp;".png"</f>
        <v>D:\IMS Images\ActionShots\CBASE\GENERIC_BASEBALL\-_-.png</v>
      </c>
      <c r="W42" s="192" t="str">
        <f t="shared" si="19"/>
        <v>39 - -</v>
      </c>
      <c r="X42" s="122" t="str">
        <f t="shared" si="40"/>
        <v>- -</v>
      </c>
      <c r="Y42" s="122" t="str">
        <f t="shared" si="41"/>
        <v>- -</v>
      </c>
      <c r="Z42" s="122" t="str">
        <f t="shared" si="42"/>
        <v>-. -</v>
      </c>
      <c r="AA42" s="122" t="str">
        <f t="shared" si="20"/>
        <v>-</v>
      </c>
      <c r="AB42" s="122" t="str">
        <f t="shared" si="21"/>
        <v>-</v>
      </c>
      <c r="AC42" s="125" t="str">
        <f t="shared" si="22"/>
        <v/>
      </c>
      <c r="AD42" s="191" t="str">
        <f t="shared" si="23"/>
        <v/>
      </c>
      <c r="AE42" s="122" t="str">
        <f t="shared" si="43"/>
        <v/>
      </c>
      <c r="AF42" s="122" t="str">
        <f t="shared" si="24"/>
        <v>- lbs</v>
      </c>
      <c r="AG42" s="122" t="str">
        <f t="shared" si="25"/>
        <v>MAJOR: -</v>
      </c>
      <c r="AH42" s="192" t="str">
        <f t="shared" si="26"/>
        <v>39 - -</v>
      </c>
      <c r="AI42" s="266" t="e">
        <f t="shared" si="27"/>
        <v>#N/A</v>
      </c>
    </row>
    <row r="43" spans="1:35" x14ac:dyDescent="0.25">
      <c r="A43" s="25">
        <v>40</v>
      </c>
      <c r="B43" s="5">
        <v>40</v>
      </c>
      <c r="C43" s="171" t="str">
        <f t="shared" si="28"/>
        <v>-</v>
      </c>
      <c r="D43" s="171" t="str">
        <f t="shared" si="29"/>
        <v>-</v>
      </c>
      <c r="E43" s="259" t="str">
        <f t="shared" si="30"/>
        <v>-</v>
      </c>
      <c r="F43" s="259" t="str">
        <f t="shared" si="31"/>
        <v>-</v>
      </c>
      <c r="G43" s="259" t="str">
        <f t="shared" si="4"/>
        <v>-</v>
      </c>
      <c r="H43" s="259" t="str">
        <f t="shared" si="32"/>
        <v>-</v>
      </c>
      <c r="I43" s="259" t="str">
        <f t="shared" si="33"/>
        <v>-</v>
      </c>
      <c r="J43" s="294" t="s">
        <v>800</v>
      </c>
      <c r="K43" s="259" t="str">
        <f t="shared" si="34"/>
        <v>-</v>
      </c>
      <c r="L43" s="259" t="str">
        <f t="shared" si="35"/>
        <v>-</v>
      </c>
      <c r="M43" s="259" t="str">
        <f t="shared" si="36"/>
        <v>-</v>
      </c>
      <c r="N43" s="259" t="str">
        <f t="shared" si="37"/>
        <v>-</v>
      </c>
      <c r="O43" s="259"/>
      <c r="Q43" s="124" t="str">
        <f t="shared" ca="1" si="16"/>
        <v/>
      </c>
      <c r="R43" s="124" t="str">
        <f t="shared" ca="1" si="17"/>
        <v/>
      </c>
      <c r="S43" s="124" t="e">
        <f t="shared" si="38"/>
        <v>#N/A</v>
      </c>
      <c r="T43" s="124" t="e">
        <f t="shared" si="39"/>
        <v>#N/A</v>
      </c>
      <c r="U43" s="123" t="str">
        <f>"D:\IMS Images\Headshots\"&amp;IF('Team Info'!$B$21="BASEBALL","CBASE","SBALL")&amp;"\"&amp;'Team Info'!$B$11&amp;"\"&amp;D43&amp;"_"&amp;C43&amp;".png"</f>
        <v>D:\IMS Images\Headshots\CBASE\GENERIC_BASEBALL\-_-.png</v>
      </c>
      <c r="V43" s="123" t="str">
        <f>"D:\IMS Images\ActionShots\"&amp;IF('Team Info'!$B$21="BASEBALL","CBASE","SBALL")&amp;"\"&amp;'Team Info'!$B$11&amp;"\"&amp;D43&amp;"_"&amp;C43&amp;".png"</f>
        <v>D:\IMS Images\ActionShots\CBASE\GENERIC_BASEBALL\-_-.png</v>
      </c>
      <c r="W43" s="192" t="str">
        <f t="shared" si="19"/>
        <v>40 - -</v>
      </c>
      <c r="X43" s="122" t="str">
        <f t="shared" si="40"/>
        <v>- -</v>
      </c>
      <c r="Y43" s="122" t="str">
        <f t="shared" si="41"/>
        <v>- -</v>
      </c>
      <c r="Z43" s="122" t="str">
        <f t="shared" si="42"/>
        <v>-. -</v>
      </c>
      <c r="AA43" s="122" t="str">
        <f t="shared" si="20"/>
        <v>-</v>
      </c>
      <c r="AB43" s="122" t="str">
        <f t="shared" si="21"/>
        <v>-</v>
      </c>
      <c r="AC43" s="125" t="str">
        <f t="shared" si="22"/>
        <v/>
      </c>
      <c r="AD43" s="191" t="str">
        <f t="shared" si="23"/>
        <v/>
      </c>
      <c r="AE43" s="122" t="str">
        <f t="shared" si="43"/>
        <v/>
      </c>
      <c r="AF43" s="122" t="str">
        <f t="shared" si="24"/>
        <v>- lbs</v>
      </c>
      <c r="AG43" s="122" t="str">
        <f t="shared" si="25"/>
        <v>MAJOR: -</v>
      </c>
      <c r="AH43" s="192" t="str">
        <f t="shared" si="26"/>
        <v>40 - -</v>
      </c>
      <c r="AI43" s="266" t="e">
        <f t="shared" si="27"/>
        <v>#N/A</v>
      </c>
    </row>
    <row r="44" spans="1:35" x14ac:dyDescent="0.25">
      <c r="A44" s="25">
        <v>41</v>
      </c>
      <c r="B44" s="5">
        <v>41</v>
      </c>
      <c r="C44" s="171" t="str">
        <f t="shared" si="28"/>
        <v>-</v>
      </c>
      <c r="D44" s="171" t="str">
        <f t="shared" si="29"/>
        <v>-</v>
      </c>
      <c r="E44" s="259" t="str">
        <f t="shared" si="30"/>
        <v>-</v>
      </c>
      <c r="F44" s="259" t="str">
        <f t="shared" si="31"/>
        <v>-</v>
      </c>
      <c r="G44" s="259" t="str">
        <f t="shared" si="4"/>
        <v>-</v>
      </c>
      <c r="H44" s="259" t="str">
        <f t="shared" si="32"/>
        <v>-</v>
      </c>
      <c r="I44" s="259" t="str">
        <f t="shared" si="33"/>
        <v>-</v>
      </c>
      <c r="J44" s="294" t="s">
        <v>800</v>
      </c>
      <c r="K44" s="259" t="str">
        <f t="shared" si="34"/>
        <v>-</v>
      </c>
      <c r="L44" s="259" t="str">
        <f t="shared" si="35"/>
        <v>-</v>
      </c>
      <c r="M44" s="259" t="str">
        <f t="shared" si="36"/>
        <v>-</v>
      </c>
      <c r="N44" s="259" t="str">
        <f t="shared" si="37"/>
        <v>-</v>
      </c>
      <c r="O44" s="259"/>
      <c r="Q44" s="124" t="str">
        <f t="shared" ca="1" si="16"/>
        <v/>
      </c>
      <c r="R44" s="124" t="str">
        <f t="shared" ca="1" si="17"/>
        <v/>
      </c>
      <c r="S44" s="124" t="e">
        <f t="shared" si="38"/>
        <v>#N/A</v>
      </c>
      <c r="T44" s="124" t="e">
        <f t="shared" si="39"/>
        <v>#N/A</v>
      </c>
      <c r="U44" s="123" t="str">
        <f>"D:\IMS Images\Headshots\"&amp;IF('Team Info'!$B$21="BASEBALL","CBASE","SBALL")&amp;"\"&amp;'Team Info'!$B$11&amp;"\"&amp;D44&amp;"_"&amp;C44&amp;".png"</f>
        <v>D:\IMS Images\Headshots\CBASE\GENERIC_BASEBALL\-_-.png</v>
      </c>
      <c r="V44" s="123" t="str">
        <f>"D:\IMS Images\ActionShots\"&amp;IF('Team Info'!$B$21="BASEBALL","CBASE","SBALL")&amp;"\"&amp;'Team Info'!$B$11&amp;"\"&amp;D44&amp;"_"&amp;C44&amp;".png"</f>
        <v>D:\IMS Images\ActionShots\CBASE\GENERIC_BASEBALL\-_-.png</v>
      </c>
      <c r="W44" s="192" t="str">
        <f t="shared" si="19"/>
        <v>41 - -</v>
      </c>
      <c r="X44" s="122" t="str">
        <f t="shared" si="40"/>
        <v>- -</v>
      </c>
      <c r="Y44" s="122" t="str">
        <f t="shared" si="41"/>
        <v>- -</v>
      </c>
      <c r="Z44" s="122" t="str">
        <f t="shared" si="42"/>
        <v>-. -</v>
      </c>
      <c r="AA44" s="122" t="str">
        <f t="shared" si="20"/>
        <v>-</v>
      </c>
      <c r="AB44" s="122" t="str">
        <f t="shared" si="21"/>
        <v>-</v>
      </c>
      <c r="AC44" s="125" t="str">
        <f t="shared" si="22"/>
        <v/>
      </c>
      <c r="AD44" s="191" t="str">
        <f t="shared" si="23"/>
        <v/>
      </c>
      <c r="AE44" s="122" t="str">
        <f t="shared" si="43"/>
        <v/>
      </c>
      <c r="AF44" s="122" t="str">
        <f t="shared" si="24"/>
        <v>- lbs</v>
      </c>
      <c r="AG44" s="122" t="str">
        <f t="shared" si="25"/>
        <v>MAJOR: -</v>
      </c>
      <c r="AH44" s="192" t="str">
        <f t="shared" si="26"/>
        <v>41 - -</v>
      </c>
      <c r="AI44" s="266" t="e">
        <f t="shared" si="27"/>
        <v>#N/A</v>
      </c>
    </row>
    <row r="45" spans="1:35" x14ac:dyDescent="0.25">
      <c r="A45" s="25">
        <v>42</v>
      </c>
      <c r="B45" s="5">
        <v>42</v>
      </c>
      <c r="C45" s="171" t="str">
        <f t="shared" si="28"/>
        <v>-</v>
      </c>
      <c r="D45" s="171" t="str">
        <f t="shared" si="29"/>
        <v>-</v>
      </c>
      <c r="E45" s="259" t="str">
        <f t="shared" si="30"/>
        <v>-</v>
      </c>
      <c r="F45" s="259" t="str">
        <f t="shared" si="31"/>
        <v>-</v>
      </c>
      <c r="G45" s="259" t="str">
        <f t="shared" si="4"/>
        <v>-</v>
      </c>
      <c r="H45" s="259" t="str">
        <f t="shared" si="32"/>
        <v>-</v>
      </c>
      <c r="I45" s="259" t="str">
        <f t="shared" si="33"/>
        <v>-</v>
      </c>
      <c r="J45" s="294" t="s">
        <v>800</v>
      </c>
      <c r="K45" s="259" t="str">
        <f t="shared" si="34"/>
        <v>-</v>
      </c>
      <c r="L45" s="259" t="str">
        <f t="shared" si="35"/>
        <v>-</v>
      </c>
      <c r="M45" s="259" t="str">
        <f t="shared" si="36"/>
        <v>-</v>
      </c>
      <c r="N45" s="259" t="str">
        <f t="shared" si="37"/>
        <v>-</v>
      </c>
      <c r="O45" s="259"/>
      <c r="Q45" s="124" t="str">
        <f t="shared" ca="1" si="16"/>
        <v/>
      </c>
      <c r="R45" s="124" t="str">
        <f t="shared" ca="1" si="17"/>
        <v/>
      </c>
      <c r="S45" s="124" t="e">
        <f t="shared" si="38"/>
        <v>#N/A</v>
      </c>
      <c r="T45" s="124" t="e">
        <f t="shared" si="39"/>
        <v>#N/A</v>
      </c>
      <c r="U45" s="123" t="str">
        <f>"D:\IMS Images\Headshots\"&amp;IF('Team Info'!$B$21="BASEBALL","CBASE","SBALL")&amp;"\"&amp;'Team Info'!$B$11&amp;"\"&amp;D45&amp;"_"&amp;C45&amp;".png"</f>
        <v>D:\IMS Images\Headshots\CBASE\GENERIC_BASEBALL\-_-.png</v>
      </c>
      <c r="V45" s="123" t="str">
        <f>"D:\IMS Images\ActionShots\"&amp;IF('Team Info'!$B$21="BASEBALL","CBASE","SBALL")&amp;"\"&amp;'Team Info'!$B$11&amp;"\"&amp;D45&amp;"_"&amp;C45&amp;".png"</f>
        <v>D:\IMS Images\ActionShots\CBASE\GENERIC_BASEBALL\-_-.png</v>
      </c>
      <c r="W45" s="192" t="str">
        <f t="shared" si="19"/>
        <v>42 - -</v>
      </c>
      <c r="X45" s="122" t="str">
        <f t="shared" si="40"/>
        <v>- -</v>
      </c>
      <c r="Y45" s="122" t="str">
        <f t="shared" si="41"/>
        <v>- -</v>
      </c>
      <c r="Z45" s="122" t="str">
        <f t="shared" si="42"/>
        <v>-. -</v>
      </c>
      <c r="AA45" s="122" t="str">
        <f t="shared" si="20"/>
        <v>-</v>
      </c>
      <c r="AB45" s="122" t="str">
        <f t="shared" si="21"/>
        <v>-</v>
      </c>
      <c r="AC45" s="125" t="str">
        <f t="shared" si="22"/>
        <v/>
      </c>
      <c r="AD45" s="191" t="str">
        <f t="shared" si="23"/>
        <v/>
      </c>
      <c r="AE45" s="122" t="str">
        <f t="shared" si="43"/>
        <v/>
      </c>
      <c r="AF45" s="122" t="str">
        <f t="shared" si="24"/>
        <v>- lbs</v>
      </c>
      <c r="AG45" s="122" t="str">
        <f t="shared" si="25"/>
        <v>MAJOR: -</v>
      </c>
      <c r="AH45" s="192" t="str">
        <f t="shared" si="26"/>
        <v>42 - -</v>
      </c>
      <c r="AI45" s="266" t="e">
        <f t="shared" si="27"/>
        <v>#N/A</v>
      </c>
    </row>
    <row r="46" spans="1:35" x14ac:dyDescent="0.25">
      <c r="A46" s="25">
        <v>43</v>
      </c>
      <c r="B46" s="5">
        <v>43</v>
      </c>
      <c r="C46" s="171" t="str">
        <f t="shared" si="28"/>
        <v>-</v>
      </c>
      <c r="D46" s="171" t="str">
        <f t="shared" si="29"/>
        <v>-</v>
      </c>
      <c r="E46" s="259" t="str">
        <f t="shared" si="30"/>
        <v>-</v>
      </c>
      <c r="F46" s="259" t="str">
        <f t="shared" si="31"/>
        <v>-</v>
      </c>
      <c r="G46" s="259" t="str">
        <f t="shared" si="4"/>
        <v>-</v>
      </c>
      <c r="H46" s="259" t="str">
        <f t="shared" si="32"/>
        <v>-</v>
      </c>
      <c r="I46" s="259" t="str">
        <f t="shared" si="33"/>
        <v>-</v>
      </c>
      <c r="J46" s="294" t="s">
        <v>800</v>
      </c>
      <c r="K46" s="259" t="str">
        <f t="shared" si="34"/>
        <v>-</v>
      </c>
      <c r="L46" s="259" t="str">
        <f t="shared" si="35"/>
        <v>-</v>
      </c>
      <c r="M46" s="259" t="str">
        <f t="shared" si="36"/>
        <v>-</v>
      </c>
      <c r="N46" s="259" t="str">
        <f t="shared" si="37"/>
        <v>-</v>
      </c>
      <c r="O46" s="259"/>
      <c r="Q46" s="124" t="str">
        <f t="shared" ca="1" si="16"/>
        <v/>
      </c>
      <c r="R46" s="124" t="str">
        <f t="shared" ca="1" si="17"/>
        <v/>
      </c>
      <c r="S46" s="124" t="e">
        <f t="shared" si="38"/>
        <v>#N/A</v>
      </c>
      <c r="T46" s="124" t="e">
        <f t="shared" si="39"/>
        <v>#N/A</v>
      </c>
      <c r="U46" s="123" t="str">
        <f>"D:\IMS Images\Headshots\"&amp;IF('Team Info'!$B$21="BASEBALL","CBASE","SBALL")&amp;"\"&amp;'Team Info'!$B$11&amp;"\"&amp;D46&amp;"_"&amp;C46&amp;".png"</f>
        <v>D:\IMS Images\Headshots\CBASE\GENERIC_BASEBALL\-_-.png</v>
      </c>
      <c r="V46" s="123" t="str">
        <f>"D:\IMS Images\ActionShots\"&amp;IF('Team Info'!$B$21="BASEBALL","CBASE","SBALL")&amp;"\"&amp;'Team Info'!$B$11&amp;"\"&amp;D46&amp;"_"&amp;C46&amp;".png"</f>
        <v>D:\IMS Images\ActionShots\CBASE\GENERIC_BASEBALL\-_-.png</v>
      </c>
      <c r="W46" s="192" t="str">
        <f t="shared" si="19"/>
        <v>43 - -</v>
      </c>
      <c r="X46" s="122" t="str">
        <f t="shared" si="40"/>
        <v>- -</v>
      </c>
      <c r="Y46" s="122" t="str">
        <f t="shared" si="41"/>
        <v>- -</v>
      </c>
      <c r="Z46" s="122" t="str">
        <f t="shared" si="42"/>
        <v>-. -</v>
      </c>
      <c r="AA46" s="122" t="str">
        <f t="shared" si="20"/>
        <v>-</v>
      </c>
      <c r="AB46" s="122" t="str">
        <f t="shared" si="21"/>
        <v>-</v>
      </c>
      <c r="AC46" s="125" t="str">
        <f t="shared" si="22"/>
        <v/>
      </c>
      <c r="AD46" s="191" t="str">
        <f t="shared" si="23"/>
        <v/>
      </c>
      <c r="AE46" s="122" t="str">
        <f t="shared" si="43"/>
        <v/>
      </c>
      <c r="AF46" s="122" t="str">
        <f t="shared" si="24"/>
        <v>- lbs</v>
      </c>
      <c r="AG46" s="122" t="str">
        <f t="shared" si="25"/>
        <v>MAJOR: -</v>
      </c>
      <c r="AH46" s="192" t="str">
        <f t="shared" si="26"/>
        <v>43 - -</v>
      </c>
      <c r="AI46" s="266" t="e">
        <f t="shared" si="27"/>
        <v>#N/A</v>
      </c>
    </row>
    <row r="47" spans="1:35" x14ac:dyDescent="0.25">
      <c r="A47" s="25">
        <v>44</v>
      </c>
      <c r="B47" s="5">
        <v>44</v>
      </c>
      <c r="C47" s="171" t="str">
        <f t="shared" si="28"/>
        <v>-</v>
      </c>
      <c r="D47" s="171" t="str">
        <f t="shared" si="29"/>
        <v>-</v>
      </c>
      <c r="E47" s="259" t="str">
        <f t="shared" si="30"/>
        <v>-</v>
      </c>
      <c r="F47" s="259" t="str">
        <f t="shared" si="31"/>
        <v>-</v>
      </c>
      <c r="G47" s="259" t="str">
        <f t="shared" si="4"/>
        <v>-</v>
      </c>
      <c r="H47" s="259" t="str">
        <f t="shared" si="32"/>
        <v>-</v>
      </c>
      <c r="I47" s="259" t="str">
        <f t="shared" si="33"/>
        <v>-</v>
      </c>
      <c r="J47" s="294" t="s">
        <v>800</v>
      </c>
      <c r="K47" s="259" t="str">
        <f t="shared" si="34"/>
        <v>-</v>
      </c>
      <c r="L47" s="259" t="str">
        <f t="shared" si="35"/>
        <v>-</v>
      </c>
      <c r="M47" s="259" t="str">
        <f t="shared" si="36"/>
        <v>-</v>
      </c>
      <c r="N47" s="259" t="str">
        <f t="shared" si="37"/>
        <v>-</v>
      </c>
      <c r="O47" s="259"/>
      <c r="Q47" s="124" t="str">
        <f t="shared" ca="1" si="16"/>
        <v/>
      </c>
      <c r="R47" s="124" t="str">
        <f t="shared" ca="1" si="17"/>
        <v/>
      </c>
      <c r="S47" s="124" t="e">
        <f t="shared" si="38"/>
        <v>#N/A</v>
      </c>
      <c r="T47" s="124" t="e">
        <f t="shared" si="39"/>
        <v>#N/A</v>
      </c>
      <c r="U47" s="123" t="str">
        <f>"D:\IMS Images\Headshots\"&amp;IF('Team Info'!$B$21="BASEBALL","CBASE","SBALL")&amp;"\"&amp;'Team Info'!$B$11&amp;"\"&amp;D47&amp;"_"&amp;C47&amp;".png"</f>
        <v>D:\IMS Images\Headshots\CBASE\GENERIC_BASEBALL\-_-.png</v>
      </c>
      <c r="V47" s="123" t="str">
        <f>"D:\IMS Images\ActionShots\"&amp;IF('Team Info'!$B$21="BASEBALL","CBASE","SBALL")&amp;"\"&amp;'Team Info'!$B$11&amp;"\"&amp;D47&amp;"_"&amp;C47&amp;".png"</f>
        <v>D:\IMS Images\ActionShots\CBASE\GENERIC_BASEBALL\-_-.png</v>
      </c>
      <c r="W47" s="192" t="str">
        <f t="shared" si="19"/>
        <v>44 - -</v>
      </c>
      <c r="X47" s="122" t="str">
        <f t="shared" si="40"/>
        <v>- -</v>
      </c>
      <c r="Y47" s="122" t="str">
        <f t="shared" si="41"/>
        <v>- -</v>
      </c>
      <c r="Z47" s="122" t="str">
        <f t="shared" si="42"/>
        <v>-. -</v>
      </c>
      <c r="AA47" s="122" t="str">
        <f t="shared" si="20"/>
        <v>-</v>
      </c>
      <c r="AB47" s="122" t="str">
        <f t="shared" si="21"/>
        <v>-</v>
      </c>
      <c r="AC47" s="125" t="str">
        <f t="shared" si="22"/>
        <v/>
      </c>
      <c r="AD47" s="191" t="str">
        <f t="shared" si="23"/>
        <v/>
      </c>
      <c r="AE47" s="122" t="str">
        <f t="shared" si="43"/>
        <v/>
      </c>
      <c r="AF47" s="122" t="str">
        <f t="shared" si="24"/>
        <v>- lbs</v>
      </c>
      <c r="AG47" s="122" t="str">
        <f t="shared" si="25"/>
        <v>MAJOR: -</v>
      </c>
      <c r="AH47" s="192" t="str">
        <f t="shared" si="26"/>
        <v>44 - -</v>
      </c>
      <c r="AI47" s="266" t="e">
        <f t="shared" si="27"/>
        <v>#N/A</v>
      </c>
    </row>
    <row r="48" spans="1:35" x14ac:dyDescent="0.25">
      <c r="A48" s="25">
        <v>45</v>
      </c>
      <c r="B48" s="5">
        <v>45</v>
      </c>
      <c r="C48" s="171" t="str">
        <f t="shared" si="28"/>
        <v>-</v>
      </c>
      <c r="D48" s="171" t="str">
        <f t="shared" si="29"/>
        <v>-</v>
      </c>
      <c r="E48" s="259" t="str">
        <f t="shared" si="30"/>
        <v>-</v>
      </c>
      <c r="F48" s="259" t="str">
        <f t="shared" si="31"/>
        <v>-</v>
      </c>
      <c r="G48" s="259" t="str">
        <f t="shared" si="4"/>
        <v>-</v>
      </c>
      <c r="H48" s="259" t="str">
        <f t="shared" si="32"/>
        <v>-</v>
      </c>
      <c r="I48" s="259" t="str">
        <f t="shared" si="33"/>
        <v>-</v>
      </c>
      <c r="J48" s="294" t="s">
        <v>800</v>
      </c>
      <c r="K48" s="259" t="str">
        <f t="shared" si="34"/>
        <v>-</v>
      </c>
      <c r="L48" s="259" t="str">
        <f t="shared" si="35"/>
        <v>-</v>
      </c>
      <c r="M48" s="259" t="str">
        <f t="shared" si="36"/>
        <v>-</v>
      </c>
      <c r="N48" s="259" t="str">
        <f t="shared" si="37"/>
        <v>-</v>
      </c>
      <c r="O48" s="259"/>
      <c r="Q48" s="124" t="str">
        <f t="shared" ca="1" si="16"/>
        <v/>
      </c>
      <c r="R48" s="124" t="str">
        <f t="shared" ca="1" si="17"/>
        <v/>
      </c>
      <c r="S48" s="124" t="e">
        <f t="shared" si="38"/>
        <v>#N/A</v>
      </c>
      <c r="T48" s="124" t="e">
        <f t="shared" si="39"/>
        <v>#N/A</v>
      </c>
      <c r="U48" s="123" t="str">
        <f>"D:\IMS Images\Headshots\"&amp;IF('Team Info'!$B$21="BASEBALL","CBASE","SBALL")&amp;"\"&amp;'Team Info'!$B$11&amp;"\"&amp;D48&amp;"_"&amp;C48&amp;".png"</f>
        <v>D:\IMS Images\Headshots\CBASE\GENERIC_BASEBALL\-_-.png</v>
      </c>
      <c r="V48" s="123" t="str">
        <f>"D:\IMS Images\ActionShots\"&amp;IF('Team Info'!$B$21="BASEBALL","CBASE","SBALL")&amp;"\"&amp;'Team Info'!$B$11&amp;"\"&amp;D48&amp;"_"&amp;C48&amp;".png"</f>
        <v>D:\IMS Images\ActionShots\CBASE\GENERIC_BASEBALL\-_-.png</v>
      </c>
      <c r="W48" s="192" t="str">
        <f t="shared" si="19"/>
        <v>45 - -</v>
      </c>
      <c r="X48" s="122" t="str">
        <f t="shared" si="40"/>
        <v>- -</v>
      </c>
      <c r="Y48" s="122" t="str">
        <f t="shared" si="41"/>
        <v>- -</v>
      </c>
      <c r="Z48" s="122" t="str">
        <f t="shared" si="42"/>
        <v>-. -</v>
      </c>
      <c r="AA48" s="122" t="str">
        <f t="shared" si="20"/>
        <v>-</v>
      </c>
      <c r="AB48" s="122" t="str">
        <f t="shared" si="21"/>
        <v>-</v>
      </c>
      <c r="AC48" s="125" t="str">
        <f t="shared" si="22"/>
        <v/>
      </c>
      <c r="AD48" s="191" t="str">
        <f t="shared" si="23"/>
        <v/>
      </c>
      <c r="AE48" s="122" t="str">
        <f t="shared" si="43"/>
        <v/>
      </c>
      <c r="AF48" s="122" t="str">
        <f t="shared" si="24"/>
        <v>- lbs</v>
      </c>
      <c r="AG48" s="122" t="str">
        <f t="shared" si="25"/>
        <v>MAJOR: -</v>
      </c>
      <c r="AH48" s="192" t="str">
        <f t="shared" si="26"/>
        <v>45 - -</v>
      </c>
      <c r="AI48" s="266" t="e">
        <f t="shared" si="27"/>
        <v>#N/A</v>
      </c>
    </row>
    <row r="49" spans="1:35" x14ac:dyDescent="0.25">
      <c r="A49" s="25">
        <v>46</v>
      </c>
      <c r="B49" s="5">
        <v>46</v>
      </c>
      <c r="C49" s="171" t="str">
        <f t="shared" si="28"/>
        <v>-</v>
      </c>
      <c r="D49" s="171" t="str">
        <f t="shared" si="29"/>
        <v>-</v>
      </c>
      <c r="E49" s="259" t="str">
        <f t="shared" si="30"/>
        <v>-</v>
      </c>
      <c r="F49" s="259" t="str">
        <f t="shared" si="31"/>
        <v>-</v>
      </c>
      <c r="G49" s="259" t="str">
        <f t="shared" si="4"/>
        <v>-</v>
      </c>
      <c r="H49" s="259" t="str">
        <f t="shared" si="32"/>
        <v>-</v>
      </c>
      <c r="I49" s="259" t="str">
        <f t="shared" si="33"/>
        <v>-</v>
      </c>
      <c r="J49" s="294" t="s">
        <v>800</v>
      </c>
      <c r="K49" s="259" t="str">
        <f t="shared" si="34"/>
        <v>-</v>
      </c>
      <c r="L49" s="259" t="str">
        <f t="shared" si="35"/>
        <v>-</v>
      </c>
      <c r="M49" s="259" t="str">
        <f t="shared" si="36"/>
        <v>-</v>
      </c>
      <c r="N49" s="259" t="str">
        <f t="shared" si="37"/>
        <v>-</v>
      </c>
      <c r="O49" s="259"/>
      <c r="Q49" s="124" t="str">
        <f t="shared" ca="1" si="16"/>
        <v/>
      </c>
      <c r="R49" s="124" t="str">
        <f t="shared" ca="1" si="17"/>
        <v/>
      </c>
      <c r="S49" s="124" t="e">
        <f t="shared" si="38"/>
        <v>#N/A</v>
      </c>
      <c r="T49" s="124" t="e">
        <f t="shared" si="39"/>
        <v>#N/A</v>
      </c>
      <c r="U49" s="123" t="str">
        <f>"D:\IMS Images\Headshots\"&amp;IF('Team Info'!$B$21="BASEBALL","CBASE","SBALL")&amp;"\"&amp;'Team Info'!$B$11&amp;"\"&amp;D49&amp;"_"&amp;C49&amp;".png"</f>
        <v>D:\IMS Images\Headshots\CBASE\GENERIC_BASEBALL\-_-.png</v>
      </c>
      <c r="V49" s="123" t="str">
        <f>"D:\IMS Images\ActionShots\"&amp;IF('Team Info'!$B$21="BASEBALL","CBASE","SBALL")&amp;"\"&amp;'Team Info'!$B$11&amp;"\"&amp;D49&amp;"_"&amp;C49&amp;".png"</f>
        <v>D:\IMS Images\ActionShots\CBASE\GENERIC_BASEBALL\-_-.png</v>
      </c>
      <c r="W49" s="192" t="str">
        <f t="shared" si="19"/>
        <v>46 - -</v>
      </c>
      <c r="X49" s="122" t="str">
        <f t="shared" si="40"/>
        <v>- -</v>
      </c>
      <c r="Y49" s="122" t="str">
        <f t="shared" si="41"/>
        <v>- -</v>
      </c>
      <c r="Z49" s="122" t="str">
        <f t="shared" si="42"/>
        <v>-. -</v>
      </c>
      <c r="AA49" s="122" t="str">
        <f t="shared" si="20"/>
        <v>-</v>
      </c>
      <c r="AB49" s="122" t="str">
        <f t="shared" si="21"/>
        <v>-</v>
      </c>
      <c r="AC49" s="125" t="str">
        <f t="shared" si="22"/>
        <v/>
      </c>
      <c r="AD49" s="191" t="str">
        <f t="shared" si="23"/>
        <v/>
      </c>
      <c r="AE49" s="122" t="str">
        <f t="shared" si="43"/>
        <v/>
      </c>
      <c r="AF49" s="122" t="str">
        <f t="shared" si="24"/>
        <v>- lbs</v>
      </c>
      <c r="AG49" s="122" t="str">
        <f t="shared" si="25"/>
        <v>MAJOR: -</v>
      </c>
      <c r="AH49" s="192" t="str">
        <f t="shared" si="26"/>
        <v>46 - -</v>
      </c>
      <c r="AI49" s="266" t="e">
        <f t="shared" si="27"/>
        <v>#N/A</v>
      </c>
    </row>
    <row r="50" spans="1:35" x14ac:dyDescent="0.25">
      <c r="A50" s="25">
        <v>47</v>
      </c>
      <c r="B50" s="5">
        <v>47</v>
      </c>
      <c r="C50" s="171" t="str">
        <f t="shared" si="28"/>
        <v>-</v>
      </c>
      <c r="D50" s="171" t="str">
        <f t="shared" si="29"/>
        <v>-</v>
      </c>
      <c r="E50" s="259" t="str">
        <f t="shared" si="30"/>
        <v>-</v>
      </c>
      <c r="F50" s="259" t="str">
        <f t="shared" si="31"/>
        <v>-</v>
      </c>
      <c r="G50" s="259" t="str">
        <f t="shared" si="4"/>
        <v>-</v>
      </c>
      <c r="H50" s="259" t="str">
        <f t="shared" si="32"/>
        <v>-</v>
      </c>
      <c r="I50" s="259" t="str">
        <f t="shared" si="33"/>
        <v>-</v>
      </c>
      <c r="J50" s="294" t="s">
        <v>800</v>
      </c>
      <c r="K50" s="259" t="str">
        <f t="shared" si="34"/>
        <v>-</v>
      </c>
      <c r="L50" s="259" t="str">
        <f t="shared" si="35"/>
        <v>-</v>
      </c>
      <c r="M50" s="259" t="str">
        <f t="shared" si="36"/>
        <v>-</v>
      </c>
      <c r="N50" s="259" t="str">
        <f t="shared" si="37"/>
        <v>-</v>
      </c>
      <c r="O50" s="259"/>
      <c r="Q50" s="124" t="str">
        <f t="shared" ca="1" si="16"/>
        <v/>
      </c>
      <c r="R50" s="124" t="str">
        <f t="shared" ca="1" si="17"/>
        <v/>
      </c>
      <c r="S50" s="124" t="e">
        <f t="shared" si="38"/>
        <v>#N/A</v>
      </c>
      <c r="T50" s="124" t="e">
        <f t="shared" si="39"/>
        <v>#N/A</v>
      </c>
      <c r="U50" s="123" t="str">
        <f>"D:\IMS Images\Headshots\"&amp;IF('Team Info'!$B$21="BASEBALL","CBASE","SBALL")&amp;"\"&amp;'Team Info'!$B$11&amp;"\"&amp;D50&amp;"_"&amp;C50&amp;".png"</f>
        <v>D:\IMS Images\Headshots\CBASE\GENERIC_BASEBALL\-_-.png</v>
      </c>
      <c r="V50" s="123" t="str">
        <f>"D:\IMS Images\ActionShots\"&amp;IF('Team Info'!$B$21="BASEBALL","CBASE","SBALL")&amp;"\"&amp;'Team Info'!$B$11&amp;"\"&amp;D50&amp;"_"&amp;C50&amp;".png"</f>
        <v>D:\IMS Images\ActionShots\CBASE\GENERIC_BASEBALL\-_-.png</v>
      </c>
      <c r="W50" s="192" t="str">
        <f t="shared" si="19"/>
        <v>47 - -</v>
      </c>
      <c r="X50" s="122" t="str">
        <f t="shared" si="40"/>
        <v>- -</v>
      </c>
      <c r="Y50" s="122" t="str">
        <f t="shared" si="41"/>
        <v>- -</v>
      </c>
      <c r="Z50" s="122" t="str">
        <f t="shared" si="42"/>
        <v>-. -</v>
      </c>
      <c r="AA50" s="122" t="str">
        <f t="shared" si="20"/>
        <v>-</v>
      </c>
      <c r="AB50" s="122" t="str">
        <f t="shared" si="21"/>
        <v>-</v>
      </c>
      <c r="AC50" s="125" t="str">
        <f t="shared" si="22"/>
        <v/>
      </c>
      <c r="AD50" s="191" t="str">
        <f t="shared" si="23"/>
        <v/>
      </c>
      <c r="AE50" s="122" t="str">
        <f t="shared" si="43"/>
        <v/>
      </c>
      <c r="AF50" s="122" t="str">
        <f t="shared" si="24"/>
        <v>- lbs</v>
      </c>
      <c r="AG50" s="122" t="str">
        <f t="shared" si="25"/>
        <v>MAJOR: -</v>
      </c>
      <c r="AH50" s="192" t="str">
        <f t="shared" si="26"/>
        <v>47 - -</v>
      </c>
      <c r="AI50" s="266" t="e">
        <f t="shared" si="27"/>
        <v>#N/A</v>
      </c>
    </row>
    <row r="51" spans="1:35" x14ac:dyDescent="0.25">
      <c r="A51" s="25">
        <v>48</v>
      </c>
      <c r="B51" s="5">
        <v>48</v>
      </c>
      <c r="C51" s="171" t="str">
        <f t="shared" si="28"/>
        <v>-</v>
      </c>
      <c r="D51" s="171" t="str">
        <f t="shared" si="29"/>
        <v>-</v>
      </c>
      <c r="E51" s="259" t="str">
        <f t="shared" si="30"/>
        <v>-</v>
      </c>
      <c r="F51" s="259" t="str">
        <f t="shared" si="31"/>
        <v>-</v>
      </c>
      <c r="G51" s="259" t="str">
        <f t="shared" si="4"/>
        <v>-</v>
      </c>
      <c r="H51" s="259" t="str">
        <f t="shared" si="32"/>
        <v>-</v>
      </c>
      <c r="I51" s="259" t="str">
        <f t="shared" si="33"/>
        <v>-</v>
      </c>
      <c r="J51" s="294" t="s">
        <v>800</v>
      </c>
      <c r="K51" s="259" t="str">
        <f t="shared" si="34"/>
        <v>-</v>
      </c>
      <c r="L51" s="259" t="str">
        <f t="shared" si="35"/>
        <v>-</v>
      </c>
      <c r="M51" s="259" t="str">
        <f t="shared" si="36"/>
        <v>-</v>
      </c>
      <c r="N51" s="259" t="str">
        <f t="shared" si="37"/>
        <v>-</v>
      </c>
      <c r="O51" s="259"/>
      <c r="Q51" s="124" t="str">
        <f t="shared" ca="1" si="16"/>
        <v/>
      </c>
      <c r="R51" s="124" t="str">
        <f t="shared" ca="1" si="17"/>
        <v/>
      </c>
      <c r="S51" s="124" t="e">
        <f t="shared" si="38"/>
        <v>#N/A</v>
      </c>
      <c r="T51" s="124" t="e">
        <f t="shared" si="39"/>
        <v>#N/A</v>
      </c>
      <c r="U51" s="123" t="str">
        <f>"D:\IMS Images\Headshots\"&amp;IF('Team Info'!$B$21="BASEBALL","CBASE","SBALL")&amp;"\"&amp;'Team Info'!$B$11&amp;"\"&amp;D51&amp;"_"&amp;C51&amp;".png"</f>
        <v>D:\IMS Images\Headshots\CBASE\GENERIC_BASEBALL\-_-.png</v>
      </c>
      <c r="V51" s="123" t="str">
        <f>"D:\IMS Images\ActionShots\"&amp;IF('Team Info'!$B$21="BASEBALL","CBASE","SBALL")&amp;"\"&amp;'Team Info'!$B$11&amp;"\"&amp;D51&amp;"_"&amp;C51&amp;".png"</f>
        <v>D:\IMS Images\ActionShots\CBASE\GENERIC_BASEBALL\-_-.png</v>
      </c>
      <c r="W51" s="192" t="str">
        <f t="shared" si="19"/>
        <v>48 - -</v>
      </c>
      <c r="X51" s="122" t="str">
        <f t="shared" si="40"/>
        <v>- -</v>
      </c>
      <c r="Y51" s="122" t="str">
        <f t="shared" si="41"/>
        <v>- -</v>
      </c>
      <c r="Z51" s="122" t="str">
        <f t="shared" si="42"/>
        <v>-. -</v>
      </c>
      <c r="AA51" s="122" t="str">
        <f t="shared" si="20"/>
        <v>-</v>
      </c>
      <c r="AB51" s="122" t="str">
        <f t="shared" si="21"/>
        <v>-</v>
      </c>
      <c r="AC51" s="125" t="str">
        <f t="shared" si="22"/>
        <v/>
      </c>
      <c r="AD51" s="191" t="str">
        <f t="shared" si="23"/>
        <v/>
      </c>
      <c r="AE51" s="122" t="str">
        <f t="shared" si="43"/>
        <v/>
      </c>
      <c r="AF51" s="122" t="str">
        <f t="shared" si="24"/>
        <v>- lbs</v>
      </c>
      <c r="AG51" s="122" t="str">
        <f t="shared" si="25"/>
        <v>MAJOR: -</v>
      </c>
      <c r="AH51" s="192" t="str">
        <f t="shared" si="26"/>
        <v>48 - -</v>
      </c>
      <c r="AI51" s="266" t="e">
        <f t="shared" si="27"/>
        <v>#N/A</v>
      </c>
    </row>
    <row r="52" spans="1:35" x14ac:dyDescent="0.25">
      <c r="A52" s="25">
        <v>49</v>
      </c>
      <c r="B52" s="5">
        <v>49</v>
      </c>
      <c r="C52" s="171" t="str">
        <f t="shared" si="28"/>
        <v>-</v>
      </c>
      <c r="D52" s="171" t="str">
        <f t="shared" si="29"/>
        <v>-</v>
      </c>
      <c r="E52" s="259" t="str">
        <f t="shared" si="30"/>
        <v>-</v>
      </c>
      <c r="F52" s="259" t="str">
        <f t="shared" si="31"/>
        <v>-</v>
      </c>
      <c r="G52" s="259" t="str">
        <f t="shared" si="4"/>
        <v>-</v>
      </c>
      <c r="H52" s="259" t="str">
        <f t="shared" si="32"/>
        <v>-</v>
      </c>
      <c r="I52" s="259" t="str">
        <f t="shared" si="33"/>
        <v>-</v>
      </c>
      <c r="J52" s="294" t="s">
        <v>800</v>
      </c>
      <c r="K52" s="259" t="str">
        <f t="shared" si="34"/>
        <v>-</v>
      </c>
      <c r="L52" s="259" t="str">
        <f t="shared" si="35"/>
        <v>-</v>
      </c>
      <c r="M52" s="259" t="str">
        <f t="shared" si="36"/>
        <v>-</v>
      </c>
      <c r="N52" s="259" t="str">
        <f t="shared" si="37"/>
        <v>-</v>
      </c>
      <c r="O52" s="259"/>
      <c r="Q52" s="124" t="str">
        <f t="shared" ca="1" si="16"/>
        <v/>
      </c>
      <c r="R52" s="124" t="str">
        <f t="shared" ca="1" si="17"/>
        <v/>
      </c>
      <c r="S52" s="124" t="e">
        <f t="shared" si="38"/>
        <v>#N/A</v>
      </c>
      <c r="T52" s="124" t="e">
        <f t="shared" si="39"/>
        <v>#N/A</v>
      </c>
      <c r="U52" s="123" t="str">
        <f>"D:\IMS Images\Headshots\"&amp;IF('Team Info'!$B$21="BASEBALL","CBASE","SBALL")&amp;"\"&amp;'Team Info'!$B$11&amp;"\"&amp;D52&amp;"_"&amp;C52&amp;".png"</f>
        <v>D:\IMS Images\Headshots\CBASE\GENERIC_BASEBALL\-_-.png</v>
      </c>
      <c r="V52" s="123" t="str">
        <f>"D:\IMS Images\ActionShots\"&amp;IF('Team Info'!$B$21="BASEBALL","CBASE","SBALL")&amp;"\"&amp;'Team Info'!$B$11&amp;"\"&amp;D52&amp;"_"&amp;C52&amp;".png"</f>
        <v>D:\IMS Images\ActionShots\CBASE\GENERIC_BASEBALL\-_-.png</v>
      </c>
      <c r="W52" s="192" t="str">
        <f t="shared" si="19"/>
        <v>49 - -</v>
      </c>
      <c r="X52" s="122" t="str">
        <f t="shared" si="40"/>
        <v>- -</v>
      </c>
      <c r="Y52" s="122" t="str">
        <f t="shared" si="41"/>
        <v>- -</v>
      </c>
      <c r="Z52" s="122" t="str">
        <f t="shared" si="42"/>
        <v>-. -</v>
      </c>
      <c r="AA52" s="122" t="str">
        <f t="shared" si="20"/>
        <v>-</v>
      </c>
      <c r="AB52" s="122" t="str">
        <f t="shared" si="21"/>
        <v>-</v>
      </c>
      <c r="AC52" s="125" t="str">
        <f t="shared" si="22"/>
        <v/>
      </c>
      <c r="AD52" s="191" t="str">
        <f t="shared" si="23"/>
        <v/>
      </c>
      <c r="AE52" s="122" t="str">
        <f t="shared" si="43"/>
        <v/>
      </c>
      <c r="AF52" s="122" t="str">
        <f t="shared" si="24"/>
        <v>- lbs</v>
      </c>
      <c r="AG52" s="122" t="str">
        <f t="shared" si="25"/>
        <v>MAJOR: -</v>
      </c>
      <c r="AH52" s="192" t="str">
        <f t="shared" si="26"/>
        <v>49 - -</v>
      </c>
      <c r="AI52" s="266" t="e">
        <f t="shared" si="27"/>
        <v>#N/A</v>
      </c>
    </row>
    <row r="53" spans="1:35" x14ac:dyDescent="0.25">
      <c r="A53" s="25">
        <v>50</v>
      </c>
      <c r="B53" s="5">
        <v>50</v>
      </c>
      <c r="C53" s="171" t="str">
        <f t="shared" si="28"/>
        <v>-</v>
      </c>
      <c r="D53" s="171" t="str">
        <f t="shared" si="29"/>
        <v>-</v>
      </c>
      <c r="E53" s="259" t="str">
        <f t="shared" si="30"/>
        <v>-</v>
      </c>
      <c r="F53" s="259" t="str">
        <f t="shared" si="31"/>
        <v>-</v>
      </c>
      <c r="G53" s="259" t="str">
        <f t="shared" si="4"/>
        <v>-</v>
      </c>
      <c r="H53" s="259" t="str">
        <f t="shared" si="32"/>
        <v>-</v>
      </c>
      <c r="I53" s="259" t="str">
        <f t="shared" si="33"/>
        <v>-</v>
      </c>
      <c r="J53" s="294" t="s">
        <v>800</v>
      </c>
      <c r="K53" s="259" t="str">
        <f t="shared" si="34"/>
        <v>-</v>
      </c>
      <c r="L53" s="259" t="str">
        <f t="shared" si="35"/>
        <v>-</v>
      </c>
      <c r="M53" s="259" t="str">
        <f t="shared" si="36"/>
        <v>-</v>
      </c>
      <c r="N53" s="259" t="str">
        <f t="shared" si="37"/>
        <v>-</v>
      </c>
      <c r="O53" s="259"/>
      <c r="Q53" s="124" t="str">
        <f t="shared" ca="1" si="16"/>
        <v/>
      </c>
      <c r="R53" s="124" t="str">
        <f t="shared" ca="1" si="17"/>
        <v/>
      </c>
      <c r="S53" s="124" t="e">
        <f t="shared" si="38"/>
        <v>#N/A</v>
      </c>
      <c r="T53" s="124" t="e">
        <f t="shared" si="39"/>
        <v>#N/A</v>
      </c>
      <c r="U53" s="123" t="str">
        <f>"D:\IMS Images\Headshots\"&amp;IF('Team Info'!$B$21="BASEBALL","CBASE","SBALL")&amp;"\"&amp;'Team Info'!$B$11&amp;"\"&amp;D53&amp;"_"&amp;C53&amp;".png"</f>
        <v>D:\IMS Images\Headshots\CBASE\GENERIC_BASEBALL\-_-.png</v>
      </c>
      <c r="V53" s="123" t="str">
        <f>"D:\IMS Images\ActionShots\"&amp;IF('Team Info'!$B$21="BASEBALL","CBASE","SBALL")&amp;"\"&amp;'Team Info'!$B$11&amp;"\"&amp;D53&amp;"_"&amp;C53&amp;".png"</f>
        <v>D:\IMS Images\ActionShots\CBASE\GENERIC_BASEBALL\-_-.png</v>
      </c>
      <c r="W53" s="192" t="str">
        <f t="shared" si="19"/>
        <v>50 - -</v>
      </c>
      <c r="X53" s="122" t="str">
        <f t="shared" si="40"/>
        <v>- -</v>
      </c>
      <c r="Y53" s="122" t="str">
        <f t="shared" si="41"/>
        <v>- -</v>
      </c>
      <c r="Z53" s="122" t="str">
        <f t="shared" si="42"/>
        <v>-. -</v>
      </c>
      <c r="AA53" s="122" t="str">
        <f t="shared" si="20"/>
        <v>-</v>
      </c>
      <c r="AB53" s="122" t="str">
        <f t="shared" si="21"/>
        <v>-</v>
      </c>
      <c r="AC53" s="125" t="str">
        <f t="shared" si="22"/>
        <v/>
      </c>
      <c r="AD53" s="191" t="str">
        <f t="shared" si="23"/>
        <v/>
      </c>
      <c r="AE53" s="122" t="str">
        <f t="shared" si="43"/>
        <v/>
      </c>
      <c r="AF53" s="122" t="str">
        <f t="shared" si="24"/>
        <v>- lbs</v>
      </c>
      <c r="AG53" s="122" t="str">
        <f t="shared" si="25"/>
        <v>MAJOR: -</v>
      </c>
      <c r="AH53" s="192" t="str">
        <f t="shared" si="26"/>
        <v>50 - -</v>
      </c>
      <c r="AI53" s="266" t="e">
        <f t="shared" si="27"/>
        <v>#N/A</v>
      </c>
    </row>
    <row r="54" spans="1:35" x14ac:dyDescent="0.25">
      <c r="A54" s="25">
        <v>51</v>
      </c>
      <c r="B54" s="5">
        <v>51</v>
      </c>
      <c r="C54" s="171" t="str">
        <f t="shared" si="28"/>
        <v>-</v>
      </c>
      <c r="D54" s="171" t="str">
        <f t="shared" si="29"/>
        <v>-</v>
      </c>
      <c r="E54" s="259" t="str">
        <f t="shared" si="30"/>
        <v>-</v>
      </c>
      <c r="F54" s="259" t="str">
        <f t="shared" si="31"/>
        <v>-</v>
      </c>
      <c r="G54" s="259" t="str">
        <f t="shared" ref="G54:G67" si="44">IFERROR(VLOOKUP($B54,INPUT_RANGE,4,FALSE),"-")</f>
        <v>-</v>
      </c>
      <c r="H54" s="259" t="str">
        <f t="shared" si="32"/>
        <v>-</v>
      </c>
      <c r="I54" s="259" t="str">
        <f t="shared" si="33"/>
        <v>-</v>
      </c>
      <c r="J54" s="294" t="s">
        <v>800</v>
      </c>
      <c r="K54" s="259" t="str">
        <f t="shared" si="34"/>
        <v>-</v>
      </c>
      <c r="L54" s="259" t="str">
        <f t="shared" si="35"/>
        <v>-</v>
      </c>
      <c r="M54" s="259" t="str">
        <f t="shared" si="36"/>
        <v>-</v>
      </c>
      <c r="N54" s="259" t="str">
        <f t="shared" si="37"/>
        <v>-</v>
      </c>
      <c r="O54" s="259"/>
      <c r="Q54" s="124" t="str">
        <f t="shared" ca="1" si="16"/>
        <v/>
      </c>
      <c r="R54" s="124" t="str">
        <f t="shared" ca="1" si="17"/>
        <v/>
      </c>
      <c r="S54" s="124" t="e">
        <f t="shared" si="38"/>
        <v>#N/A</v>
      </c>
      <c r="T54" s="124" t="e">
        <f t="shared" si="39"/>
        <v>#N/A</v>
      </c>
      <c r="U54" s="123" t="str">
        <f>"D:\IMS Images\Headshots\"&amp;IF('Team Info'!$B$21="BASEBALL","CBASE","SBALL")&amp;"\"&amp;'Team Info'!$B$11&amp;"\"&amp;D54&amp;"_"&amp;C54&amp;".png"</f>
        <v>D:\IMS Images\Headshots\CBASE\GENERIC_BASEBALL\-_-.png</v>
      </c>
      <c r="V54" s="123" t="str">
        <f>"D:\IMS Images\ActionShots\"&amp;IF('Team Info'!$B$21="BASEBALL","CBASE","SBALL")&amp;"\"&amp;'Team Info'!$B$11&amp;"\"&amp;D54&amp;"_"&amp;C54&amp;".png"</f>
        <v>D:\IMS Images\ActionShots\CBASE\GENERIC_BASEBALL\-_-.png</v>
      </c>
      <c r="W54" s="192" t="str">
        <f t="shared" si="19"/>
        <v>51 - -</v>
      </c>
      <c r="X54" s="122" t="str">
        <f t="shared" si="40"/>
        <v>- -</v>
      </c>
      <c r="Y54" s="122" t="str">
        <f t="shared" si="41"/>
        <v>- -</v>
      </c>
      <c r="Z54" s="122" t="str">
        <f t="shared" si="42"/>
        <v>-. -</v>
      </c>
      <c r="AA54" s="122" t="str">
        <f t="shared" si="20"/>
        <v>-</v>
      </c>
      <c r="AB54" s="122" t="str">
        <f t="shared" si="21"/>
        <v>-</v>
      </c>
      <c r="AC54" s="125" t="str">
        <f t="shared" si="22"/>
        <v/>
      </c>
      <c r="AD54" s="191" t="str">
        <f t="shared" si="23"/>
        <v/>
      </c>
      <c r="AE54" s="122" t="str">
        <f t="shared" si="43"/>
        <v/>
      </c>
      <c r="AF54" s="122" t="str">
        <f t="shared" si="24"/>
        <v>- lbs</v>
      </c>
      <c r="AG54" s="122" t="str">
        <f t="shared" si="25"/>
        <v>MAJOR: -</v>
      </c>
      <c r="AH54" s="192" t="str">
        <f t="shared" si="26"/>
        <v>51 - -</v>
      </c>
      <c r="AI54" s="266" t="e">
        <f t="shared" si="27"/>
        <v>#N/A</v>
      </c>
    </row>
    <row r="55" spans="1:35" x14ac:dyDescent="0.25">
      <c r="A55" s="25">
        <v>52</v>
      </c>
      <c r="B55" s="5">
        <v>52</v>
      </c>
      <c r="C55" s="171" t="str">
        <f t="shared" si="28"/>
        <v>-</v>
      </c>
      <c r="D55" s="171" t="str">
        <f t="shared" si="29"/>
        <v>-</v>
      </c>
      <c r="E55" s="259" t="str">
        <f t="shared" si="30"/>
        <v>-</v>
      </c>
      <c r="F55" s="259" t="str">
        <f t="shared" si="31"/>
        <v>-</v>
      </c>
      <c r="G55" s="259" t="str">
        <f t="shared" si="44"/>
        <v>-</v>
      </c>
      <c r="H55" s="259" t="str">
        <f t="shared" si="32"/>
        <v>-</v>
      </c>
      <c r="I55" s="259" t="str">
        <f t="shared" si="33"/>
        <v>-</v>
      </c>
      <c r="J55" s="294" t="s">
        <v>800</v>
      </c>
      <c r="K55" s="259" t="str">
        <f t="shared" si="34"/>
        <v>-</v>
      </c>
      <c r="L55" s="259" t="str">
        <f t="shared" si="35"/>
        <v>-</v>
      </c>
      <c r="M55" s="259" t="str">
        <f t="shared" si="36"/>
        <v>-</v>
      </c>
      <c r="N55" s="259" t="str">
        <f t="shared" si="37"/>
        <v>-</v>
      </c>
      <c r="O55" s="259"/>
      <c r="Q55" s="124" t="str">
        <f t="shared" ca="1" si="16"/>
        <v/>
      </c>
      <c r="R55" s="124" t="str">
        <f t="shared" ca="1" si="17"/>
        <v/>
      </c>
      <c r="S55" s="124" t="e">
        <f t="shared" si="38"/>
        <v>#N/A</v>
      </c>
      <c r="T55" s="124" t="e">
        <f t="shared" si="39"/>
        <v>#N/A</v>
      </c>
      <c r="U55" s="123" t="str">
        <f>"D:\IMS Images\Headshots\"&amp;IF('Team Info'!$B$21="BASEBALL","CBASE","SBALL")&amp;"\"&amp;'Team Info'!$B$11&amp;"\"&amp;D55&amp;"_"&amp;C55&amp;".png"</f>
        <v>D:\IMS Images\Headshots\CBASE\GENERIC_BASEBALL\-_-.png</v>
      </c>
      <c r="V55" s="123" t="str">
        <f>"D:\IMS Images\ActionShots\"&amp;IF('Team Info'!$B$21="BASEBALL","CBASE","SBALL")&amp;"\"&amp;'Team Info'!$B$11&amp;"\"&amp;D55&amp;"_"&amp;C55&amp;".png"</f>
        <v>D:\IMS Images\ActionShots\CBASE\GENERIC_BASEBALL\-_-.png</v>
      </c>
      <c r="W55" s="192" t="str">
        <f t="shared" si="19"/>
        <v>52 - -</v>
      </c>
      <c r="X55" s="122" t="str">
        <f t="shared" si="40"/>
        <v>- -</v>
      </c>
      <c r="Y55" s="122" t="str">
        <f t="shared" si="41"/>
        <v>- -</v>
      </c>
      <c r="Z55" s="122" t="str">
        <f t="shared" si="42"/>
        <v>-. -</v>
      </c>
      <c r="AA55" s="122" t="str">
        <f t="shared" si="20"/>
        <v>-</v>
      </c>
      <c r="AB55" s="122" t="str">
        <f t="shared" si="21"/>
        <v>-</v>
      </c>
      <c r="AC55" s="125" t="str">
        <f t="shared" si="22"/>
        <v/>
      </c>
      <c r="AD55" s="191" t="str">
        <f t="shared" si="23"/>
        <v/>
      </c>
      <c r="AE55" s="122" t="str">
        <f t="shared" si="43"/>
        <v/>
      </c>
      <c r="AF55" s="122" t="str">
        <f t="shared" si="24"/>
        <v>- lbs</v>
      </c>
      <c r="AG55" s="122" t="str">
        <f t="shared" si="25"/>
        <v>MAJOR: -</v>
      </c>
      <c r="AH55" s="192" t="str">
        <f t="shared" si="26"/>
        <v>52 - -</v>
      </c>
      <c r="AI55" s="266" t="e">
        <f t="shared" si="27"/>
        <v>#N/A</v>
      </c>
    </row>
    <row r="56" spans="1:35" x14ac:dyDescent="0.25">
      <c r="A56" s="25">
        <v>53</v>
      </c>
      <c r="B56" s="5">
        <v>53</v>
      </c>
      <c r="C56" s="171" t="str">
        <f t="shared" si="28"/>
        <v>-</v>
      </c>
      <c r="D56" s="171" t="str">
        <f t="shared" si="29"/>
        <v>-</v>
      </c>
      <c r="E56" s="259" t="str">
        <f t="shared" si="30"/>
        <v>-</v>
      </c>
      <c r="F56" s="259" t="str">
        <f t="shared" si="31"/>
        <v>-</v>
      </c>
      <c r="G56" s="259" t="str">
        <f t="shared" si="44"/>
        <v>-</v>
      </c>
      <c r="H56" s="259" t="str">
        <f t="shared" si="32"/>
        <v>-</v>
      </c>
      <c r="I56" s="259" t="str">
        <f t="shared" si="33"/>
        <v>-</v>
      </c>
      <c r="J56" s="294" t="s">
        <v>800</v>
      </c>
      <c r="K56" s="259" t="str">
        <f t="shared" si="34"/>
        <v>-</v>
      </c>
      <c r="L56" s="259" t="str">
        <f t="shared" si="35"/>
        <v>-</v>
      </c>
      <c r="M56" s="259" t="str">
        <f t="shared" si="36"/>
        <v>-</v>
      </c>
      <c r="N56" s="259" t="str">
        <f t="shared" si="37"/>
        <v>-</v>
      </c>
      <c r="O56" s="259"/>
      <c r="Q56" s="124" t="str">
        <f t="shared" ca="1" si="16"/>
        <v/>
      </c>
      <c r="R56" s="124" t="str">
        <f t="shared" ca="1" si="17"/>
        <v/>
      </c>
      <c r="S56" s="124" t="e">
        <f t="shared" si="38"/>
        <v>#N/A</v>
      </c>
      <c r="T56" s="124" t="e">
        <f t="shared" si="39"/>
        <v>#N/A</v>
      </c>
      <c r="U56" s="123" t="str">
        <f>"D:\IMS Images\Headshots\"&amp;IF('Team Info'!$B$21="BASEBALL","CBASE","SBALL")&amp;"\"&amp;'Team Info'!$B$11&amp;"\"&amp;D56&amp;"_"&amp;C56&amp;".png"</f>
        <v>D:\IMS Images\Headshots\CBASE\GENERIC_BASEBALL\-_-.png</v>
      </c>
      <c r="V56" s="123" t="str">
        <f>"D:\IMS Images\ActionShots\"&amp;IF('Team Info'!$B$21="BASEBALL","CBASE","SBALL")&amp;"\"&amp;'Team Info'!$B$11&amp;"\"&amp;D56&amp;"_"&amp;C56&amp;".png"</f>
        <v>D:\IMS Images\ActionShots\CBASE\GENERIC_BASEBALL\-_-.png</v>
      </c>
      <c r="W56" s="192" t="str">
        <f t="shared" si="19"/>
        <v>53 - -</v>
      </c>
      <c r="X56" s="122" t="str">
        <f t="shared" si="40"/>
        <v>- -</v>
      </c>
      <c r="Y56" s="122" t="str">
        <f t="shared" si="41"/>
        <v>- -</v>
      </c>
      <c r="Z56" s="122" t="str">
        <f t="shared" si="42"/>
        <v>-. -</v>
      </c>
      <c r="AA56" s="122" t="str">
        <f t="shared" si="20"/>
        <v>-</v>
      </c>
      <c r="AB56" s="122" t="str">
        <f t="shared" si="21"/>
        <v>-</v>
      </c>
      <c r="AC56" s="125" t="str">
        <f t="shared" si="22"/>
        <v/>
      </c>
      <c r="AD56" s="191" t="str">
        <f t="shared" si="23"/>
        <v/>
      </c>
      <c r="AE56" s="122" t="str">
        <f t="shared" si="43"/>
        <v/>
      </c>
      <c r="AF56" s="122" t="str">
        <f t="shared" si="24"/>
        <v>- lbs</v>
      </c>
      <c r="AG56" s="122" t="str">
        <f t="shared" si="25"/>
        <v>MAJOR: -</v>
      </c>
      <c r="AH56" s="192" t="str">
        <f t="shared" si="26"/>
        <v>53 - -</v>
      </c>
      <c r="AI56" s="266" t="e">
        <f t="shared" si="27"/>
        <v>#N/A</v>
      </c>
    </row>
    <row r="57" spans="1:35" x14ac:dyDescent="0.25">
      <c r="A57" s="25">
        <v>54</v>
      </c>
      <c r="B57" s="5">
        <v>54</v>
      </c>
      <c r="C57" s="171" t="str">
        <f t="shared" si="28"/>
        <v>-</v>
      </c>
      <c r="D57" s="171" t="str">
        <f t="shared" si="29"/>
        <v>-</v>
      </c>
      <c r="E57" s="259" t="str">
        <f t="shared" si="30"/>
        <v>-</v>
      </c>
      <c r="F57" s="259" t="str">
        <f t="shared" si="31"/>
        <v>-</v>
      </c>
      <c r="G57" s="259" t="str">
        <f t="shared" si="44"/>
        <v>-</v>
      </c>
      <c r="H57" s="259" t="str">
        <f t="shared" si="32"/>
        <v>-</v>
      </c>
      <c r="I57" s="259" t="str">
        <f t="shared" si="33"/>
        <v>-</v>
      </c>
      <c r="J57" s="294" t="s">
        <v>800</v>
      </c>
      <c r="K57" s="259" t="str">
        <f t="shared" si="34"/>
        <v>-</v>
      </c>
      <c r="L57" s="259" t="str">
        <f t="shared" si="35"/>
        <v>-</v>
      </c>
      <c r="M57" s="259" t="str">
        <f t="shared" si="36"/>
        <v>-</v>
      </c>
      <c r="N57" s="259" t="str">
        <f t="shared" si="37"/>
        <v>-</v>
      </c>
      <c r="O57" s="259"/>
      <c r="Q57" s="124" t="str">
        <f t="shared" ca="1" si="16"/>
        <v/>
      </c>
      <c r="R57" s="124" t="str">
        <f t="shared" ca="1" si="17"/>
        <v/>
      </c>
      <c r="S57" s="124" t="e">
        <f t="shared" si="38"/>
        <v>#N/A</v>
      </c>
      <c r="T57" s="124" t="e">
        <f t="shared" si="39"/>
        <v>#N/A</v>
      </c>
      <c r="U57" s="123" t="str">
        <f>"D:\IMS Images\Headshots\"&amp;IF('Team Info'!$B$21="BASEBALL","CBASE","SBALL")&amp;"\"&amp;'Team Info'!$B$11&amp;"\"&amp;D57&amp;"_"&amp;C57&amp;".png"</f>
        <v>D:\IMS Images\Headshots\CBASE\GENERIC_BASEBALL\-_-.png</v>
      </c>
      <c r="V57" s="123" t="str">
        <f>"D:\IMS Images\ActionShots\"&amp;IF('Team Info'!$B$21="BASEBALL","CBASE","SBALL")&amp;"\"&amp;'Team Info'!$B$11&amp;"\"&amp;D57&amp;"_"&amp;C57&amp;".png"</f>
        <v>D:\IMS Images\ActionShots\CBASE\GENERIC_BASEBALL\-_-.png</v>
      </c>
      <c r="W57" s="192" t="str">
        <f t="shared" si="19"/>
        <v>54 - -</v>
      </c>
      <c r="X57" s="122" t="str">
        <f t="shared" si="40"/>
        <v>- -</v>
      </c>
      <c r="Y57" s="122" t="str">
        <f t="shared" si="41"/>
        <v>- -</v>
      </c>
      <c r="Z57" s="122" t="str">
        <f t="shared" si="42"/>
        <v>-. -</v>
      </c>
      <c r="AA57" s="122" t="str">
        <f t="shared" si="20"/>
        <v>-</v>
      </c>
      <c r="AB57" s="122" t="str">
        <f t="shared" si="21"/>
        <v>-</v>
      </c>
      <c r="AC57" s="125" t="str">
        <f t="shared" si="22"/>
        <v/>
      </c>
      <c r="AD57" s="191" t="str">
        <f t="shared" si="23"/>
        <v/>
      </c>
      <c r="AE57" s="122" t="str">
        <f t="shared" si="43"/>
        <v/>
      </c>
      <c r="AF57" s="122" t="str">
        <f t="shared" si="24"/>
        <v>- lbs</v>
      </c>
      <c r="AG57" s="122" t="str">
        <f t="shared" si="25"/>
        <v>MAJOR: -</v>
      </c>
      <c r="AH57" s="192" t="str">
        <f t="shared" si="26"/>
        <v>54 - -</v>
      </c>
      <c r="AI57" s="266" t="e">
        <f t="shared" si="27"/>
        <v>#N/A</v>
      </c>
    </row>
    <row r="58" spans="1:35" x14ac:dyDescent="0.25">
      <c r="A58" s="25">
        <v>55</v>
      </c>
      <c r="B58" s="5">
        <v>55</v>
      </c>
      <c r="C58" s="171" t="str">
        <f t="shared" si="28"/>
        <v>-</v>
      </c>
      <c r="D58" s="171" t="str">
        <f t="shared" si="29"/>
        <v>-</v>
      </c>
      <c r="E58" s="259" t="str">
        <f t="shared" si="30"/>
        <v>-</v>
      </c>
      <c r="F58" s="259" t="str">
        <f t="shared" si="31"/>
        <v>-</v>
      </c>
      <c r="G58" s="259" t="str">
        <f t="shared" si="44"/>
        <v>-</v>
      </c>
      <c r="H58" s="259" t="str">
        <f t="shared" si="32"/>
        <v>-</v>
      </c>
      <c r="I58" s="259" t="str">
        <f t="shared" si="33"/>
        <v>-</v>
      </c>
      <c r="J58" s="294" t="s">
        <v>800</v>
      </c>
      <c r="K58" s="259" t="str">
        <f t="shared" si="34"/>
        <v>-</v>
      </c>
      <c r="L58" s="259" t="str">
        <f t="shared" si="35"/>
        <v>-</v>
      </c>
      <c r="M58" s="259" t="str">
        <f t="shared" si="36"/>
        <v>-</v>
      </c>
      <c r="N58" s="259" t="str">
        <f t="shared" si="37"/>
        <v>-</v>
      </c>
      <c r="O58" s="259"/>
      <c r="Q58" s="124" t="str">
        <f t="shared" ca="1" si="16"/>
        <v/>
      </c>
      <c r="R58" s="124" t="str">
        <f t="shared" ca="1" si="17"/>
        <v/>
      </c>
      <c r="S58" s="124" t="e">
        <f t="shared" si="38"/>
        <v>#N/A</v>
      </c>
      <c r="T58" s="124" t="e">
        <f t="shared" si="39"/>
        <v>#N/A</v>
      </c>
      <c r="U58" s="123" t="str">
        <f>"D:\IMS Images\Headshots\"&amp;IF('Team Info'!$B$21="BASEBALL","CBASE","SBALL")&amp;"\"&amp;'Team Info'!$B$11&amp;"\"&amp;D58&amp;"_"&amp;C58&amp;".png"</f>
        <v>D:\IMS Images\Headshots\CBASE\GENERIC_BASEBALL\-_-.png</v>
      </c>
      <c r="V58" s="123" t="str">
        <f>"D:\IMS Images\ActionShots\"&amp;IF('Team Info'!$B$21="BASEBALL","CBASE","SBALL")&amp;"\"&amp;'Team Info'!$B$11&amp;"\"&amp;D58&amp;"_"&amp;C58&amp;".png"</f>
        <v>D:\IMS Images\ActionShots\CBASE\GENERIC_BASEBALL\-_-.png</v>
      </c>
      <c r="W58" s="192" t="str">
        <f t="shared" si="19"/>
        <v>55 - -</v>
      </c>
      <c r="X58" s="122" t="str">
        <f t="shared" si="40"/>
        <v>- -</v>
      </c>
      <c r="Y58" s="122" t="str">
        <f t="shared" si="41"/>
        <v>- -</v>
      </c>
      <c r="Z58" s="122" t="str">
        <f t="shared" si="42"/>
        <v>-. -</v>
      </c>
      <c r="AA58" s="122" t="str">
        <f t="shared" si="20"/>
        <v>-</v>
      </c>
      <c r="AB58" s="122" t="str">
        <f t="shared" si="21"/>
        <v>-</v>
      </c>
      <c r="AC58" s="125" t="str">
        <f t="shared" si="22"/>
        <v/>
      </c>
      <c r="AD58" s="191" t="str">
        <f t="shared" si="23"/>
        <v/>
      </c>
      <c r="AE58" s="122" t="str">
        <f t="shared" si="43"/>
        <v/>
      </c>
      <c r="AF58" s="122" t="str">
        <f t="shared" si="24"/>
        <v>- lbs</v>
      </c>
      <c r="AG58" s="122" t="str">
        <f t="shared" si="25"/>
        <v>MAJOR: -</v>
      </c>
      <c r="AH58" s="192" t="str">
        <f t="shared" si="26"/>
        <v>55 - -</v>
      </c>
      <c r="AI58" s="266" t="e">
        <f t="shared" si="27"/>
        <v>#N/A</v>
      </c>
    </row>
    <row r="59" spans="1:35" x14ac:dyDescent="0.25">
      <c r="A59" s="25">
        <v>56</v>
      </c>
      <c r="B59" s="5">
        <v>56</v>
      </c>
      <c r="C59" s="171" t="str">
        <f t="shared" si="28"/>
        <v>-</v>
      </c>
      <c r="D59" s="171" t="str">
        <f t="shared" si="29"/>
        <v>-</v>
      </c>
      <c r="E59" s="259" t="str">
        <f t="shared" si="30"/>
        <v>-</v>
      </c>
      <c r="F59" s="259" t="str">
        <f t="shared" si="31"/>
        <v>-</v>
      </c>
      <c r="G59" s="259" t="str">
        <f t="shared" si="44"/>
        <v>-</v>
      </c>
      <c r="H59" s="259" t="str">
        <f t="shared" si="32"/>
        <v>-</v>
      </c>
      <c r="I59" s="259" t="str">
        <f t="shared" si="33"/>
        <v>-</v>
      </c>
      <c r="J59" s="294" t="s">
        <v>800</v>
      </c>
      <c r="K59" s="259" t="str">
        <f t="shared" si="34"/>
        <v>-</v>
      </c>
      <c r="L59" s="259" t="str">
        <f t="shared" si="35"/>
        <v>-</v>
      </c>
      <c r="M59" s="259" t="str">
        <f t="shared" si="36"/>
        <v>-</v>
      </c>
      <c r="N59" s="259" t="str">
        <f t="shared" si="37"/>
        <v>-</v>
      </c>
      <c r="O59" s="259"/>
      <c r="Q59" s="124" t="str">
        <f t="shared" ca="1" si="16"/>
        <v/>
      </c>
      <c r="R59" s="124" t="str">
        <f t="shared" ca="1" si="17"/>
        <v/>
      </c>
      <c r="S59" s="124" t="e">
        <f t="shared" si="38"/>
        <v>#N/A</v>
      </c>
      <c r="T59" s="124" t="e">
        <f t="shared" si="39"/>
        <v>#N/A</v>
      </c>
      <c r="U59" s="123" t="str">
        <f>"D:\IMS Images\Headshots\"&amp;IF('Team Info'!$B$21="BASEBALL","CBASE","SBALL")&amp;"\"&amp;'Team Info'!$B$11&amp;"\"&amp;D59&amp;"_"&amp;C59&amp;".png"</f>
        <v>D:\IMS Images\Headshots\CBASE\GENERIC_BASEBALL\-_-.png</v>
      </c>
      <c r="V59" s="123" t="str">
        <f>"D:\IMS Images\ActionShots\"&amp;IF('Team Info'!$B$21="BASEBALL","CBASE","SBALL")&amp;"\"&amp;'Team Info'!$B$11&amp;"\"&amp;D59&amp;"_"&amp;C59&amp;".png"</f>
        <v>D:\IMS Images\ActionShots\CBASE\GENERIC_BASEBALL\-_-.png</v>
      </c>
      <c r="W59" s="192" t="str">
        <f t="shared" si="19"/>
        <v>56 - -</v>
      </c>
      <c r="X59" s="122" t="str">
        <f t="shared" si="40"/>
        <v>- -</v>
      </c>
      <c r="Y59" s="122" t="str">
        <f t="shared" si="41"/>
        <v>- -</v>
      </c>
      <c r="Z59" s="122" t="str">
        <f t="shared" si="42"/>
        <v>-. -</v>
      </c>
      <c r="AA59" s="122" t="str">
        <f t="shared" si="20"/>
        <v>-</v>
      </c>
      <c r="AB59" s="122" t="str">
        <f t="shared" si="21"/>
        <v>-</v>
      </c>
      <c r="AC59" s="125" t="str">
        <f t="shared" si="22"/>
        <v/>
      </c>
      <c r="AD59" s="191" t="str">
        <f t="shared" si="23"/>
        <v/>
      </c>
      <c r="AE59" s="122" t="str">
        <f t="shared" si="43"/>
        <v/>
      </c>
      <c r="AF59" s="122" t="str">
        <f t="shared" si="24"/>
        <v>- lbs</v>
      </c>
      <c r="AG59" s="122" t="str">
        <f t="shared" si="25"/>
        <v>MAJOR: -</v>
      </c>
      <c r="AH59" s="192" t="str">
        <f t="shared" si="26"/>
        <v>56 - -</v>
      </c>
      <c r="AI59" s="266" t="e">
        <f t="shared" si="27"/>
        <v>#N/A</v>
      </c>
    </row>
    <row r="60" spans="1:35" x14ac:dyDescent="0.25">
      <c r="A60" s="25">
        <v>57</v>
      </c>
      <c r="B60" s="5">
        <v>57</v>
      </c>
      <c r="C60" s="171" t="str">
        <f t="shared" si="28"/>
        <v>-</v>
      </c>
      <c r="D60" s="171" t="str">
        <f t="shared" si="29"/>
        <v>-</v>
      </c>
      <c r="E60" s="259" t="str">
        <f t="shared" si="30"/>
        <v>-</v>
      </c>
      <c r="F60" s="259" t="str">
        <f t="shared" si="31"/>
        <v>-</v>
      </c>
      <c r="G60" s="259" t="str">
        <f t="shared" si="44"/>
        <v>-</v>
      </c>
      <c r="H60" s="259" t="str">
        <f t="shared" si="32"/>
        <v>-</v>
      </c>
      <c r="I60" s="259" t="str">
        <f t="shared" si="33"/>
        <v>-</v>
      </c>
      <c r="J60" s="294" t="s">
        <v>800</v>
      </c>
      <c r="K60" s="259" t="str">
        <f t="shared" si="34"/>
        <v>-</v>
      </c>
      <c r="L60" s="259" t="str">
        <f t="shared" si="35"/>
        <v>-</v>
      </c>
      <c r="M60" s="259" t="str">
        <f t="shared" si="36"/>
        <v>-</v>
      </c>
      <c r="N60" s="259" t="str">
        <f t="shared" si="37"/>
        <v>-</v>
      </c>
      <c r="O60" s="259"/>
      <c r="Q60" s="124" t="str">
        <f t="shared" ca="1" si="16"/>
        <v/>
      </c>
      <c r="R60" s="124" t="str">
        <f t="shared" ca="1" si="17"/>
        <v/>
      </c>
      <c r="S60" s="124" t="e">
        <f t="shared" si="38"/>
        <v>#N/A</v>
      </c>
      <c r="T60" s="124" t="e">
        <f t="shared" si="39"/>
        <v>#N/A</v>
      </c>
      <c r="U60" s="123" t="str">
        <f>"D:\IMS Images\Headshots\"&amp;IF('Team Info'!$B$21="BASEBALL","CBASE","SBALL")&amp;"\"&amp;'Team Info'!$B$11&amp;"\"&amp;D60&amp;"_"&amp;C60&amp;".png"</f>
        <v>D:\IMS Images\Headshots\CBASE\GENERIC_BASEBALL\-_-.png</v>
      </c>
      <c r="V60" s="123" t="str">
        <f>"D:\IMS Images\ActionShots\"&amp;IF('Team Info'!$B$21="BASEBALL","CBASE","SBALL")&amp;"\"&amp;'Team Info'!$B$11&amp;"\"&amp;D60&amp;"_"&amp;C60&amp;".png"</f>
        <v>D:\IMS Images\ActionShots\CBASE\GENERIC_BASEBALL\-_-.png</v>
      </c>
      <c r="W60" s="192" t="str">
        <f t="shared" si="19"/>
        <v>57 - -</v>
      </c>
      <c r="X60" s="122" t="str">
        <f t="shared" si="40"/>
        <v>- -</v>
      </c>
      <c r="Y60" s="122" t="str">
        <f t="shared" si="41"/>
        <v>- -</v>
      </c>
      <c r="Z60" s="122" t="str">
        <f t="shared" si="42"/>
        <v>-. -</v>
      </c>
      <c r="AA60" s="122" t="str">
        <f t="shared" si="20"/>
        <v>-</v>
      </c>
      <c r="AB60" s="122" t="str">
        <f t="shared" si="21"/>
        <v>-</v>
      </c>
      <c r="AC60" s="125" t="str">
        <f t="shared" si="22"/>
        <v/>
      </c>
      <c r="AD60" s="191" t="str">
        <f t="shared" si="23"/>
        <v/>
      </c>
      <c r="AE60" s="122" t="str">
        <f t="shared" si="43"/>
        <v/>
      </c>
      <c r="AF60" s="122" t="str">
        <f t="shared" si="24"/>
        <v>- lbs</v>
      </c>
      <c r="AG60" s="122" t="str">
        <f t="shared" si="25"/>
        <v>MAJOR: -</v>
      </c>
      <c r="AH60" s="192" t="str">
        <f t="shared" si="26"/>
        <v>57 - -</v>
      </c>
      <c r="AI60" s="266" t="e">
        <f t="shared" si="27"/>
        <v>#N/A</v>
      </c>
    </row>
    <row r="61" spans="1:35" x14ac:dyDescent="0.25">
      <c r="A61" s="25">
        <v>58</v>
      </c>
      <c r="B61" s="5">
        <v>58</v>
      </c>
      <c r="C61" s="171" t="str">
        <f t="shared" si="28"/>
        <v>-</v>
      </c>
      <c r="D61" s="171" t="str">
        <f t="shared" si="29"/>
        <v>-</v>
      </c>
      <c r="E61" s="259" t="str">
        <f t="shared" si="30"/>
        <v>-</v>
      </c>
      <c r="F61" s="259" t="str">
        <f t="shared" si="31"/>
        <v>-</v>
      </c>
      <c r="G61" s="259" t="str">
        <f t="shared" si="44"/>
        <v>-</v>
      </c>
      <c r="H61" s="259" t="str">
        <f t="shared" si="32"/>
        <v>-</v>
      </c>
      <c r="I61" s="259" t="str">
        <f t="shared" si="33"/>
        <v>-</v>
      </c>
      <c r="J61" s="294" t="s">
        <v>800</v>
      </c>
      <c r="K61" s="259" t="str">
        <f t="shared" si="34"/>
        <v>-</v>
      </c>
      <c r="L61" s="259" t="str">
        <f t="shared" si="35"/>
        <v>-</v>
      </c>
      <c r="M61" s="259" t="str">
        <f t="shared" si="36"/>
        <v>-</v>
      </c>
      <c r="N61" s="259" t="str">
        <f t="shared" si="37"/>
        <v>-</v>
      </c>
      <c r="O61" s="259"/>
      <c r="Q61" s="124" t="str">
        <f t="shared" ca="1" si="16"/>
        <v/>
      </c>
      <c r="R61" s="124" t="str">
        <f t="shared" ca="1" si="17"/>
        <v/>
      </c>
      <c r="S61" s="124" t="e">
        <f t="shared" si="38"/>
        <v>#N/A</v>
      </c>
      <c r="T61" s="124" t="e">
        <f t="shared" si="39"/>
        <v>#N/A</v>
      </c>
      <c r="U61" s="123" t="str">
        <f>"D:\IMS Images\Headshots\"&amp;IF('Team Info'!$B$21="BASEBALL","CBASE","SBALL")&amp;"\"&amp;'Team Info'!$B$11&amp;"\"&amp;D61&amp;"_"&amp;C61&amp;".png"</f>
        <v>D:\IMS Images\Headshots\CBASE\GENERIC_BASEBALL\-_-.png</v>
      </c>
      <c r="V61" s="123" t="str">
        <f>"D:\IMS Images\ActionShots\"&amp;IF('Team Info'!$B$21="BASEBALL","CBASE","SBALL")&amp;"\"&amp;'Team Info'!$B$11&amp;"\"&amp;D61&amp;"_"&amp;C61&amp;".png"</f>
        <v>D:\IMS Images\ActionShots\CBASE\GENERIC_BASEBALL\-_-.png</v>
      </c>
      <c r="W61" s="192" t="str">
        <f t="shared" si="19"/>
        <v>58 - -</v>
      </c>
      <c r="X61" s="122" t="str">
        <f t="shared" si="40"/>
        <v>- -</v>
      </c>
      <c r="Y61" s="122" t="str">
        <f t="shared" si="41"/>
        <v>- -</v>
      </c>
      <c r="Z61" s="122" t="str">
        <f t="shared" si="42"/>
        <v>-. -</v>
      </c>
      <c r="AA61" s="122" t="str">
        <f t="shared" si="20"/>
        <v>-</v>
      </c>
      <c r="AB61" s="122" t="str">
        <f t="shared" si="21"/>
        <v>-</v>
      </c>
      <c r="AC61" s="125" t="str">
        <f t="shared" si="22"/>
        <v/>
      </c>
      <c r="AD61" s="191" t="str">
        <f t="shared" si="23"/>
        <v/>
      </c>
      <c r="AE61" s="122" t="str">
        <f t="shared" si="43"/>
        <v/>
      </c>
      <c r="AF61" s="122" t="str">
        <f t="shared" si="24"/>
        <v>- lbs</v>
      </c>
      <c r="AG61" s="122" t="str">
        <f t="shared" si="25"/>
        <v>MAJOR: -</v>
      </c>
      <c r="AH61" s="192" t="str">
        <f t="shared" si="26"/>
        <v>58 - -</v>
      </c>
      <c r="AI61" s="266" t="e">
        <f t="shared" si="27"/>
        <v>#N/A</v>
      </c>
    </row>
    <row r="62" spans="1:35" x14ac:dyDescent="0.25">
      <c r="A62" s="25">
        <v>59</v>
      </c>
      <c r="B62" s="5">
        <v>59</v>
      </c>
      <c r="C62" s="171" t="str">
        <f t="shared" si="28"/>
        <v>-</v>
      </c>
      <c r="D62" s="171" t="str">
        <f t="shared" si="29"/>
        <v>-</v>
      </c>
      <c r="E62" s="259" t="str">
        <f t="shared" si="30"/>
        <v>-</v>
      </c>
      <c r="F62" s="259" t="str">
        <f t="shared" si="31"/>
        <v>-</v>
      </c>
      <c r="G62" s="259" t="str">
        <f t="shared" si="44"/>
        <v>-</v>
      </c>
      <c r="H62" s="259" t="str">
        <f t="shared" si="32"/>
        <v>-</v>
      </c>
      <c r="I62" s="259" t="str">
        <f t="shared" si="33"/>
        <v>-</v>
      </c>
      <c r="J62" s="294" t="s">
        <v>800</v>
      </c>
      <c r="K62" s="259" t="str">
        <f t="shared" si="34"/>
        <v>-</v>
      </c>
      <c r="L62" s="259" t="str">
        <f t="shared" si="35"/>
        <v>-</v>
      </c>
      <c r="M62" s="259" t="str">
        <f t="shared" si="36"/>
        <v>-</v>
      </c>
      <c r="N62" s="259" t="str">
        <f t="shared" si="37"/>
        <v>-</v>
      </c>
      <c r="O62" s="259"/>
      <c r="Q62" s="124" t="str">
        <f t="shared" ca="1" si="16"/>
        <v/>
      </c>
      <c r="R62" s="124" t="str">
        <f t="shared" ca="1" si="17"/>
        <v/>
      </c>
      <c r="S62" s="124" t="e">
        <f t="shared" si="38"/>
        <v>#N/A</v>
      </c>
      <c r="T62" s="124" t="e">
        <f t="shared" si="39"/>
        <v>#N/A</v>
      </c>
      <c r="U62" s="123" t="str">
        <f>"D:\IMS Images\Headshots\"&amp;IF('Team Info'!$B$21="BASEBALL","CBASE","SBALL")&amp;"\"&amp;'Team Info'!$B$11&amp;"\"&amp;D62&amp;"_"&amp;C62&amp;".png"</f>
        <v>D:\IMS Images\Headshots\CBASE\GENERIC_BASEBALL\-_-.png</v>
      </c>
      <c r="V62" s="123" t="str">
        <f>"D:\IMS Images\ActionShots\"&amp;IF('Team Info'!$B$21="BASEBALL","CBASE","SBALL")&amp;"\"&amp;'Team Info'!$B$11&amp;"\"&amp;D62&amp;"_"&amp;C62&amp;".png"</f>
        <v>D:\IMS Images\ActionShots\CBASE\GENERIC_BASEBALL\-_-.png</v>
      </c>
      <c r="W62" s="192" t="str">
        <f t="shared" si="19"/>
        <v>59 - -</v>
      </c>
      <c r="X62" s="122" t="str">
        <f t="shared" si="40"/>
        <v>- -</v>
      </c>
      <c r="Y62" s="122" t="str">
        <f t="shared" si="41"/>
        <v>- -</v>
      </c>
      <c r="Z62" s="122" t="str">
        <f t="shared" si="42"/>
        <v>-. -</v>
      </c>
      <c r="AA62" s="122" t="str">
        <f t="shared" si="20"/>
        <v>-</v>
      </c>
      <c r="AB62" s="122" t="str">
        <f t="shared" si="21"/>
        <v>-</v>
      </c>
      <c r="AC62" s="125" t="str">
        <f t="shared" si="22"/>
        <v/>
      </c>
      <c r="AD62" s="191" t="str">
        <f t="shared" si="23"/>
        <v/>
      </c>
      <c r="AE62" s="122" t="str">
        <f t="shared" si="43"/>
        <v/>
      </c>
      <c r="AF62" s="122" t="str">
        <f t="shared" si="24"/>
        <v>- lbs</v>
      </c>
      <c r="AG62" s="122" t="str">
        <f t="shared" si="25"/>
        <v>MAJOR: -</v>
      </c>
      <c r="AH62" s="192" t="str">
        <f t="shared" si="26"/>
        <v>59 - -</v>
      </c>
      <c r="AI62" s="266" t="e">
        <f t="shared" si="27"/>
        <v>#N/A</v>
      </c>
    </row>
    <row r="63" spans="1:35" x14ac:dyDescent="0.25">
      <c r="A63" s="25">
        <v>60</v>
      </c>
      <c r="B63" s="5">
        <v>60</v>
      </c>
      <c r="C63" s="171" t="str">
        <f t="shared" si="28"/>
        <v>-</v>
      </c>
      <c r="D63" s="171" t="str">
        <f t="shared" si="29"/>
        <v>-</v>
      </c>
      <c r="E63" s="259" t="str">
        <f t="shared" si="30"/>
        <v>-</v>
      </c>
      <c r="F63" s="259" t="str">
        <f t="shared" si="31"/>
        <v>-</v>
      </c>
      <c r="G63" s="259" t="str">
        <f t="shared" si="44"/>
        <v>-</v>
      </c>
      <c r="H63" s="259" t="str">
        <f t="shared" si="32"/>
        <v>-</v>
      </c>
      <c r="I63" s="259" t="str">
        <f t="shared" si="33"/>
        <v>-</v>
      </c>
      <c r="J63" s="294" t="s">
        <v>800</v>
      </c>
      <c r="K63" s="259" t="str">
        <f t="shared" si="34"/>
        <v>-</v>
      </c>
      <c r="L63" s="259" t="str">
        <f t="shared" si="35"/>
        <v>-</v>
      </c>
      <c r="M63" s="259" t="str">
        <f t="shared" si="36"/>
        <v>-</v>
      </c>
      <c r="N63" s="259" t="str">
        <f t="shared" si="37"/>
        <v>-</v>
      </c>
      <c r="O63" s="259"/>
      <c r="Q63" s="124" t="str">
        <f t="shared" ca="1" si="16"/>
        <v/>
      </c>
      <c r="R63" s="124" t="str">
        <f t="shared" ca="1" si="17"/>
        <v/>
      </c>
      <c r="S63" s="124" t="e">
        <f t="shared" si="38"/>
        <v>#N/A</v>
      </c>
      <c r="T63" s="124" t="e">
        <f t="shared" si="39"/>
        <v>#N/A</v>
      </c>
      <c r="U63" s="123" t="str">
        <f>"D:\IMS Images\Headshots\"&amp;IF('Team Info'!$B$21="BASEBALL","CBASE","SBALL")&amp;"\"&amp;'Team Info'!$B$11&amp;"\"&amp;D63&amp;"_"&amp;C63&amp;".png"</f>
        <v>D:\IMS Images\Headshots\CBASE\GENERIC_BASEBALL\-_-.png</v>
      </c>
      <c r="V63" s="123" t="str">
        <f>"D:\IMS Images\ActionShots\"&amp;IF('Team Info'!$B$21="BASEBALL","CBASE","SBALL")&amp;"\"&amp;'Team Info'!$B$11&amp;"\"&amp;D63&amp;"_"&amp;C63&amp;".png"</f>
        <v>D:\IMS Images\ActionShots\CBASE\GENERIC_BASEBALL\-_-.png</v>
      </c>
      <c r="W63" s="192" t="str">
        <f t="shared" si="19"/>
        <v>60 - -</v>
      </c>
      <c r="X63" s="122" t="str">
        <f t="shared" si="40"/>
        <v>- -</v>
      </c>
      <c r="Y63" s="122" t="str">
        <f t="shared" si="41"/>
        <v>- -</v>
      </c>
      <c r="Z63" s="122" t="str">
        <f t="shared" si="42"/>
        <v>-. -</v>
      </c>
      <c r="AA63" s="122" t="str">
        <f t="shared" si="20"/>
        <v>-</v>
      </c>
      <c r="AB63" s="122" t="str">
        <f t="shared" si="21"/>
        <v>-</v>
      </c>
      <c r="AC63" s="125" t="str">
        <f t="shared" si="22"/>
        <v/>
      </c>
      <c r="AD63" s="191" t="str">
        <f t="shared" si="23"/>
        <v/>
      </c>
      <c r="AE63" s="122" t="str">
        <f t="shared" si="43"/>
        <v/>
      </c>
      <c r="AF63" s="122" t="str">
        <f t="shared" si="24"/>
        <v>- lbs</v>
      </c>
      <c r="AG63" s="122" t="str">
        <f t="shared" si="25"/>
        <v>MAJOR: -</v>
      </c>
      <c r="AH63" s="192" t="str">
        <f t="shared" si="26"/>
        <v>60 - -</v>
      </c>
      <c r="AI63" s="266" t="e">
        <f t="shared" si="27"/>
        <v>#N/A</v>
      </c>
    </row>
    <row r="64" spans="1:35" x14ac:dyDescent="0.25">
      <c r="A64" s="25">
        <v>61</v>
      </c>
      <c r="B64" s="5">
        <v>61</v>
      </c>
      <c r="C64" s="171" t="str">
        <f t="shared" si="28"/>
        <v>-</v>
      </c>
      <c r="D64" s="171" t="str">
        <f t="shared" si="29"/>
        <v>-</v>
      </c>
      <c r="E64" s="259" t="str">
        <f t="shared" si="30"/>
        <v>-</v>
      </c>
      <c r="F64" s="259" t="str">
        <f t="shared" si="31"/>
        <v>-</v>
      </c>
      <c r="G64" s="259" t="str">
        <f t="shared" si="44"/>
        <v>-</v>
      </c>
      <c r="H64" s="259" t="str">
        <f t="shared" si="32"/>
        <v>-</v>
      </c>
      <c r="I64" s="259" t="str">
        <f t="shared" si="33"/>
        <v>-</v>
      </c>
      <c r="J64" s="294" t="s">
        <v>800</v>
      </c>
      <c r="K64" s="259" t="str">
        <f t="shared" si="34"/>
        <v>-</v>
      </c>
      <c r="L64" s="259" t="str">
        <f t="shared" si="35"/>
        <v>-</v>
      </c>
      <c r="M64" s="259" t="str">
        <f t="shared" si="36"/>
        <v>-</v>
      </c>
      <c r="N64" s="259" t="str">
        <f t="shared" si="37"/>
        <v>-</v>
      </c>
      <c r="O64" s="259"/>
      <c r="Q64" s="124" t="str">
        <f t="shared" ca="1" si="16"/>
        <v/>
      </c>
      <c r="R64" s="124" t="str">
        <f t="shared" ca="1" si="17"/>
        <v/>
      </c>
      <c r="S64" s="124" t="e">
        <f t="shared" si="38"/>
        <v>#N/A</v>
      </c>
      <c r="T64" s="124" t="e">
        <f t="shared" si="39"/>
        <v>#N/A</v>
      </c>
      <c r="U64" s="123" t="str">
        <f>"D:\IMS Images\Headshots\"&amp;IF('Team Info'!$B$21="BASEBALL","CBASE","SBALL")&amp;"\"&amp;'Team Info'!$B$11&amp;"\"&amp;D64&amp;"_"&amp;C64&amp;".png"</f>
        <v>D:\IMS Images\Headshots\CBASE\GENERIC_BASEBALL\-_-.png</v>
      </c>
      <c r="V64" s="123" t="str">
        <f>"D:\IMS Images\ActionShots\"&amp;IF('Team Info'!$B$21="BASEBALL","CBASE","SBALL")&amp;"\"&amp;'Team Info'!$B$11&amp;"\"&amp;D64&amp;"_"&amp;C64&amp;".png"</f>
        <v>D:\IMS Images\ActionShots\CBASE\GENERIC_BASEBALL\-_-.png</v>
      </c>
      <c r="W64" s="192" t="str">
        <f t="shared" si="19"/>
        <v>61 - -</v>
      </c>
      <c r="X64" s="122" t="str">
        <f t="shared" si="40"/>
        <v>- -</v>
      </c>
      <c r="Y64" s="122" t="str">
        <f t="shared" si="41"/>
        <v>- -</v>
      </c>
      <c r="Z64" s="122" t="str">
        <f t="shared" si="42"/>
        <v>-. -</v>
      </c>
      <c r="AA64" s="122" t="str">
        <f t="shared" si="20"/>
        <v>-</v>
      </c>
      <c r="AB64" s="122" t="str">
        <f t="shared" si="21"/>
        <v>-</v>
      </c>
      <c r="AC64" s="125" t="str">
        <f t="shared" si="22"/>
        <v/>
      </c>
      <c r="AD64" s="191" t="str">
        <f t="shared" si="23"/>
        <v/>
      </c>
      <c r="AE64" s="122" t="str">
        <f t="shared" si="43"/>
        <v/>
      </c>
      <c r="AF64" s="122" t="str">
        <f t="shared" si="24"/>
        <v>- lbs</v>
      </c>
      <c r="AG64" s="122" t="str">
        <f t="shared" si="25"/>
        <v>MAJOR: -</v>
      </c>
      <c r="AH64" s="192" t="str">
        <f t="shared" si="26"/>
        <v>61 - -</v>
      </c>
      <c r="AI64" s="266" t="e">
        <f t="shared" si="27"/>
        <v>#N/A</v>
      </c>
    </row>
    <row r="65" spans="1:35" x14ac:dyDescent="0.25">
      <c r="A65" s="25">
        <v>62</v>
      </c>
      <c r="B65" s="5">
        <v>62</v>
      </c>
      <c r="C65" s="171" t="str">
        <f t="shared" si="28"/>
        <v>-</v>
      </c>
      <c r="D65" s="171" t="str">
        <f t="shared" si="29"/>
        <v>-</v>
      </c>
      <c r="E65" s="259" t="str">
        <f t="shared" si="30"/>
        <v>-</v>
      </c>
      <c r="F65" s="259" t="str">
        <f t="shared" si="31"/>
        <v>-</v>
      </c>
      <c r="G65" s="259" t="str">
        <f t="shared" si="44"/>
        <v>-</v>
      </c>
      <c r="H65" s="259" t="str">
        <f t="shared" si="32"/>
        <v>-</v>
      </c>
      <c r="I65" s="259" t="str">
        <f t="shared" si="33"/>
        <v>-</v>
      </c>
      <c r="J65" s="294" t="s">
        <v>800</v>
      </c>
      <c r="K65" s="259" t="str">
        <f t="shared" si="34"/>
        <v>-</v>
      </c>
      <c r="L65" s="259" t="str">
        <f t="shared" si="35"/>
        <v>-</v>
      </c>
      <c r="M65" s="259" t="str">
        <f t="shared" si="36"/>
        <v>-</v>
      </c>
      <c r="N65" s="259" t="str">
        <f t="shared" si="37"/>
        <v>-</v>
      </c>
      <c r="O65" s="259"/>
      <c r="Q65" s="124" t="str">
        <f t="shared" ca="1" si="16"/>
        <v/>
      </c>
      <c r="R65" s="124" t="str">
        <f t="shared" ca="1" si="17"/>
        <v/>
      </c>
      <c r="S65" s="124" t="e">
        <f t="shared" si="38"/>
        <v>#N/A</v>
      </c>
      <c r="T65" s="124" t="e">
        <f t="shared" si="39"/>
        <v>#N/A</v>
      </c>
      <c r="U65" s="123" t="str">
        <f>"D:\IMS Images\Headshots\"&amp;IF('Team Info'!$B$21="BASEBALL","CBASE","SBALL")&amp;"\"&amp;'Team Info'!$B$11&amp;"\"&amp;D65&amp;"_"&amp;C65&amp;".png"</f>
        <v>D:\IMS Images\Headshots\CBASE\GENERIC_BASEBALL\-_-.png</v>
      </c>
      <c r="V65" s="123" t="str">
        <f>"D:\IMS Images\ActionShots\"&amp;IF('Team Info'!$B$21="BASEBALL","CBASE","SBALL")&amp;"\"&amp;'Team Info'!$B$11&amp;"\"&amp;D65&amp;"_"&amp;C65&amp;".png"</f>
        <v>D:\IMS Images\ActionShots\CBASE\GENERIC_BASEBALL\-_-.png</v>
      </c>
      <c r="W65" s="192" t="str">
        <f t="shared" si="19"/>
        <v>62 - -</v>
      </c>
      <c r="X65" s="122" t="str">
        <f t="shared" si="40"/>
        <v>- -</v>
      </c>
      <c r="Y65" s="122" t="str">
        <f t="shared" si="41"/>
        <v>- -</v>
      </c>
      <c r="Z65" s="122" t="str">
        <f t="shared" si="42"/>
        <v>-. -</v>
      </c>
      <c r="AA65" s="122" t="str">
        <f t="shared" si="20"/>
        <v>-</v>
      </c>
      <c r="AB65" s="122" t="str">
        <f t="shared" si="21"/>
        <v>-</v>
      </c>
      <c r="AC65" s="125" t="str">
        <f t="shared" si="22"/>
        <v/>
      </c>
      <c r="AD65" s="191" t="str">
        <f t="shared" si="23"/>
        <v/>
      </c>
      <c r="AE65" s="122" t="str">
        <f t="shared" si="43"/>
        <v/>
      </c>
      <c r="AF65" s="122" t="str">
        <f t="shared" si="24"/>
        <v>- lbs</v>
      </c>
      <c r="AG65" s="122" t="str">
        <f t="shared" si="25"/>
        <v>MAJOR: -</v>
      </c>
      <c r="AH65" s="192" t="str">
        <f t="shared" si="26"/>
        <v>62 - -</v>
      </c>
      <c r="AI65" s="266" t="e">
        <f t="shared" si="27"/>
        <v>#N/A</v>
      </c>
    </row>
    <row r="66" spans="1:35" x14ac:dyDescent="0.25">
      <c r="A66" s="25">
        <v>63</v>
      </c>
      <c r="B66" s="5">
        <v>63</v>
      </c>
      <c r="C66" s="171" t="str">
        <f t="shared" si="28"/>
        <v>-</v>
      </c>
      <c r="D66" s="171" t="str">
        <f t="shared" si="29"/>
        <v>-</v>
      </c>
      <c r="E66" s="259" t="str">
        <f t="shared" si="30"/>
        <v>-</v>
      </c>
      <c r="F66" s="259" t="str">
        <f t="shared" si="31"/>
        <v>-</v>
      </c>
      <c r="G66" s="259" t="str">
        <f t="shared" si="44"/>
        <v>-</v>
      </c>
      <c r="H66" s="259" t="str">
        <f t="shared" si="32"/>
        <v>-</v>
      </c>
      <c r="I66" s="259" t="str">
        <f t="shared" si="33"/>
        <v>-</v>
      </c>
      <c r="J66" s="294" t="s">
        <v>800</v>
      </c>
      <c r="K66" s="259" t="str">
        <f t="shared" si="34"/>
        <v>-</v>
      </c>
      <c r="L66" s="259" t="str">
        <f t="shared" si="35"/>
        <v>-</v>
      </c>
      <c r="M66" s="259" t="str">
        <f t="shared" si="36"/>
        <v>-</v>
      </c>
      <c r="N66" s="259" t="str">
        <f t="shared" si="37"/>
        <v>-</v>
      </c>
      <c r="O66" s="259"/>
      <c r="Q66" s="124" t="str">
        <f t="shared" ca="1" si="16"/>
        <v/>
      </c>
      <c r="R66" s="124" t="str">
        <f t="shared" ca="1" si="17"/>
        <v/>
      </c>
      <c r="S66" s="124" t="e">
        <f t="shared" si="38"/>
        <v>#N/A</v>
      </c>
      <c r="T66" s="124" t="e">
        <f t="shared" si="39"/>
        <v>#N/A</v>
      </c>
      <c r="U66" s="123" t="str">
        <f>"D:\IMS Images\Headshots\"&amp;IF('Team Info'!$B$21="BASEBALL","CBASE","SBALL")&amp;"\"&amp;'Team Info'!$B$11&amp;"\"&amp;D66&amp;"_"&amp;C66&amp;".png"</f>
        <v>D:\IMS Images\Headshots\CBASE\GENERIC_BASEBALL\-_-.png</v>
      </c>
      <c r="V66" s="123" t="str">
        <f>"D:\IMS Images\ActionShots\"&amp;IF('Team Info'!$B$21="BASEBALL","CBASE","SBALL")&amp;"\"&amp;'Team Info'!$B$11&amp;"\"&amp;D66&amp;"_"&amp;C66&amp;".png"</f>
        <v>D:\IMS Images\ActionShots\CBASE\GENERIC_BASEBALL\-_-.png</v>
      </c>
      <c r="W66" s="192" t="str">
        <f t="shared" si="19"/>
        <v>63 - -</v>
      </c>
      <c r="X66" s="122" t="str">
        <f t="shared" si="40"/>
        <v>- -</v>
      </c>
      <c r="Y66" s="122" t="str">
        <f t="shared" si="41"/>
        <v>- -</v>
      </c>
      <c r="Z66" s="122" t="str">
        <f t="shared" si="42"/>
        <v>-. -</v>
      </c>
      <c r="AA66" s="122" t="str">
        <f t="shared" si="20"/>
        <v>-</v>
      </c>
      <c r="AB66" s="122" t="str">
        <f t="shared" si="21"/>
        <v>-</v>
      </c>
      <c r="AC66" s="125" t="str">
        <f t="shared" si="22"/>
        <v/>
      </c>
      <c r="AD66" s="191" t="str">
        <f t="shared" si="23"/>
        <v/>
      </c>
      <c r="AE66" s="122" t="str">
        <f t="shared" si="43"/>
        <v/>
      </c>
      <c r="AF66" s="122" t="str">
        <f t="shared" si="24"/>
        <v>- lbs</v>
      </c>
      <c r="AG66" s="122" t="str">
        <f t="shared" si="25"/>
        <v>MAJOR: -</v>
      </c>
      <c r="AH66" s="192" t="str">
        <f t="shared" si="26"/>
        <v>63 - -</v>
      </c>
      <c r="AI66" s="266" t="e">
        <f t="shared" si="27"/>
        <v>#N/A</v>
      </c>
    </row>
    <row r="67" spans="1:35" x14ac:dyDescent="0.25">
      <c r="A67" s="25">
        <v>64</v>
      </c>
      <c r="B67" s="5">
        <v>64</v>
      </c>
      <c r="C67" s="171" t="str">
        <f t="shared" si="28"/>
        <v>-</v>
      </c>
      <c r="D67" s="171" t="str">
        <f t="shared" si="29"/>
        <v>-</v>
      </c>
      <c r="E67" s="259" t="str">
        <f t="shared" si="30"/>
        <v>-</v>
      </c>
      <c r="F67" s="259" t="str">
        <f t="shared" si="31"/>
        <v>-</v>
      </c>
      <c r="G67" s="259" t="str">
        <f t="shared" si="44"/>
        <v>-</v>
      </c>
      <c r="H67" s="259" t="str">
        <f t="shared" si="32"/>
        <v>-</v>
      </c>
      <c r="I67" s="259" t="str">
        <f t="shared" si="33"/>
        <v>-</v>
      </c>
      <c r="J67" s="294" t="s">
        <v>800</v>
      </c>
      <c r="K67" s="259" t="str">
        <f t="shared" si="34"/>
        <v>-</v>
      </c>
      <c r="L67" s="259" t="str">
        <f t="shared" si="35"/>
        <v>-</v>
      </c>
      <c r="M67" s="259" t="str">
        <f t="shared" si="36"/>
        <v>-</v>
      </c>
      <c r="N67" s="259" t="str">
        <f t="shared" si="37"/>
        <v>-</v>
      </c>
      <c r="O67" s="259"/>
      <c r="Q67" s="124" t="str">
        <f t="shared" ca="1" si="16"/>
        <v/>
      </c>
      <c r="R67" s="124" t="str">
        <f t="shared" ca="1" si="17"/>
        <v/>
      </c>
      <c r="S67" s="124" t="e">
        <f t="shared" si="38"/>
        <v>#N/A</v>
      </c>
      <c r="T67" s="124" t="e">
        <f t="shared" si="39"/>
        <v>#N/A</v>
      </c>
      <c r="U67" s="123" t="str">
        <f>"D:\IMS Images\Headshots\"&amp;IF('Team Info'!$B$21="BASEBALL","CBASE","SBALL")&amp;"\"&amp;'Team Info'!$B$11&amp;"\"&amp;D67&amp;"_"&amp;C67&amp;".png"</f>
        <v>D:\IMS Images\Headshots\CBASE\GENERIC_BASEBALL\-_-.png</v>
      </c>
      <c r="V67" s="123" t="str">
        <f>"D:\IMS Images\ActionShots\"&amp;IF('Team Info'!$B$21="BASEBALL","CBASE","SBALL")&amp;"\"&amp;'Team Info'!$B$11&amp;"\"&amp;D67&amp;"_"&amp;C67&amp;".png"</f>
        <v>D:\IMS Images\ActionShots\CBASE\GENERIC_BASEBALL\-_-.png</v>
      </c>
      <c r="W67" s="192" t="str">
        <f t="shared" si="19"/>
        <v>64 - -</v>
      </c>
      <c r="X67" s="122" t="str">
        <f t="shared" si="40"/>
        <v>- -</v>
      </c>
      <c r="Y67" s="122" t="str">
        <f t="shared" si="41"/>
        <v>- -</v>
      </c>
      <c r="Z67" s="122" t="str">
        <f t="shared" si="42"/>
        <v>-. -</v>
      </c>
      <c r="AA67" s="122" t="str">
        <f t="shared" si="20"/>
        <v>-</v>
      </c>
      <c r="AB67" s="122" t="str">
        <f t="shared" si="21"/>
        <v>-</v>
      </c>
      <c r="AC67" s="125" t="str">
        <f t="shared" si="22"/>
        <v/>
      </c>
      <c r="AD67" s="191" t="str">
        <f t="shared" si="23"/>
        <v/>
      </c>
      <c r="AE67" s="122" t="str">
        <f t="shared" si="43"/>
        <v/>
      </c>
      <c r="AF67" s="122" t="str">
        <f t="shared" si="24"/>
        <v>- lbs</v>
      </c>
      <c r="AG67" s="122" t="str">
        <f t="shared" si="25"/>
        <v>MAJOR: -</v>
      </c>
      <c r="AH67" s="192" t="str">
        <f t="shared" si="26"/>
        <v>64 - -</v>
      </c>
      <c r="AI67" s="266" t="e">
        <f t="shared" si="27"/>
        <v>#N/A</v>
      </c>
    </row>
    <row r="68" spans="1:35" x14ac:dyDescent="0.25">
      <c r="A68" s="25">
        <v>65</v>
      </c>
      <c r="B68" s="5">
        <v>65</v>
      </c>
      <c r="C68" s="171" t="str">
        <f t="shared" ref="C68:C92" si="45">IFERROR(INDEX(NAME_RANGE,MATCH(B68,NUM_RANGE,FALSE),2),"-")</f>
        <v>-</v>
      </c>
      <c r="D68" s="171" t="str">
        <f t="shared" ref="D68:D92" si="46">IFERROR(INDEX(NAME_RANGE,MATCH(B68,NUM_RANGE,FALSE),1),"-")</f>
        <v>-</v>
      </c>
      <c r="E68" s="259" t="str">
        <f t="shared" ref="E68:E92" si="47">IFERROR(VLOOKUP($B68,INPUT_RANGE,2,FALSE),"-")</f>
        <v>-</v>
      </c>
      <c r="F68" s="259" t="str">
        <f t="shared" ref="F68:F92" si="48">IFERROR(VLOOKUP($B68,INPUT_RANGE,3,FALSE),"-")</f>
        <v>-</v>
      </c>
      <c r="G68" s="259" t="str">
        <f t="shared" ref="G68:G92" si="49">IFERROR(VLOOKUP($B68,INPUT_RANGE,4,FALSE),"-")</f>
        <v>-</v>
      </c>
      <c r="H68" s="259" t="str">
        <f t="shared" ref="H68:H92" si="50">IFERROR(VLOOKUP($B68,INPUT_RANGE,7,FALSE),"-")</f>
        <v>-</v>
      </c>
      <c r="I68" s="259" t="str">
        <f t="shared" ref="I68:I92" si="51">IFERROR(VLOOKUP($B68,INPUT_RANGE,8,FALSE),"-")</f>
        <v>-</v>
      </c>
      <c r="J68" s="294" t="s">
        <v>800</v>
      </c>
      <c r="K68" s="259" t="str">
        <f t="shared" ref="K68:K92" si="52">IFERROR(VLOOKUP($B68,INPUT_RANGE,5,FALSE)&amp;", "&amp;VLOOKUP($B68,INPUT_RANGE,6,FALSE),"-")</f>
        <v>-</v>
      </c>
      <c r="L68" s="259" t="str">
        <f t="shared" ref="L68:L92" si="53">IFERROR(VLOOKUP($B68,INPUT_RANGE,9,FALSE),"-")</f>
        <v>-</v>
      </c>
      <c r="M68" s="259" t="str">
        <f t="shared" ref="M68:M92" si="54">IFERROR(VLOOKUP($B68,INPUT_RANGE,11,FALSE),"-")</f>
        <v>-</v>
      </c>
      <c r="N68" s="259" t="str">
        <f t="shared" ref="N68:N92" si="55">IFERROR(VLOOKUP($B68,INPUT_RANGE,12,FALSE),"-")</f>
        <v>-</v>
      </c>
      <c r="O68" s="259"/>
      <c r="Q68" s="124" t="str">
        <f t="shared" ca="1" si="16"/>
        <v/>
      </c>
      <c r="R68" s="124" t="str">
        <f t="shared" ca="1" si="17"/>
        <v/>
      </c>
      <c r="S68" s="124" t="e">
        <f t="shared" ref="S68:S102" si="56">RIGHT(ROUND(VLOOKUP(B68,INPUT_RANGE,54,FALSE)/VLOOKUP(B68,INPUT_RANGE,52,FALSE),3),4)</f>
        <v>#N/A</v>
      </c>
      <c r="T68" s="124" t="e">
        <f t="shared" ref="T68:T102" si="57">VLOOKUP($B68,INPUT_RANGE,57,FALSE)</f>
        <v>#N/A</v>
      </c>
      <c r="U68" s="123" t="str">
        <f>"D:\IMS Images\Headshots\"&amp;IF('Team Info'!$B$21="BASEBALL","CBASE","SBALL")&amp;"\"&amp;'Team Info'!$B$11&amp;"\"&amp;D68&amp;"_"&amp;C68&amp;".png"</f>
        <v>D:\IMS Images\Headshots\CBASE\GENERIC_BASEBALL\-_-.png</v>
      </c>
      <c r="V68" s="123" t="str">
        <f>"D:\IMS Images\ActionShots\"&amp;IF('Team Info'!$B$21="BASEBALL","CBASE","SBALL")&amp;"\"&amp;'Team Info'!$B$11&amp;"\"&amp;D68&amp;"_"&amp;C68&amp;".png"</f>
        <v>D:\IMS Images\ActionShots\CBASE\GENERIC_BASEBALL\-_-.png</v>
      </c>
      <c r="W68" s="192" t="str">
        <f t="shared" si="19"/>
        <v>65 - -</v>
      </c>
      <c r="X68" s="122" t="str">
        <f t="shared" ref="X68:X102" si="58">C68&amp;" "&amp;D68</f>
        <v>- -</v>
      </c>
      <c r="Y68" s="122" t="str">
        <f t="shared" ref="Y68:Y99" si="59">UPPER(X68)</f>
        <v>- -</v>
      </c>
      <c r="Z68" s="122" t="str">
        <f t="shared" ref="Z68:Z102" si="60">LEFT(C68,1)&amp;". "&amp;D68</f>
        <v>-. -</v>
      </c>
      <c r="AA68" s="122" t="str">
        <f t="shared" si="20"/>
        <v>-</v>
      </c>
      <c r="AB68" s="122" t="str">
        <f t="shared" si="21"/>
        <v>-</v>
      </c>
      <c r="AC68" s="125" t="str">
        <f t="shared" si="22"/>
        <v/>
      </c>
      <c r="AD68" s="191" t="str">
        <f t="shared" si="23"/>
        <v/>
      </c>
      <c r="AE68" s="122" t="str">
        <f t="shared" ref="AE68:AE102" si="61">UPPER(AC68)</f>
        <v/>
      </c>
      <c r="AF68" s="122" t="str">
        <f t="shared" si="24"/>
        <v>- lbs</v>
      </c>
      <c r="AG68" s="122" t="str">
        <f t="shared" si="25"/>
        <v>MAJOR: -</v>
      </c>
      <c r="AH68" s="192" t="str">
        <f t="shared" si="26"/>
        <v>65 - -</v>
      </c>
      <c r="AI68" s="266" t="e">
        <f t="shared" si="27"/>
        <v>#N/A</v>
      </c>
    </row>
    <row r="69" spans="1:35" x14ac:dyDescent="0.25">
      <c r="A69" s="25">
        <v>66</v>
      </c>
      <c r="B69" s="5">
        <v>66</v>
      </c>
      <c r="C69" s="171" t="str">
        <f t="shared" si="45"/>
        <v>-</v>
      </c>
      <c r="D69" s="171" t="str">
        <f t="shared" si="46"/>
        <v>-</v>
      </c>
      <c r="E69" s="259" t="str">
        <f t="shared" si="47"/>
        <v>-</v>
      </c>
      <c r="F69" s="259" t="str">
        <f t="shared" si="48"/>
        <v>-</v>
      </c>
      <c r="G69" s="259" t="str">
        <f t="shared" si="49"/>
        <v>-</v>
      </c>
      <c r="H69" s="259" t="str">
        <f t="shared" si="50"/>
        <v>-</v>
      </c>
      <c r="I69" s="259" t="str">
        <f t="shared" si="51"/>
        <v>-</v>
      </c>
      <c r="J69" s="294" t="s">
        <v>800</v>
      </c>
      <c r="K69" s="259" t="str">
        <f t="shared" si="52"/>
        <v>-</v>
      </c>
      <c r="L69" s="259" t="str">
        <f t="shared" si="53"/>
        <v>-</v>
      </c>
      <c r="M69" s="259" t="str">
        <f t="shared" si="54"/>
        <v>-</v>
      </c>
      <c r="N69" s="259" t="str">
        <f t="shared" si="55"/>
        <v>-</v>
      </c>
      <c r="O69" s="259"/>
      <c r="Q69" s="124" t="str">
        <f t="shared" ref="Q69:Q93" ca="1" si="62">IF(J69="","",INT(YEARFRAC($J69, TODAY())))</f>
        <v/>
      </c>
      <c r="R69" s="124" t="str">
        <f t="shared" ref="R69:R102" ca="1" si="63">IF(Q69="","","Age: " &amp; Q69)</f>
        <v/>
      </c>
      <c r="S69" s="124" t="e">
        <f t="shared" si="56"/>
        <v>#N/A</v>
      </c>
      <c r="T69" s="124" t="e">
        <f t="shared" si="57"/>
        <v>#N/A</v>
      </c>
      <c r="U69" s="123" t="str">
        <f>"D:\IMS Images\Headshots\"&amp;IF('Team Info'!$B$21="BASEBALL","CBASE","SBALL")&amp;"\"&amp;'Team Info'!$B$11&amp;"\"&amp;D69&amp;"_"&amp;C69&amp;".png"</f>
        <v>D:\IMS Images\Headshots\CBASE\GENERIC_BASEBALL\-_-.png</v>
      </c>
      <c r="V69" s="123" t="str">
        <f>"D:\IMS Images\ActionShots\"&amp;IF('Team Info'!$B$21="BASEBALL","CBASE","SBALL")&amp;"\"&amp;'Team Info'!$B$11&amp;"\"&amp;D69&amp;"_"&amp;C69&amp;".png"</f>
        <v>D:\IMS Images\ActionShots\CBASE\GENERIC_BASEBALL\-_-.png</v>
      </c>
      <c r="W69" s="192" t="str">
        <f t="shared" ref="W69:W102" si="64">B69 &amp; " " &amp; X69</f>
        <v>66 - -</v>
      </c>
      <c r="X69" s="122" t="str">
        <f t="shared" si="58"/>
        <v>- -</v>
      </c>
      <c r="Y69" s="122" t="str">
        <f t="shared" si="59"/>
        <v>- -</v>
      </c>
      <c r="Z69" s="122" t="str">
        <f t="shared" si="60"/>
        <v>-. -</v>
      </c>
      <c r="AA69" s="122" t="str">
        <f t="shared" ref="AA69:AA102" si="65">UPPER(C69)</f>
        <v>-</v>
      </c>
      <c r="AB69" s="122" t="str">
        <f t="shared" ref="AB69:AB102" si="66">UPPER(D69)</f>
        <v>-</v>
      </c>
      <c r="AC69" s="125" t="str">
        <f t="shared" ref="AC69:AC70" si="67">IF($L69=4,"Senior",IF($L69=3,"Junior",IF($L69=2,"Sophomore",IF($L69=1,"Freshman",""))))</f>
        <v/>
      </c>
      <c r="AD69" s="191" t="str">
        <f t="shared" ref="AD69:AD102" si="68">IF($L69=4,"SR",IF($L69=3,"JR",IF($L69=2,"SO",IF($L69=1,"FR",""))))</f>
        <v/>
      </c>
      <c r="AE69" s="122" t="str">
        <f t="shared" si="61"/>
        <v/>
      </c>
      <c r="AF69" s="122" t="str">
        <f t="shared" ref="AF69:AF102" si="69">$I69 &amp; " lbs"</f>
        <v>- lbs</v>
      </c>
      <c r="AG69" s="122" t="str">
        <f t="shared" ref="AG69:AG102" si="70">"MAJOR: " &amp; UPPER(M69)</f>
        <v>MAJOR: -</v>
      </c>
      <c r="AH69" s="192" t="str">
        <f t="shared" ref="AH69:AH102" si="71">B69 &amp; " " &amp; UPPER(X69)</f>
        <v>66 - -</v>
      </c>
      <c r="AI69" s="266" t="e">
        <f t="shared" ref="AI69:AI102" si="72">IF(T69=0,"1st",$T69+1&amp;IF(AND(MOD(ABS($T69+1),100)&gt;10,MOD(ABS($T69+1),100)&lt;14),"th",CHOOSE(MOD(ABS($T69+1),10)+1,"th","st","nd","rd","th","th","th","th","th","th")))</f>
        <v>#N/A</v>
      </c>
    </row>
    <row r="70" spans="1:35" x14ac:dyDescent="0.25">
      <c r="A70" s="25">
        <v>67</v>
      </c>
      <c r="B70" s="5">
        <v>67</v>
      </c>
      <c r="C70" s="171" t="str">
        <f t="shared" si="45"/>
        <v>-</v>
      </c>
      <c r="D70" s="171" t="str">
        <f t="shared" si="46"/>
        <v>-</v>
      </c>
      <c r="E70" s="259" t="str">
        <f t="shared" si="47"/>
        <v>-</v>
      </c>
      <c r="F70" s="259" t="str">
        <f t="shared" si="48"/>
        <v>-</v>
      </c>
      <c r="G70" s="259" t="str">
        <f t="shared" si="49"/>
        <v>-</v>
      </c>
      <c r="H70" s="259" t="str">
        <f t="shared" si="50"/>
        <v>-</v>
      </c>
      <c r="I70" s="259" t="str">
        <f t="shared" si="51"/>
        <v>-</v>
      </c>
      <c r="J70" s="294" t="s">
        <v>800</v>
      </c>
      <c r="K70" s="259" t="str">
        <f t="shared" si="52"/>
        <v>-</v>
      </c>
      <c r="L70" s="259" t="str">
        <f t="shared" si="53"/>
        <v>-</v>
      </c>
      <c r="M70" s="259" t="str">
        <f t="shared" si="54"/>
        <v>-</v>
      </c>
      <c r="N70" s="259" t="str">
        <f t="shared" si="55"/>
        <v>-</v>
      </c>
      <c r="O70" s="259"/>
      <c r="Q70" s="124" t="str">
        <f t="shared" ca="1" si="62"/>
        <v/>
      </c>
      <c r="R70" s="124" t="str">
        <f t="shared" ca="1" si="63"/>
        <v/>
      </c>
      <c r="S70" s="124" t="e">
        <f t="shared" si="56"/>
        <v>#N/A</v>
      </c>
      <c r="T70" s="124" t="e">
        <f t="shared" si="57"/>
        <v>#N/A</v>
      </c>
      <c r="U70" s="123" t="str">
        <f>"D:\IMS Images\Headshots\"&amp;IF('Team Info'!$B$21="BASEBALL","CBASE","SBALL")&amp;"\"&amp;'Team Info'!$B$11&amp;"\"&amp;D70&amp;"_"&amp;C70&amp;".png"</f>
        <v>D:\IMS Images\Headshots\CBASE\GENERIC_BASEBALL\-_-.png</v>
      </c>
      <c r="V70" s="123" t="str">
        <f>"D:\IMS Images\ActionShots\"&amp;IF('Team Info'!$B$21="BASEBALL","CBASE","SBALL")&amp;"\"&amp;'Team Info'!$B$11&amp;"\"&amp;D70&amp;"_"&amp;C70&amp;".png"</f>
        <v>D:\IMS Images\ActionShots\CBASE\GENERIC_BASEBALL\-_-.png</v>
      </c>
      <c r="W70" s="192" t="str">
        <f t="shared" si="64"/>
        <v>67 - -</v>
      </c>
      <c r="X70" s="122" t="str">
        <f t="shared" si="58"/>
        <v>- -</v>
      </c>
      <c r="Y70" s="122" t="str">
        <f t="shared" si="59"/>
        <v>- -</v>
      </c>
      <c r="Z70" s="122" t="str">
        <f t="shared" si="60"/>
        <v>-. -</v>
      </c>
      <c r="AA70" s="122" t="str">
        <f t="shared" si="65"/>
        <v>-</v>
      </c>
      <c r="AB70" s="122" t="str">
        <f t="shared" si="66"/>
        <v>-</v>
      </c>
      <c r="AC70" s="125" t="str">
        <f t="shared" si="67"/>
        <v/>
      </c>
      <c r="AD70" s="191" t="str">
        <f t="shared" si="68"/>
        <v/>
      </c>
      <c r="AE70" s="122" t="str">
        <f t="shared" si="61"/>
        <v/>
      </c>
      <c r="AF70" s="122" t="str">
        <f t="shared" si="69"/>
        <v>- lbs</v>
      </c>
      <c r="AG70" s="122" t="str">
        <f t="shared" si="70"/>
        <v>MAJOR: -</v>
      </c>
      <c r="AH70" s="192" t="str">
        <f t="shared" si="71"/>
        <v>67 - -</v>
      </c>
      <c r="AI70" s="266" t="e">
        <f t="shared" si="72"/>
        <v>#N/A</v>
      </c>
    </row>
    <row r="71" spans="1:35" x14ac:dyDescent="0.25">
      <c r="A71" s="25">
        <v>68</v>
      </c>
      <c r="B71" s="5">
        <v>68</v>
      </c>
      <c r="C71" s="171" t="str">
        <f t="shared" si="45"/>
        <v>-</v>
      </c>
      <c r="D71" s="171" t="str">
        <f t="shared" si="46"/>
        <v>-</v>
      </c>
      <c r="E71" s="259" t="str">
        <f t="shared" si="47"/>
        <v>-</v>
      </c>
      <c r="F71" s="259" t="str">
        <f t="shared" si="48"/>
        <v>-</v>
      </c>
      <c r="G71" s="259" t="str">
        <f t="shared" si="49"/>
        <v>-</v>
      </c>
      <c r="H71" s="259" t="str">
        <f t="shared" si="50"/>
        <v>-</v>
      </c>
      <c r="I71" s="259" t="str">
        <f t="shared" si="51"/>
        <v>-</v>
      </c>
      <c r="J71" s="294" t="s">
        <v>800</v>
      </c>
      <c r="K71" s="259" t="str">
        <f t="shared" si="52"/>
        <v>-</v>
      </c>
      <c r="L71" s="259" t="str">
        <f t="shared" si="53"/>
        <v>-</v>
      </c>
      <c r="M71" s="259" t="str">
        <f t="shared" si="54"/>
        <v>-</v>
      </c>
      <c r="N71" s="259" t="str">
        <f t="shared" si="55"/>
        <v>-</v>
      </c>
      <c r="O71" s="259"/>
      <c r="Q71" s="124" t="str">
        <f t="shared" ca="1" si="62"/>
        <v/>
      </c>
      <c r="R71" s="124" t="str">
        <f t="shared" ca="1" si="63"/>
        <v/>
      </c>
      <c r="S71" s="124" t="e">
        <f t="shared" si="56"/>
        <v>#N/A</v>
      </c>
      <c r="T71" s="124" t="e">
        <f t="shared" si="57"/>
        <v>#N/A</v>
      </c>
      <c r="U71" s="123" t="str">
        <f>"D:\IMS Images\Headshots\"&amp;IF('Team Info'!$B$21="BASEBALL","CBASE","SBALL")&amp;"\"&amp;'Team Info'!$B$11&amp;"\"&amp;D71&amp;"_"&amp;C71&amp;".png"</f>
        <v>D:\IMS Images\Headshots\CBASE\GENERIC_BASEBALL\-_-.png</v>
      </c>
      <c r="V71" s="123" t="str">
        <f>"D:\IMS Images\ActionShots\"&amp;IF('Team Info'!$B$21="BASEBALL","CBASE","SBALL")&amp;"\"&amp;'Team Info'!$B$11&amp;"\"&amp;D71&amp;"_"&amp;C71&amp;".png"</f>
        <v>D:\IMS Images\ActionShots\CBASE\GENERIC_BASEBALL\-_-.png</v>
      </c>
      <c r="W71" s="192" t="str">
        <f t="shared" si="64"/>
        <v>68 - -</v>
      </c>
      <c r="X71" s="122" t="str">
        <f t="shared" si="58"/>
        <v>- -</v>
      </c>
      <c r="Y71" s="122" t="str">
        <f t="shared" si="59"/>
        <v>- -</v>
      </c>
      <c r="Z71" s="122" t="str">
        <f t="shared" si="60"/>
        <v>-. -</v>
      </c>
      <c r="AA71" s="122" t="str">
        <f t="shared" si="65"/>
        <v>-</v>
      </c>
      <c r="AB71" s="122" t="str">
        <f t="shared" si="66"/>
        <v>-</v>
      </c>
      <c r="AC71" s="125" t="str">
        <f t="shared" ref="AC71:AC102" si="73">IF($L71=4,"Senior",IF($L71=3,"Junior",IF($L71=2,"Sophomore",IF($L71=1,"Freshman",""))))</f>
        <v/>
      </c>
      <c r="AD71" s="191" t="str">
        <f t="shared" si="68"/>
        <v/>
      </c>
      <c r="AE71" s="122" t="str">
        <f t="shared" si="61"/>
        <v/>
      </c>
      <c r="AF71" s="122" t="str">
        <f t="shared" si="69"/>
        <v>- lbs</v>
      </c>
      <c r="AG71" s="122" t="str">
        <f t="shared" si="70"/>
        <v>MAJOR: -</v>
      </c>
      <c r="AH71" s="192" t="str">
        <f t="shared" si="71"/>
        <v>68 - -</v>
      </c>
      <c r="AI71" s="266" t="e">
        <f t="shared" si="72"/>
        <v>#N/A</v>
      </c>
    </row>
    <row r="72" spans="1:35" x14ac:dyDescent="0.25">
      <c r="A72" s="25">
        <v>69</v>
      </c>
      <c r="B72" s="5">
        <v>69</v>
      </c>
      <c r="C72" s="171" t="str">
        <f t="shared" si="45"/>
        <v>-</v>
      </c>
      <c r="D72" s="171" t="str">
        <f t="shared" si="46"/>
        <v>-</v>
      </c>
      <c r="E72" s="259" t="str">
        <f t="shared" si="47"/>
        <v>-</v>
      </c>
      <c r="F72" s="259" t="str">
        <f t="shared" si="48"/>
        <v>-</v>
      </c>
      <c r="G72" s="259" t="str">
        <f t="shared" si="49"/>
        <v>-</v>
      </c>
      <c r="H72" s="259" t="str">
        <f t="shared" si="50"/>
        <v>-</v>
      </c>
      <c r="I72" s="259" t="str">
        <f t="shared" si="51"/>
        <v>-</v>
      </c>
      <c r="J72" s="294" t="s">
        <v>800</v>
      </c>
      <c r="K72" s="259" t="str">
        <f t="shared" si="52"/>
        <v>-</v>
      </c>
      <c r="L72" s="259" t="str">
        <f t="shared" si="53"/>
        <v>-</v>
      </c>
      <c r="M72" s="259" t="str">
        <f t="shared" si="54"/>
        <v>-</v>
      </c>
      <c r="N72" s="259" t="str">
        <f t="shared" si="55"/>
        <v>-</v>
      </c>
      <c r="O72" s="259"/>
      <c r="Q72" s="124" t="str">
        <f t="shared" ca="1" si="62"/>
        <v/>
      </c>
      <c r="R72" s="124" t="str">
        <f t="shared" ca="1" si="63"/>
        <v/>
      </c>
      <c r="S72" s="124" t="e">
        <f t="shared" si="56"/>
        <v>#N/A</v>
      </c>
      <c r="T72" s="124" t="e">
        <f t="shared" si="57"/>
        <v>#N/A</v>
      </c>
      <c r="U72" s="123" t="str">
        <f>"D:\IMS Images\Headshots\"&amp;IF('Team Info'!$B$21="BASEBALL","CBASE","SBALL")&amp;"\"&amp;'Team Info'!$B$11&amp;"\"&amp;D72&amp;"_"&amp;C72&amp;".png"</f>
        <v>D:\IMS Images\Headshots\CBASE\GENERIC_BASEBALL\-_-.png</v>
      </c>
      <c r="V72" s="123" t="str">
        <f>"D:\IMS Images\ActionShots\"&amp;IF('Team Info'!$B$21="BASEBALL","CBASE","SBALL")&amp;"\"&amp;'Team Info'!$B$11&amp;"\"&amp;D72&amp;"_"&amp;C72&amp;".png"</f>
        <v>D:\IMS Images\ActionShots\CBASE\GENERIC_BASEBALL\-_-.png</v>
      </c>
      <c r="W72" s="192" t="str">
        <f t="shared" si="64"/>
        <v>69 - -</v>
      </c>
      <c r="X72" s="122" t="str">
        <f t="shared" si="58"/>
        <v>- -</v>
      </c>
      <c r="Y72" s="122" t="str">
        <f t="shared" si="59"/>
        <v>- -</v>
      </c>
      <c r="Z72" s="122" t="str">
        <f t="shared" si="60"/>
        <v>-. -</v>
      </c>
      <c r="AA72" s="122" t="str">
        <f t="shared" si="65"/>
        <v>-</v>
      </c>
      <c r="AB72" s="122" t="str">
        <f t="shared" si="66"/>
        <v>-</v>
      </c>
      <c r="AC72" s="125" t="str">
        <f t="shared" si="73"/>
        <v/>
      </c>
      <c r="AD72" s="191" t="str">
        <f t="shared" si="68"/>
        <v/>
      </c>
      <c r="AE72" s="122" t="str">
        <f t="shared" si="61"/>
        <v/>
      </c>
      <c r="AF72" s="122" t="str">
        <f t="shared" si="69"/>
        <v>- lbs</v>
      </c>
      <c r="AG72" s="122" t="str">
        <f t="shared" si="70"/>
        <v>MAJOR: -</v>
      </c>
      <c r="AH72" s="192" t="str">
        <f t="shared" si="71"/>
        <v>69 - -</v>
      </c>
      <c r="AI72" s="266" t="e">
        <f t="shared" si="72"/>
        <v>#N/A</v>
      </c>
    </row>
    <row r="73" spans="1:35" x14ac:dyDescent="0.25">
      <c r="A73" s="25">
        <v>70</v>
      </c>
      <c r="B73" s="5">
        <v>70</v>
      </c>
      <c r="C73" s="171" t="str">
        <f t="shared" si="45"/>
        <v>-</v>
      </c>
      <c r="D73" s="171" t="str">
        <f t="shared" si="46"/>
        <v>-</v>
      </c>
      <c r="E73" s="259" t="str">
        <f t="shared" si="47"/>
        <v>-</v>
      </c>
      <c r="F73" s="259" t="str">
        <f t="shared" si="48"/>
        <v>-</v>
      </c>
      <c r="G73" s="259" t="str">
        <f t="shared" si="49"/>
        <v>-</v>
      </c>
      <c r="H73" s="259" t="str">
        <f t="shared" si="50"/>
        <v>-</v>
      </c>
      <c r="I73" s="259" t="str">
        <f t="shared" si="51"/>
        <v>-</v>
      </c>
      <c r="J73" s="294" t="s">
        <v>800</v>
      </c>
      <c r="K73" s="259" t="str">
        <f t="shared" si="52"/>
        <v>-</v>
      </c>
      <c r="L73" s="259" t="str">
        <f t="shared" si="53"/>
        <v>-</v>
      </c>
      <c r="M73" s="259" t="str">
        <f t="shared" si="54"/>
        <v>-</v>
      </c>
      <c r="N73" s="259" t="str">
        <f t="shared" si="55"/>
        <v>-</v>
      </c>
      <c r="O73" s="259"/>
      <c r="Q73" s="124" t="str">
        <f t="shared" ca="1" si="62"/>
        <v/>
      </c>
      <c r="R73" s="124" t="str">
        <f t="shared" ca="1" si="63"/>
        <v/>
      </c>
      <c r="S73" s="124" t="e">
        <f t="shared" si="56"/>
        <v>#N/A</v>
      </c>
      <c r="T73" s="124" t="e">
        <f t="shared" si="57"/>
        <v>#N/A</v>
      </c>
      <c r="U73" s="123" t="str">
        <f>"D:\IMS Images\Headshots\"&amp;IF('Team Info'!$B$21="BASEBALL","CBASE","SBALL")&amp;"\"&amp;'Team Info'!$B$11&amp;"\"&amp;D73&amp;"_"&amp;C73&amp;".png"</f>
        <v>D:\IMS Images\Headshots\CBASE\GENERIC_BASEBALL\-_-.png</v>
      </c>
      <c r="V73" s="123" t="str">
        <f>"D:\IMS Images\ActionShots\"&amp;IF('Team Info'!$B$21="BASEBALL","CBASE","SBALL")&amp;"\"&amp;'Team Info'!$B$11&amp;"\"&amp;D73&amp;"_"&amp;C73&amp;".png"</f>
        <v>D:\IMS Images\ActionShots\CBASE\GENERIC_BASEBALL\-_-.png</v>
      </c>
      <c r="W73" s="192" t="str">
        <f t="shared" si="64"/>
        <v>70 - -</v>
      </c>
      <c r="X73" s="122" t="str">
        <f t="shared" si="58"/>
        <v>- -</v>
      </c>
      <c r="Y73" s="122" t="str">
        <f t="shared" si="59"/>
        <v>- -</v>
      </c>
      <c r="Z73" s="122" t="str">
        <f t="shared" si="60"/>
        <v>-. -</v>
      </c>
      <c r="AA73" s="122" t="str">
        <f t="shared" si="65"/>
        <v>-</v>
      </c>
      <c r="AB73" s="122" t="str">
        <f t="shared" si="66"/>
        <v>-</v>
      </c>
      <c r="AC73" s="125" t="str">
        <f t="shared" si="73"/>
        <v/>
      </c>
      <c r="AD73" s="191" t="str">
        <f t="shared" si="68"/>
        <v/>
      </c>
      <c r="AE73" s="122" t="str">
        <f t="shared" si="61"/>
        <v/>
      </c>
      <c r="AF73" s="122" t="str">
        <f t="shared" si="69"/>
        <v>- lbs</v>
      </c>
      <c r="AG73" s="122" t="str">
        <f t="shared" si="70"/>
        <v>MAJOR: -</v>
      </c>
      <c r="AH73" s="192" t="str">
        <f t="shared" si="71"/>
        <v>70 - -</v>
      </c>
      <c r="AI73" s="266" t="e">
        <f t="shared" si="72"/>
        <v>#N/A</v>
      </c>
    </row>
    <row r="74" spans="1:35" x14ac:dyDescent="0.25">
      <c r="A74" s="25">
        <v>71</v>
      </c>
      <c r="B74" s="5">
        <v>71</v>
      </c>
      <c r="C74" s="171" t="str">
        <f t="shared" si="45"/>
        <v>-</v>
      </c>
      <c r="D74" s="171" t="str">
        <f t="shared" si="46"/>
        <v>-</v>
      </c>
      <c r="E74" s="259" t="str">
        <f t="shared" si="47"/>
        <v>-</v>
      </c>
      <c r="F74" s="259" t="str">
        <f t="shared" si="48"/>
        <v>-</v>
      </c>
      <c r="G74" s="259" t="str">
        <f t="shared" si="49"/>
        <v>-</v>
      </c>
      <c r="H74" s="259" t="str">
        <f t="shared" si="50"/>
        <v>-</v>
      </c>
      <c r="I74" s="259" t="str">
        <f t="shared" si="51"/>
        <v>-</v>
      </c>
      <c r="J74" s="294" t="s">
        <v>800</v>
      </c>
      <c r="K74" s="259" t="str">
        <f t="shared" si="52"/>
        <v>-</v>
      </c>
      <c r="L74" s="259" t="str">
        <f t="shared" si="53"/>
        <v>-</v>
      </c>
      <c r="M74" s="259" t="str">
        <f t="shared" si="54"/>
        <v>-</v>
      </c>
      <c r="N74" s="259" t="str">
        <f t="shared" si="55"/>
        <v>-</v>
      </c>
      <c r="O74" s="259"/>
      <c r="Q74" s="124" t="str">
        <f t="shared" ca="1" si="62"/>
        <v/>
      </c>
      <c r="R74" s="124" t="str">
        <f t="shared" ca="1" si="63"/>
        <v/>
      </c>
      <c r="S74" s="124" t="e">
        <f t="shared" si="56"/>
        <v>#N/A</v>
      </c>
      <c r="T74" s="124" t="e">
        <f t="shared" si="57"/>
        <v>#N/A</v>
      </c>
      <c r="U74" s="123" t="str">
        <f>"D:\IMS Images\Headshots\"&amp;IF('Team Info'!$B$21="BASEBALL","CBASE","SBALL")&amp;"\"&amp;'Team Info'!$B$11&amp;"\"&amp;D74&amp;"_"&amp;C74&amp;".png"</f>
        <v>D:\IMS Images\Headshots\CBASE\GENERIC_BASEBALL\-_-.png</v>
      </c>
      <c r="V74" s="123" t="str">
        <f>"D:\IMS Images\ActionShots\"&amp;IF('Team Info'!$B$21="BASEBALL","CBASE","SBALL")&amp;"\"&amp;'Team Info'!$B$11&amp;"\"&amp;D74&amp;"_"&amp;C74&amp;".png"</f>
        <v>D:\IMS Images\ActionShots\CBASE\GENERIC_BASEBALL\-_-.png</v>
      </c>
      <c r="W74" s="192" t="str">
        <f t="shared" si="64"/>
        <v>71 - -</v>
      </c>
      <c r="X74" s="122" t="str">
        <f t="shared" si="58"/>
        <v>- -</v>
      </c>
      <c r="Y74" s="122" t="str">
        <f t="shared" si="59"/>
        <v>- -</v>
      </c>
      <c r="Z74" s="122" t="str">
        <f t="shared" si="60"/>
        <v>-. -</v>
      </c>
      <c r="AA74" s="122" t="str">
        <f t="shared" si="65"/>
        <v>-</v>
      </c>
      <c r="AB74" s="122" t="str">
        <f t="shared" si="66"/>
        <v>-</v>
      </c>
      <c r="AC74" s="125" t="str">
        <f t="shared" si="73"/>
        <v/>
      </c>
      <c r="AD74" s="191" t="str">
        <f t="shared" si="68"/>
        <v/>
      </c>
      <c r="AE74" s="122" t="str">
        <f t="shared" si="61"/>
        <v/>
      </c>
      <c r="AF74" s="122" t="str">
        <f t="shared" si="69"/>
        <v>- lbs</v>
      </c>
      <c r="AG74" s="122" t="str">
        <f t="shared" si="70"/>
        <v>MAJOR: -</v>
      </c>
      <c r="AH74" s="192" t="str">
        <f t="shared" si="71"/>
        <v>71 - -</v>
      </c>
      <c r="AI74" s="266" t="e">
        <f t="shared" si="72"/>
        <v>#N/A</v>
      </c>
    </row>
    <row r="75" spans="1:35" x14ac:dyDescent="0.25">
      <c r="A75" s="25">
        <v>72</v>
      </c>
      <c r="B75" s="5">
        <v>72</v>
      </c>
      <c r="C75" s="171" t="str">
        <f t="shared" si="45"/>
        <v>-</v>
      </c>
      <c r="D75" s="171" t="str">
        <f t="shared" si="46"/>
        <v>-</v>
      </c>
      <c r="E75" s="259" t="str">
        <f t="shared" si="47"/>
        <v>-</v>
      </c>
      <c r="F75" s="259" t="str">
        <f t="shared" si="48"/>
        <v>-</v>
      </c>
      <c r="G75" s="259" t="str">
        <f t="shared" si="49"/>
        <v>-</v>
      </c>
      <c r="H75" s="259" t="str">
        <f t="shared" si="50"/>
        <v>-</v>
      </c>
      <c r="I75" s="259" t="str">
        <f t="shared" si="51"/>
        <v>-</v>
      </c>
      <c r="J75" s="294" t="s">
        <v>800</v>
      </c>
      <c r="K75" s="259" t="str">
        <f t="shared" si="52"/>
        <v>-</v>
      </c>
      <c r="L75" s="259" t="str">
        <f t="shared" si="53"/>
        <v>-</v>
      </c>
      <c r="M75" s="259" t="str">
        <f t="shared" si="54"/>
        <v>-</v>
      </c>
      <c r="N75" s="259" t="str">
        <f t="shared" si="55"/>
        <v>-</v>
      </c>
      <c r="O75" s="259"/>
      <c r="Q75" s="124" t="str">
        <f t="shared" ca="1" si="62"/>
        <v/>
      </c>
      <c r="R75" s="124" t="str">
        <f t="shared" ca="1" si="63"/>
        <v/>
      </c>
      <c r="S75" s="124" t="e">
        <f t="shared" si="56"/>
        <v>#N/A</v>
      </c>
      <c r="T75" s="124" t="e">
        <f t="shared" si="57"/>
        <v>#N/A</v>
      </c>
      <c r="U75" s="123" t="str">
        <f>"D:\IMS Images\Headshots\"&amp;IF('Team Info'!$B$21="BASEBALL","CBASE","SBALL")&amp;"\"&amp;'Team Info'!$B$11&amp;"\"&amp;D75&amp;"_"&amp;C75&amp;".png"</f>
        <v>D:\IMS Images\Headshots\CBASE\GENERIC_BASEBALL\-_-.png</v>
      </c>
      <c r="V75" s="123" t="str">
        <f>"D:\IMS Images\ActionShots\"&amp;IF('Team Info'!$B$21="BASEBALL","CBASE","SBALL")&amp;"\"&amp;'Team Info'!$B$11&amp;"\"&amp;D75&amp;"_"&amp;C75&amp;".png"</f>
        <v>D:\IMS Images\ActionShots\CBASE\GENERIC_BASEBALL\-_-.png</v>
      </c>
      <c r="W75" s="192" t="str">
        <f t="shared" si="64"/>
        <v>72 - -</v>
      </c>
      <c r="X75" s="122" t="str">
        <f t="shared" si="58"/>
        <v>- -</v>
      </c>
      <c r="Y75" s="122" t="str">
        <f t="shared" si="59"/>
        <v>- -</v>
      </c>
      <c r="Z75" s="122" t="str">
        <f t="shared" si="60"/>
        <v>-. -</v>
      </c>
      <c r="AA75" s="122" t="str">
        <f t="shared" si="65"/>
        <v>-</v>
      </c>
      <c r="AB75" s="122" t="str">
        <f t="shared" si="66"/>
        <v>-</v>
      </c>
      <c r="AC75" s="125" t="str">
        <f t="shared" si="73"/>
        <v/>
      </c>
      <c r="AD75" s="191" t="str">
        <f t="shared" si="68"/>
        <v/>
      </c>
      <c r="AE75" s="122" t="str">
        <f t="shared" si="61"/>
        <v/>
      </c>
      <c r="AF75" s="122" t="str">
        <f t="shared" si="69"/>
        <v>- lbs</v>
      </c>
      <c r="AG75" s="122" t="str">
        <f t="shared" si="70"/>
        <v>MAJOR: -</v>
      </c>
      <c r="AH75" s="192" t="str">
        <f t="shared" si="71"/>
        <v>72 - -</v>
      </c>
      <c r="AI75" s="266" t="e">
        <f t="shared" si="72"/>
        <v>#N/A</v>
      </c>
    </row>
    <row r="76" spans="1:35" x14ac:dyDescent="0.25">
      <c r="A76" s="25">
        <v>73</v>
      </c>
      <c r="B76" s="5">
        <v>73</v>
      </c>
      <c r="C76" s="171" t="str">
        <f t="shared" si="45"/>
        <v>-</v>
      </c>
      <c r="D76" s="171" t="str">
        <f t="shared" si="46"/>
        <v>-</v>
      </c>
      <c r="E76" s="259" t="str">
        <f t="shared" si="47"/>
        <v>-</v>
      </c>
      <c r="F76" s="259" t="str">
        <f t="shared" si="48"/>
        <v>-</v>
      </c>
      <c r="G76" s="259" t="str">
        <f t="shared" si="49"/>
        <v>-</v>
      </c>
      <c r="H76" s="259" t="str">
        <f t="shared" si="50"/>
        <v>-</v>
      </c>
      <c r="I76" s="259" t="str">
        <f t="shared" si="51"/>
        <v>-</v>
      </c>
      <c r="J76" s="294" t="s">
        <v>800</v>
      </c>
      <c r="K76" s="259" t="str">
        <f t="shared" si="52"/>
        <v>-</v>
      </c>
      <c r="L76" s="259" t="str">
        <f t="shared" si="53"/>
        <v>-</v>
      </c>
      <c r="M76" s="259" t="str">
        <f t="shared" si="54"/>
        <v>-</v>
      </c>
      <c r="N76" s="259" t="str">
        <f t="shared" si="55"/>
        <v>-</v>
      </c>
      <c r="O76" s="259"/>
      <c r="Q76" s="124" t="str">
        <f t="shared" ca="1" si="62"/>
        <v/>
      </c>
      <c r="R76" s="124" t="str">
        <f t="shared" ca="1" si="63"/>
        <v/>
      </c>
      <c r="S76" s="124" t="e">
        <f t="shared" si="56"/>
        <v>#N/A</v>
      </c>
      <c r="T76" s="124" t="e">
        <f t="shared" si="57"/>
        <v>#N/A</v>
      </c>
      <c r="U76" s="123" t="str">
        <f>"D:\IMS Images\Headshots\"&amp;IF('Team Info'!$B$21="BASEBALL","CBASE","SBALL")&amp;"\"&amp;'Team Info'!$B$11&amp;"\"&amp;D76&amp;"_"&amp;C76&amp;".png"</f>
        <v>D:\IMS Images\Headshots\CBASE\GENERIC_BASEBALL\-_-.png</v>
      </c>
      <c r="V76" s="123" t="str">
        <f>"D:\IMS Images\ActionShots\"&amp;IF('Team Info'!$B$21="BASEBALL","CBASE","SBALL")&amp;"\"&amp;'Team Info'!$B$11&amp;"\"&amp;D76&amp;"_"&amp;C76&amp;".png"</f>
        <v>D:\IMS Images\ActionShots\CBASE\GENERIC_BASEBALL\-_-.png</v>
      </c>
      <c r="W76" s="192" t="str">
        <f t="shared" si="64"/>
        <v>73 - -</v>
      </c>
      <c r="X76" s="122" t="str">
        <f t="shared" si="58"/>
        <v>- -</v>
      </c>
      <c r="Y76" s="122" t="str">
        <f t="shared" si="59"/>
        <v>- -</v>
      </c>
      <c r="Z76" s="122" t="str">
        <f t="shared" si="60"/>
        <v>-. -</v>
      </c>
      <c r="AA76" s="122" t="str">
        <f t="shared" si="65"/>
        <v>-</v>
      </c>
      <c r="AB76" s="122" t="str">
        <f t="shared" si="66"/>
        <v>-</v>
      </c>
      <c r="AC76" s="125" t="str">
        <f t="shared" si="73"/>
        <v/>
      </c>
      <c r="AD76" s="191" t="str">
        <f t="shared" si="68"/>
        <v/>
      </c>
      <c r="AE76" s="122" t="str">
        <f t="shared" si="61"/>
        <v/>
      </c>
      <c r="AF76" s="122" t="str">
        <f t="shared" si="69"/>
        <v>- lbs</v>
      </c>
      <c r="AG76" s="122" t="str">
        <f t="shared" si="70"/>
        <v>MAJOR: -</v>
      </c>
      <c r="AH76" s="192" t="str">
        <f t="shared" si="71"/>
        <v>73 - -</v>
      </c>
      <c r="AI76" s="266" t="e">
        <f t="shared" si="72"/>
        <v>#N/A</v>
      </c>
    </row>
    <row r="77" spans="1:35" x14ac:dyDescent="0.25">
      <c r="A77" s="25">
        <v>74</v>
      </c>
      <c r="B77" s="5">
        <v>74</v>
      </c>
      <c r="C77" s="171" t="str">
        <f t="shared" si="45"/>
        <v>-</v>
      </c>
      <c r="D77" s="171" t="str">
        <f t="shared" si="46"/>
        <v>-</v>
      </c>
      <c r="E77" s="259" t="str">
        <f t="shared" si="47"/>
        <v>-</v>
      </c>
      <c r="F77" s="259" t="str">
        <f t="shared" si="48"/>
        <v>-</v>
      </c>
      <c r="G77" s="259" t="str">
        <f t="shared" si="49"/>
        <v>-</v>
      </c>
      <c r="H77" s="259" t="str">
        <f t="shared" si="50"/>
        <v>-</v>
      </c>
      <c r="I77" s="259" t="str">
        <f t="shared" si="51"/>
        <v>-</v>
      </c>
      <c r="J77" s="294" t="s">
        <v>800</v>
      </c>
      <c r="K77" s="259" t="str">
        <f t="shared" si="52"/>
        <v>-</v>
      </c>
      <c r="L77" s="259" t="str">
        <f t="shared" si="53"/>
        <v>-</v>
      </c>
      <c r="M77" s="259" t="str">
        <f t="shared" si="54"/>
        <v>-</v>
      </c>
      <c r="N77" s="259" t="str">
        <f t="shared" si="55"/>
        <v>-</v>
      </c>
      <c r="O77" s="259"/>
      <c r="Q77" s="124" t="str">
        <f t="shared" ca="1" si="62"/>
        <v/>
      </c>
      <c r="R77" s="124" t="str">
        <f t="shared" ca="1" si="63"/>
        <v/>
      </c>
      <c r="S77" s="124" t="e">
        <f t="shared" si="56"/>
        <v>#N/A</v>
      </c>
      <c r="T77" s="124" t="e">
        <f t="shared" si="57"/>
        <v>#N/A</v>
      </c>
      <c r="U77" s="123" t="str">
        <f>"D:\IMS Images\Headshots\"&amp;IF('Team Info'!$B$21="BASEBALL","CBASE","SBALL")&amp;"\"&amp;'Team Info'!$B$11&amp;"\"&amp;D77&amp;"_"&amp;C77&amp;".png"</f>
        <v>D:\IMS Images\Headshots\CBASE\GENERIC_BASEBALL\-_-.png</v>
      </c>
      <c r="V77" s="123" t="str">
        <f>"D:\IMS Images\ActionShots\"&amp;IF('Team Info'!$B$21="BASEBALL","CBASE","SBALL")&amp;"\"&amp;'Team Info'!$B$11&amp;"\"&amp;D77&amp;"_"&amp;C77&amp;".png"</f>
        <v>D:\IMS Images\ActionShots\CBASE\GENERIC_BASEBALL\-_-.png</v>
      </c>
      <c r="W77" s="192" t="str">
        <f t="shared" si="64"/>
        <v>74 - -</v>
      </c>
      <c r="X77" s="122" t="str">
        <f t="shared" si="58"/>
        <v>- -</v>
      </c>
      <c r="Y77" s="122" t="str">
        <f t="shared" si="59"/>
        <v>- -</v>
      </c>
      <c r="Z77" s="122" t="str">
        <f t="shared" si="60"/>
        <v>-. -</v>
      </c>
      <c r="AA77" s="122" t="str">
        <f t="shared" si="65"/>
        <v>-</v>
      </c>
      <c r="AB77" s="122" t="str">
        <f t="shared" si="66"/>
        <v>-</v>
      </c>
      <c r="AC77" s="125" t="str">
        <f t="shared" si="73"/>
        <v/>
      </c>
      <c r="AD77" s="191" t="str">
        <f t="shared" si="68"/>
        <v/>
      </c>
      <c r="AE77" s="122" t="str">
        <f t="shared" si="61"/>
        <v/>
      </c>
      <c r="AF77" s="122" t="str">
        <f t="shared" si="69"/>
        <v>- lbs</v>
      </c>
      <c r="AG77" s="122" t="str">
        <f t="shared" si="70"/>
        <v>MAJOR: -</v>
      </c>
      <c r="AH77" s="192" t="str">
        <f t="shared" si="71"/>
        <v>74 - -</v>
      </c>
      <c r="AI77" s="266" t="e">
        <f t="shared" si="72"/>
        <v>#N/A</v>
      </c>
    </row>
    <row r="78" spans="1:35" x14ac:dyDescent="0.25">
      <c r="A78" s="25">
        <v>75</v>
      </c>
      <c r="B78" s="5">
        <v>75</v>
      </c>
      <c r="C78" s="171" t="str">
        <f t="shared" si="45"/>
        <v>-</v>
      </c>
      <c r="D78" s="171" t="str">
        <f t="shared" si="46"/>
        <v>-</v>
      </c>
      <c r="E78" s="259" t="str">
        <f t="shared" si="47"/>
        <v>-</v>
      </c>
      <c r="F78" s="259" t="str">
        <f t="shared" si="48"/>
        <v>-</v>
      </c>
      <c r="G78" s="259" t="str">
        <f t="shared" si="49"/>
        <v>-</v>
      </c>
      <c r="H78" s="259" t="str">
        <f t="shared" si="50"/>
        <v>-</v>
      </c>
      <c r="I78" s="259" t="str">
        <f t="shared" si="51"/>
        <v>-</v>
      </c>
      <c r="J78" s="294" t="s">
        <v>800</v>
      </c>
      <c r="K78" s="259" t="str">
        <f t="shared" si="52"/>
        <v>-</v>
      </c>
      <c r="L78" s="259" t="str">
        <f t="shared" si="53"/>
        <v>-</v>
      </c>
      <c r="M78" s="259" t="str">
        <f t="shared" si="54"/>
        <v>-</v>
      </c>
      <c r="N78" s="259" t="str">
        <f t="shared" si="55"/>
        <v>-</v>
      </c>
      <c r="O78" s="259"/>
      <c r="Q78" s="124" t="str">
        <f t="shared" ca="1" si="62"/>
        <v/>
      </c>
      <c r="R78" s="124" t="str">
        <f t="shared" ca="1" si="63"/>
        <v/>
      </c>
      <c r="S78" s="124" t="e">
        <f t="shared" si="56"/>
        <v>#N/A</v>
      </c>
      <c r="T78" s="124" t="e">
        <f t="shared" si="57"/>
        <v>#N/A</v>
      </c>
      <c r="U78" s="123" t="str">
        <f>"D:\IMS Images\Headshots\"&amp;IF('Team Info'!$B$21="BASEBALL","CBASE","SBALL")&amp;"\"&amp;'Team Info'!$B$11&amp;"\"&amp;D78&amp;"_"&amp;C78&amp;".png"</f>
        <v>D:\IMS Images\Headshots\CBASE\GENERIC_BASEBALL\-_-.png</v>
      </c>
      <c r="V78" s="123" t="str">
        <f>"D:\IMS Images\ActionShots\"&amp;IF('Team Info'!$B$21="BASEBALL","CBASE","SBALL")&amp;"\"&amp;'Team Info'!$B$11&amp;"\"&amp;D78&amp;"_"&amp;C78&amp;".png"</f>
        <v>D:\IMS Images\ActionShots\CBASE\GENERIC_BASEBALL\-_-.png</v>
      </c>
      <c r="W78" s="192" t="str">
        <f t="shared" si="64"/>
        <v>75 - -</v>
      </c>
      <c r="X78" s="122" t="str">
        <f t="shared" si="58"/>
        <v>- -</v>
      </c>
      <c r="Y78" s="122" t="str">
        <f t="shared" si="59"/>
        <v>- -</v>
      </c>
      <c r="Z78" s="122" t="str">
        <f t="shared" si="60"/>
        <v>-. -</v>
      </c>
      <c r="AA78" s="122" t="str">
        <f t="shared" si="65"/>
        <v>-</v>
      </c>
      <c r="AB78" s="122" t="str">
        <f t="shared" si="66"/>
        <v>-</v>
      </c>
      <c r="AC78" s="125" t="str">
        <f t="shared" si="73"/>
        <v/>
      </c>
      <c r="AD78" s="191" t="str">
        <f t="shared" si="68"/>
        <v/>
      </c>
      <c r="AE78" s="122" t="str">
        <f t="shared" si="61"/>
        <v/>
      </c>
      <c r="AF78" s="122" t="str">
        <f t="shared" si="69"/>
        <v>- lbs</v>
      </c>
      <c r="AG78" s="122" t="str">
        <f t="shared" si="70"/>
        <v>MAJOR: -</v>
      </c>
      <c r="AH78" s="192" t="str">
        <f t="shared" si="71"/>
        <v>75 - -</v>
      </c>
      <c r="AI78" s="266" t="e">
        <f t="shared" si="72"/>
        <v>#N/A</v>
      </c>
    </row>
    <row r="79" spans="1:35" x14ac:dyDescent="0.25">
      <c r="A79" s="25">
        <v>76</v>
      </c>
      <c r="B79" s="5">
        <v>76</v>
      </c>
      <c r="C79" s="171" t="str">
        <f t="shared" si="45"/>
        <v>-</v>
      </c>
      <c r="D79" s="171" t="str">
        <f t="shared" si="46"/>
        <v>-</v>
      </c>
      <c r="E79" s="259" t="str">
        <f t="shared" si="47"/>
        <v>-</v>
      </c>
      <c r="F79" s="259" t="str">
        <f t="shared" si="48"/>
        <v>-</v>
      </c>
      <c r="G79" s="259" t="str">
        <f t="shared" si="49"/>
        <v>-</v>
      </c>
      <c r="H79" s="259" t="str">
        <f t="shared" si="50"/>
        <v>-</v>
      </c>
      <c r="I79" s="259" t="str">
        <f t="shared" si="51"/>
        <v>-</v>
      </c>
      <c r="J79" s="294" t="s">
        <v>800</v>
      </c>
      <c r="K79" s="259" t="str">
        <f t="shared" si="52"/>
        <v>-</v>
      </c>
      <c r="L79" s="259" t="str">
        <f t="shared" si="53"/>
        <v>-</v>
      </c>
      <c r="M79" s="259" t="str">
        <f t="shared" si="54"/>
        <v>-</v>
      </c>
      <c r="N79" s="259" t="str">
        <f t="shared" si="55"/>
        <v>-</v>
      </c>
      <c r="O79" s="259"/>
      <c r="Q79" s="124" t="str">
        <f t="shared" ca="1" si="62"/>
        <v/>
      </c>
      <c r="R79" s="124" t="str">
        <f t="shared" ca="1" si="63"/>
        <v/>
      </c>
      <c r="S79" s="124" t="e">
        <f t="shared" si="56"/>
        <v>#N/A</v>
      </c>
      <c r="T79" s="124" t="e">
        <f t="shared" si="57"/>
        <v>#N/A</v>
      </c>
      <c r="U79" s="123" t="str">
        <f>"D:\IMS Images\Headshots\"&amp;IF('Team Info'!$B$21="BASEBALL","CBASE","SBALL")&amp;"\"&amp;'Team Info'!$B$11&amp;"\"&amp;D79&amp;"_"&amp;C79&amp;".png"</f>
        <v>D:\IMS Images\Headshots\CBASE\GENERIC_BASEBALL\-_-.png</v>
      </c>
      <c r="V79" s="123" t="str">
        <f>"D:\IMS Images\ActionShots\"&amp;IF('Team Info'!$B$21="BASEBALL","CBASE","SBALL")&amp;"\"&amp;'Team Info'!$B$11&amp;"\"&amp;D79&amp;"_"&amp;C79&amp;".png"</f>
        <v>D:\IMS Images\ActionShots\CBASE\GENERIC_BASEBALL\-_-.png</v>
      </c>
      <c r="W79" s="192" t="str">
        <f t="shared" si="64"/>
        <v>76 - -</v>
      </c>
      <c r="X79" s="122" t="str">
        <f t="shared" si="58"/>
        <v>- -</v>
      </c>
      <c r="Y79" s="122" t="str">
        <f t="shared" si="59"/>
        <v>- -</v>
      </c>
      <c r="Z79" s="122" t="str">
        <f t="shared" si="60"/>
        <v>-. -</v>
      </c>
      <c r="AA79" s="122" t="str">
        <f t="shared" si="65"/>
        <v>-</v>
      </c>
      <c r="AB79" s="122" t="str">
        <f t="shared" si="66"/>
        <v>-</v>
      </c>
      <c r="AC79" s="125" t="str">
        <f t="shared" si="73"/>
        <v/>
      </c>
      <c r="AD79" s="191" t="str">
        <f t="shared" si="68"/>
        <v/>
      </c>
      <c r="AE79" s="122" t="str">
        <f t="shared" si="61"/>
        <v/>
      </c>
      <c r="AF79" s="122" t="str">
        <f t="shared" si="69"/>
        <v>- lbs</v>
      </c>
      <c r="AG79" s="122" t="str">
        <f t="shared" si="70"/>
        <v>MAJOR: -</v>
      </c>
      <c r="AH79" s="192" t="str">
        <f t="shared" si="71"/>
        <v>76 - -</v>
      </c>
      <c r="AI79" s="266" t="e">
        <f t="shared" si="72"/>
        <v>#N/A</v>
      </c>
    </row>
    <row r="80" spans="1:35" x14ac:dyDescent="0.25">
      <c r="A80" s="25">
        <v>77</v>
      </c>
      <c r="B80" s="5">
        <v>77</v>
      </c>
      <c r="C80" s="171" t="str">
        <f t="shared" si="45"/>
        <v>-</v>
      </c>
      <c r="D80" s="171" t="str">
        <f t="shared" si="46"/>
        <v>-</v>
      </c>
      <c r="E80" s="259" t="str">
        <f t="shared" si="47"/>
        <v>-</v>
      </c>
      <c r="F80" s="259" t="str">
        <f t="shared" si="48"/>
        <v>-</v>
      </c>
      <c r="G80" s="259" t="str">
        <f t="shared" si="49"/>
        <v>-</v>
      </c>
      <c r="H80" s="259" t="str">
        <f t="shared" si="50"/>
        <v>-</v>
      </c>
      <c r="I80" s="259" t="str">
        <f t="shared" si="51"/>
        <v>-</v>
      </c>
      <c r="J80" s="294" t="s">
        <v>800</v>
      </c>
      <c r="K80" s="259" t="str">
        <f t="shared" si="52"/>
        <v>-</v>
      </c>
      <c r="L80" s="259" t="str">
        <f t="shared" si="53"/>
        <v>-</v>
      </c>
      <c r="M80" s="259" t="str">
        <f t="shared" si="54"/>
        <v>-</v>
      </c>
      <c r="N80" s="259" t="str">
        <f t="shared" si="55"/>
        <v>-</v>
      </c>
      <c r="O80" s="259"/>
      <c r="Q80" s="124" t="str">
        <f t="shared" ca="1" si="62"/>
        <v/>
      </c>
      <c r="R80" s="124" t="str">
        <f t="shared" ca="1" si="63"/>
        <v/>
      </c>
      <c r="S80" s="124" t="e">
        <f t="shared" si="56"/>
        <v>#N/A</v>
      </c>
      <c r="T80" s="124" t="e">
        <f t="shared" si="57"/>
        <v>#N/A</v>
      </c>
      <c r="U80" s="123" t="str">
        <f>"D:\IMS Images\Headshots\"&amp;IF('Team Info'!$B$21="BASEBALL","CBASE","SBALL")&amp;"\"&amp;'Team Info'!$B$11&amp;"\"&amp;D80&amp;"_"&amp;C80&amp;".png"</f>
        <v>D:\IMS Images\Headshots\CBASE\GENERIC_BASEBALL\-_-.png</v>
      </c>
      <c r="V80" s="123" t="str">
        <f>"D:\IMS Images\ActionShots\"&amp;IF('Team Info'!$B$21="BASEBALL","CBASE","SBALL")&amp;"\"&amp;'Team Info'!$B$11&amp;"\"&amp;D80&amp;"_"&amp;C80&amp;".png"</f>
        <v>D:\IMS Images\ActionShots\CBASE\GENERIC_BASEBALL\-_-.png</v>
      </c>
      <c r="W80" s="192" t="str">
        <f t="shared" si="64"/>
        <v>77 - -</v>
      </c>
      <c r="X80" s="122" t="str">
        <f t="shared" si="58"/>
        <v>- -</v>
      </c>
      <c r="Y80" s="122" t="str">
        <f t="shared" si="59"/>
        <v>- -</v>
      </c>
      <c r="Z80" s="122" t="str">
        <f t="shared" si="60"/>
        <v>-. -</v>
      </c>
      <c r="AA80" s="122" t="str">
        <f t="shared" si="65"/>
        <v>-</v>
      </c>
      <c r="AB80" s="122" t="str">
        <f t="shared" si="66"/>
        <v>-</v>
      </c>
      <c r="AC80" s="125" t="str">
        <f t="shared" si="73"/>
        <v/>
      </c>
      <c r="AD80" s="191" t="str">
        <f t="shared" si="68"/>
        <v/>
      </c>
      <c r="AE80" s="122" t="str">
        <f t="shared" si="61"/>
        <v/>
      </c>
      <c r="AF80" s="122" t="str">
        <f t="shared" si="69"/>
        <v>- lbs</v>
      </c>
      <c r="AG80" s="122" t="str">
        <f t="shared" si="70"/>
        <v>MAJOR: -</v>
      </c>
      <c r="AH80" s="192" t="str">
        <f t="shared" si="71"/>
        <v>77 - -</v>
      </c>
      <c r="AI80" s="266" t="e">
        <f t="shared" si="72"/>
        <v>#N/A</v>
      </c>
    </row>
    <row r="81" spans="1:35" x14ac:dyDescent="0.25">
      <c r="A81" s="25">
        <v>78</v>
      </c>
      <c r="B81" s="5">
        <v>78</v>
      </c>
      <c r="C81" s="171" t="str">
        <f t="shared" si="45"/>
        <v>-</v>
      </c>
      <c r="D81" s="171" t="str">
        <f t="shared" si="46"/>
        <v>-</v>
      </c>
      <c r="E81" s="259" t="str">
        <f t="shared" si="47"/>
        <v>-</v>
      </c>
      <c r="F81" s="259" t="str">
        <f t="shared" si="48"/>
        <v>-</v>
      </c>
      <c r="G81" s="259" t="str">
        <f t="shared" si="49"/>
        <v>-</v>
      </c>
      <c r="H81" s="259" t="str">
        <f t="shared" si="50"/>
        <v>-</v>
      </c>
      <c r="I81" s="259" t="str">
        <f t="shared" si="51"/>
        <v>-</v>
      </c>
      <c r="J81" s="294" t="s">
        <v>800</v>
      </c>
      <c r="K81" s="259" t="str">
        <f t="shared" si="52"/>
        <v>-</v>
      </c>
      <c r="L81" s="259" t="str">
        <f t="shared" si="53"/>
        <v>-</v>
      </c>
      <c r="M81" s="259" t="str">
        <f t="shared" si="54"/>
        <v>-</v>
      </c>
      <c r="N81" s="259" t="str">
        <f t="shared" si="55"/>
        <v>-</v>
      </c>
      <c r="O81" s="259"/>
      <c r="Q81" s="124" t="str">
        <f t="shared" ca="1" si="62"/>
        <v/>
      </c>
      <c r="R81" s="124" t="str">
        <f t="shared" ca="1" si="63"/>
        <v/>
      </c>
      <c r="S81" s="124" t="e">
        <f t="shared" si="56"/>
        <v>#N/A</v>
      </c>
      <c r="T81" s="124" t="e">
        <f t="shared" si="57"/>
        <v>#N/A</v>
      </c>
      <c r="U81" s="123" t="str">
        <f>"D:\IMS Images\Headshots\"&amp;IF('Team Info'!$B$21="BASEBALL","CBASE","SBALL")&amp;"\"&amp;'Team Info'!$B$11&amp;"\"&amp;D81&amp;"_"&amp;C81&amp;".png"</f>
        <v>D:\IMS Images\Headshots\CBASE\GENERIC_BASEBALL\-_-.png</v>
      </c>
      <c r="V81" s="123" t="str">
        <f>"D:\IMS Images\ActionShots\"&amp;IF('Team Info'!$B$21="BASEBALL","CBASE","SBALL")&amp;"\"&amp;'Team Info'!$B$11&amp;"\"&amp;D81&amp;"_"&amp;C81&amp;".png"</f>
        <v>D:\IMS Images\ActionShots\CBASE\GENERIC_BASEBALL\-_-.png</v>
      </c>
      <c r="W81" s="192" t="str">
        <f t="shared" si="64"/>
        <v>78 - -</v>
      </c>
      <c r="X81" s="122" t="str">
        <f t="shared" si="58"/>
        <v>- -</v>
      </c>
      <c r="Y81" s="122" t="str">
        <f t="shared" si="59"/>
        <v>- -</v>
      </c>
      <c r="Z81" s="122" t="str">
        <f t="shared" si="60"/>
        <v>-. -</v>
      </c>
      <c r="AA81" s="122" t="str">
        <f t="shared" si="65"/>
        <v>-</v>
      </c>
      <c r="AB81" s="122" t="str">
        <f t="shared" si="66"/>
        <v>-</v>
      </c>
      <c r="AC81" s="125" t="str">
        <f t="shared" si="73"/>
        <v/>
      </c>
      <c r="AD81" s="191" t="str">
        <f t="shared" si="68"/>
        <v/>
      </c>
      <c r="AE81" s="122" t="str">
        <f t="shared" si="61"/>
        <v/>
      </c>
      <c r="AF81" s="122" t="str">
        <f t="shared" si="69"/>
        <v>- lbs</v>
      </c>
      <c r="AG81" s="122" t="str">
        <f t="shared" si="70"/>
        <v>MAJOR: -</v>
      </c>
      <c r="AH81" s="192" t="str">
        <f t="shared" si="71"/>
        <v>78 - -</v>
      </c>
      <c r="AI81" s="266" t="e">
        <f t="shared" si="72"/>
        <v>#N/A</v>
      </c>
    </row>
    <row r="82" spans="1:35" x14ac:dyDescent="0.25">
      <c r="A82" s="25">
        <v>79</v>
      </c>
      <c r="B82" s="5">
        <v>79</v>
      </c>
      <c r="C82" s="171" t="str">
        <f t="shared" si="45"/>
        <v>-</v>
      </c>
      <c r="D82" s="171" t="str">
        <f t="shared" si="46"/>
        <v>-</v>
      </c>
      <c r="E82" s="259" t="str">
        <f t="shared" si="47"/>
        <v>-</v>
      </c>
      <c r="F82" s="259" t="str">
        <f t="shared" si="48"/>
        <v>-</v>
      </c>
      <c r="G82" s="259" t="str">
        <f t="shared" si="49"/>
        <v>-</v>
      </c>
      <c r="H82" s="259" t="str">
        <f t="shared" si="50"/>
        <v>-</v>
      </c>
      <c r="I82" s="259" t="str">
        <f t="shared" si="51"/>
        <v>-</v>
      </c>
      <c r="J82" s="294" t="s">
        <v>800</v>
      </c>
      <c r="K82" s="259" t="str">
        <f t="shared" si="52"/>
        <v>-</v>
      </c>
      <c r="L82" s="259" t="str">
        <f t="shared" si="53"/>
        <v>-</v>
      </c>
      <c r="M82" s="259" t="str">
        <f t="shared" si="54"/>
        <v>-</v>
      </c>
      <c r="N82" s="259" t="str">
        <f t="shared" si="55"/>
        <v>-</v>
      </c>
      <c r="O82" s="259"/>
      <c r="Q82" s="124" t="str">
        <f t="shared" ca="1" si="62"/>
        <v/>
      </c>
      <c r="R82" s="124" t="str">
        <f t="shared" ca="1" si="63"/>
        <v/>
      </c>
      <c r="S82" s="124" t="e">
        <f t="shared" si="56"/>
        <v>#N/A</v>
      </c>
      <c r="T82" s="124" t="e">
        <f t="shared" si="57"/>
        <v>#N/A</v>
      </c>
      <c r="U82" s="123" t="str">
        <f>"D:\IMS Images\Headshots\"&amp;IF('Team Info'!$B$21="BASEBALL","CBASE","SBALL")&amp;"\"&amp;'Team Info'!$B$11&amp;"\"&amp;D82&amp;"_"&amp;C82&amp;".png"</f>
        <v>D:\IMS Images\Headshots\CBASE\GENERIC_BASEBALL\-_-.png</v>
      </c>
      <c r="V82" s="123" t="str">
        <f>"D:\IMS Images\ActionShots\"&amp;IF('Team Info'!$B$21="BASEBALL","CBASE","SBALL")&amp;"\"&amp;'Team Info'!$B$11&amp;"\"&amp;D82&amp;"_"&amp;C82&amp;".png"</f>
        <v>D:\IMS Images\ActionShots\CBASE\GENERIC_BASEBALL\-_-.png</v>
      </c>
      <c r="W82" s="192" t="str">
        <f t="shared" si="64"/>
        <v>79 - -</v>
      </c>
      <c r="X82" s="122" t="str">
        <f t="shared" si="58"/>
        <v>- -</v>
      </c>
      <c r="Y82" s="122" t="str">
        <f t="shared" si="59"/>
        <v>- -</v>
      </c>
      <c r="Z82" s="122" t="str">
        <f t="shared" si="60"/>
        <v>-. -</v>
      </c>
      <c r="AA82" s="122" t="str">
        <f t="shared" si="65"/>
        <v>-</v>
      </c>
      <c r="AB82" s="122" t="str">
        <f t="shared" si="66"/>
        <v>-</v>
      </c>
      <c r="AC82" s="125" t="str">
        <f t="shared" si="73"/>
        <v/>
      </c>
      <c r="AD82" s="191" t="str">
        <f t="shared" si="68"/>
        <v/>
      </c>
      <c r="AE82" s="122" t="str">
        <f t="shared" si="61"/>
        <v/>
      </c>
      <c r="AF82" s="122" t="str">
        <f t="shared" si="69"/>
        <v>- lbs</v>
      </c>
      <c r="AG82" s="122" t="str">
        <f t="shared" si="70"/>
        <v>MAJOR: -</v>
      </c>
      <c r="AH82" s="192" t="str">
        <f t="shared" si="71"/>
        <v>79 - -</v>
      </c>
      <c r="AI82" s="266" t="e">
        <f t="shared" si="72"/>
        <v>#N/A</v>
      </c>
    </row>
    <row r="83" spans="1:35" x14ac:dyDescent="0.25">
      <c r="A83" s="25">
        <v>80</v>
      </c>
      <c r="B83" s="5">
        <v>80</v>
      </c>
      <c r="C83" s="171" t="str">
        <f t="shared" si="45"/>
        <v>-</v>
      </c>
      <c r="D83" s="171" t="str">
        <f t="shared" si="46"/>
        <v>-</v>
      </c>
      <c r="E83" s="259" t="str">
        <f t="shared" si="47"/>
        <v>-</v>
      </c>
      <c r="F83" s="259" t="str">
        <f t="shared" si="48"/>
        <v>-</v>
      </c>
      <c r="G83" s="259" t="str">
        <f t="shared" si="49"/>
        <v>-</v>
      </c>
      <c r="H83" s="259" t="str">
        <f t="shared" si="50"/>
        <v>-</v>
      </c>
      <c r="I83" s="259" t="str">
        <f t="shared" si="51"/>
        <v>-</v>
      </c>
      <c r="J83" s="294" t="s">
        <v>800</v>
      </c>
      <c r="K83" s="259" t="str">
        <f t="shared" si="52"/>
        <v>-</v>
      </c>
      <c r="L83" s="259" t="str">
        <f t="shared" si="53"/>
        <v>-</v>
      </c>
      <c r="M83" s="259" t="str">
        <f t="shared" si="54"/>
        <v>-</v>
      </c>
      <c r="N83" s="259" t="str">
        <f t="shared" si="55"/>
        <v>-</v>
      </c>
      <c r="O83" s="259"/>
      <c r="Q83" s="124" t="str">
        <f t="shared" ca="1" si="62"/>
        <v/>
      </c>
      <c r="R83" s="124" t="str">
        <f t="shared" ca="1" si="63"/>
        <v/>
      </c>
      <c r="S83" s="124" t="e">
        <f t="shared" si="56"/>
        <v>#N/A</v>
      </c>
      <c r="T83" s="124" t="e">
        <f t="shared" si="57"/>
        <v>#N/A</v>
      </c>
      <c r="U83" s="123" t="str">
        <f>"D:\IMS Images\Headshots\"&amp;IF('Team Info'!$B$21="BASEBALL","CBASE","SBALL")&amp;"\"&amp;'Team Info'!$B$11&amp;"\"&amp;D83&amp;"_"&amp;C83&amp;".png"</f>
        <v>D:\IMS Images\Headshots\CBASE\GENERIC_BASEBALL\-_-.png</v>
      </c>
      <c r="V83" s="123" t="str">
        <f>"D:\IMS Images\ActionShots\"&amp;IF('Team Info'!$B$21="BASEBALL","CBASE","SBALL")&amp;"\"&amp;'Team Info'!$B$11&amp;"\"&amp;D83&amp;"_"&amp;C83&amp;".png"</f>
        <v>D:\IMS Images\ActionShots\CBASE\GENERIC_BASEBALL\-_-.png</v>
      </c>
      <c r="W83" s="192" t="str">
        <f t="shared" si="64"/>
        <v>80 - -</v>
      </c>
      <c r="X83" s="122" t="str">
        <f t="shared" si="58"/>
        <v>- -</v>
      </c>
      <c r="Y83" s="122" t="str">
        <f t="shared" si="59"/>
        <v>- -</v>
      </c>
      <c r="Z83" s="122" t="str">
        <f t="shared" si="60"/>
        <v>-. -</v>
      </c>
      <c r="AA83" s="122" t="str">
        <f t="shared" si="65"/>
        <v>-</v>
      </c>
      <c r="AB83" s="122" t="str">
        <f t="shared" si="66"/>
        <v>-</v>
      </c>
      <c r="AC83" s="125" t="str">
        <f t="shared" si="73"/>
        <v/>
      </c>
      <c r="AD83" s="191" t="str">
        <f t="shared" si="68"/>
        <v/>
      </c>
      <c r="AE83" s="122" t="str">
        <f t="shared" si="61"/>
        <v/>
      </c>
      <c r="AF83" s="122" t="str">
        <f t="shared" si="69"/>
        <v>- lbs</v>
      </c>
      <c r="AG83" s="122" t="str">
        <f t="shared" si="70"/>
        <v>MAJOR: -</v>
      </c>
      <c r="AH83" s="192" t="str">
        <f t="shared" si="71"/>
        <v>80 - -</v>
      </c>
      <c r="AI83" s="266" t="e">
        <f t="shared" si="72"/>
        <v>#N/A</v>
      </c>
    </row>
    <row r="84" spans="1:35" x14ac:dyDescent="0.25">
      <c r="A84" s="25">
        <v>81</v>
      </c>
      <c r="B84" s="5">
        <v>81</v>
      </c>
      <c r="C84" s="171" t="str">
        <f t="shared" si="45"/>
        <v>-</v>
      </c>
      <c r="D84" s="171" t="str">
        <f t="shared" si="46"/>
        <v>-</v>
      </c>
      <c r="E84" s="259" t="str">
        <f t="shared" si="47"/>
        <v>-</v>
      </c>
      <c r="F84" s="259" t="str">
        <f t="shared" si="48"/>
        <v>-</v>
      </c>
      <c r="G84" s="259" t="str">
        <f t="shared" si="49"/>
        <v>-</v>
      </c>
      <c r="H84" s="259" t="str">
        <f t="shared" si="50"/>
        <v>-</v>
      </c>
      <c r="I84" s="259" t="str">
        <f t="shared" si="51"/>
        <v>-</v>
      </c>
      <c r="J84" s="294" t="s">
        <v>800</v>
      </c>
      <c r="K84" s="259" t="str">
        <f t="shared" si="52"/>
        <v>-</v>
      </c>
      <c r="L84" s="259" t="str">
        <f t="shared" si="53"/>
        <v>-</v>
      </c>
      <c r="M84" s="259" t="str">
        <f t="shared" si="54"/>
        <v>-</v>
      </c>
      <c r="N84" s="259" t="str">
        <f t="shared" si="55"/>
        <v>-</v>
      </c>
      <c r="O84" s="259"/>
      <c r="Q84" s="124" t="str">
        <f t="shared" ca="1" si="62"/>
        <v/>
      </c>
      <c r="R84" s="124" t="str">
        <f t="shared" ca="1" si="63"/>
        <v/>
      </c>
      <c r="S84" s="124" t="e">
        <f t="shared" si="56"/>
        <v>#N/A</v>
      </c>
      <c r="T84" s="124" t="e">
        <f t="shared" si="57"/>
        <v>#N/A</v>
      </c>
      <c r="U84" s="123" t="str">
        <f>"D:\IMS Images\Headshots\"&amp;IF('Team Info'!$B$21="BASEBALL","CBASE","SBALL")&amp;"\"&amp;'Team Info'!$B$11&amp;"\"&amp;D84&amp;"_"&amp;C84&amp;".png"</f>
        <v>D:\IMS Images\Headshots\CBASE\GENERIC_BASEBALL\-_-.png</v>
      </c>
      <c r="V84" s="123" t="str">
        <f>"D:\IMS Images\ActionShots\"&amp;IF('Team Info'!$B$21="BASEBALL","CBASE","SBALL")&amp;"\"&amp;'Team Info'!$B$11&amp;"\"&amp;D84&amp;"_"&amp;C84&amp;".png"</f>
        <v>D:\IMS Images\ActionShots\CBASE\GENERIC_BASEBALL\-_-.png</v>
      </c>
      <c r="W84" s="192" t="str">
        <f t="shared" si="64"/>
        <v>81 - -</v>
      </c>
      <c r="X84" s="122" t="str">
        <f t="shared" si="58"/>
        <v>- -</v>
      </c>
      <c r="Y84" s="122" t="str">
        <f t="shared" si="59"/>
        <v>- -</v>
      </c>
      <c r="Z84" s="122" t="str">
        <f t="shared" si="60"/>
        <v>-. -</v>
      </c>
      <c r="AA84" s="122" t="str">
        <f t="shared" si="65"/>
        <v>-</v>
      </c>
      <c r="AB84" s="122" t="str">
        <f t="shared" si="66"/>
        <v>-</v>
      </c>
      <c r="AC84" s="125" t="str">
        <f t="shared" si="73"/>
        <v/>
      </c>
      <c r="AD84" s="191" t="str">
        <f t="shared" si="68"/>
        <v/>
      </c>
      <c r="AE84" s="122" t="str">
        <f t="shared" si="61"/>
        <v/>
      </c>
      <c r="AF84" s="122" t="str">
        <f t="shared" si="69"/>
        <v>- lbs</v>
      </c>
      <c r="AG84" s="122" t="str">
        <f t="shared" si="70"/>
        <v>MAJOR: -</v>
      </c>
      <c r="AH84" s="192" t="str">
        <f t="shared" si="71"/>
        <v>81 - -</v>
      </c>
      <c r="AI84" s="266" t="e">
        <f t="shared" si="72"/>
        <v>#N/A</v>
      </c>
    </row>
    <row r="85" spans="1:35" x14ac:dyDescent="0.25">
      <c r="A85" s="25">
        <v>82</v>
      </c>
      <c r="B85" s="5">
        <v>82</v>
      </c>
      <c r="C85" s="171" t="str">
        <f t="shared" si="45"/>
        <v>-</v>
      </c>
      <c r="D85" s="171" t="str">
        <f t="shared" si="46"/>
        <v>-</v>
      </c>
      <c r="E85" s="259" t="str">
        <f t="shared" si="47"/>
        <v>-</v>
      </c>
      <c r="F85" s="259" t="str">
        <f t="shared" si="48"/>
        <v>-</v>
      </c>
      <c r="G85" s="259" t="str">
        <f t="shared" si="49"/>
        <v>-</v>
      </c>
      <c r="H85" s="259" t="str">
        <f t="shared" si="50"/>
        <v>-</v>
      </c>
      <c r="I85" s="259" t="str">
        <f t="shared" si="51"/>
        <v>-</v>
      </c>
      <c r="J85" s="294" t="s">
        <v>800</v>
      </c>
      <c r="K85" s="259" t="str">
        <f t="shared" si="52"/>
        <v>-</v>
      </c>
      <c r="L85" s="259" t="str">
        <f t="shared" si="53"/>
        <v>-</v>
      </c>
      <c r="M85" s="259" t="str">
        <f t="shared" si="54"/>
        <v>-</v>
      </c>
      <c r="N85" s="259" t="str">
        <f t="shared" si="55"/>
        <v>-</v>
      </c>
      <c r="O85" s="259"/>
      <c r="Q85" s="124" t="str">
        <f t="shared" ca="1" si="62"/>
        <v/>
      </c>
      <c r="R85" s="124" t="str">
        <f t="shared" ca="1" si="63"/>
        <v/>
      </c>
      <c r="S85" s="124" t="e">
        <f t="shared" si="56"/>
        <v>#N/A</v>
      </c>
      <c r="T85" s="124" t="e">
        <f t="shared" si="57"/>
        <v>#N/A</v>
      </c>
      <c r="U85" s="123" t="str">
        <f>"D:\IMS Images\Headshots\"&amp;IF('Team Info'!$B$21="BASEBALL","CBASE","SBALL")&amp;"\"&amp;'Team Info'!$B$11&amp;"\"&amp;D85&amp;"_"&amp;C85&amp;".png"</f>
        <v>D:\IMS Images\Headshots\CBASE\GENERIC_BASEBALL\-_-.png</v>
      </c>
      <c r="V85" s="123" t="str">
        <f>"D:\IMS Images\ActionShots\"&amp;IF('Team Info'!$B$21="BASEBALL","CBASE","SBALL")&amp;"\"&amp;'Team Info'!$B$11&amp;"\"&amp;D85&amp;"_"&amp;C85&amp;".png"</f>
        <v>D:\IMS Images\ActionShots\CBASE\GENERIC_BASEBALL\-_-.png</v>
      </c>
      <c r="W85" s="192" t="str">
        <f t="shared" si="64"/>
        <v>82 - -</v>
      </c>
      <c r="X85" s="122" t="str">
        <f t="shared" si="58"/>
        <v>- -</v>
      </c>
      <c r="Y85" s="122" t="str">
        <f t="shared" si="59"/>
        <v>- -</v>
      </c>
      <c r="Z85" s="122" t="str">
        <f t="shared" si="60"/>
        <v>-. -</v>
      </c>
      <c r="AA85" s="122" t="str">
        <f t="shared" si="65"/>
        <v>-</v>
      </c>
      <c r="AB85" s="122" t="str">
        <f t="shared" si="66"/>
        <v>-</v>
      </c>
      <c r="AC85" s="125" t="str">
        <f t="shared" si="73"/>
        <v/>
      </c>
      <c r="AD85" s="191" t="str">
        <f t="shared" si="68"/>
        <v/>
      </c>
      <c r="AE85" s="122" t="str">
        <f t="shared" si="61"/>
        <v/>
      </c>
      <c r="AF85" s="122" t="str">
        <f t="shared" si="69"/>
        <v>- lbs</v>
      </c>
      <c r="AG85" s="122" t="str">
        <f t="shared" si="70"/>
        <v>MAJOR: -</v>
      </c>
      <c r="AH85" s="192" t="str">
        <f t="shared" si="71"/>
        <v>82 - -</v>
      </c>
      <c r="AI85" s="266" t="e">
        <f t="shared" si="72"/>
        <v>#N/A</v>
      </c>
    </row>
    <row r="86" spans="1:35" x14ac:dyDescent="0.25">
      <c r="A86" s="25">
        <v>83</v>
      </c>
      <c r="B86" s="5">
        <v>83</v>
      </c>
      <c r="C86" s="171" t="str">
        <f t="shared" si="45"/>
        <v>-</v>
      </c>
      <c r="D86" s="171" t="str">
        <f t="shared" si="46"/>
        <v>-</v>
      </c>
      <c r="E86" s="259" t="str">
        <f t="shared" si="47"/>
        <v>-</v>
      </c>
      <c r="F86" s="259" t="str">
        <f t="shared" si="48"/>
        <v>-</v>
      </c>
      <c r="G86" s="259" t="str">
        <f t="shared" si="49"/>
        <v>-</v>
      </c>
      <c r="H86" s="259" t="str">
        <f t="shared" si="50"/>
        <v>-</v>
      </c>
      <c r="I86" s="259" t="str">
        <f t="shared" si="51"/>
        <v>-</v>
      </c>
      <c r="J86" s="294" t="s">
        <v>800</v>
      </c>
      <c r="K86" s="259" t="str">
        <f t="shared" si="52"/>
        <v>-</v>
      </c>
      <c r="L86" s="259" t="str">
        <f t="shared" si="53"/>
        <v>-</v>
      </c>
      <c r="M86" s="259" t="str">
        <f t="shared" si="54"/>
        <v>-</v>
      </c>
      <c r="N86" s="259" t="str">
        <f t="shared" si="55"/>
        <v>-</v>
      </c>
      <c r="O86" s="259"/>
      <c r="Q86" s="124" t="str">
        <f t="shared" ca="1" si="62"/>
        <v/>
      </c>
      <c r="R86" s="124" t="str">
        <f t="shared" ca="1" si="63"/>
        <v/>
      </c>
      <c r="S86" s="124" t="e">
        <f t="shared" si="56"/>
        <v>#N/A</v>
      </c>
      <c r="T86" s="124" t="e">
        <f t="shared" si="57"/>
        <v>#N/A</v>
      </c>
      <c r="U86" s="123" t="str">
        <f>"D:\IMS Images\Headshots\"&amp;IF('Team Info'!$B$21="BASEBALL","CBASE","SBALL")&amp;"\"&amp;'Team Info'!$B$11&amp;"\"&amp;D86&amp;"_"&amp;C86&amp;".png"</f>
        <v>D:\IMS Images\Headshots\CBASE\GENERIC_BASEBALL\-_-.png</v>
      </c>
      <c r="V86" s="123" t="str">
        <f>"D:\IMS Images\ActionShots\"&amp;IF('Team Info'!$B$21="BASEBALL","CBASE","SBALL")&amp;"\"&amp;'Team Info'!$B$11&amp;"\"&amp;D86&amp;"_"&amp;C86&amp;".png"</f>
        <v>D:\IMS Images\ActionShots\CBASE\GENERIC_BASEBALL\-_-.png</v>
      </c>
      <c r="W86" s="192" t="str">
        <f t="shared" si="64"/>
        <v>83 - -</v>
      </c>
      <c r="X86" s="122" t="str">
        <f t="shared" si="58"/>
        <v>- -</v>
      </c>
      <c r="Y86" s="122" t="str">
        <f t="shared" si="59"/>
        <v>- -</v>
      </c>
      <c r="Z86" s="122" t="str">
        <f t="shared" si="60"/>
        <v>-. -</v>
      </c>
      <c r="AA86" s="122" t="str">
        <f t="shared" si="65"/>
        <v>-</v>
      </c>
      <c r="AB86" s="122" t="str">
        <f t="shared" si="66"/>
        <v>-</v>
      </c>
      <c r="AC86" s="125" t="str">
        <f t="shared" si="73"/>
        <v/>
      </c>
      <c r="AD86" s="191" t="str">
        <f t="shared" si="68"/>
        <v/>
      </c>
      <c r="AE86" s="122" t="str">
        <f t="shared" si="61"/>
        <v/>
      </c>
      <c r="AF86" s="122" t="str">
        <f t="shared" si="69"/>
        <v>- lbs</v>
      </c>
      <c r="AG86" s="122" t="str">
        <f t="shared" si="70"/>
        <v>MAJOR: -</v>
      </c>
      <c r="AH86" s="192" t="str">
        <f t="shared" si="71"/>
        <v>83 - -</v>
      </c>
      <c r="AI86" s="266" t="e">
        <f t="shared" si="72"/>
        <v>#N/A</v>
      </c>
    </row>
    <row r="87" spans="1:35" x14ac:dyDescent="0.25">
      <c r="A87" s="25">
        <v>84</v>
      </c>
      <c r="B87" s="5">
        <v>84</v>
      </c>
      <c r="C87" s="171" t="str">
        <f t="shared" si="45"/>
        <v>-</v>
      </c>
      <c r="D87" s="171" t="str">
        <f t="shared" si="46"/>
        <v>-</v>
      </c>
      <c r="E87" s="259" t="str">
        <f t="shared" si="47"/>
        <v>-</v>
      </c>
      <c r="F87" s="259" t="str">
        <f t="shared" si="48"/>
        <v>-</v>
      </c>
      <c r="G87" s="259" t="str">
        <f t="shared" si="49"/>
        <v>-</v>
      </c>
      <c r="H87" s="259" t="str">
        <f t="shared" si="50"/>
        <v>-</v>
      </c>
      <c r="I87" s="259" t="str">
        <f t="shared" si="51"/>
        <v>-</v>
      </c>
      <c r="J87" s="294" t="s">
        <v>800</v>
      </c>
      <c r="K87" s="259" t="str">
        <f t="shared" si="52"/>
        <v>-</v>
      </c>
      <c r="L87" s="259" t="str">
        <f t="shared" si="53"/>
        <v>-</v>
      </c>
      <c r="M87" s="259" t="str">
        <f t="shared" si="54"/>
        <v>-</v>
      </c>
      <c r="N87" s="259" t="str">
        <f t="shared" si="55"/>
        <v>-</v>
      </c>
      <c r="O87" s="259"/>
      <c r="Q87" s="124" t="str">
        <f t="shared" ca="1" si="62"/>
        <v/>
      </c>
      <c r="R87" s="124" t="str">
        <f t="shared" ca="1" si="63"/>
        <v/>
      </c>
      <c r="S87" s="124" t="e">
        <f t="shared" si="56"/>
        <v>#N/A</v>
      </c>
      <c r="T87" s="124" t="e">
        <f t="shared" si="57"/>
        <v>#N/A</v>
      </c>
      <c r="U87" s="123" t="str">
        <f>"D:\IMS Images\Headshots\"&amp;IF('Team Info'!$B$21="BASEBALL","CBASE","SBALL")&amp;"\"&amp;'Team Info'!$B$11&amp;"\"&amp;D87&amp;"_"&amp;C87&amp;".png"</f>
        <v>D:\IMS Images\Headshots\CBASE\GENERIC_BASEBALL\-_-.png</v>
      </c>
      <c r="V87" s="123" t="str">
        <f>"D:\IMS Images\ActionShots\"&amp;IF('Team Info'!$B$21="BASEBALL","CBASE","SBALL")&amp;"\"&amp;'Team Info'!$B$11&amp;"\"&amp;D87&amp;"_"&amp;C87&amp;".png"</f>
        <v>D:\IMS Images\ActionShots\CBASE\GENERIC_BASEBALL\-_-.png</v>
      </c>
      <c r="W87" s="192" t="str">
        <f t="shared" si="64"/>
        <v>84 - -</v>
      </c>
      <c r="X87" s="122" t="str">
        <f t="shared" si="58"/>
        <v>- -</v>
      </c>
      <c r="Y87" s="122" t="str">
        <f t="shared" si="59"/>
        <v>- -</v>
      </c>
      <c r="Z87" s="122" t="str">
        <f t="shared" si="60"/>
        <v>-. -</v>
      </c>
      <c r="AA87" s="122" t="str">
        <f t="shared" si="65"/>
        <v>-</v>
      </c>
      <c r="AB87" s="122" t="str">
        <f t="shared" si="66"/>
        <v>-</v>
      </c>
      <c r="AC87" s="125" t="str">
        <f t="shared" si="73"/>
        <v/>
      </c>
      <c r="AD87" s="191" t="str">
        <f t="shared" si="68"/>
        <v/>
      </c>
      <c r="AE87" s="122" t="str">
        <f t="shared" si="61"/>
        <v/>
      </c>
      <c r="AF87" s="122" t="str">
        <f t="shared" si="69"/>
        <v>- lbs</v>
      </c>
      <c r="AG87" s="122" t="str">
        <f t="shared" si="70"/>
        <v>MAJOR: -</v>
      </c>
      <c r="AH87" s="192" t="str">
        <f t="shared" si="71"/>
        <v>84 - -</v>
      </c>
      <c r="AI87" s="266" t="e">
        <f t="shared" si="72"/>
        <v>#N/A</v>
      </c>
    </row>
    <row r="88" spans="1:35" x14ac:dyDescent="0.25">
      <c r="A88" s="25">
        <v>85</v>
      </c>
      <c r="B88" s="5">
        <v>85</v>
      </c>
      <c r="C88" s="171" t="str">
        <f t="shared" si="45"/>
        <v>-</v>
      </c>
      <c r="D88" s="171" t="str">
        <f t="shared" si="46"/>
        <v>-</v>
      </c>
      <c r="E88" s="259" t="str">
        <f t="shared" si="47"/>
        <v>-</v>
      </c>
      <c r="F88" s="259" t="str">
        <f t="shared" si="48"/>
        <v>-</v>
      </c>
      <c r="G88" s="259" t="str">
        <f t="shared" si="49"/>
        <v>-</v>
      </c>
      <c r="H88" s="259" t="str">
        <f t="shared" si="50"/>
        <v>-</v>
      </c>
      <c r="I88" s="259" t="str">
        <f t="shared" si="51"/>
        <v>-</v>
      </c>
      <c r="J88" s="294" t="s">
        <v>800</v>
      </c>
      <c r="K88" s="259" t="str">
        <f t="shared" si="52"/>
        <v>-</v>
      </c>
      <c r="L88" s="259" t="str">
        <f t="shared" si="53"/>
        <v>-</v>
      </c>
      <c r="M88" s="259" t="str">
        <f t="shared" si="54"/>
        <v>-</v>
      </c>
      <c r="N88" s="259" t="str">
        <f t="shared" si="55"/>
        <v>-</v>
      </c>
      <c r="O88" s="259"/>
      <c r="Q88" s="124" t="str">
        <f t="shared" ca="1" si="62"/>
        <v/>
      </c>
      <c r="R88" s="124" t="str">
        <f t="shared" ca="1" si="63"/>
        <v/>
      </c>
      <c r="S88" s="124" t="e">
        <f t="shared" si="56"/>
        <v>#N/A</v>
      </c>
      <c r="T88" s="124" t="e">
        <f t="shared" si="57"/>
        <v>#N/A</v>
      </c>
      <c r="U88" s="123" t="str">
        <f>"D:\IMS Images\Headshots\"&amp;IF('Team Info'!$B$21="BASEBALL","CBASE","SBALL")&amp;"\"&amp;'Team Info'!$B$11&amp;"\"&amp;D88&amp;"_"&amp;C88&amp;".png"</f>
        <v>D:\IMS Images\Headshots\CBASE\GENERIC_BASEBALL\-_-.png</v>
      </c>
      <c r="V88" s="123" t="str">
        <f>"D:\IMS Images\ActionShots\"&amp;IF('Team Info'!$B$21="BASEBALL","CBASE","SBALL")&amp;"\"&amp;'Team Info'!$B$11&amp;"\"&amp;D88&amp;"_"&amp;C88&amp;".png"</f>
        <v>D:\IMS Images\ActionShots\CBASE\GENERIC_BASEBALL\-_-.png</v>
      </c>
      <c r="W88" s="192" t="str">
        <f t="shared" si="64"/>
        <v>85 - -</v>
      </c>
      <c r="X88" s="122" t="str">
        <f t="shared" si="58"/>
        <v>- -</v>
      </c>
      <c r="Y88" s="122" t="str">
        <f t="shared" si="59"/>
        <v>- -</v>
      </c>
      <c r="Z88" s="122" t="str">
        <f t="shared" si="60"/>
        <v>-. -</v>
      </c>
      <c r="AA88" s="122" t="str">
        <f t="shared" si="65"/>
        <v>-</v>
      </c>
      <c r="AB88" s="122" t="str">
        <f t="shared" si="66"/>
        <v>-</v>
      </c>
      <c r="AC88" s="125" t="str">
        <f t="shared" si="73"/>
        <v/>
      </c>
      <c r="AD88" s="191" t="str">
        <f t="shared" si="68"/>
        <v/>
      </c>
      <c r="AE88" s="122" t="str">
        <f t="shared" si="61"/>
        <v/>
      </c>
      <c r="AF88" s="122" t="str">
        <f t="shared" si="69"/>
        <v>- lbs</v>
      </c>
      <c r="AG88" s="122" t="str">
        <f t="shared" si="70"/>
        <v>MAJOR: -</v>
      </c>
      <c r="AH88" s="192" t="str">
        <f t="shared" si="71"/>
        <v>85 - -</v>
      </c>
      <c r="AI88" s="266" t="e">
        <f t="shared" si="72"/>
        <v>#N/A</v>
      </c>
    </row>
    <row r="89" spans="1:35" x14ac:dyDescent="0.25">
      <c r="A89" s="25">
        <v>86</v>
      </c>
      <c r="B89" s="5">
        <v>86</v>
      </c>
      <c r="C89" s="171" t="str">
        <f t="shared" si="45"/>
        <v>-</v>
      </c>
      <c r="D89" s="171" t="str">
        <f t="shared" si="46"/>
        <v>-</v>
      </c>
      <c r="E89" s="259" t="str">
        <f t="shared" si="47"/>
        <v>-</v>
      </c>
      <c r="F89" s="259" t="str">
        <f t="shared" si="48"/>
        <v>-</v>
      </c>
      <c r="G89" s="259" t="str">
        <f t="shared" si="49"/>
        <v>-</v>
      </c>
      <c r="H89" s="259" t="str">
        <f t="shared" si="50"/>
        <v>-</v>
      </c>
      <c r="I89" s="259" t="str">
        <f t="shared" si="51"/>
        <v>-</v>
      </c>
      <c r="J89" s="294" t="s">
        <v>800</v>
      </c>
      <c r="K89" s="259" t="str">
        <f t="shared" si="52"/>
        <v>-</v>
      </c>
      <c r="L89" s="259" t="str">
        <f t="shared" si="53"/>
        <v>-</v>
      </c>
      <c r="M89" s="259" t="str">
        <f t="shared" si="54"/>
        <v>-</v>
      </c>
      <c r="N89" s="259" t="str">
        <f t="shared" si="55"/>
        <v>-</v>
      </c>
      <c r="O89" s="259"/>
      <c r="Q89" s="124" t="str">
        <f t="shared" ca="1" si="62"/>
        <v/>
      </c>
      <c r="R89" s="124" t="str">
        <f t="shared" ca="1" si="63"/>
        <v/>
      </c>
      <c r="S89" s="124" t="e">
        <f t="shared" si="56"/>
        <v>#N/A</v>
      </c>
      <c r="T89" s="124" t="e">
        <f t="shared" si="57"/>
        <v>#N/A</v>
      </c>
      <c r="U89" s="123" t="str">
        <f>"D:\IMS Images\Headshots\"&amp;IF('Team Info'!$B$21="BASEBALL","CBASE","SBALL")&amp;"\"&amp;'Team Info'!$B$11&amp;"\"&amp;D89&amp;"_"&amp;C89&amp;".png"</f>
        <v>D:\IMS Images\Headshots\CBASE\GENERIC_BASEBALL\-_-.png</v>
      </c>
      <c r="V89" s="123" t="str">
        <f>"D:\IMS Images\ActionShots\"&amp;IF('Team Info'!$B$21="BASEBALL","CBASE","SBALL")&amp;"\"&amp;'Team Info'!$B$11&amp;"\"&amp;D89&amp;"_"&amp;C89&amp;".png"</f>
        <v>D:\IMS Images\ActionShots\CBASE\GENERIC_BASEBALL\-_-.png</v>
      </c>
      <c r="W89" s="192" t="str">
        <f t="shared" si="64"/>
        <v>86 - -</v>
      </c>
      <c r="X89" s="122" t="str">
        <f t="shared" si="58"/>
        <v>- -</v>
      </c>
      <c r="Y89" s="122" t="str">
        <f t="shared" si="59"/>
        <v>- -</v>
      </c>
      <c r="Z89" s="122" t="str">
        <f t="shared" si="60"/>
        <v>-. -</v>
      </c>
      <c r="AA89" s="122" t="str">
        <f t="shared" si="65"/>
        <v>-</v>
      </c>
      <c r="AB89" s="122" t="str">
        <f t="shared" si="66"/>
        <v>-</v>
      </c>
      <c r="AC89" s="125" t="str">
        <f t="shared" si="73"/>
        <v/>
      </c>
      <c r="AD89" s="191" t="str">
        <f t="shared" si="68"/>
        <v/>
      </c>
      <c r="AE89" s="122" t="str">
        <f t="shared" si="61"/>
        <v/>
      </c>
      <c r="AF89" s="122" t="str">
        <f t="shared" si="69"/>
        <v>- lbs</v>
      </c>
      <c r="AG89" s="122" t="str">
        <f t="shared" si="70"/>
        <v>MAJOR: -</v>
      </c>
      <c r="AH89" s="192" t="str">
        <f t="shared" si="71"/>
        <v>86 - -</v>
      </c>
      <c r="AI89" s="266" t="e">
        <f t="shared" si="72"/>
        <v>#N/A</v>
      </c>
    </row>
    <row r="90" spans="1:35" x14ac:dyDescent="0.25">
      <c r="A90" s="25">
        <v>87</v>
      </c>
      <c r="B90" s="5">
        <v>87</v>
      </c>
      <c r="C90" s="171" t="str">
        <f t="shared" si="45"/>
        <v>-</v>
      </c>
      <c r="D90" s="171" t="str">
        <f t="shared" si="46"/>
        <v>-</v>
      </c>
      <c r="E90" s="259" t="str">
        <f t="shared" si="47"/>
        <v>-</v>
      </c>
      <c r="F90" s="259" t="str">
        <f t="shared" si="48"/>
        <v>-</v>
      </c>
      <c r="G90" s="259" t="str">
        <f t="shared" si="49"/>
        <v>-</v>
      </c>
      <c r="H90" s="259" t="str">
        <f t="shared" si="50"/>
        <v>-</v>
      </c>
      <c r="I90" s="259" t="str">
        <f t="shared" si="51"/>
        <v>-</v>
      </c>
      <c r="J90" s="294" t="s">
        <v>800</v>
      </c>
      <c r="K90" s="259" t="str">
        <f t="shared" si="52"/>
        <v>-</v>
      </c>
      <c r="L90" s="259" t="str">
        <f t="shared" si="53"/>
        <v>-</v>
      </c>
      <c r="M90" s="259" t="str">
        <f t="shared" si="54"/>
        <v>-</v>
      </c>
      <c r="N90" s="259" t="str">
        <f t="shared" si="55"/>
        <v>-</v>
      </c>
      <c r="O90" s="259"/>
      <c r="Q90" s="124" t="str">
        <f t="shared" ca="1" si="62"/>
        <v/>
      </c>
      <c r="R90" s="124" t="str">
        <f t="shared" ca="1" si="63"/>
        <v/>
      </c>
      <c r="S90" s="124" t="e">
        <f t="shared" si="56"/>
        <v>#N/A</v>
      </c>
      <c r="T90" s="124" t="e">
        <f t="shared" si="57"/>
        <v>#N/A</v>
      </c>
      <c r="U90" s="123" t="str">
        <f>"D:\IMS Images\Headshots\"&amp;IF('Team Info'!$B$21="BASEBALL","CBASE","SBALL")&amp;"\"&amp;'Team Info'!$B$11&amp;"\"&amp;D90&amp;"_"&amp;C90&amp;".png"</f>
        <v>D:\IMS Images\Headshots\CBASE\GENERIC_BASEBALL\-_-.png</v>
      </c>
      <c r="V90" s="123" t="str">
        <f>"D:\IMS Images\ActionShots\"&amp;IF('Team Info'!$B$21="BASEBALL","CBASE","SBALL")&amp;"\"&amp;'Team Info'!$B$11&amp;"\"&amp;D90&amp;"_"&amp;C90&amp;".png"</f>
        <v>D:\IMS Images\ActionShots\CBASE\GENERIC_BASEBALL\-_-.png</v>
      </c>
      <c r="W90" s="192" t="str">
        <f t="shared" si="64"/>
        <v>87 - -</v>
      </c>
      <c r="X90" s="122" t="str">
        <f t="shared" si="58"/>
        <v>- -</v>
      </c>
      <c r="Y90" s="122" t="str">
        <f t="shared" si="59"/>
        <v>- -</v>
      </c>
      <c r="Z90" s="122" t="str">
        <f t="shared" si="60"/>
        <v>-. -</v>
      </c>
      <c r="AA90" s="122" t="str">
        <f t="shared" si="65"/>
        <v>-</v>
      </c>
      <c r="AB90" s="122" t="str">
        <f t="shared" si="66"/>
        <v>-</v>
      </c>
      <c r="AC90" s="125" t="str">
        <f t="shared" si="73"/>
        <v/>
      </c>
      <c r="AD90" s="191" t="str">
        <f t="shared" si="68"/>
        <v/>
      </c>
      <c r="AE90" s="122" t="str">
        <f t="shared" si="61"/>
        <v/>
      </c>
      <c r="AF90" s="122" t="str">
        <f t="shared" si="69"/>
        <v>- lbs</v>
      </c>
      <c r="AG90" s="122" t="str">
        <f t="shared" si="70"/>
        <v>MAJOR: -</v>
      </c>
      <c r="AH90" s="192" t="str">
        <f t="shared" si="71"/>
        <v>87 - -</v>
      </c>
      <c r="AI90" s="266" t="e">
        <f t="shared" si="72"/>
        <v>#N/A</v>
      </c>
    </row>
    <row r="91" spans="1:35" x14ac:dyDescent="0.25">
      <c r="A91" s="25">
        <v>88</v>
      </c>
      <c r="B91" s="5">
        <v>88</v>
      </c>
      <c r="C91" s="171" t="str">
        <f t="shared" si="45"/>
        <v>-</v>
      </c>
      <c r="D91" s="171" t="str">
        <f t="shared" si="46"/>
        <v>-</v>
      </c>
      <c r="E91" s="259" t="str">
        <f t="shared" si="47"/>
        <v>-</v>
      </c>
      <c r="F91" s="259" t="str">
        <f t="shared" si="48"/>
        <v>-</v>
      </c>
      <c r="G91" s="259" t="str">
        <f t="shared" si="49"/>
        <v>-</v>
      </c>
      <c r="H91" s="259" t="str">
        <f t="shared" si="50"/>
        <v>-</v>
      </c>
      <c r="I91" s="259" t="str">
        <f t="shared" si="51"/>
        <v>-</v>
      </c>
      <c r="J91" s="294" t="s">
        <v>800</v>
      </c>
      <c r="K91" s="259" t="str">
        <f t="shared" si="52"/>
        <v>-</v>
      </c>
      <c r="L91" s="259" t="str">
        <f t="shared" si="53"/>
        <v>-</v>
      </c>
      <c r="M91" s="259" t="str">
        <f t="shared" si="54"/>
        <v>-</v>
      </c>
      <c r="N91" s="259" t="str">
        <f t="shared" si="55"/>
        <v>-</v>
      </c>
      <c r="O91" s="259"/>
      <c r="Q91" s="124" t="str">
        <f t="shared" ca="1" si="62"/>
        <v/>
      </c>
      <c r="R91" s="124" t="str">
        <f t="shared" ca="1" si="63"/>
        <v/>
      </c>
      <c r="S91" s="124" t="e">
        <f t="shared" si="56"/>
        <v>#N/A</v>
      </c>
      <c r="T91" s="124" t="e">
        <f t="shared" si="57"/>
        <v>#N/A</v>
      </c>
      <c r="U91" s="123" t="str">
        <f>"D:\IMS Images\Headshots\"&amp;IF('Team Info'!$B$21="BASEBALL","CBASE","SBALL")&amp;"\"&amp;'Team Info'!$B$11&amp;"\"&amp;D91&amp;"_"&amp;C91&amp;".png"</f>
        <v>D:\IMS Images\Headshots\CBASE\GENERIC_BASEBALL\-_-.png</v>
      </c>
      <c r="V91" s="123" t="str">
        <f>"D:\IMS Images\ActionShots\"&amp;IF('Team Info'!$B$21="BASEBALL","CBASE","SBALL")&amp;"\"&amp;'Team Info'!$B$11&amp;"\"&amp;D91&amp;"_"&amp;C91&amp;".png"</f>
        <v>D:\IMS Images\ActionShots\CBASE\GENERIC_BASEBALL\-_-.png</v>
      </c>
      <c r="W91" s="192" t="str">
        <f t="shared" si="64"/>
        <v>88 - -</v>
      </c>
      <c r="X91" s="122" t="str">
        <f t="shared" si="58"/>
        <v>- -</v>
      </c>
      <c r="Y91" s="122" t="str">
        <f t="shared" si="59"/>
        <v>- -</v>
      </c>
      <c r="Z91" s="122" t="str">
        <f t="shared" si="60"/>
        <v>-. -</v>
      </c>
      <c r="AA91" s="122" t="str">
        <f t="shared" si="65"/>
        <v>-</v>
      </c>
      <c r="AB91" s="122" t="str">
        <f t="shared" si="66"/>
        <v>-</v>
      </c>
      <c r="AC91" s="125" t="str">
        <f t="shared" si="73"/>
        <v/>
      </c>
      <c r="AD91" s="191" t="str">
        <f t="shared" si="68"/>
        <v/>
      </c>
      <c r="AE91" s="122" t="str">
        <f t="shared" si="61"/>
        <v/>
      </c>
      <c r="AF91" s="122" t="str">
        <f t="shared" si="69"/>
        <v>- lbs</v>
      </c>
      <c r="AG91" s="122" t="str">
        <f t="shared" si="70"/>
        <v>MAJOR: -</v>
      </c>
      <c r="AH91" s="192" t="str">
        <f t="shared" si="71"/>
        <v>88 - -</v>
      </c>
      <c r="AI91" s="266" t="e">
        <f t="shared" si="72"/>
        <v>#N/A</v>
      </c>
    </row>
    <row r="92" spans="1:35" x14ac:dyDescent="0.25">
      <c r="A92" s="25">
        <v>89</v>
      </c>
      <c r="B92" s="5">
        <v>89</v>
      </c>
      <c r="C92" s="171" t="str">
        <f t="shared" si="45"/>
        <v>-</v>
      </c>
      <c r="D92" s="171" t="str">
        <f t="shared" si="46"/>
        <v>-</v>
      </c>
      <c r="E92" s="259" t="str">
        <f t="shared" si="47"/>
        <v>-</v>
      </c>
      <c r="F92" s="259" t="str">
        <f t="shared" si="48"/>
        <v>-</v>
      </c>
      <c r="G92" s="259" t="str">
        <f t="shared" si="49"/>
        <v>-</v>
      </c>
      <c r="H92" s="259" t="str">
        <f t="shared" si="50"/>
        <v>-</v>
      </c>
      <c r="I92" s="259" t="str">
        <f t="shared" si="51"/>
        <v>-</v>
      </c>
      <c r="J92" s="294" t="s">
        <v>800</v>
      </c>
      <c r="K92" s="259" t="str">
        <f t="shared" si="52"/>
        <v>-</v>
      </c>
      <c r="L92" s="259" t="str">
        <f t="shared" si="53"/>
        <v>-</v>
      </c>
      <c r="M92" s="259" t="str">
        <f t="shared" si="54"/>
        <v>-</v>
      </c>
      <c r="N92" s="259" t="str">
        <f t="shared" si="55"/>
        <v>-</v>
      </c>
      <c r="O92" s="259"/>
      <c r="Q92" s="124" t="str">
        <f t="shared" ca="1" si="62"/>
        <v/>
      </c>
      <c r="R92" s="124" t="str">
        <f t="shared" ca="1" si="63"/>
        <v/>
      </c>
      <c r="S92" s="124" t="e">
        <f t="shared" si="56"/>
        <v>#N/A</v>
      </c>
      <c r="T92" s="124" t="e">
        <f t="shared" si="57"/>
        <v>#N/A</v>
      </c>
      <c r="U92" s="123" t="str">
        <f>"D:\IMS Images\Headshots\"&amp;IF('Team Info'!$B$21="BASEBALL","CBASE","SBALL")&amp;"\"&amp;'Team Info'!$B$11&amp;"\"&amp;D92&amp;"_"&amp;C92&amp;".png"</f>
        <v>D:\IMS Images\Headshots\CBASE\GENERIC_BASEBALL\-_-.png</v>
      </c>
      <c r="V92" s="123" t="str">
        <f>"D:\IMS Images\ActionShots\"&amp;IF('Team Info'!$B$21="BASEBALL","CBASE","SBALL")&amp;"\"&amp;'Team Info'!$B$11&amp;"\"&amp;D92&amp;"_"&amp;C92&amp;".png"</f>
        <v>D:\IMS Images\ActionShots\CBASE\GENERIC_BASEBALL\-_-.png</v>
      </c>
      <c r="W92" s="192" t="str">
        <f t="shared" si="64"/>
        <v>89 - -</v>
      </c>
      <c r="X92" s="122" t="str">
        <f t="shared" si="58"/>
        <v>- -</v>
      </c>
      <c r="Y92" s="122" t="str">
        <f t="shared" si="59"/>
        <v>- -</v>
      </c>
      <c r="Z92" s="122" t="str">
        <f t="shared" si="60"/>
        <v>-. -</v>
      </c>
      <c r="AA92" s="122" t="str">
        <f t="shared" si="65"/>
        <v>-</v>
      </c>
      <c r="AB92" s="122" t="str">
        <f t="shared" si="66"/>
        <v>-</v>
      </c>
      <c r="AC92" s="125" t="str">
        <f t="shared" si="73"/>
        <v/>
      </c>
      <c r="AD92" s="191" t="str">
        <f t="shared" si="68"/>
        <v/>
      </c>
      <c r="AE92" s="122" t="str">
        <f t="shared" si="61"/>
        <v/>
      </c>
      <c r="AF92" s="122" t="str">
        <f t="shared" si="69"/>
        <v>- lbs</v>
      </c>
      <c r="AG92" s="122" t="str">
        <f t="shared" si="70"/>
        <v>MAJOR: -</v>
      </c>
      <c r="AH92" s="192" t="str">
        <f t="shared" si="71"/>
        <v>89 - -</v>
      </c>
      <c r="AI92" s="266" t="e">
        <f t="shared" si="72"/>
        <v>#N/A</v>
      </c>
    </row>
    <row r="93" spans="1:35" x14ac:dyDescent="0.25">
      <c r="A93" s="25">
        <v>90</v>
      </c>
      <c r="B93" s="5">
        <v>0</v>
      </c>
      <c r="C93" s="171" t="str">
        <f>IF(C$104=0,"",C$104)</f>
        <v>-</v>
      </c>
      <c r="D93" s="171" t="str">
        <f t="shared" ref="D93:O93" si="74">IF(D$104=0,"",D$104)</f>
        <v>-</v>
      </c>
      <c r="E93" s="259" t="str">
        <f t="shared" si="74"/>
        <v>-</v>
      </c>
      <c r="F93" s="259" t="str">
        <f t="shared" si="74"/>
        <v>-</v>
      </c>
      <c r="G93" s="259" t="str">
        <f t="shared" si="74"/>
        <v>-</v>
      </c>
      <c r="H93" s="259" t="str">
        <f t="shared" si="74"/>
        <v>-</v>
      </c>
      <c r="I93" s="259" t="str">
        <f t="shared" si="74"/>
        <v>-</v>
      </c>
      <c r="J93" s="294" t="s">
        <v>800</v>
      </c>
      <c r="K93" s="171" t="str">
        <f t="shared" si="74"/>
        <v>-</v>
      </c>
      <c r="L93" s="171" t="str">
        <f t="shared" si="74"/>
        <v>-</v>
      </c>
      <c r="M93" s="171" t="str">
        <f t="shared" si="74"/>
        <v>-</v>
      </c>
      <c r="N93" s="171" t="str">
        <f t="shared" si="74"/>
        <v>-</v>
      </c>
      <c r="O93" s="171" t="str">
        <f t="shared" si="74"/>
        <v/>
      </c>
      <c r="Q93" s="124" t="str">
        <f t="shared" ca="1" si="62"/>
        <v/>
      </c>
      <c r="R93" s="124" t="str">
        <f t="shared" ca="1" si="63"/>
        <v/>
      </c>
      <c r="S93" s="124" t="e">
        <f t="shared" si="56"/>
        <v>#N/A</v>
      </c>
      <c r="T93" s="124" t="e">
        <f t="shared" si="57"/>
        <v>#N/A</v>
      </c>
      <c r="U93" s="123" t="str">
        <f>"D:\IMS Images\Headshots\"&amp;IF('Team Info'!$B$21="BASEBALL","CBASE","SBALL")&amp;"\"&amp;'Team Info'!$B$11&amp;"\"&amp;D93&amp;"_"&amp;C93&amp;".png"</f>
        <v>D:\IMS Images\Headshots\CBASE\GENERIC_BASEBALL\-_-.png</v>
      </c>
      <c r="V93" s="123" t="str">
        <f>"D:\IMS Images\ActionShots\"&amp;IF('Team Info'!$B$21="BASEBALL","CBASE","SBALL")&amp;"\"&amp;'Team Info'!$B$11&amp;"\"&amp;D93&amp;"_"&amp;C93&amp;".png"</f>
        <v>D:\IMS Images\ActionShots\CBASE\GENERIC_BASEBALL\-_-.png</v>
      </c>
      <c r="W93" s="192" t="str">
        <f t="shared" si="64"/>
        <v>0 - -</v>
      </c>
      <c r="X93" s="122" t="str">
        <f t="shared" si="58"/>
        <v>- -</v>
      </c>
      <c r="Y93" s="122" t="str">
        <f t="shared" si="59"/>
        <v>- -</v>
      </c>
      <c r="Z93" s="122" t="str">
        <f t="shared" si="60"/>
        <v>-. -</v>
      </c>
      <c r="AA93" s="122" t="str">
        <f t="shared" si="65"/>
        <v>-</v>
      </c>
      <c r="AB93" s="122" t="str">
        <f t="shared" si="66"/>
        <v>-</v>
      </c>
      <c r="AC93" s="125" t="str">
        <f t="shared" si="73"/>
        <v/>
      </c>
      <c r="AD93" s="191" t="str">
        <f t="shared" si="68"/>
        <v/>
      </c>
      <c r="AE93" s="122" t="str">
        <f t="shared" si="61"/>
        <v/>
      </c>
      <c r="AF93" s="122" t="str">
        <f t="shared" si="69"/>
        <v>- lbs</v>
      </c>
      <c r="AG93" s="122" t="str">
        <f t="shared" si="70"/>
        <v>MAJOR: -</v>
      </c>
      <c r="AH93" s="192" t="str">
        <f t="shared" si="71"/>
        <v>0 - -</v>
      </c>
      <c r="AI93" s="266" t="e">
        <f t="shared" si="72"/>
        <v>#N/A</v>
      </c>
    </row>
    <row r="94" spans="1:35" x14ac:dyDescent="0.25">
      <c r="A94" s="25">
        <v>91</v>
      </c>
      <c r="B94" s="5">
        <v>91</v>
      </c>
      <c r="C94" s="171" t="str">
        <f t="shared" ref="C94:C101" si="75">IFERROR(INDEX(NAME_RANGE,MATCH(B94,NUM_RANGE,FALSE),2),"-")</f>
        <v>-</v>
      </c>
      <c r="D94" s="171" t="str">
        <f t="shared" ref="D94:D101" si="76">IFERROR(INDEX(NAME_RANGE,MATCH(B94,NUM_RANGE,FALSE),1),"-")</f>
        <v>-</v>
      </c>
      <c r="E94" s="259" t="str">
        <f t="shared" ref="E94:E101" si="77">IFERROR(VLOOKUP($B94,INPUT_RANGE,2,FALSE),"-")</f>
        <v>-</v>
      </c>
      <c r="F94" s="259" t="str">
        <f t="shared" ref="F94:F101" si="78">IFERROR(VLOOKUP($B94,INPUT_RANGE,3,FALSE),"-")</f>
        <v>-</v>
      </c>
      <c r="G94" s="259" t="str">
        <f t="shared" ref="G94:G101" si="79">IFERROR(VLOOKUP($B94,INPUT_RANGE,4,FALSE),"-")</f>
        <v>-</v>
      </c>
      <c r="H94" s="259" t="str">
        <f t="shared" ref="H94:H101" si="80">IFERROR(VLOOKUP($B94,INPUT_RANGE,7,FALSE),"-")</f>
        <v>-</v>
      </c>
      <c r="I94" s="259" t="str">
        <f t="shared" ref="I94:I101" si="81">IFERROR(VLOOKUP($B94,INPUT_RANGE,8,FALSE),"-")</f>
        <v>-</v>
      </c>
      <c r="J94" s="294" t="s">
        <v>800</v>
      </c>
      <c r="K94" s="259" t="str">
        <f t="shared" ref="K94:K101" si="82">IFERROR(VLOOKUP($B94,INPUT_RANGE,5,FALSE)&amp;", "&amp;VLOOKUP($B94,INPUT_RANGE,6,FALSE),"-")</f>
        <v>-</v>
      </c>
      <c r="L94" s="259" t="str">
        <f t="shared" ref="L94:L101" si="83">IFERROR(VLOOKUP($B94,INPUT_RANGE,9,FALSE),"-")</f>
        <v>-</v>
      </c>
      <c r="M94" s="259" t="str">
        <f t="shared" ref="M94:M101" si="84">IFERROR(VLOOKUP($B94,INPUT_RANGE,11,FALSE),"-")</f>
        <v>-</v>
      </c>
      <c r="N94" s="259" t="str">
        <f t="shared" ref="N94:N101" si="85">IFERROR(VLOOKUP($B94,INPUT_RANGE,12,FALSE),"-")</f>
        <v>-</v>
      </c>
      <c r="O94" s="259"/>
      <c r="Q94" s="124" t="str">
        <f t="shared" ref="Q94:Q100" ca="1" si="86">IF(J94="","",INT(YEARFRAC($J94, TODAY())))</f>
        <v/>
      </c>
      <c r="R94" s="124" t="str">
        <f t="shared" ca="1" si="63"/>
        <v/>
      </c>
      <c r="S94" s="124" t="e">
        <f t="shared" si="56"/>
        <v>#N/A</v>
      </c>
      <c r="T94" s="124" t="e">
        <f t="shared" si="57"/>
        <v>#N/A</v>
      </c>
      <c r="U94" s="123" t="str">
        <f>"D:\IMS Images\Headshots\"&amp;IF('Team Info'!$B$21="BASEBALL","CBASE","SBALL")&amp;"\"&amp;'Team Info'!$B$11&amp;"\"&amp;D94&amp;"_"&amp;C94&amp;".png"</f>
        <v>D:\IMS Images\Headshots\CBASE\GENERIC_BASEBALL\-_-.png</v>
      </c>
      <c r="V94" s="123" t="str">
        <f>"D:\IMS Images\ActionShots\"&amp;IF('Team Info'!$B$21="BASEBALL","CBASE","SBALL")&amp;"\"&amp;'Team Info'!$B$11&amp;"\"&amp;D94&amp;"_"&amp;C94&amp;".png"</f>
        <v>D:\IMS Images\ActionShots\CBASE\GENERIC_BASEBALL\-_-.png</v>
      </c>
      <c r="W94" s="192" t="str">
        <f t="shared" si="64"/>
        <v>91 - -</v>
      </c>
      <c r="X94" s="122" t="str">
        <f t="shared" si="58"/>
        <v>- -</v>
      </c>
      <c r="Y94" s="122" t="str">
        <f t="shared" si="59"/>
        <v>- -</v>
      </c>
      <c r="Z94" s="122" t="str">
        <f t="shared" si="60"/>
        <v>-. -</v>
      </c>
      <c r="AA94" s="122" t="str">
        <f t="shared" si="65"/>
        <v>-</v>
      </c>
      <c r="AB94" s="122" t="str">
        <f t="shared" si="66"/>
        <v>-</v>
      </c>
      <c r="AC94" s="125" t="str">
        <f t="shared" si="73"/>
        <v/>
      </c>
      <c r="AD94" s="191" t="str">
        <f t="shared" si="68"/>
        <v/>
      </c>
      <c r="AE94" s="122" t="str">
        <f t="shared" si="61"/>
        <v/>
      </c>
      <c r="AF94" s="122" t="str">
        <f t="shared" si="69"/>
        <v>- lbs</v>
      </c>
      <c r="AG94" s="122" t="str">
        <f t="shared" si="70"/>
        <v>MAJOR: -</v>
      </c>
      <c r="AH94" s="192" t="str">
        <f t="shared" si="71"/>
        <v>91 - -</v>
      </c>
      <c r="AI94" s="266" t="e">
        <f t="shared" si="72"/>
        <v>#N/A</v>
      </c>
    </row>
    <row r="95" spans="1:35" x14ac:dyDescent="0.25">
      <c r="A95" s="25">
        <v>92</v>
      </c>
      <c r="B95" s="5">
        <v>92</v>
      </c>
      <c r="C95" s="171" t="str">
        <f t="shared" si="75"/>
        <v>-</v>
      </c>
      <c r="D95" s="171" t="str">
        <f t="shared" si="76"/>
        <v>-</v>
      </c>
      <c r="E95" s="259" t="str">
        <f t="shared" si="77"/>
        <v>-</v>
      </c>
      <c r="F95" s="259" t="str">
        <f t="shared" si="78"/>
        <v>-</v>
      </c>
      <c r="G95" s="259" t="str">
        <f t="shared" si="79"/>
        <v>-</v>
      </c>
      <c r="H95" s="259" t="str">
        <f t="shared" si="80"/>
        <v>-</v>
      </c>
      <c r="I95" s="259" t="str">
        <f t="shared" si="81"/>
        <v>-</v>
      </c>
      <c r="J95" s="294" t="s">
        <v>800</v>
      </c>
      <c r="K95" s="259" t="str">
        <f t="shared" si="82"/>
        <v>-</v>
      </c>
      <c r="L95" s="259" t="str">
        <f t="shared" si="83"/>
        <v>-</v>
      </c>
      <c r="M95" s="259" t="str">
        <f t="shared" si="84"/>
        <v>-</v>
      </c>
      <c r="N95" s="259" t="str">
        <f t="shared" si="85"/>
        <v>-</v>
      </c>
      <c r="O95" s="259"/>
      <c r="Q95" s="124" t="str">
        <f t="shared" ca="1" si="86"/>
        <v/>
      </c>
      <c r="R95" s="124" t="str">
        <f t="shared" ca="1" si="63"/>
        <v/>
      </c>
      <c r="S95" s="124" t="e">
        <f t="shared" si="56"/>
        <v>#N/A</v>
      </c>
      <c r="T95" s="124" t="e">
        <f t="shared" si="57"/>
        <v>#N/A</v>
      </c>
      <c r="U95" s="123" t="str">
        <f>"D:\IMS Images\Headshots\"&amp;IF('Team Info'!$B$21="BASEBALL","CBASE","SBALL")&amp;"\"&amp;'Team Info'!$B$11&amp;"\"&amp;D95&amp;"_"&amp;C95&amp;".png"</f>
        <v>D:\IMS Images\Headshots\CBASE\GENERIC_BASEBALL\-_-.png</v>
      </c>
      <c r="V95" s="123" t="str">
        <f>"D:\IMS Images\ActionShots\"&amp;IF('Team Info'!$B$21="BASEBALL","CBASE","SBALL")&amp;"\"&amp;'Team Info'!$B$11&amp;"\"&amp;D95&amp;"_"&amp;C95&amp;".png"</f>
        <v>D:\IMS Images\ActionShots\CBASE\GENERIC_BASEBALL\-_-.png</v>
      </c>
      <c r="W95" s="192" t="str">
        <f t="shared" si="64"/>
        <v>92 - -</v>
      </c>
      <c r="X95" s="122" t="str">
        <f t="shared" si="58"/>
        <v>- -</v>
      </c>
      <c r="Y95" s="122" t="str">
        <f t="shared" si="59"/>
        <v>- -</v>
      </c>
      <c r="Z95" s="122" t="str">
        <f t="shared" si="60"/>
        <v>-. -</v>
      </c>
      <c r="AA95" s="122" t="str">
        <f t="shared" si="65"/>
        <v>-</v>
      </c>
      <c r="AB95" s="122" t="str">
        <f t="shared" si="66"/>
        <v>-</v>
      </c>
      <c r="AC95" s="125" t="str">
        <f t="shared" si="73"/>
        <v/>
      </c>
      <c r="AD95" s="191" t="str">
        <f t="shared" si="68"/>
        <v/>
      </c>
      <c r="AE95" s="122" t="str">
        <f t="shared" si="61"/>
        <v/>
      </c>
      <c r="AF95" s="122" t="str">
        <f t="shared" si="69"/>
        <v>- lbs</v>
      </c>
      <c r="AG95" s="122" t="str">
        <f t="shared" si="70"/>
        <v>MAJOR: -</v>
      </c>
      <c r="AH95" s="192" t="str">
        <f t="shared" si="71"/>
        <v>92 - -</v>
      </c>
      <c r="AI95" s="266" t="e">
        <f t="shared" si="72"/>
        <v>#N/A</v>
      </c>
    </row>
    <row r="96" spans="1:35" x14ac:dyDescent="0.25">
      <c r="A96" s="25">
        <v>93</v>
      </c>
      <c r="B96" s="5">
        <v>93</v>
      </c>
      <c r="C96" s="171" t="str">
        <f t="shared" si="75"/>
        <v>-</v>
      </c>
      <c r="D96" s="171" t="str">
        <f t="shared" si="76"/>
        <v>-</v>
      </c>
      <c r="E96" s="259" t="str">
        <f t="shared" si="77"/>
        <v>-</v>
      </c>
      <c r="F96" s="259" t="str">
        <f t="shared" si="78"/>
        <v>-</v>
      </c>
      <c r="G96" s="259" t="str">
        <f t="shared" si="79"/>
        <v>-</v>
      </c>
      <c r="H96" s="259" t="str">
        <f t="shared" si="80"/>
        <v>-</v>
      </c>
      <c r="I96" s="259" t="str">
        <f t="shared" si="81"/>
        <v>-</v>
      </c>
      <c r="J96" s="294" t="s">
        <v>800</v>
      </c>
      <c r="K96" s="259" t="str">
        <f t="shared" si="82"/>
        <v>-</v>
      </c>
      <c r="L96" s="259" t="str">
        <f t="shared" si="83"/>
        <v>-</v>
      </c>
      <c r="M96" s="259" t="str">
        <f t="shared" si="84"/>
        <v>-</v>
      </c>
      <c r="N96" s="259" t="str">
        <f t="shared" si="85"/>
        <v>-</v>
      </c>
      <c r="O96" s="259"/>
      <c r="Q96" s="124" t="str">
        <f t="shared" ca="1" si="86"/>
        <v/>
      </c>
      <c r="R96" s="124" t="str">
        <f t="shared" ca="1" si="63"/>
        <v/>
      </c>
      <c r="S96" s="124" t="e">
        <f t="shared" si="56"/>
        <v>#N/A</v>
      </c>
      <c r="T96" s="124" t="e">
        <f t="shared" si="57"/>
        <v>#N/A</v>
      </c>
      <c r="U96" s="123" t="str">
        <f>"D:\IMS Images\Headshots\"&amp;IF('Team Info'!$B$21="BASEBALL","CBASE","SBALL")&amp;"\"&amp;'Team Info'!$B$11&amp;"\"&amp;D96&amp;"_"&amp;C96&amp;".png"</f>
        <v>D:\IMS Images\Headshots\CBASE\GENERIC_BASEBALL\-_-.png</v>
      </c>
      <c r="V96" s="123" t="str">
        <f>"D:\IMS Images\ActionShots\"&amp;IF('Team Info'!$B$21="BASEBALL","CBASE","SBALL")&amp;"\"&amp;'Team Info'!$B$11&amp;"\"&amp;D96&amp;"_"&amp;C96&amp;".png"</f>
        <v>D:\IMS Images\ActionShots\CBASE\GENERIC_BASEBALL\-_-.png</v>
      </c>
      <c r="W96" s="192" t="str">
        <f t="shared" si="64"/>
        <v>93 - -</v>
      </c>
      <c r="X96" s="122" t="str">
        <f t="shared" si="58"/>
        <v>- -</v>
      </c>
      <c r="Y96" s="122" t="str">
        <f t="shared" si="59"/>
        <v>- -</v>
      </c>
      <c r="Z96" s="122" t="str">
        <f t="shared" si="60"/>
        <v>-. -</v>
      </c>
      <c r="AA96" s="122" t="str">
        <f t="shared" si="65"/>
        <v>-</v>
      </c>
      <c r="AB96" s="122" t="str">
        <f t="shared" si="66"/>
        <v>-</v>
      </c>
      <c r="AC96" s="125" t="str">
        <f t="shared" si="73"/>
        <v/>
      </c>
      <c r="AD96" s="191" t="str">
        <f t="shared" si="68"/>
        <v/>
      </c>
      <c r="AE96" s="122" t="str">
        <f t="shared" si="61"/>
        <v/>
      </c>
      <c r="AF96" s="122" t="str">
        <f t="shared" si="69"/>
        <v>- lbs</v>
      </c>
      <c r="AG96" s="122" t="str">
        <f t="shared" si="70"/>
        <v>MAJOR: -</v>
      </c>
      <c r="AH96" s="192" t="str">
        <f t="shared" si="71"/>
        <v>93 - -</v>
      </c>
      <c r="AI96" s="266" t="e">
        <f t="shared" si="72"/>
        <v>#N/A</v>
      </c>
    </row>
    <row r="97" spans="1:35" x14ac:dyDescent="0.25">
      <c r="A97" s="25">
        <v>94</v>
      </c>
      <c r="B97" s="5">
        <v>94</v>
      </c>
      <c r="C97" s="171" t="str">
        <f t="shared" si="75"/>
        <v>-</v>
      </c>
      <c r="D97" s="171" t="str">
        <f t="shared" si="76"/>
        <v>-</v>
      </c>
      <c r="E97" s="259" t="str">
        <f t="shared" si="77"/>
        <v>-</v>
      </c>
      <c r="F97" s="259" t="str">
        <f t="shared" si="78"/>
        <v>-</v>
      </c>
      <c r="G97" s="259" t="str">
        <f t="shared" si="79"/>
        <v>-</v>
      </c>
      <c r="H97" s="259" t="str">
        <f t="shared" si="80"/>
        <v>-</v>
      </c>
      <c r="I97" s="259" t="str">
        <f t="shared" si="81"/>
        <v>-</v>
      </c>
      <c r="J97" s="294" t="s">
        <v>800</v>
      </c>
      <c r="K97" s="259" t="str">
        <f t="shared" si="82"/>
        <v>-</v>
      </c>
      <c r="L97" s="259" t="str">
        <f t="shared" si="83"/>
        <v>-</v>
      </c>
      <c r="M97" s="259" t="str">
        <f t="shared" si="84"/>
        <v>-</v>
      </c>
      <c r="N97" s="259" t="str">
        <f t="shared" si="85"/>
        <v>-</v>
      </c>
      <c r="O97" s="259"/>
      <c r="Q97" s="124" t="str">
        <f t="shared" ca="1" si="86"/>
        <v/>
      </c>
      <c r="R97" s="124" t="str">
        <f t="shared" ca="1" si="63"/>
        <v/>
      </c>
      <c r="S97" s="124" t="e">
        <f t="shared" si="56"/>
        <v>#N/A</v>
      </c>
      <c r="T97" s="124" t="e">
        <f t="shared" si="57"/>
        <v>#N/A</v>
      </c>
      <c r="U97" s="123" t="str">
        <f>"D:\IMS Images\Headshots\"&amp;IF('Team Info'!$B$21="BASEBALL","CBASE","SBALL")&amp;"\"&amp;'Team Info'!$B$11&amp;"\"&amp;D97&amp;"_"&amp;C97&amp;".png"</f>
        <v>D:\IMS Images\Headshots\CBASE\GENERIC_BASEBALL\-_-.png</v>
      </c>
      <c r="V97" s="123" t="str">
        <f>"D:\IMS Images\ActionShots\"&amp;IF('Team Info'!$B$21="BASEBALL","CBASE","SBALL")&amp;"\"&amp;'Team Info'!$B$11&amp;"\"&amp;D97&amp;"_"&amp;C97&amp;".png"</f>
        <v>D:\IMS Images\ActionShots\CBASE\GENERIC_BASEBALL\-_-.png</v>
      </c>
      <c r="W97" s="192" t="str">
        <f t="shared" si="64"/>
        <v>94 - -</v>
      </c>
      <c r="X97" s="122" t="str">
        <f t="shared" si="58"/>
        <v>- -</v>
      </c>
      <c r="Y97" s="122" t="str">
        <f t="shared" si="59"/>
        <v>- -</v>
      </c>
      <c r="Z97" s="122" t="str">
        <f t="shared" si="60"/>
        <v>-. -</v>
      </c>
      <c r="AA97" s="122" t="str">
        <f t="shared" si="65"/>
        <v>-</v>
      </c>
      <c r="AB97" s="122" t="str">
        <f t="shared" si="66"/>
        <v>-</v>
      </c>
      <c r="AC97" s="125" t="str">
        <f t="shared" si="73"/>
        <v/>
      </c>
      <c r="AD97" s="191" t="str">
        <f t="shared" si="68"/>
        <v/>
      </c>
      <c r="AE97" s="122" t="str">
        <f t="shared" si="61"/>
        <v/>
      </c>
      <c r="AF97" s="122" t="str">
        <f t="shared" si="69"/>
        <v>- lbs</v>
      </c>
      <c r="AG97" s="122" t="str">
        <f t="shared" si="70"/>
        <v>MAJOR: -</v>
      </c>
      <c r="AH97" s="192" t="str">
        <f t="shared" si="71"/>
        <v>94 - -</v>
      </c>
      <c r="AI97" s="266" t="e">
        <f t="shared" si="72"/>
        <v>#N/A</v>
      </c>
    </row>
    <row r="98" spans="1:35" x14ac:dyDescent="0.25">
      <c r="A98" s="25">
        <v>95</v>
      </c>
      <c r="B98" s="5">
        <v>95</v>
      </c>
      <c r="C98" s="171" t="str">
        <f t="shared" si="75"/>
        <v>-</v>
      </c>
      <c r="D98" s="171" t="str">
        <f t="shared" si="76"/>
        <v>-</v>
      </c>
      <c r="E98" s="259" t="str">
        <f t="shared" si="77"/>
        <v>-</v>
      </c>
      <c r="F98" s="259" t="str">
        <f t="shared" si="78"/>
        <v>-</v>
      </c>
      <c r="G98" s="259" t="str">
        <f t="shared" si="79"/>
        <v>-</v>
      </c>
      <c r="H98" s="259" t="str">
        <f t="shared" si="80"/>
        <v>-</v>
      </c>
      <c r="I98" s="259" t="str">
        <f t="shared" si="81"/>
        <v>-</v>
      </c>
      <c r="J98" s="294" t="s">
        <v>800</v>
      </c>
      <c r="K98" s="259" t="str">
        <f t="shared" si="82"/>
        <v>-</v>
      </c>
      <c r="L98" s="259" t="str">
        <f t="shared" si="83"/>
        <v>-</v>
      </c>
      <c r="M98" s="259" t="str">
        <f t="shared" si="84"/>
        <v>-</v>
      </c>
      <c r="N98" s="259" t="str">
        <f t="shared" si="85"/>
        <v>-</v>
      </c>
      <c r="O98" s="259"/>
      <c r="Q98" s="124" t="str">
        <f t="shared" ca="1" si="86"/>
        <v/>
      </c>
      <c r="R98" s="124" t="str">
        <f t="shared" ca="1" si="63"/>
        <v/>
      </c>
      <c r="S98" s="124" t="e">
        <f t="shared" si="56"/>
        <v>#N/A</v>
      </c>
      <c r="T98" s="124" t="e">
        <f t="shared" si="57"/>
        <v>#N/A</v>
      </c>
      <c r="U98" s="123" t="str">
        <f>"D:\IMS Images\Headshots\"&amp;IF('Team Info'!$B$21="BASEBALL","CBASE","SBALL")&amp;"\"&amp;'Team Info'!$B$11&amp;"\"&amp;D98&amp;"_"&amp;C98&amp;".png"</f>
        <v>D:\IMS Images\Headshots\CBASE\GENERIC_BASEBALL\-_-.png</v>
      </c>
      <c r="V98" s="123" t="str">
        <f>"D:\IMS Images\ActionShots\"&amp;IF('Team Info'!$B$21="BASEBALL","CBASE","SBALL")&amp;"\"&amp;'Team Info'!$B$11&amp;"\"&amp;D98&amp;"_"&amp;C98&amp;".png"</f>
        <v>D:\IMS Images\ActionShots\CBASE\GENERIC_BASEBALL\-_-.png</v>
      </c>
      <c r="W98" s="192" t="str">
        <f t="shared" si="64"/>
        <v>95 - -</v>
      </c>
      <c r="X98" s="122" t="str">
        <f t="shared" si="58"/>
        <v>- -</v>
      </c>
      <c r="Y98" s="122" t="str">
        <f t="shared" si="59"/>
        <v>- -</v>
      </c>
      <c r="Z98" s="122" t="str">
        <f t="shared" si="60"/>
        <v>-. -</v>
      </c>
      <c r="AA98" s="122" t="str">
        <f t="shared" si="65"/>
        <v>-</v>
      </c>
      <c r="AB98" s="122" t="str">
        <f t="shared" si="66"/>
        <v>-</v>
      </c>
      <c r="AC98" s="125" t="str">
        <f t="shared" si="73"/>
        <v/>
      </c>
      <c r="AD98" s="191" t="str">
        <f t="shared" si="68"/>
        <v/>
      </c>
      <c r="AE98" s="122" t="str">
        <f t="shared" si="61"/>
        <v/>
      </c>
      <c r="AF98" s="122" t="str">
        <f t="shared" si="69"/>
        <v>- lbs</v>
      </c>
      <c r="AG98" s="122" t="str">
        <f t="shared" si="70"/>
        <v>MAJOR: -</v>
      </c>
      <c r="AH98" s="192" t="str">
        <f t="shared" si="71"/>
        <v>95 - -</v>
      </c>
      <c r="AI98" s="266" t="e">
        <f t="shared" si="72"/>
        <v>#N/A</v>
      </c>
    </row>
    <row r="99" spans="1:35" x14ac:dyDescent="0.25">
      <c r="A99" s="25">
        <v>96</v>
      </c>
      <c r="B99" s="5">
        <v>96</v>
      </c>
      <c r="C99" s="171" t="str">
        <f t="shared" si="75"/>
        <v>-</v>
      </c>
      <c r="D99" s="171" t="str">
        <f t="shared" si="76"/>
        <v>-</v>
      </c>
      <c r="E99" s="259" t="str">
        <f t="shared" si="77"/>
        <v>-</v>
      </c>
      <c r="F99" s="259" t="str">
        <f t="shared" si="78"/>
        <v>-</v>
      </c>
      <c r="G99" s="259" t="str">
        <f t="shared" si="79"/>
        <v>-</v>
      </c>
      <c r="H99" s="259" t="str">
        <f t="shared" si="80"/>
        <v>-</v>
      </c>
      <c r="I99" s="259" t="str">
        <f t="shared" si="81"/>
        <v>-</v>
      </c>
      <c r="J99" s="294" t="s">
        <v>800</v>
      </c>
      <c r="K99" s="259" t="str">
        <f t="shared" si="82"/>
        <v>-</v>
      </c>
      <c r="L99" s="259" t="str">
        <f t="shared" si="83"/>
        <v>-</v>
      </c>
      <c r="M99" s="259" t="str">
        <f t="shared" si="84"/>
        <v>-</v>
      </c>
      <c r="N99" s="259" t="str">
        <f t="shared" si="85"/>
        <v>-</v>
      </c>
      <c r="O99" s="259"/>
      <c r="Q99" s="124" t="str">
        <f t="shared" ca="1" si="86"/>
        <v/>
      </c>
      <c r="R99" s="124" t="str">
        <f t="shared" ca="1" si="63"/>
        <v/>
      </c>
      <c r="S99" s="124" t="e">
        <f t="shared" si="56"/>
        <v>#N/A</v>
      </c>
      <c r="T99" s="124" t="e">
        <f t="shared" si="57"/>
        <v>#N/A</v>
      </c>
      <c r="U99" s="123" t="str">
        <f>"D:\IMS Images\Headshots\"&amp;IF('Team Info'!$B$21="BASEBALL","CBASE","SBALL")&amp;"\"&amp;'Team Info'!$B$11&amp;"\"&amp;D99&amp;"_"&amp;C99&amp;".png"</f>
        <v>D:\IMS Images\Headshots\CBASE\GENERIC_BASEBALL\-_-.png</v>
      </c>
      <c r="V99" s="123" t="str">
        <f>"D:\IMS Images\ActionShots\"&amp;IF('Team Info'!$B$21="BASEBALL","CBASE","SBALL")&amp;"\"&amp;'Team Info'!$B$11&amp;"\"&amp;D99&amp;"_"&amp;C99&amp;".png"</f>
        <v>D:\IMS Images\ActionShots\CBASE\GENERIC_BASEBALL\-_-.png</v>
      </c>
      <c r="W99" s="192" t="str">
        <f t="shared" si="64"/>
        <v>96 - -</v>
      </c>
      <c r="X99" s="122" t="str">
        <f t="shared" si="58"/>
        <v>- -</v>
      </c>
      <c r="Y99" s="122" t="str">
        <f t="shared" si="59"/>
        <v>- -</v>
      </c>
      <c r="Z99" s="122" t="str">
        <f t="shared" si="60"/>
        <v>-. -</v>
      </c>
      <c r="AA99" s="122" t="str">
        <f t="shared" si="65"/>
        <v>-</v>
      </c>
      <c r="AB99" s="122" t="str">
        <f t="shared" si="66"/>
        <v>-</v>
      </c>
      <c r="AC99" s="125" t="str">
        <f t="shared" si="73"/>
        <v/>
      </c>
      <c r="AD99" s="191" t="str">
        <f t="shared" si="68"/>
        <v/>
      </c>
      <c r="AE99" s="122" t="str">
        <f t="shared" si="61"/>
        <v/>
      </c>
      <c r="AF99" s="122" t="str">
        <f t="shared" si="69"/>
        <v>- lbs</v>
      </c>
      <c r="AG99" s="122" t="str">
        <f t="shared" si="70"/>
        <v>MAJOR: -</v>
      </c>
      <c r="AH99" s="192" t="str">
        <f t="shared" si="71"/>
        <v>96 - -</v>
      </c>
      <c r="AI99" s="266" t="e">
        <f t="shared" si="72"/>
        <v>#N/A</v>
      </c>
    </row>
    <row r="100" spans="1:35" x14ac:dyDescent="0.25">
      <c r="A100" s="25">
        <v>97</v>
      </c>
      <c r="B100" s="5">
        <v>97</v>
      </c>
      <c r="C100" s="171" t="str">
        <f t="shared" si="75"/>
        <v>-</v>
      </c>
      <c r="D100" s="171" t="str">
        <f t="shared" si="76"/>
        <v>-</v>
      </c>
      <c r="E100" s="259" t="str">
        <f t="shared" si="77"/>
        <v>-</v>
      </c>
      <c r="F100" s="259" t="str">
        <f t="shared" si="78"/>
        <v>-</v>
      </c>
      <c r="G100" s="259" t="str">
        <f t="shared" si="79"/>
        <v>-</v>
      </c>
      <c r="H100" s="259" t="str">
        <f t="shared" si="80"/>
        <v>-</v>
      </c>
      <c r="I100" s="259" t="str">
        <f t="shared" si="81"/>
        <v>-</v>
      </c>
      <c r="J100" s="294" t="s">
        <v>800</v>
      </c>
      <c r="K100" s="259" t="str">
        <f t="shared" si="82"/>
        <v>-</v>
      </c>
      <c r="L100" s="259" t="str">
        <f t="shared" si="83"/>
        <v>-</v>
      </c>
      <c r="M100" s="259" t="str">
        <f t="shared" si="84"/>
        <v>-</v>
      </c>
      <c r="N100" s="259" t="str">
        <f t="shared" si="85"/>
        <v>-</v>
      </c>
      <c r="O100" s="259"/>
      <c r="Q100" s="124" t="str">
        <f t="shared" ca="1" si="86"/>
        <v/>
      </c>
      <c r="R100" s="124" t="str">
        <f t="shared" ca="1" si="63"/>
        <v/>
      </c>
      <c r="S100" s="124" t="e">
        <f t="shared" si="56"/>
        <v>#N/A</v>
      </c>
      <c r="T100" s="124" t="e">
        <f t="shared" si="57"/>
        <v>#N/A</v>
      </c>
      <c r="U100" s="123" t="str">
        <f>"D:\IMS Images\Headshots\"&amp;IF('Team Info'!$B$21="BASEBALL","CBASE","SBALL")&amp;"\"&amp;'Team Info'!$B$11&amp;"\"&amp;D100&amp;"_"&amp;C100&amp;".png"</f>
        <v>D:\IMS Images\Headshots\CBASE\GENERIC_BASEBALL\-_-.png</v>
      </c>
      <c r="V100" s="123" t="str">
        <f>"D:\IMS Images\ActionShots\"&amp;IF('Team Info'!$B$21="BASEBALL","CBASE","SBALL")&amp;"\"&amp;'Team Info'!$B$11&amp;"\"&amp;D100&amp;"_"&amp;C100&amp;".png"</f>
        <v>D:\IMS Images\ActionShots\CBASE\GENERIC_BASEBALL\-_-.png</v>
      </c>
      <c r="W100" s="192" t="str">
        <f t="shared" si="64"/>
        <v>97 - -</v>
      </c>
      <c r="X100" s="122" t="str">
        <f t="shared" si="58"/>
        <v>- -</v>
      </c>
      <c r="Y100" s="122" t="str">
        <f t="shared" ref="Y100:Y102" si="87">UPPER(X100)</f>
        <v>- -</v>
      </c>
      <c r="Z100" s="122" t="str">
        <f t="shared" si="60"/>
        <v>-. -</v>
      </c>
      <c r="AA100" s="122" t="str">
        <f t="shared" si="65"/>
        <v>-</v>
      </c>
      <c r="AB100" s="122" t="str">
        <f t="shared" si="66"/>
        <v>-</v>
      </c>
      <c r="AC100" s="125" t="str">
        <f t="shared" si="73"/>
        <v/>
      </c>
      <c r="AD100" s="191" t="str">
        <f t="shared" si="68"/>
        <v/>
      </c>
      <c r="AE100" s="122" t="str">
        <f t="shared" si="61"/>
        <v/>
      </c>
      <c r="AF100" s="122" t="str">
        <f t="shared" si="69"/>
        <v>- lbs</v>
      </c>
      <c r="AG100" s="122" t="str">
        <f t="shared" si="70"/>
        <v>MAJOR: -</v>
      </c>
      <c r="AH100" s="192" t="str">
        <f t="shared" si="71"/>
        <v>97 - -</v>
      </c>
      <c r="AI100" s="266" t="e">
        <f t="shared" si="72"/>
        <v>#N/A</v>
      </c>
    </row>
    <row r="101" spans="1:35" x14ac:dyDescent="0.25">
      <c r="A101" s="25">
        <v>98</v>
      </c>
      <c r="B101" s="5">
        <v>98</v>
      </c>
      <c r="C101" s="171" t="str">
        <f t="shared" si="75"/>
        <v>-</v>
      </c>
      <c r="D101" s="171" t="str">
        <f t="shared" si="76"/>
        <v>-</v>
      </c>
      <c r="E101" s="259" t="str">
        <f t="shared" si="77"/>
        <v>-</v>
      </c>
      <c r="F101" s="259" t="str">
        <f t="shared" si="78"/>
        <v>-</v>
      </c>
      <c r="G101" s="259" t="str">
        <f t="shared" si="79"/>
        <v>-</v>
      </c>
      <c r="H101" s="259" t="str">
        <f t="shared" si="80"/>
        <v>-</v>
      </c>
      <c r="I101" s="259" t="str">
        <f t="shared" si="81"/>
        <v>-</v>
      </c>
      <c r="J101" s="294" t="s">
        <v>800</v>
      </c>
      <c r="K101" s="259" t="str">
        <f t="shared" si="82"/>
        <v>-</v>
      </c>
      <c r="L101" s="259" t="str">
        <f t="shared" si="83"/>
        <v>-</v>
      </c>
      <c r="M101" s="259" t="str">
        <f t="shared" si="84"/>
        <v>-</v>
      </c>
      <c r="N101" s="259" t="str">
        <f t="shared" si="85"/>
        <v>-</v>
      </c>
      <c r="O101" s="259"/>
      <c r="Q101" s="124" t="str">
        <f t="shared" ref="Q101" ca="1" si="88">IF(J101="","",INT(YEARFRAC($J101, TODAY())))</f>
        <v/>
      </c>
      <c r="R101" s="124" t="str">
        <f t="shared" ca="1" si="63"/>
        <v/>
      </c>
      <c r="S101" s="124" t="e">
        <f t="shared" si="56"/>
        <v>#N/A</v>
      </c>
      <c r="T101" s="124" t="e">
        <f t="shared" si="57"/>
        <v>#N/A</v>
      </c>
      <c r="U101" s="123" t="str">
        <f>"D:\IMS Images\Headshots\"&amp;IF('Team Info'!$B$21="BASEBALL","CBASE","SBALL")&amp;"\"&amp;'Team Info'!$B$11&amp;"\"&amp;D101&amp;"_"&amp;C101&amp;".png"</f>
        <v>D:\IMS Images\Headshots\CBASE\GENERIC_BASEBALL\-_-.png</v>
      </c>
      <c r="V101" s="123" t="str">
        <f>"D:\IMS Images\ActionShots\"&amp;IF('Team Info'!$B$21="BASEBALL","CBASE","SBALL")&amp;"\"&amp;'Team Info'!$B$11&amp;"\"&amp;D101&amp;"_"&amp;C101&amp;".png"</f>
        <v>D:\IMS Images\ActionShots\CBASE\GENERIC_BASEBALL\-_-.png</v>
      </c>
      <c r="W101" s="192" t="str">
        <f t="shared" si="64"/>
        <v>98 - -</v>
      </c>
      <c r="X101" s="122" t="str">
        <f t="shared" si="58"/>
        <v>- -</v>
      </c>
      <c r="Y101" s="122" t="str">
        <f t="shared" si="87"/>
        <v>- -</v>
      </c>
      <c r="Z101" s="122" t="str">
        <f t="shared" si="60"/>
        <v>-. -</v>
      </c>
      <c r="AA101" s="122" t="str">
        <f t="shared" si="65"/>
        <v>-</v>
      </c>
      <c r="AB101" s="122" t="str">
        <f t="shared" si="66"/>
        <v>-</v>
      </c>
      <c r="AC101" s="125" t="str">
        <f t="shared" si="73"/>
        <v/>
      </c>
      <c r="AD101" s="191" t="str">
        <f t="shared" si="68"/>
        <v/>
      </c>
      <c r="AE101" s="122" t="str">
        <f t="shared" si="61"/>
        <v/>
      </c>
      <c r="AF101" s="122" t="str">
        <f t="shared" si="69"/>
        <v>- lbs</v>
      </c>
      <c r="AG101" s="122" t="str">
        <f t="shared" si="70"/>
        <v>MAJOR: -</v>
      </c>
      <c r="AH101" s="192" t="str">
        <f t="shared" si="71"/>
        <v>98 - -</v>
      </c>
      <c r="AI101" s="266" t="e">
        <f t="shared" si="72"/>
        <v>#N/A</v>
      </c>
    </row>
    <row r="102" spans="1:35" ht="15.75" thickBot="1" x14ac:dyDescent="0.3">
      <c r="A102" s="25">
        <v>99</v>
      </c>
      <c r="B102" s="166" t="s">
        <v>794</v>
      </c>
      <c r="C102" s="171" t="str">
        <f>IF(C$104=0,"",C$104)</f>
        <v>-</v>
      </c>
      <c r="D102" s="171" t="str">
        <f t="shared" ref="D102:O102" si="89">IF(D$104=0,"",D$104)</f>
        <v>-</v>
      </c>
      <c r="E102" s="259" t="str">
        <f t="shared" si="89"/>
        <v>-</v>
      </c>
      <c r="F102" s="259" t="str">
        <f t="shared" si="89"/>
        <v>-</v>
      </c>
      <c r="G102" s="259" t="str">
        <f t="shared" si="89"/>
        <v>-</v>
      </c>
      <c r="H102" s="259" t="str">
        <f t="shared" si="89"/>
        <v>-</v>
      </c>
      <c r="I102" s="259" t="str">
        <f t="shared" si="89"/>
        <v>-</v>
      </c>
      <c r="J102" s="294" t="s">
        <v>800</v>
      </c>
      <c r="K102" s="259" t="str">
        <f t="shared" si="89"/>
        <v>-</v>
      </c>
      <c r="L102" s="259" t="str">
        <f t="shared" si="89"/>
        <v>-</v>
      </c>
      <c r="M102" s="259" t="str">
        <f t="shared" si="89"/>
        <v>-</v>
      </c>
      <c r="N102" s="259" t="str">
        <f t="shared" si="89"/>
        <v>-</v>
      </c>
      <c r="O102" s="259" t="str">
        <f t="shared" si="89"/>
        <v/>
      </c>
      <c r="Q102" s="124" t="str">
        <f t="shared" ref="Q102" ca="1" si="90">IF(J102="","",INT(YEARFRAC($J102, TODAY())))</f>
        <v/>
      </c>
      <c r="R102" s="124" t="str">
        <f t="shared" ca="1" si="63"/>
        <v/>
      </c>
      <c r="S102" s="124" t="e">
        <f t="shared" si="56"/>
        <v>#N/A</v>
      </c>
      <c r="T102" s="124" t="e">
        <f t="shared" si="57"/>
        <v>#N/A</v>
      </c>
      <c r="U102" s="123" t="str">
        <f>"D:\IMS Images\Headshots\"&amp;IF('Team Info'!$B$21="BASEBALL","CBASE","SBALL")&amp;"\"&amp;'Team Info'!$B$11&amp;"\"&amp;D102&amp;"_"&amp;C102&amp;".png"</f>
        <v>D:\IMS Images\Headshots\CBASE\GENERIC_BASEBALL\-_-.png</v>
      </c>
      <c r="V102" s="123" t="str">
        <f>"D:\IMS Images\ActionShots\"&amp;IF('Team Info'!$B$21="BASEBALL","CBASE","SBALL")&amp;"\"&amp;'Team Info'!$B$11&amp;"\"&amp;D102&amp;"_"&amp;C102&amp;".png"</f>
        <v>D:\IMS Images\ActionShots\CBASE\GENERIC_BASEBALL\-_-.png</v>
      </c>
      <c r="W102" s="192" t="str">
        <f t="shared" si="64"/>
        <v>00 - -</v>
      </c>
      <c r="X102" s="122" t="str">
        <f t="shared" si="58"/>
        <v>- -</v>
      </c>
      <c r="Y102" s="122" t="str">
        <f t="shared" si="87"/>
        <v>- -</v>
      </c>
      <c r="Z102" s="122" t="str">
        <f t="shared" si="60"/>
        <v>-. -</v>
      </c>
      <c r="AA102" s="122" t="str">
        <f t="shared" si="65"/>
        <v>-</v>
      </c>
      <c r="AB102" s="122" t="str">
        <f t="shared" si="66"/>
        <v>-</v>
      </c>
      <c r="AC102" s="125" t="str">
        <f t="shared" si="73"/>
        <v/>
      </c>
      <c r="AD102" s="191" t="str">
        <f t="shared" si="68"/>
        <v/>
      </c>
      <c r="AE102" s="122" t="str">
        <f t="shared" si="61"/>
        <v/>
      </c>
      <c r="AF102" s="122" t="str">
        <f t="shared" si="69"/>
        <v>- lbs</v>
      </c>
      <c r="AG102" s="122" t="str">
        <f t="shared" si="70"/>
        <v>MAJOR: -</v>
      </c>
      <c r="AH102" s="192" t="str">
        <f t="shared" si="71"/>
        <v>00 - -</v>
      </c>
      <c r="AI102" s="266" t="e">
        <f t="shared" si="72"/>
        <v>#N/A</v>
      </c>
    </row>
    <row r="103" spans="1:35" ht="15.75" thickBot="1" x14ac:dyDescent="0.3">
      <c r="A103" s="168" t="s">
        <v>841</v>
      </c>
      <c r="B103" s="169"/>
      <c r="C103" s="169"/>
      <c r="D103" s="169"/>
      <c r="E103" s="169"/>
      <c r="F103" s="169"/>
      <c r="G103" s="169"/>
      <c r="H103" s="169"/>
      <c r="I103" s="169"/>
      <c r="J103" s="169"/>
      <c r="K103" s="169"/>
      <c r="L103" s="169"/>
      <c r="M103" s="169"/>
      <c r="N103" s="169"/>
      <c r="O103" s="170"/>
    </row>
    <row r="104" spans="1:35" x14ac:dyDescent="0.25">
      <c r="A104" s="25"/>
      <c r="B104" s="167">
        <v>0</v>
      </c>
      <c r="C104" s="6" t="str">
        <f>IFERROR(INDEX(NAME_RANGE,MATCH(B104,NUM_RANGE,FALSE),2),"-")</f>
        <v>-</v>
      </c>
      <c r="D104" s="6" t="str">
        <f>IFERROR(INDEX(NAME_RANGE,MATCH(B104,NUM_RANGE,FALSE),1),"-")</f>
        <v>-</v>
      </c>
      <c r="E104" s="7" t="str">
        <f>IFERROR(VLOOKUP($B104,INPUT_RANGE,2,FALSE),"-")</f>
        <v>-</v>
      </c>
      <c r="F104" s="7" t="str">
        <f>IFERROR(VLOOKUP($B104,INPUT_RANGE,3,FALSE),"-")</f>
        <v>-</v>
      </c>
      <c r="G104" s="7" t="str">
        <f>IFERROR(VLOOKUP($B104,INPUT_RANGE,4,FALSE),"-")</f>
        <v>-</v>
      </c>
      <c r="H104" s="7" t="str">
        <f>IFERROR(VLOOKUP($B104,INPUT_RANGE,7,FALSE),"-")</f>
        <v>-</v>
      </c>
      <c r="I104" s="7" t="str">
        <f>IFERROR(VLOOKUP($B104,INPUT_RANGE,8,FALSE),"-")</f>
        <v>-</v>
      </c>
      <c r="J104" s="35" t="str">
        <f t="shared" ref="J104" si="91">IFERROR(VLOOKUP($B104,INPUT_RANGE,10,FALSE),"-")</f>
        <v>-</v>
      </c>
      <c r="K104" s="7" t="str">
        <f>IFERROR(VLOOKUP($B104,INPUT_RANGE,5,FALSE)&amp;", "&amp;VLOOKUP($B104,INPUT_RANGE,6,FALSE),"-")</f>
        <v>-</v>
      </c>
      <c r="L104" s="7" t="str">
        <f>IFERROR(VLOOKUP($B104,INPUT_RANGE,9,FALSE),"-")</f>
        <v>-</v>
      </c>
      <c r="M104" s="7" t="str">
        <f>IFERROR(VLOOKUP($B104,INPUT_RANGE,11,FALSE),"-")</f>
        <v>-</v>
      </c>
      <c r="N104" s="7" t="str">
        <f>IFERROR(VLOOKUP($B104,INPUT_RANGE,12,FALSE),"-")</f>
        <v>-</v>
      </c>
      <c r="O104" s="7"/>
    </row>
  </sheetData>
  <customSheetViews>
    <customSheetView guid="{35139CDC-7B22-4BB4-A27E-0C639571C225}" hiddenColumns="1">
      <pane ySplit="3" topLeftCell="A4" activePane="bottomLeft" state="frozen"/>
      <selection pane="bottomLeft" activeCell="A4" sqref="A4"/>
      <pageMargins left="0.7" right="0.7" top="0.75" bottom="0.75" header="0.3" footer="0.3"/>
      <pageSetup orientation="portrait" r:id="rId1"/>
    </customSheetView>
    <customSheetView guid="{42F19D52-E208-414F-9E2E-506DF902926F}" hiddenColumns="1">
      <pane ySplit="3" topLeftCell="A4" activePane="bottomLeft" state="frozen"/>
      <selection pane="bottomLeft" activeCell="A4" sqref="A4"/>
      <pageMargins left="0.7" right="0.7" top="0.75" bottom="0.75" header="0.3" footer="0.3"/>
      <pageSetup orientation="portrait" r:id="rId2"/>
    </customSheetView>
    <customSheetView guid="{BE266B8E-38B0-4631-9C30-67CA48A8BD7F}">
      <pane ySplit="2" topLeftCell="A3" activePane="bottomLeft" state="frozen"/>
      <selection pane="bottomLeft" sqref="A1:XFD1048576"/>
      <pageMargins left="0.7" right="0.7" top="0.75" bottom="0.75" header="0.3" footer="0.3"/>
      <pageSetup orientation="portrait" r:id="rId3"/>
    </customSheetView>
    <customSheetView guid="{9DC468DE-D883-45B4-B188-265B9DA68425}">
      <pane ySplit="2" topLeftCell="A3" activePane="bottomLeft" state="frozen"/>
      <selection pane="bottomLeft" activeCell="F9" sqref="F9"/>
      <pageMargins left="0.7" right="0.7" top="0.75" bottom="0.75" header="0.3" footer="0.3"/>
      <pageSetup orientation="portrait" r:id="rId4"/>
    </customSheetView>
    <customSheetView guid="{6A3B2C41-2DBC-4B17-AB58-12C85E3A6B8A}" hiddenColumns="1">
      <pane ySplit="3" topLeftCell="A4" activePane="bottomLeft" state="frozen"/>
      <selection pane="bottomLeft" activeCell="A4" sqref="A4"/>
      <pageMargins left="0.7" right="0.7" top="0.75" bottom="0.75" header="0.3" footer="0.3"/>
      <pageSetup orientation="portrait" r:id="rId5"/>
    </customSheetView>
    <customSheetView guid="{6960175A-17E1-4BDD-98F7-6E9A590B8B7F}">
      <pane ySplit="2" topLeftCell="A77" activePane="bottomLeft" state="frozen"/>
      <selection pane="bottomLeft" activeCell="C81" sqref="C81"/>
      <pageMargins left="0.7" right="0.7" top="0.75" bottom="0.75" header="0.3" footer="0.3"/>
      <pageSetup orientation="portrait" r:id="rId6"/>
    </customSheetView>
    <customSheetView guid="{DB365F32-166D-4348-BCE9-F0F1DB0B73A9}">
      <pane ySplit="2" topLeftCell="A83" activePane="bottomLeft" state="frozen"/>
      <selection pane="bottomLeft" activeCell="C81" sqref="C81"/>
      <pageMargins left="0.7" right="0.7" top="0.75" bottom="0.75" header="0.3" footer="0.3"/>
      <pageSetup orientation="portrait" r:id="rId7"/>
    </customSheetView>
    <customSheetView guid="{6EDF2E63-E51E-449A-B1C5-EFB1FD6A259C}">
      <pane ySplit="2" topLeftCell="A3" activePane="bottomLeft" state="frozen"/>
      <selection pane="bottomLeft" activeCell="K117" sqref="A3:K117"/>
      <pageMargins left="0.7" right="0.7" top="0.75" bottom="0.75" header="0.3" footer="0.3"/>
      <pageSetup orientation="portrait" r:id="rId8"/>
    </customSheetView>
    <customSheetView guid="{46B088B4-7F51-4D35-9F00-2268626FA819}" hiddenRows="1" hiddenColumns="1">
      <pane ySplit="2" topLeftCell="A3" activePane="bottomLeft" state="frozen"/>
      <selection pane="bottomLeft" activeCell="E2" sqref="E2"/>
      <pageMargins left="0.7" right="0.7" top="0.75" bottom="0.75" header="0.3" footer="0.3"/>
      <pageSetup orientation="portrait" r:id="rId9"/>
    </customSheetView>
    <customSheetView guid="{42945F95-5627-491B-A345-A07B64F7E806}" hiddenColumns="1" topLeftCell="A79">
      <selection activeCell="C11" sqref="C11"/>
      <pageMargins left="0.7" right="0.7" top="0.75" bottom="0.75" header="0.3" footer="0.3"/>
      <pageSetup orientation="portrait" r:id="rId10"/>
    </customSheetView>
    <customSheetView guid="{BD1DF852-269B-4C2F-AF89-1FA576EA4603}" showPageBreaks="1" hiddenColumns="1">
      <pane ySplit="3" topLeftCell="A4" activePane="bottomLeft" state="frozen"/>
      <selection pane="bottomLeft" activeCell="C4" sqref="C4"/>
      <pageMargins left="0.7" right="0.7" top="0.75" bottom="0.75" header="0.3" footer="0.3"/>
      <pageSetup orientation="portrait" r:id="rId11"/>
    </customSheetView>
  </customSheetViews>
  <dataValidations disablePrompts="1" count="1">
    <dataValidation type="list" allowBlank="1" showInputMessage="1" showErrorMessage="1" sqref="M3" xr:uid="{00000000-0002-0000-0300-000000000000}">
      <formula1>$P$8:$P$9</formula1>
    </dataValidation>
  </dataValidations>
  <pageMargins left="0.7" right="0.7" top="0.75" bottom="0.75" header="0.3" footer="0.3"/>
  <pageSetup orientation="portrait" r:id="rId1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1:BM104"/>
  <sheetViews>
    <sheetView tabSelected="1" zoomScaleNormal="100" zoomScaleSheetLayoutView="100" workbookViewId="0">
      <pane ySplit="1" topLeftCell="A2" activePane="bottomLeft" state="frozen"/>
      <selection activeCell="L1" sqref="L1"/>
      <selection pane="bottomLeft" activeCell="BO5" sqref="BO5"/>
    </sheetView>
  </sheetViews>
  <sheetFormatPr defaultRowHeight="15" x14ac:dyDescent="0.25"/>
  <cols>
    <col min="2" max="2" width="17.5703125" bestFit="1" customWidth="1"/>
    <col min="3" max="3" width="35.7109375" style="29" customWidth="1"/>
    <col min="4" max="4" width="20.7109375" customWidth="1"/>
    <col min="5" max="5" width="7.140625" customWidth="1"/>
    <col min="6" max="6" width="20.7109375" customWidth="1"/>
    <col min="7" max="7" width="5.7109375" customWidth="1"/>
    <col min="8" max="8" width="20.7109375" customWidth="1"/>
    <col min="9" max="9" width="5.7109375" customWidth="1"/>
    <col min="10" max="10" width="20.7109375" customWidth="1"/>
    <col min="11" max="11" width="5.7109375" customWidth="1"/>
    <col min="12" max="12" width="25.7109375" style="29" customWidth="1"/>
    <col min="13" max="13" width="10.7109375" hidden="1" customWidth="1"/>
    <col min="14" max="42" width="9.140625" hidden="1" customWidth="1"/>
    <col min="43" max="47" width="9.140625" style="8" hidden="1" customWidth="1"/>
    <col min="48" max="48" width="2.7109375" hidden="1" customWidth="1"/>
    <col min="49" max="53" width="9.140625" hidden="1" customWidth="1"/>
    <col min="54" max="56" width="12.7109375" style="28" hidden="1" customWidth="1"/>
    <col min="57" max="57" width="12.7109375" style="248" hidden="1" customWidth="1"/>
    <col min="58" max="60" width="12.7109375" style="28" hidden="1" customWidth="1"/>
    <col min="61" max="65" width="9.140625" style="28" hidden="1" customWidth="1"/>
  </cols>
  <sheetData>
    <row r="1" spans="1:65" ht="16.5" thickBot="1" x14ac:dyDescent="0.3">
      <c r="A1" s="68" t="s">
        <v>39</v>
      </c>
      <c r="B1" s="69" t="s">
        <v>723</v>
      </c>
      <c r="C1" s="69" t="s">
        <v>739</v>
      </c>
      <c r="D1" s="70" t="s">
        <v>740</v>
      </c>
      <c r="E1" s="70" t="s">
        <v>741</v>
      </c>
      <c r="F1" s="70" t="s">
        <v>742</v>
      </c>
      <c r="G1" s="70" t="s">
        <v>743</v>
      </c>
      <c r="H1" s="70" t="s">
        <v>744</v>
      </c>
      <c r="I1" s="70" t="s">
        <v>745</v>
      </c>
      <c r="J1" s="70" t="s">
        <v>911</v>
      </c>
      <c r="K1" s="70" t="s">
        <v>912</v>
      </c>
      <c r="L1" s="46" t="s">
        <v>746</v>
      </c>
      <c r="M1" s="60" t="s">
        <v>53</v>
      </c>
      <c r="N1" s="59" t="s">
        <v>869</v>
      </c>
      <c r="O1" s="59" t="s">
        <v>913</v>
      </c>
      <c r="P1" s="59" t="s">
        <v>872</v>
      </c>
      <c r="Q1" s="59" t="s">
        <v>875</v>
      </c>
      <c r="R1" s="59" t="s">
        <v>866</v>
      </c>
      <c r="S1" s="59" t="s">
        <v>867</v>
      </c>
      <c r="T1" s="59" t="s">
        <v>868</v>
      </c>
      <c r="U1" s="59" t="s">
        <v>914</v>
      </c>
      <c r="V1" s="59" t="s">
        <v>915</v>
      </c>
      <c r="X1" s="195" t="s">
        <v>793</v>
      </c>
      <c r="Y1" s="60" t="s">
        <v>886</v>
      </c>
      <c r="Z1" s="193" t="s">
        <v>979</v>
      </c>
      <c r="AA1" s="268" t="s">
        <v>892</v>
      </c>
      <c r="AB1" s="193" t="s">
        <v>980</v>
      </c>
      <c r="AC1" s="60" t="s">
        <v>887</v>
      </c>
      <c r="AD1" s="60" t="s">
        <v>888</v>
      </c>
      <c r="AE1" s="60" t="s">
        <v>916</v>
      </c>
      <c r="AF1" s="60" t="s">
        <v>909</v>
      </c>
      <c r="AG1" s="60" t="s">
        <v>917</v>
      </c>
      <c r="AH1" s="60" t="s">
        <v>918</v>
      </c>
      <c r="AI1" s="60" t="s">
        <v>865</v>
      </c>
      <c r="AJ1" s="60" t="s">
        <v>864</v>
      </c>
      <c r="AK1" s="60" t="s">
        <v>893</v>
      </c>
      <c r="AL1" s="60" t="s">
        <v>919</v>
      </c>
      <c r="AM1" s="60" t="s">
        <v>920</v>
      </c>
      <c r="AN1" s="60" t="s">
        <v>871</v>
      </c>
      <c r="AO1" s="60" t="s">
        <v>921</v>
      </c>
      <c r="AP1" s="60" t="s">
        <v>922</v>
      </c>
      <c r="AQ1" s="32" t="s">
        <v>923</v>
      </c>
      <c r="AR1" s="32" t="s">
        <v>924</v>
      </c>
      <c r="AS1" s="32" t="s">
        <v>925</v>
      </c>
      <c r="AT1" s="32" t="s">
        <v>926</v>
      </c>
      <c r="AU1" s="32" t="s">
        <v>927</v>
      </c>
      <c r="AV1" s="37"/>
      <c r="AW1" s="32" t="s">
        <v>928</v>
      </c>
      <c r="AX1" s="32" t="s">
        <v>929</v>
      </c>
      <c r="AY1" s="258" t="s">
        <v>964</v>
      </c>
      <c r="AZ1" s="252" t="s">
        <v>950</v>
      </c>
      <c r="BA1" s="60" t="s">
        <v>949</v>
      </c>
      <c r="BB1" s="299" t="s">
        <v>967</v>
      </c>
      <c r="BC1" s="300" t="s">
        <v>968</v>
      </c>
      <c r="BD1" s="300" t="s">
        <v>969</v>
      </c>
      <c r="BE1" s="307" t="s">
        <v>970</v>
      </c>
      <c r="BF1" s="301" t="s">
        <v>971</v>
      </c>
      <c r="BG1" s="301" t="s">
        <v>972</v>
      </c>
      <c r="BH1" s="301" t="s">
        <v>973</v>
      </c>
      <c r="BI1" s="301" t="s">
        <v>974</v>
      </c>
      <c r="BJ1" s="296" t="s">
        <v>974</v>
      </c>
      <c r="BK1" s="296" t="s">
        <v>975</v>
      </c>
      <c r="BL1" s="296" t="s">
        <v>976</v>
      </c>
      <c r="BM1" s="296" t="s">
        <v>977</v>
      </c>
    </row>
    <row r="2" spans="1:65" x14ac:dyDescent="0.25">
      <c r="A2" s="64">
        <f>Roster!$A4</f>
        <v>1</v>
      </c>
      <c r="B2" s="64">
        <f>Roster!B4</f>
        <v>1</v>
      </c>
      <c r="C2" s="65" t="str">
        <f>Roster!$X4</f>
        <v>Firstname Lastname</v>
      </c>
      <c r="D2" s="271" t="str">
        <f>BA2</f>
        <v>1.933 OPS</v>
      </c>
      <c r="E2" s="245"/>
      <c r="F2" s="271" t="str">
        <f>M2</f>
        <v>.667 BA</v>
      </c>
      <c r="G2" s="245"/>
      <c r="H2" s="274" t="str">
        <f>T2</f>
        <v>1 HR</v>
      </c>
      <c r="I2" s="245"/>
      <c r="J2" s="274" t="str">
        <f>N2</f>
        <v>12 RBI</v>
      </c>
      <c r="K2" s="66"/>
      <c r="L2" s="67" t="s">
        <v>815</v>
      </c>
      <c r="M2" s="194" t="str">
        <f xml:space="preserve"> TEXT(AW2,".000") &amp; " BA"</f>
        <v>.667 BA</v>
      </c>
      <c r="N2" s="61" t="str">
        <f t="shared" ref="N2:N33" si="0">VLOOKUP(A2,INPUT_RANGE,58,FALSE) &amp; " RBI"</f>
        <v>12 RBI</v>
      </c>
      <c r="O2" s="61" t="str">
        <f t="shared" ref="O2:O33" si="1">VLOOKUP(A2,INPUT_RANGE,60,FALSE) &amp; " BB"</f>
        <v>1 BB</v>
      </c>
      <c r="P2" s="61" t="str">
        <f t="shared" ref="P2:P33" si="2">VLOOKUP(A2,INPUT_RANGE,61,FALSE) &amp; " K"</f>
        <v>1 K</v>
      </c>
      <c r="Q2" s="61" t="str">
        <f t="shared" ref="Q2:Q33" si="3">VLOOKUP(A2,INPUT_RANGE,64,FALSE) &amp; " SB"</f>
        <v>1 SB</v>
      </c>
      <c r="R2" s="61" t="str">
        <f t="shared" ref="R2:R33" si="4">VLOOKUP(A2,INPUT_RANGE,55,FALSE) &amp; " 2B"</f>
        <v>2 2B</v>
      </c>
      <c r="S2" s="61" t="str">
        <f t="shared" ref="S2:S33" si="5">VLOOKUP(A2,INPUT_RANGE,56,FALSE) &amp; " 3B"</f>
        <v>2 3B</v>
      </c>
      <c r="T2" s="61" t="str">
        <f t="shared" ref="T2:T33" si="6">VLOOKUP(A2,INPUT_RANGE,57,FALSE) &amp; " HR"</f>
        <v>1 HR</v>
      </c>
      <c r="U2" s="61" t="str">
        <f t="shared" ref="U2:U33" si="7">VLOOKUP(A2,INPUT_RANGE,53,FALSE) &amp; " R"</f>
        <v>2 R</v>
      </c>
      <c r="V2" s="61" t="str">
        <f>TEXT(AX2, ".000") &amp; " OBP"</f>
        <v>.667 OBP</v>
      </c>
      <c r="X2" s="61" t="str">
        <f t="shared" ref="X2" si="8">VLOOKUP(A2,INPUT_RANGE,77,FALSE)&amp;" games"</f>
        <v>5 games</v>
      </c>
      <c r="Y2" s="61" t="str">
        <f t="shared" ref="Y2" si="9">VLOOKUP(A2,INPUT_RANGE,78,FALSE) &amp; " starts"</f>
        <v>1 starts</v>
      </c>
      <c r="Z2" s="61" t="str">
        <f t="shared" ref="Z2:Z33" si="10">VLOOKUP(A2,INPUT_RANGE,82,FALSE) &amp; " IP"</f>
        <v>11.2 IP</v>
      </c>
      <c r="AA2" s="270" t="str">
        <f t="shared" ref="AA2" si="11">TRUNC(VLOOKUP(A2,INPUT_RANGE,82,FALSE)) &amp;  IF(AR2=0.333,"º",IF(AR2=0.666,"»",""))</f>
        <v>11»</v>
      </c>
      <c r="AB2" s="270" t="str">
        <f>AA2&amp; " IP"</f>
        <v>11» IP</v>
      </c>
      <c r="AC2" s="61" t="str">
        <f t="shared" ref="AC2:AC33" si="12">VLOOKUP(A2,INPUT_RANGE,79,FALSE) &amp; " CG"</f>
        <v>0 CG</v>
      </c>
      <c r="AD2" s="61" t="str">
        <f t="shared" ref="AD2:AD33" si="13">VLOOKUP(A2,INPUT_RANGE,80,FALSE) &amp; " SHO"</f>
        <v>0/1 SHO</v>
      </c>
      <c r="AE2" s="61" t="str">
        <f t="shared" ref="AE2:AE33" si="14">VLOOKUP(A2,INPUT_RANGE,75,FALSE) &amp; " Win"</f>
        <v>1 Win</v>
      </c>
      <c r="AF2" s="61" t="str">
        <f t="shared" ref="AF2:AF33" si="15">VLOOKUP(A2,INPUT_RANGE,76,FALSE) &amp; " Loss"</f>
        <v>0 Loss</v>
      </c>
      <c r="AG2" s="61" t="str">
        <f t="shared" ref="AG2:AG33" si="16">VLOOKUP(A2,INPUT_RANGE,75,FALSE) &amp; "-" &amp; VLOOKUP(A2,INPUT_RANGE,76,FALSE) &amp; " W-L"</f>
        <v>1-0 W-L</v>
      </c>
      <c r="AH2" s="61" t="str">
        <f t="shared" ref="AH2:AH33" si="17">VLOOKUP(A2,INPUT_RANGE,81,FALSE)&amp; " Saves"</f>
        <v>0 Saves</v>
      </c>
      <c r="AI2" s="61" t="str">
        <f t="shared" ref="AI2:AI33" si="18">VLOOKUP(A2,INPUT_RANGE,83,FALSE) &amp; " H"</f>
        <v>7 H</v>
      </c>
      <c r="AJ2" s="61" t="str">
        <f t="shared" ref="AJ2:AJ33" si="19">VLOOKUP(A2,INPUT_RANGE,84,FALSE) &amp; " R"</f>
        <v>0 R</v>
      </c>
      <c r="AK2" s="61" t="str">
        <f t="shared" ref="AK2:AK33" si="20">VLOOKUP(A2,INPUT_RANGE,85,FALSE) &amp;" ER"</f>
        <v>0 ER</v>
      </c>
      <c r="AL2" s="61" t="str">
        <f t="shared" ref="AL2:AL33" si="21">VLOOKUP(A2,INPUT_RANGE,88,FALSE) &amp;" HR"</f>
        <v>0 HR</v>
      </c>
      <c r="AM2" s="61" t="str">
        <f t="shared" ref="AM2:AM33" si="22">VLOOKUP(A2,INPUT_RANGE,87,FALSE) &amp; " K"</f>
        <v>17 K</v>
      </c>
      <c r="AN2" s="61" t="str">
        <f t="shared" ref="AN2:AN33" si="23">VLOOKUP(A2,INPUT_RANGE,86,FALSE) &amp; " BB"</f>
        <v>3 BB</v>
      </c>
      <c r="AO2" s="61" t="str">
        <f>TEXT(AU2,"0.00") &amp; " ERA"</f>
        <v>0.00 ERA</v>
      </c>
      <c r="AP2" s="61" t="str">
        <f>TEXT(AT2,"0.00") &amp; " WHIP"</f>
        <v>0.86 WHIP</v>
      </c>
      <c r="AQ2" s="247" t="str">
        <f t="shared" ref="AQ2:AQ44" si="24" xml:space="preserve"> IF(LEFT(RIGHT((VLOOKUP(A2,INPUT_RANGE,82,FALSE)),2),1)=".",RIGHT(VLOOKUP(A2,INPUT_RANGE,82,FALSE),1), "X")</f>
        <v>2</v>
      </c>
      <c r="AR2" s="247">
        <f t="shared" ref="AR2:AR65" si="25">IF(AQ2 ="1",0.333,IF(AQ2="2",0.666,0))</f>
        <v>0.66600000000000004</v>
      </c>
      <c r="AS2" s="247">
        <f t="shared" ref="AS2:AS44" si="26">VLOOKUP(A2,INPUT_RANGE,82,FALSE)-(AQ2*0.1)+AR2</f>
        <v>11.666</v>
      </c>
      <c r="AT2" s="196">
        <f t="shared" ref="AT2:AT33" si="27">ROUND((VLOOKUP(A2,INPUT_RANGE,86,FALSE)+VLOOKUP(A2,INPUT_RANGE,83,FALSE))/AS2,2)</f>
        <v>0.86</v>
      </c>
      <c r="AU2" s="196">
        <f>ROUND((VLOOKUP(A2,INPUT_RANGE,85,FALSE)/AS2)*('Team Info'!$H$25),2)</f>
        <v>0</v>
      </c>
      <c r="AV2" s="8"/>
      <c r="AW2" s="197">
        <f t="shared" ref="AW2" si="28">(VLOOKUP(A2,INPUT_RANGE,54,FALSE)/VLOOKUP(A2,INPUT_RANGE,52,FALSE))</f>
        <v>0.66666666666666663</v>
      </c>
      <c r="AX2" s="197">
        <f t="shared" ref="AX2" si="29">((VLOOKUP(A2,INPUT_RANGE,54,FALSE)+VLOOKUP(A2,INPUT_RANGE,60,FALSE)+VLOOKUP(A2,INPUT_RANGE,59,FALSE))/(VLOOKUP(A2,INPUT_RANGE,52,FALSE)+VLOOKUP(A2,INPUT_RANGE,60,FALSE)+VLOOKUP(A2,INPUT_RANGE,59,FALSE)+VLOOKUP(A2,INPUT_RANGE,63,FALSE)))</f>
        <v>0.66666666666666663</v>
      </c>
      <c r="AY2">
        <f t="shared" ref="AY2:AY33" si="30">(VLOOKUP(A2,INPUT_RANGE,54)+VLOOKUP(A2,INPUT_RANGE,55)+(VLOOKUP(A2,INPUT_RANGE,56)*2)+(VLOOKUP(A2,INPUT_RANGE,57)*3))/(VLOOKUP(A2,INPUT_RANGE,52))</f>
        <v>1.2666666666666666</v>
      </c>
      <c r="AZ2" s="257">
        <f>AX2+AY2</f>
        <v>1.9333333333333331</v>
      </c>
      <c r="BA2" t="str">
        <f xml:space="preserve"> TEXT(AZ2,".000") &amp; " OPS"</f>
        <v>1.933 OPS</v>
      </c>
      <c r="BB2" s="298" t="str">
        <f t="shared" ref="BB2:BB33" si="31">VLOOKUP(A2,INPUT_RANGE,78,FALSE)</f>
        <v>1</v>
      </c>
      <c r="BC2" s="298" t="str">
        <f t="shared" ref="BC2:BC33" si="32">VLOOKUP(A2,INPUT_RANGE,77,FALSE)</f>
        <v>5</v>
      </c>
      <c r="BD2" s="298" t="str">
        <f t="shared" ref="BD2:BD33" si="33">VLOOKUP(A2,INPUT_RANGE,75,FALSE) &amp; "-" &amp; VLOOKUP(A2,INPUT_RANGE,76,FALSE)</f>
        <v>1-0</v>
      </c>
      <c r="BE2" s="308">
        <f t="shared" ref="BE2:BE29" si="34">AU2</f>
        <v>0</v>
      </c>
      <c r="BF2" s="298" t="str">
        <f>AA2</f>
        <v>11»</v>
      </c>
      <c r="BG2" s="298" t="str">
        <f t="shared" ref="BG2:BG33" si="35">VLOOKUP(A2,INPUT_RANGE,86,FALSE)</f>
        <v>3</v>
      </c>
      <c r="BH2" s="298" t="str">
        <f t="shared" ref="BH2:BH33" si="36">VLOOKUP(A2,INPUT_RANGE,87,FALSE)</f>
        <v>17</v>
      </c>
      <c r="BI2" s="298" t="str">
        <f t="shared" ref="BI2:BI33" si="37">VLOOKUP(A2,INPUT_RANGE,81,FALSE) &amp; " SAVES"</f>
        <v>0 SAVES</v>
      </c>
      <c r="BJ2" s="297" t="str">
        <f t="shared" ref="BJ2:BJ33" si="38">VLOOKUP(A2,INPUT_RANGE,81,FALSE)</f>
        <v>0</v>
      </c>
      <c r="BK2" s="297" t="str">
        <f t="shared" ref="BK2:BK33" si="39">VLOOKUP(A2,INPUT_RANGE,83,FALSE)</f>
        <v>7</v>
      </c>
      <c r="BL2" s="297" t="str">
        <f t="shared" ref="BL2:BL33" si="40">VLOOKUP(A2,INPUT_RANGE,87,FALSE) &amp; "/" &amp; VLOOKUP(A2,INPUT_RANGE,86,FALSE)</f>
        <v>17/3</v>
      </c>
      <c r="BM2" s="297">
        <f t="shared" ref="BM2:BM33" si="41">ROUND((VLOOKUP(A2,INPUT_RANGE,86,FALSE)+VLOOKUP(A2,INPUT_RANGE,83,FALSE))/AS2,2)</f>
        <v>0.86</v>
      </c>
    </row>
    <row r="3" spans="1:65" x14ac:dyDescent="0.25">
      <c r="A3" s="30">
        <v>2</v>
      </c>
      <c r="B3" s="30">
        <v>2</v>
      </c>
      <c r="C3" s="58" t="str">
        <f>Roster!$X5</f>
        <v>Firstname LastName</v>
      </c>
      <c r="D3" s="271" t="str">
        <f t="shared" ref="D3:D66" si="42">BA3</f>
        <v>.720 OPS</v>
      </c>
      <c r="E3" s="245"/>
      <c r="F3" s="271" t="str">
        <f t="shared" ref="F3:F66" si="43">M3</f>
        <v>.259 BA</v>
      </c>
      <c r="G3" s="245"/>
      <c r="H3" s="274" t="str">
        <f t="shared" ref="H3:H66" si="44">T3</f>
        <v>1 HR</v>
      </c>
      <c r="I3" s="245"/>
      <c r="J3" s="274" t="str">
        <f t="shared" ref="J3:J66" si="45">N3</f>
        <v>7 RBI</v>
      </c>
      <c r="K3" s="62"/>
      <c r="L3" s="63" t="s">
        <v>747</v>
      </c>
      <c r="M3" s="194" t="str">
        <f t="shared" ref="M3:M66" si="46" xml:space="preserve"> TEXT(AW3,".000") &amp; " BA"</f>
        <v>.259 BA</v>
      </c>
      <c r="N3" s="61" t="str">
        <f t="shared" si="0"/>
        <v>7 RBI</v>
      </c>
      <c r="O3" s="61" t="str">
        <f t="shared" si="1"/>
        <v>0 BB</v>
      </c>
      <c r="P3" s="61" t="str">
        <f t="shared" si="2"/>
        <v>5 K</v>
      </c>
      <c r="Q3" s="61" t="str">
        <f t="shared" si="3"/>
        <v>0 SB</v>
      </c>
      <c r="R3" s="61" t="str">
        <f t="shared" si="4"/>
        <v>2 2B</v>
      </c>
      <c r="S3" s="61" t="str">
        <f t="shared" si="5"/>
        <v>0 3B</v>
      </c>
      <c r="T3" s="61" t="str">
        <f t="shared" si="6"/>
        <v>1 HR</v>
      </c>
      <c r="U3" s="61" t="str">
        <f t="shared" si="7"/>
        <v>3 R</v>
      </c>
      <c r="V3" s="61" t="str">
        <f t="shared" ref="V3:V66" si="47">TEXT(AX3, ".000") &amp; " OBP"</f>
        <v>.276 OBP</v>
      </c>
      <c r="X3" s="61" t="str">
        <f t="shared" ref="X3:X66" si="48">VLOOKUP(A3,INPUT_RANGE,77,FALSE)&amp;" games"</f>
        <v>9 games</v>
      </c>
      <c r="Y3" s="61" t="str">
        <f t="shared" ref="Y3:Y66" si="49">VLOOKUP(A3,INPUT_RANGE,78,FALSE) &amp; " starts"</f>
        <v>0 starts</v>
      </c>
      <c r="Z3" s="61" t="str">
        <f t="shared" si="10"/>
        <v>12.0 IP</v>
      </c>
      <c r="AA3" s="270" t="str">
        <f t="shared" ref="AA3:AA66" si="50">TRUNC(VLOOKUP(A3,INPUT_RANGE,82,FALSE)) &amp;  IF(AR3=0.333,"º",IF(AR3=0.666,"»",""))</f>
        <v>12</v>
      </c>
      <c r="AB3" s="270" t="str">
        <f t="shared" ref="AB3:AB66" si="51">AA3&amp; " IP"</f>
        <v>12 IP</v>
      </c>
      <c r="AC3" s="61" t="str">
        <f t="shared" si="12"/>
        <v>0 CG</v>
      </c>
      <c r="AD3" s="61" t="str">
        <f t="shared" si="13"/>
        <v>0/0 SHO</v>
      </c>
      <c r="AE3" s="61" t="str">
        <f t="shared" si="14"/>
        <v>2 Win</v>
      </c>
      <c r="AF3" s="61" t="str">
        <f t="shared" si="15"/>
        <v>0 Loss</v>
      </c>
      <c r="AG3" s="61" t="str">
        <f t="shared" si="16"/>
        <v>2-0 W-L</v>
      </c>
      <c r="AH3" s="61" t="str">
        <f t="shared" si="17"/>
        <v>3 Saves</v>
      </c>
      <c r="AI3" s="61" t="str">
        <f t="shared" si="18"/>
        <v>6 H</v>
      </c>
      <c r="AJ3" s="61" t="str">
        <f t="shared" si="19"/>
        <v>2 R</v>
      </c>
      <c r="AK3" s="61" t="str">
        <f t="shared" si="20"/>
        <v>1 ER</v>
      </c>
      <c r="AL3" s="61" t="str">
        <f t="shared" si="21"/>
        <v>0 HR</v>
      </c>
      <c r="AM3" s="61" t="str">
        <f t="shared" si="22"/>
        <v>18 K</v>
      </c>
      <c r="AN3" s="61" t="str">
        <f t="shared" si="23"/>
        <v>4 BB</v>
      </c>
      <c r="AO3" s="61" t="str">
        <f t="shared" ref="AO3:AO66" si="52">TEXT(AU3,"0.00") &amp; " ERA"</f>
        <v>0.75 ERA</v>
      </c>
      <c r="AP3" s="61" t="str">
        <f t="shared" ref="AP3:AP66" si="53">TEXT(AT3,"0.00") &amp; " WHIP"</f>
        <v>0.83 WHIP</v>
      </c>
      <c r="AQ3" s="247" t="str">
        <f t="shared" si="24"/>
        <v>0</v>
      </c>
      <c r="AR3" s="247">
        <f t="shared" si="25"/>
        <v>0</v>
      </c>
      <c r="AS3" s="247">
        <f t="shared" si="26"/>
        <v>12</v>
      </c>
      <c r="AT3" s="196">
        <f t="shared" si="27"/>
        <v>0.83</v>
      </c>
      <c r="AU3" s="196">
        <f>ROUND((VLOOKUP(A3,INPUT_RANGE,85,FALSE)/AS3)*('Team Info'!$H$25),2)</f>
        <v>0.75</v>
      </c>
      <c r="AV3" s="8"/>
      <c r="AW3" s="197">
        <f t="shared" ref="AW3:AW66" si="54">(VLOOKUP(A3,INPUT_RANGE,54,FALSE)/VLOOKUP(A3,INPUT_RANGE,52,FALSE))</f>
        <v>0.25925925925925924</v>
      </c>
      <c r="AX3" s="197">
        <f t="shared" ref="AX3:AX66" si="55">((VLOOKUP(A3,INPUT_RANGE,54,FALSE)+VLOOKUP(A3,INPUT_RANGE,60,FALSE)+VLOOKUP(A3,INPUT_RANGE,59,FALSE))/(VLOOKUP(A3,INPUT_RANGE,52,FALSE)+VLOOKUP(A3,INPUT_RANGE,60,FALSE)+VLOOKUP(A3,INPUT_RANGE,59,FALSE)+VLOOKUP(A3,INPUT_RANGE,63,FALSE)))</f>
        <v>0.27586206896551724</v>
      </c>
      <c r="AY3">
        <f t="shared" si="30"/>
        <v>0.44444444444444442</v>
      </c>
      <c r="AZ3" s="257">
        <f t="shared" ref="AZ3:AZ66" si="56">AX3+AY3</f>
        <v>0.72030651340996166</v>
      </c>
      <c r="BA3" t="str">
        <f t="shared" ref="BA3:BA66" si="57" xml:space="preserve"> TEXT(AZ3,".000") &amp; " OPS"</f>
        <v>.720 OPS</v>
      </c>
      <c r="BB3" s="298" t="str">
        <f t="shared" si="31"/>
        <v>0</v>
      </c>
      <c r="BC3" s="298" t="str">
        <f t="shared" si="32"/>
        <v>9</v>
      </c>
      <c r="BD3" s="298" t="str">
        <f t="shared" si="33"/>
        <v>2-0</v>
      </c>
      <c r="BE3" s="308">
        <f t="shared" si="34"/>
        <v>0.75</v>
      </c>
      <c r="BF3" s="298" t="str">
        <f t="shared" ref="BF3:BF66" si="58">AA3</f>
        <v>12</v>
      </c>
      <c r="BG3" s="298" t="str">
        <f t="shared" si="35"/>
        <v>4</v>
      </c>
      <c r="BH3" s="298" t="str">
        <f t="shared" si="36"/>
        <v>18</v>
      </c>
      <c r="BI3" s="298" t="str">
        <f t="shared" si="37"/>
        <v>3 SAVES</v>
      </c>
      <c r="BJ3" s="297" t="str">
        <f t="shared" si="38"/>
        <v>3</v>
      </c>
      <c r="BK3" s="297" t="str">
        <f t="shared" si="39"/>
        <v>6</v>
      </c>
      <c r="BL3" s="297" t="str">
        <f t="shared" si="40"/>
        <v>18/4</v>
      </c>
      <c r="BM3" s="297">
        <f t="shared" si="41"/>
        <v>0.83</v>
      </c>
    </row>
    <row r="4" spans="1:65" x14ac:dyDescent="0.25">
      <c r="A4" s="30">
        <v>3</v>
      </c>
      <c r="B4" s="30">
        <v>3</v>
      </c>
      <c r="C4" s="58" t="str">
        <f>Roster!$X6</f>
        <v>- -</v>
      </c>
      <c r="D4" s="271" t="e">
        <f t="shared" si="42"/>
        <v>#N/A</v>
      </c>
      <c r="E4" s="245"/>
      <c r="F4" s="271" t="e">
        <f t="shared" si="43"/>
        <v>#N/A</v>
      </c>
      <c r="G4" s="245"/>
      <c r="H4" s="274" t="e">
        <f t="shared" si="44"/>
        <v>#N/A</v>
      </c>
      <c r="I4" s="245"/>
      <c r="J4" s="274" t="e">
        <f t="shared" si="45"/>
        <v>#N/A</v>
      </c>
      <c r="K4" s="62"/>
      <c r="L4" s="63"/>
      <c r="M4" s="194" t="e">
        <f t="shared" si="46"/>
        <v>#N/A</v>
      </c>
      <c r="N4" s="61" t="e">
        <f t="shared" si="0"/>
        <v>#N/A</v>
      </c>
      <c r="O4" s="61" t="e">
        <f t="shared" si="1"/>
        <v>#N/A</v>
      </c>
      <c r="P4" s="61" t="e">
        <f t="shared" si="2"/>
        <v>#N/A</v>
      </c>
      <c r="Q4" s="61" t="e">
        <f t="shared" si="3"/>
        <v>#N/A</v>
      </c>
      <c r="R4" s="61" t="e">
        <f t="shared" si="4"/>
        <v>#N/A</v>
      </c>
      <c r="S4" s="61" t="e">
        <f t="shared" si="5"/>
        <v>#N/A</v>
      </c>
      <c r="T4" s="61" t="e">
        <f t="shared" si="6"/>
        <v>#N/A</v>
      </c>
      <c r="U4" s="61" t="e">
        <f t="shared" si="7"/>
        <v>#N/A</v>
      </c>
      <c r="V4" s="61" t="e">
        <f t="shared" si="47"/>
        <v>#N/A</v>
      </c>
      <c r="X4" s="61" t="e">
        <f t="shared" si="48"/>
        <v>#N/A</v>
      </c>
      <c r="Y4" s="61" t="e">
        <f t="shared" si="49"/>
        <v>#N/A</v>
      </c>
      <c r="Z4" s="61" t="e">
        <f t="shared" si="10"/>
        <v>#N/A</v>
      </c>
      <c r="AA4" s="270" t="e">
        <f t="shared" si="50"/>
        <v>#N/A</v>
      </c>
      <c r="AB4" s="270" t="e">
        <f t="shared" si="51"/>
        <v>#N/A</v>
      </c>
      <c r="AC4" s="61" t="e">
        <f t="shared" si="12"/>
        <v>#N/A</v>
      </c>
      <c r="AD4" s="61" t="e">
        <f t="shared" si="13"/>
        <v>#N/A</v>
      </c>
      <c r="AE4" s="61" t="e">
        <f t="shared" si="14"/>
        <v>#N/A</v>
      </c>
      <c r="AF4" s="61" t="e">
        <f t="shared" si="15"/>
        <v>#N/A</v>
      </c>
      <c r="AG4" s="61" t="e">
        <f t="shared" si="16"/>
        <v>#N/A</v>
      </c>
      <c r="AH4" s="61" t="e">
        <f t="shared" si="17"/>
        <v>#N/A</v>
      </c>
      <c r="AI4" s="61" t="e">
        <f t="shared" si="18"/>
        <v>#N/A</v>
      </c>
      <c r="AJ4" s="61" t="e">
        <f t="shared" si="19"/>
        <v>#N/A</v>
      </c>
      <c r="AK4" s="61" t="e">
        <f t="shared" si="20"/>
        <v>#N/A</v>
      </c>
      <c r="AL4" s="61" t="e">
        <f t="shared" si="21"/>
        <v>#N/A</v>
      </c>
      <c r="AM4" s="61" t="e">
        <f t="shared" si="22"/>
        <v>#N/A</v>
      </c>
      <c r="AN4" s="61" t="e">
        <f t="shared" si="23"/>
        <v>#N/A</v>
      </c>
      <c r="AO4" s="61" t="e">
        <f t="shared" si="52"/>
        <v>#N/A</v>
      </c>
      <c r="AP4" s="61" t="e">
        <f t="shared" si="53"/>
        <v>#N/A</v>
      </c>
      <c r="AQ4" s="247" t="e">
        <f t="shared" si="24"/>
        <v>#N/A</v>
      </c>
      <c r="AR4" s="247" t="e">
        <f t="shared" si="25"/>
        <v>#N/A</v>
      </c>
      <c r="AS4" s="247" t="e">
        <f t="shared" si="26"/>
        <v>#N/A</v>
      </c>
      <c r="AT4" s="196" t="e">
        <f t="shared" si="27"/>
        <v>#N/A</v>
      </c>
      <c r="AU4" s="196" t="e">
        <f>ROUND((VLOOKUP(A4,INPUT_RANGE,85,FALSE)/AS4)*('Team Info'!$H$25),2)</f>
        <v>#N/A</v>
      </c>
      <c r="AV4" s="8"/>
      <c r="AW4" s="197" t="e">
        <f t="shared" si="54"/>
        <v>#N/A</v>
      </c>
      <c r="AX4" s="197" t="e">
        <f t="shared" si="55"/>
        <v>#N/A</v>
      </c>
      <c r="AY4">
        <f t="shared" si="30"/>
        <v>0.44444444444444442</v>
      </c>
      <c r="AZ4" s="257" t="e">
        <f t="shared" si="56"/>
        <v>#N/A</v>
      </c>
      <c r="BA4" t="e">
        <f t="shared" si="57"/>
        <v>#N/A</v>
      </c>
      <c r="BB4" s="298" t="e">
        <f t="shared" si="31"/>
        <v>#N/A</v>
      </c>
      <c r="BC4" s="298" t="e">
        <f t="shared" si="32"/>
        <v>#N/A</v>
      </c>
      <c r="BD4" s="298" t="e">
        <f t="shared" si="33"/>
        <v>#N/A</v>
      </c>
      <c r="BE4" s="308" t="e">
        <f t="shared" si="34"/>
        <v>#N/A</v>
      </c>
      <c r="BF4" s="298" t="e">
        <f t="shared" si="58"/>
        <v>#N/A</v>
      </c>
      <c r="BG4" s="298" t="e">
        <f t="shared" si="35"/>
        <v>#N/A</v>
      </c>
      <c r="BH4" s="298" t="e">
        <f t="shared" si="36"/>
        <v>#N/A</v>
      </c>
      <c r="BI4" s="298" t="e">
        <f t="shared" si="37"/>
        <v>#N/A</v>
      </c>
      <c r="BJ4" s="297" t="e">
        <f t="shared" si="38"/>
        <v>#N/A</v>
      </c>
      <c r="BK4" s="297" t="e">
        <f t="shared" si="39"/>
        <v>#N/A</v>
      </c>
      <c r="BL4" s="297" t="e">
        <f t="shared" si="40"/>
        <v>#N/A</v>
      </c>
      <c r="BM4" s="297" t="e">
        <f t="shared" si="41"/>
        <v>#N/A</v>
      </c>
    </row>
    <row r="5" spans="1:65" x14ac:dyDescent="0.25">
      <c r="A5" s="30">
        <v>4</v>
      </c>
      <c r="B5" s="30">
        <v>4</v>
      </c>
      <c r="C5" s="58" t="str">
        <f>Roster!$X7</f>
        <v>- -</v>
      </c>
      <c r="D5" s="271" t="e">
        <f t="shared" si="42"/>
        <v>#N/A</v>
      </c>
      <c r="E5" s="245"/>
      <c r="F5" s="271" t="e">
        <f t="shared" si="43"/>
        <v>#N/A</v>
      </c>
      <c r="G5" s="245"/>
      <c r="H5" s="274" t="e">
        <f t="shared" si="44"/>
        <v>#N/A</v>
      </c>
      <c r="I5" s="245"/>
      <c r="J5" s="274" t="e">
        <f t="shared" si="45"/>
        <v>#N/A</v>
      </c>
      <c r="K5" s="62"/>
      <c r="L5" s="63"/>
      <c r="M5" s="194" t="e">
        <f t="shared" si="46"/>
        <v>#N/A</v>
      </c>
      <c r="N5" s="61" t="e">
        <f t="shared" si="0"/>
        <v>#N/A</v>
      </c>
      <c r="O5" s="61" t="e">
        <f t="shared" si="1"/>
        <v>#N/A</v>
      </c>
      <c r="P5" s="61" t="e">
        <f t="shared" si="2"/>
        <v>#N/A</v>
      </c>
      <c r="Q5" s="61" t="e">
        <f t="shared" si="3"/>
        <v>#N/A</v>
      </c>
      <c r="R5" s="61" t="e">
        <f t="shared" si="4"/>
        <v>#N/A</v>
      </c>
      <c r="S5" s="61" t="e">
        <f t="shared" si="5"/>
        <v>#N/A</v>
      </c>
      <c r="T5" s="61" t="e">
        <f t="shared" si="6"/>
        <v>#N/A</v>
      </c>
      <c r="U5" s="61" t="e">
        <f t="shared" si="7"/>
        <v>#N/A</v>
      </c>
      <c r="V5" s="61" t="e">
        <f t="shared" si="47"/>
        <v>#N/A</v>
      </c>
      <c r="X5" s="61" t="e">
        <f t="shared" si="48"/>
        <v>#N/A</v>
      </c>
      <c r="Y5" s="61" t="e">
        <f t="shared" si="49"/>
        <v>#N/A</v>
      </c>
      <c r="Z5" s="61" t="e">
        <f t="shared" si="10"/>
        <v>#N/A</v>
      </c>
      <c r="AA5" s="270" t="e">
        <f t="shared" si="50"/>
        <v>#N/A</v>
      </c>
      <c r="AB5" s="270" t="e">
        <f t="shared" si="51"/>
        <v>#N/A</v>
      </c>
      <c r="AC5" s="61" t="e">
        <f t="shared" si="12"/>
        <v>#N/A</v>
      </c>
      <c r="AD5" s="61" t="e">
        <f t="shared" si="13"/>
        <v>#N/A</v>
      </c>
      <c r="AE5" s="61" t="e">
        <f t="shared" si="14"/>
        <v>#N/A</v>
      </c>
      <c r="AF5" s="61" t="e">
        <f t="shared" si="15"/>
        <v>#N/A</v>
      </c>
      <c r="AG5" s="61" t="e">
        <f t="shared" si="16"/>
        <v>#N/A</v>
      </c>
      <c r="AH5" s="61" t="e">
        <f t="shared" si="17"/>
        <v>#N/A</v>
      </c>
      <c r="AI5" s="61" t="e">
        <f t="shared" si="18"/>
        <v>#N/A</v>
      </c>
      <c r="AJ5" s="61" t="e">
        <f t="shared" si="19"/>
        <v>#N/A</v>
      </c>
      <c r="AK5" s="61" t="e">
        <f t="shared" si="20"/>
        <v>#N/A</v>
      </c>
      <c r="AL5" s="61" t="e">
        <f t="shared" si="21"/>
        <v>#N/A</v>
      </c>
      <c r="AM5" s="61" t="e">
        <f t="shared" si="22"/>
        <v>#N/A</v>
      </c>
      <c r="AN5" s="61" t="e">
        <f t="shared" si="23"/>
        <v>#N/A</v>
      </c>
      <c r="AO5" s="61" t="e">
        <f t="shared" si="52"/>
        <v>#N/A</v>
      </c>
      <c r="AP5" s="61" t="e">
        <f t="shared" si="53"/>
        <v>#N/A</v>
      </c>
      <c r="AQ5" s="247" t="e">
        <f t="shared" si="24"/>
        <v>#N/A</v>
      </c>
      <c r="AR5" s="247" t="e">
        <f t="shared" si="25"/>
        <v>#N/A</v>
      </c>
      <c r="AS5" s="247" t="e">
        <f t="shared" si="26"/>
        <v>#N/A</v>
      </c>
      <c r="AT5" s="196" t="e">
        <f t="shared" si="27"/>
        <v>#N/A</v>
      </c>
      <c r="AU5" s="196" t="e">
        <f>ROUND((VLOOKUP(A5,INPUT_RANGE,85,FALSE)/AS5)*('Team Info'!$H$25),2)</f>
        <v>#N/A</v>
      </c>
      <c r="AV5" s="8"/>
      <c r="AW5" s="197" t="e">
        <f t="shared" si="54"/>
        <v>#N/A</v>
      </c>
      <c r="AX5" s="197" t="e">
        <f t="shared" si="55"/>
        <v>#N/A</v>
      </c>
      <c r="AY5">
        <f t="shared" si="30"/>
        <v>0.44444444444444442</v>
      </c>
      <c r="AZ5" s="257" t="e">
        <f t="shared" si="56"/>
        <v>#N/A</v>
      </c>
      <c r="BA5" t="e">
        <f t="shared" si="57"/>
        <v>#N/A</v>
      </c>
      <c r="BB5" s="298" t="e">
        <f t="shared" si="31"/>
        <v>#N/A</v>
      </c>
      <c r="BC5" s="298" t="e">
        <f t="shared" si="32"/>
        <v>#N/A</v>
      </c>
      <c r="BD5" s="298" t="e">
        <f t="shared" si="33"/>
        <v>#N/A</v>
      </c>
      <c r="BE5" s="308" t="e">
        <f t="shared" si="34"/>
        <v>#N/A</v>
      </c>
      <c r="BF5" s="298" t="e">
        <f t="shared" si="58"/>
        <v>#N/A</v>
      </c>
      <c r="BG5" s="298" t="e">
        <f t="shared" si="35"/>
        <v>#N/A</v>
      </c>
      <c r="BH5" s="298" t="e">
        <f t="shared" si="36"/>
        <v>#N/A</v>
      </c>
      <c r="BI5" s="298" t="e">
        <f t="shared" si="37"/>
        <v>#N/A</v>
      </c>
      <c r="BJ5" s="297" t="e">
        <f t="shared" si="38"/>
        <v>#N/A</v>
      </c>
      <c r="BK5" s="297" t="e">
        <f t="shared" si="39"/>
        <v>#N/A</v>
      </c>
      <c r="BL5" s="297" t="e">
        <f t="shared" si="40"/>
        <v>#N/A</v>
      </c>
      <c r="BM5" s="297" t="e">
        <f t="shared" si="41"/>
        <v>#N/A</v>
      </c>
    </row>
    <row r="6" spans="1:65" x14ac:dyDescent="0.25">
      <c r="A6" s="30">
        <v>5</v>
      </c>
      <c r="B6" s="30">
        <v>5</v>
      </c>
      <c r="C6" s="58" t="str">
        <f>Roster!$X8</f>
        <v>- -</v>
      </c>
      <c r="D6" s="271" t="e">
        <f t="shared" si="42"/>
        <v>#N/A</v>
      </c>
      <c r="E6" s="245"/>
      <c r="F6" s="271" t="e">
        <f t="shared" si="43"/>
        <v>#N/A</v>
      </c>
      <c r="G6" s="245"/>
      <c r="H6" s="274" t="e">
        <f t="shared" si="44"/>
        <v>#N/A</v>
      </c>
      <c r="I6" s="245"/>
      <c r="J6" s="274" t="e">
        <f t="shared" si="45"/>
        <v>#N/A</v>
      </c>
      <c r="K6" s="62"/>
      <c r="L6" s="63"/>
      <c r="M6" s="194" t="e">
        <f t="shared" si="46"/>
        <v>#N/A</v>
      </c>
      <c r="N6" s="61" t="e">
        <f t="shared" si="0"/>
        <v>#N/A</v>
      </c>
      <c r="O6" s="61" t="e">
        <f t="shared" si="1"/>
        <v>#N/A</v>
      </c>
      <c r="P6" s="61" t="e">
        <f t="shared" si="2"/>
        <v>#N/A</v>
      </c>
      <c r="Q6" s="61" t="e">
        <f t="shared" si="3"/>
        <v>#N/A</v>
      </c>
      <c r="R6" s="61" t="e">
        <f t="shared" si="4"/>
        <v>#N/A</v>
      </c>
      <c r="S6" s="61" t="e">
        <f t="shared" si="5"/>
        <v>#N/A</v>
      </c>
      <c r="T6" s="61" t="e">
        <f t="shared" si="6"/>
        <v>#N/A</v>
      </c>
      <c r="U6" s="61" t="e">
        <f t="shared" si="7"/>
        <v>#N/A</v>
      </c>
      <c r="V6" s="61" t="e">
        <f t="shared" si="47"/>
        <v>#N/A</v>
      </c>
      <c r="X6" s="61" t="e">
        <f t="shared" si="48"/>
        <v>#N/A</v>
      </c>
      <c r="Y6" s="61" t="e">
        <f t="shared" si="49"/>
        <v>#N/A</v>
      </c>
      <c r="Z6" s="61" t="e">
        <f t="shared" si="10"/>
        <v>#N/A</v>
      </c>
      <c r="AA6" s="270" t="e">
        <f t="shared" si="50"/>
        <v>#N/A</v>
      </c>
      <c r="AB6" s="270" t="e">
        <f t="shared" si="51"/>
        <v>#N/A</v>
      </c>
      <c r="AC6" s="61" t="e">
        <f t="shared" si="12"/>
        <v>#N/A</v>
      </c>
      <c r="AD6" s="61" t="e">
        <f t="shared" si="13"/>
        <v>#N/A</v>
      </c>
      <c r="AE6" s="61" t="e">
        <f t="shared" si="14"/>
        <v>#N/A</v>
      </c>
      <c r="AF6" s="61" t="e">
        <f t="shared" si="15"/>
        <v>#N/A</v>
      </c>
      <c r="AG6" s="61" t="e">
        <f t="shared" si="16"/>
        <v>#N/A</v>
      </c>
      <c r="AH6" s="61" t="e">
        <f t="shared" si="17"/>
        <v>#N/A</v>
      </c>
      <c r="AI6" s="61" t="e">
        <f t="shared" si="18"/>
        <v>#N/A</v>
      </c>
      <c r="AJ6" s="61" t="e">
        <f t="shared" si="19"/>
        <v>#N/A</v>
      </c>
      <c r="AK6" s="61" t="e">
        <f t="shared" si="20"/>
        <v>#N/A</v>
      </c>
      <c r="AL6" s="61" t="e">
        <f t="shared" si="21"/>
        <v>#N/A</v>
      </c>
      <c r="AM6" s="61" t="e">
        <f t="shared" si="22"/>
        <v>#N/A</v>
      </c>
      <c r="AN6" s="61" t="e">
        <f t="shared" si="23"/>
        <v>#N/A</v>
      </c>
      <c r="AO6" s="61" t="e">
        <f t="shared" si="52"/>
        <v>#N/A</v>
      </c>
      <c r="AP6" s="61" t="e">
        <f t="shared" si="53"/>
        <v>#N/A</v>
      </c>
      <c r="AQ6" s="247" t="e">
        <f t="shared" si="24"/>
        <v>#N/A</v>
      </c>
      <c r="AR6" s="247" t="e">
        <f t="shared" si="25"/>
        <v>#N/A</v>
      </c>
      <c r="AS6" s="247" t="e">
        <f t="shared" si="26"/>
        <v>#N/A</v>
      </c>
      <c r="AT6" s="196" t="e">
        <f t="shared" si="27"/>
        <v>#N/A</v>
      </c>
      <c r="AU6" s="196" t="e">
        <f>ROUND((VLOOKUP(A6,INPUT_RANGE,85,FALSE)/AS6)*('Team Info'!$H$25),2)</f>
        <v>#N/A</v>
      </c>
      <c r="AV6" s="8"/>
      <c r="AW6" s="197" t="e">
        <f t="shared" si="54"/>
        <v>#N/A</v>
      </c>
      <c r="AX6" s="197" t="e">
        <f t="shared" si="55"/>
        <v>#N/A</v>
      </c>
      <c r="AY6">
        <f t="shared" si="30"/>
        <v>0.44444444444444442</v>
      </c>
      <c r="AZ6" s="257" t="e">
        <f t="shared" si="56"/>
        <v>#N/A</v>
      </c>
      <c r="BA6" t="e">
        <f t="shared" si="57"/>
        <v>#N/A</v>
      </c>
      <c r="BB6" s="298" t="e">
        <f t="shared" si="31"/>
        <v>#N/A</v>
      </c>
      <c r="BC6" s="298" t="e">
        <f t="shared" si="32"/>
        <v>#N/A</v>
      </c>
      <c r="BD6" s="298" t="e">
        <f t="shared" si="33"/>
        <v>#N/A</v>
      </c>
      <c r="BE6" s="308" t="e">
        <f t="shared" si="34"/>
        <v>#N/A</v>
      </c>
      <c r="BF6" s="298" t="e">
        <f t="shared" si="58"/>
        <v>#N/A</v>
      </c>
      <c r="BG6" s="298" t="e">
        <f t="shared" si="35"/>
        <v>#N/A</v>
      </c>
      <c r="BH6" s="298" t="e">
        <f t="shared" si="36"/>
        <v>#N/A</v>
      </c>
      <c r="BI6" s="298" t="e">
        <f t="shared" si="37"/>
        <v>#N/A</v>
      </c>
      <c r="BJ6" s="297" t="e">
        <f t="shared" si="38"/>
        <v>#N/A</v>
      </c>
      <c r="BK6" s="297" t="e">
        <f t="shared" si="39"/>
        <v>#N/A</v>
      </c>
      <c r="BL6" s="297" t="e">
        <f t="shared" si="40"/>
        <v>#N/A</v>
      </c>
      <c r="BM6" s="297" t="e">
        <f t="shared" si="41"/>
        <v>#N/A</v>
      </c>
    </row>
    <row r="7" spans="1:65" x14ac:dyDescent="0.25">
      <c r="A7" s="30">
        <v>6</v>
      </c>
      <c r="B7" s="30">
        <v>6</v>
      </c>
      <c r="C7" s="58" t="str">
        <f>Roster!$X9</f>
        <v>- -</v>
      </c>
      <c r="D7" s="271" t="e">
        <f t="shared" si="42"/>
        <v>#N/A</v>
      </c>
      <c r="E7" s="245"/>
      <c r="F7" s="271" t="e">
        <f t="shared" si="43"/>
        <v>#N/A</v>
      </c>
      <c r="G7" s="245"/>
      <c r="H7" s="274" t="e">
        <f t="shared" si="44"/>
        <v>#N/A</v>
      </c>
      <c r="I7" s="245"/>
      <c r="J7" s="274" t="e">
        <f t="shared" si="45"/>
        <v>#N/A</v>
      </c>
      <c r="K7" s="62"/>
      <c r="L7" s="63"/>
      <c r="M7" s="194" t="e">
        <f t="shared" si="46"/>
        <v>#N/A</v>
      </c>
      <c r="N7" s="61" t="e">
        <f t="shared" si="0"/>
        <v>#N/A</v>
      </c>
      <c r="O7" s="61" t="e">
        <f t="shared" si="1"/>
        <v>#N/A</v>
      </c>
      <c r="P7" s="61" t="e">
        <f t="shared" si="2"/>
        <v>#N/A</v>
      </c>
      <c r="Q7" s="61" t="e">
        <f t="shared" si="3"/>
        <v>#N/A</v>
      </c>
      <c r="R7" s="61" t="e">
        <f t="shared" si="4"/>
        <v>#N/A</v>
      </c>
      <c r="S7" s="61" t="e">
        <f t="shared" si="5"/>
        <v>#N/A</v>
      </c>
      <c r="T7" s="61" t="e">
        <f t="shared" si="6"/>
        <v>#N/A</v>
      </c>
      <c r="U7" s="61" t="e">
        <f t="shared" si="7"/>
        <v>#N/A</v>
      </c>
      <c r="V7" s="61" t="e">
        <f t="shared" si="47"/>
        <v>#N/A</v>
      </c>
      <c r="X7" s="61" t="e">
        <f t="shared" si="48"/>
        <v>#N/A</v>
      </c>
      <c r="Y7" s="61" t="e">
        <f t="shared" si="49"/>
        <v>#N/A</v>
      </c>
      <c r="Z7" s="61" t="e">
        <f t="shared" si="10"/>
        <v>#N/A</v>
      </c>
      <c r="AA7" s="270" t="e">
        <f t="shared" si="50"/>
        <v>#N/A</v>
      </c>
      <c r="AB7" s="270" t="e">
        <f t="shared" si="51"/>
        <v>#N/A</v>
      </c>
      <c r="AC7" s="61" t="e">
        <f t="shared" si="12"/>
        <v>#N/A</v>
      </c>
      <c r="AD7" s="61" t="e">
        <f t="shared" si="13"/>
        <v>#N/A</v>
      </c>
      <c r="AE7" s="61" t="e">
        <f t="shared" si="14"/>
        <v>#N/A</v>
      </c>
      <c r="AF7" s="61" t="e">
        <f t="shared" si="15"/>
        <v>#N/A</v>
      </c>
      <c r="AG7" s="61" t="e">
        <f t="shared" si="16"/>
        <v>#N/A</v>
      </c>
      <c r="AH7" s="61" t="e">
        <f t="shared" si="17"/>
        <v>#N/A</v>
      </c>
      <c r="AI7" s="61" t="e">
        <f t="shared" si="18"/>
        <v>#N/A</v>
      </c>
      <c r="AJ7" s="61" t="e">
        <f t="shared" si="19"/>
        <v>#N/A</v>
      </c>
      <c r="AK7" s="61" t="e">
        <f t="shared" si="20"/>
        <v>#N/A</v>
      </c>
      <c r="AL7" s="61" t="e">
        <f t="shared" si="21"/>
        <v>#N/A</v>
      </c>
      <c r="AM7" s="61" t="e">
        <f t="shared" si="22"/>
        <v>#N/A</v>
      </c>
      <c r="AN7" s="61" t="e">
        <f t="shared" si="23"/>
        <v>#N/A</v>
      </c>
      <c r="AO7" s="61" t="e">
        <f t="shared" si="52"/>
        <v>#N/A</v>
      </c>
      <c r="AP7" s="61" t="e">
        <f t="shared" si="53"/>
        <v>#N/A</v>
      </c>
      <c r="AQ7" s="247" t="e">
        <f t="shared" si="24"/>
        <v>#N/A</v>
      </c>
      <c r="AR7" s="247" t="e">
        <f t="shared" si="25"/>
        <v>#N/A</v>
      </c>
      <c r="AS7" s="247" t="e">
        <f t="shared" si="26"/>
        <v>#N/A</v>
      </c>
      <c r="AT7" s="196" t="e">
        <f t="shared" si="27"/>
        <v>#N/A</v>
      </c>
      <c r="AU7" s="196" t="e">
        <f>ROUND((VLOOKUP(A7,INPUT_RANGE,85,FALSE)/AS7)*('Team Info'!$H$25),2)</f>
        <v>#N/A</v>
      </c>
      <c r="AV7" s="8"/>
      <c r="AW7" s="197" t="e">
        <f t="shared" si="54"/>
        <v>#N/A</v>
      </c>
      <c r="AX7" s="197" t="e">
        <f t="shared" si="55"/>
        <v>#N/A</v>
      </c>
      <c r="AY7">
        <f t="shared" si="30"/>
        <v>0.44444444444444442</v>
      </c>
      <c r="AZ7" s="257" t="e">
        <f t="shared" si="56"/>
        <v>#N/A</v>
      </c>
      <c r="BA7" t="e">
        <f t="shared" si="57"/>
        <v>#N/A</v>
      </c>
      <c r="BB7" s="298" t="e">
        <f t="shared" si="31"/>
        <v>#N/A</v>
      </c>
      <c r="BC7" s="298" t="e">
        <f t="shared" si="32"/>
        <v>#N/A</v>
      </c>
      <c r="BD7" s="298" t="e">
        <f t="shared" si="33"/>
        <v>#N/A</v>
      </c>
      <c r="BE7" s="308" t="e">
        <f t="shared" si="34"/>
        <v>#N/A</v>
      </c>
      <c r="BF7" s="298" t="e">
        <f t="shared" si="58"/>
        <v>#N/A</v>
      </c>
      <c r="BG7" s="298" t="e">
        <f t="shared" si="35"/>
        <v>#N/A</v>
      </c>
      <c r="BH7" s="298" t="e">
        <f t="shared" si="36"/>
        <v>#N/A</v>
      </c>
      <c r="BI7" s="298" t="e">
        <f t="shared" si="37"/>
        <v>#N/A</v>
      </c>
      <c r="BJ7" s="297" t="e">
        <f t="shared" si="38"/>
        <v>#N/A</v>
      </c>
      <c r="BK7" s="297" t="e">
        <f t="shared" si="39"/>
        <v>#N/A</v>
      </c>
      <c r="BL7" s="297" t="e">
        <f t="shared" si="40"/>
        <v>#N/A</v>
      </c>
      <c r="BM7" s="297" t="e">
        <f t="shared" si="41"/>
        <v>#N/A</v>
      </c>
    </row>
    <row r="8" spans="1:65" x14ac:dyDescent="0.25">
      <c r="A8" s="30">
        <v>7</v>
      </c>
      <c r="B8" s="30">
        <v>7</v>
      </c>
      <c r="C8" s="58" t="str">
        <f>Roster!$X10</f>
        <v>- -</v>
      </c>
      <c r="D8" s="271" t="e">
        <f t="shared" si="42"/>
        <v>#N/A</v>
      </c>
      <c r="E8" s="245"/>
      <c r="F8" s="271" t="e">
        <f t="shared" si="43"/>
        <v>#N/A</v>
      </c>
      <c r="G8" s="245"/>
      <c r="H8" s="274" t="e">
        <f t="shared" si="44"/>
        <v>#N/A</v>
      </c>
      <c r="I8" s="245"/>
      <c r="J8" s="274" t="e">
        <f t="shared" si="45"/>
        <v>#N/A</v>
      </c>
      <c r="K8" s="62"/>
      <c r="L8" s="63"/>
      <c r="M8" s="194" t="e">
        <f t="shared" si="46"/>
        <v>#N/A</v>
      </c>
      <c r="N8" s="61" t="e">
        <f t="shared" si="0"/>
        <v>#N/A</v>
      </c>
      <c r="O8" s="61" t="e">
        <f t="shared" si="1"/>
        <v>#N/A</v>
      </c>
      <c r="P8" s="61" t="e">
        <f t="shared" si="2"/>
        <v>#N/A</v>
      </c>
      <c r="Q8" s="61" t="e">
        <f t="shared" si="3"/>
        <v>#N/A</v>
      </c>
      <c r="R8" s="61" t="e">
        <f t="shared" si="4"/>
        <v>#N/A</v>
      </c>
      <c r="S8" s="61" t="e">
        <f t="shared" si="5"/>
        <v>#N/A</v>
      </c>
      <c r="T8" s="61" t="e">
        <f t="shared" si="6"/>
        <v>#N/A</v>
      </c>
      <c r="U8" s="61" t="e">
        <f t="shared" si="7"/>
        <v>#N/A</v>
      </c>
      <c r="V8" s="61" t="e">
        <f t="shared" si="47"/>
        <v>#N/A</v>
      </c>
      <c r="X8" s="61" t="e">
        <f t="shared" si="48"/>
        <v>#N/A</v>
      </c>
      <c r="Y8" s="61" t="e">
        <f t="shared" si="49"/>
        <v>#N/A</v>
      </c>
      <c r="Z8" s="61" t="e">
        <f t="shared" si="10"/>
        <v>#N/A</v>
      </c>
      <c r="AA8" s="270" t="e">
        <f t="shared" si="50"/>
        <v>#N/A</v>
      </c>
      <c r="AB8" s="270" t="e">
        <f t="shared" si="51"/>
        <v>#N/A</v>
      </c>
      <c r="AC8" s="61" t="e">
        <f t="shared" si="12"/>
        <v>#N/A</v>
      </c>
      <c r="AD8" s="61" t="e">
        <f t="shared" si="13"/>
        <v>#N/A</v>
      </c>
      <c r="AE8" s="61" t="e">
        <f t="shared" si="14"/>
        <v>#N/A</v>
      </c>
      <c r="AF8" s="61" t="e">
        <f t="shared" si="15"/>
        <v>#N/A</v>
      </c>
      <c r="AG8" s="61" t="e">
        <f t="shared" si="16"/>
        <v>#N/A</v>
      </c>
      <c r="AH8" s="61" t="e">
        <f t="shared" si="17"/>
        <v>#N/A</v>
      </c>
      <c r="AI8" s="61" t="e">
        <f t="shared" si="18"/>
        <v>#N/A</v>
      </c>
      <c r="AJ8" s="61" t="e">
        <f t="shared" si="19"/>
        <v>#N/A</v>
      </c>
      <c r="AK8" s="61" t="e">
        <f t="shared" si="20"/>
        <v>#N/A</v>
      </c>
      <c r="AL8" s="61" t="e">
        <f t="shared" si="21"/>
        <v>#N/A</v>
      </c>
      <c r="AM8" s="61" t="e">
        <f t="shared" si="22"/>
        <v>#N/A</v>
      </c>
      <c r="AN8" s="61" t="e">
        <f t="shared" si="23"/>
        <v>#N/A</v>
      </c>
      <c r="AO8" s="61" t="e">
        <f t="shared" si="52"/>
        <v>#N/A</v>
      </c>
      <c r="AP8" s="61" t="e">
        <f t="shared" si="53"/>
        <v>#N/A</v>
      </c>
      <c r="AQ8" s="247" t="e">
        <f t="shared" si="24"/>
        <v>#N/A</v>
      </c>
      <c r="AR8" s="247" t="e">
        <f t="shared" si="25"/>
        <v>#N/A</v>
      </c>
      <c r="AS8" s="247" t="e">
        <f t="shared" si="26"/>
        <v>#N/A</v>
      </c>
      <c r="AT8" s="196" t="e">
        <f t="shared" si="27"/>
        <v>#N/A</v>
      </c>
      <c r="AU8" s="196" t="e">
        <f>ROUND((VLOOKUP(A8,INPUT_RANGE,85,FALSE)/AS8)*('Team Info'!$H$25),2)</f>
        <v>#N/A</v>
      </c>
      <c r="AV8" s="8"/>
      <c r="AW8" s="197" t="e">
        <f t="shared" si="54"/>
        <v>#N/A</v>
      </c>
      <c r="AX8" s="197" t="e">
        <f t="shared" si="55"/>
        <v>#N/A</v>
      </c>
      <c r="AY8">
        <f t="shared" si="30"/>
        <v>0.44444444444444442</v>
      </c>
      <c r="AZ8" s="257" t="e">
        <f t="shared" si="56"/>
        <v>#N/A</v>
      </c>
      <c r="BA8" t="e">
        <f t="shared" si="57"/>
        <v>#N/A</v>
      </c>
      <c r="BB8" s="298" t="e">
        <f t="shared" si="31"/>
        <v>#N/A</v>
      </c>
      <c r="BC8" s="298" t="e">
        <f t="shared" si="32"/>
        <v>#N/A</v>
      </c>
      <c r="BD8" s="298" t="e">
        <f t="shared" si="33"/>
        <v>#N/A</v>
      </c>
      <c r="BE8" s="308" t="e">
        <f t="shared" si="34"/>
        <v>#N/A</v>
      </c>
      <c r="BF8" s="298" t="e">
        <f t="shared" si="58"/>
        <v>#N/A</v>
      </c>
      <c r="BG8" s="298" t="e">
        <f t="shared" si="35"/>
        <v>#N/A</v>
      </c>
      <c r="BH8" s="298" t="e">
        <f t="shared" si="36"/>
        <v>#N/A</v>
      </c>
      <c r="BI8" s="298" t="e">
        <f t="shared" si="37"/>
        <v>#N/A</v>
      </c>
      <c r="BJ8" s="297" t="e">
        <f t="shared" si="38"/>
        <v>#N/A</v>
      </c>
      <c r="BK8" s="297" t="e">
        <f t="shared" si="39"/>
        <v>#N/A</v>
      </c>
      <c r="BL8" s="297" t="e">
        <f t="shared" si="40"/>
        <v>#N/A</v>
      </c>
      <c r="BM8" s="297" t="e">
        <f t="shared" si="41"/>
        <v>#N/A</v>
      </c>
    </row>
    <row r="9" spans="1:65" x14ac:dyDescent="0.25">
      <c r="A9" s="30">
        <v>8</v>
      </c>
      <c r="B9" s="30">
        <v>8</v>
      </c>
      <c r="C9" s="58" t="str">
        <f>Roster!$X11</f>
        <v>- -</v>
      </c>
      <c r="D9" s="271" t="e">
        <f t="shared" si="42"/>
        <v>#N/A</v>
      </c>
      <c r="E9" s="245"/>
      <c r="F9" s="271" t="e">
        <f t="shared" si="43"/>
        <v>#N/A</v>
      </c>
      <c r="G9" s="245"/>
      <c r="H9" s="274" t="e">
        <f t="shared" si="44"/>
        <v>#N/A</v>
      </c>
      <c r="I9" s="245"/>
      <c r="J9" s="274" t="e">
        <f t="shared" si="45"/>
        <v>#N/A</v>
      </c>
      <c r="K9" s="62"/>
      <c r="L9" s="63"/>
      <c r="M9" s="194" t="e">
        <f t="shared" si="46"/>
        <v>#N/A</v>
      </c>
      <c r="N9" s="61" t="e">
        <f t="shared" si="0"/>
        <v>#N/A</v>
      </c>
      <c r="O9" s="61" t="e">
        <f t="shared" si="1"/>
        <v>#N/A</v>
      </c>
      <c r="P9" s="61" t="e">
        <f t="shared" si="2"/>
        <v>#N/A</v>
      </c>
      <c r="Q9" s="61" t="e">
        <f t="shared" si="3"/>
        <v>#N/A</v>
      </c>
      <c r="R9" s="61" t="e">
        <f t="shared" si="4"/>
        <v>#N/A</v>
      </c>
      <c r="S9" s="61" t="e">
        <f t="shared" si="5"/>
        <v>#N/A</v>
      </c>
      <c r="T9" s="61" t="e">
        <f t="shared" si="6"/>
        <v>#N/A</v>
      </c>
      <c r="U9" s="61" t="e">
        <f t="shared" si="7"/>
        <v>#N/A</v>
      </c>
      <c r="V9" s="61" t="e">
        <f t="shared" si="47"/>
        <v>#N/A</v>
      </c>
      <c r="X9" s="61" t="e">
        <f t="shared" si="48"/>
        <v>#N/A</v>
      </c>
      <c r="Y9" s="61" t="e">
        <f t="shared" si="49"/>
        <v>#N/A</v>
      </c>
      <c r="Z9" s="61" t="e">
        <f t="shared" si="10"/>
        <v>#N/A</v>
      </c>
      <c r="AA9" s="270" t="e">
        <f t="shared" si="50"/>
        <v>#N/A</v>
      </c>
      <c r="AB9" s="270" t="e">
        <f t="shared" si="51"/>
        <v>#N/A</v>
      </c>
      <c r="AC9" s="61" t="e">
        <f t="shared" si="12"/>
        <v>#N/A</v>
      </c>
      <c r="AD9" s="61" t="e">
        <f t="shared" si="13"/>
        <v>#N/A</v>
      </c>
      <c r="AE9" s="61" t="e">
        <f t="shared" si="14"/>
        <v>#N/A</v>
      </c>
      <c r="AF9" s="61" t="e">
        <f t="shared" si="15"/>
        <v>#N/A</v>
      </c>
      <c r="AG9" s="61" t="e">
        <f t="shared" si="16"/>
        <v>#N/A</v>
      </c>
      <c r="AH9" s="61" t="e">
        <f t="shared" si="17"/>
        <v>#N/A</v>
      </c>
      <c r="AI9" s="61" t="e">
        <f t="shared" si="18"/>
        <v>#N/A</v>
      </c>
      <c r="AJ9" s="61" t="e">
        <f t="shared" si="19"/>
        <v>#N/A</v>
      </c>
      <c r="AK9" s="61" t="e">
        <f t="shared" si="20"/>
        <v>#N/A</v>
      </c>
      <c r="AL9" s="61" t="e">
        <f t="shared" si="21"/>
        <v>#N/A</v>
      </c>
      <c r="AM9" s="61" t="e">
        <f t="shared" si="22"/>
        <v>#N/A</v>
      </c>
      <c r="AN9" s="61" t="e">
        <f t="shared" si="23"/>
        <v>#N/A</v>
      </c>
      <c r="AO9" s="61" t="e">
        <f t="shared" si="52"/>
        <v>#N/A</v>
      </c>
      <c r="AP9" s="61" t="e">
        <f t="shared" si="53"/>
        <v>#N/A</v>
      </c>
      <c r="AQ9" s="247" t="e">
        <f t="shared" si="24"/>
        <v>#N/A</v>
      </c>
      <c r="AR9" s="247" t="e">
        <f t="shared" si="25"/>
        <v>#N/A</v>
      </c>
      <c r="AS9" s="247" t="e">
        <f t="shared" si="26"/>
        <v>#N/A</v>
      </c>
      <c r="AT9" s="196" t="e">
        <f t="shared" si="27"/>
        <v>#N/A</v>
      </c>
      <c r="AU9" s="196" t="e">
        <f>ROUND((VLOOKUP(A9,INPUT_RANGE,85,FALSE)/AS9)*('Team Info'!$H$25),2)</f>
        <v>#N/A</v>
      </c>
      <c r="AV9" s="8"/>
      <c r="AW9" s="197" t="e">
        <f t="shared" si="54"/>
        <v>#N/A</v>
      </c>
      <c r="AX9" s="197" t="e">
        <f t="shared" si="55"/>
        <v>#N/A</v>
      </c>
      <c r="AY9">
        <f t="shared" si="30"/>
        <v>0.44444444444444442</v>
      </c>
      <c r="AZ9" s="257" t="e">
        <f t="shared" si="56"/>
        <v>#N/A</v>
      </c>
      <c r="BA9" t="e">
        <f t="shared" si="57"/>
        <v>#N/A</v>
      </c>
      <c r="BB9" s="298" t="e">
        <f t="shared" si="31"/>
        <v>#N/A</v>
      </c>
      <c r="BC9" s="298" t="e">
        <f t="shared" si="32"/>
        <v>#N/A</v>
      </c>
      <c r="BD9" s="298" t="e">
        <f t="shared" si="33"/>
        <v>#N/A</v>
      </c>
      <c r="BE9" s="308" t="e">
        <f t="shared" si="34"/>
        <v>#N/A</v>
      </c>
      <c r="BF9" s="298" t="e">
        <f t="shared" si="58"/>
        <v>#N/A</v>
      </c>
      <c r="BG9" s="298" t="e">
        <f t="shared" si="35"/>
        <v>#N/A</v>
      </c>
      <c r="BH9" s="298" t="e">
        <f t="shared" si="36"/>
        <v>#N/A</v>
      </c>
      <c r="BI9" s="298" t="e">
        <f t="shared" si="37"/>
        <v>#N/A</v>
      </c>
      <c r="BJ9" s="297" t="e">
        <f t="shared" si="38"/>
        <v>#N/A</v>
      </c>
      <c r="BK9" s="297" t="e">
        <f t="shared" si="39"/>
        <v>#N/A</v>
      </c>
      <c r="BL9" s="297" t="e">
        <f t="shared" si="40"/>
        <v>#N/A</v>
      </c>
      <c r="BM9" s="297" t="e">
        <f t="shared" si="41"/>
        <v>#N/A</v>
      </c>
    </row>
    <row r="10" spans="1:65" x14ac:dyDescent="0.25">
      <c r="A10" s="30">
        <v>9</v>
      </c>
      <c r="B10" s="30">
        <v>9</v>
      </c>
      <c r="C10" s="58" t="str">
        <f>Roster!$X12</f>
        <v>- -</v>
      </c>
      <c r="D10" s="271" t="e">
        <f t="shared" si="42"/>
        <v>#N/A</v>
      </c>
      <c r="E10" s="245"/>
      <c r="F10" s="271" t="e">
        <f t="shared" si="43"/>
        <v>#N/A</v>
      </c>
      <c r="G10" s="245"/>
      <c r="H10" s="274" t="e">
        <f t="shared" si="44"/>
        <v>#N/A</v>
      </c>
      <c r="I10" s="245"/>
      <c r="J10" s="274" t="e">
        <f t="shared" si="45"/>
        <v>#N/A</v>
      </c>
      <c r="K10" s="62"/>
      <c r="L10" s="63"/>
      <c r="M10" s="194" t="e">
        <f t="shared" si="46"/>
        <v>#N/A</v>
      </c>
      <c r="N10" s="61" t="e">
        <f t="shared" si="0"/>
        <v>#N/A</v>
      </c>
      <c r="O10" s="61" t="e">
        <f t="shared" si="1"/>
        <v>#N/A</v>
      </c>
      <c r="P10" s="61" t="e">
        <f t="shared" si="2"/>
        <v>#N/A</v>
      </c>
      <c r="Q10" s="61" t="e">
        <f t="shared" si="3"/>
        <v>#N/A</v>
      </c>
      <c r="R10" s="61" t="e">
        <f t="shared" si="4"/>
        <v>#N/A</v>
      </c>
      <c r="S10" s="61" t="e">
        <f t="shared" si="5"/>
        <v>#N/A</v>
      </c>
      <c r="T10" s="61" t="e">
        <f t="shared" si="6"/>
        <v>#N/A</v>
      </c>
      <c r="U10" s="61" t="e">
        <f t="shared" si="7"/>
        <v>#N/A</v>
      </c>
      <c r="V10" s="61" t="e">
        <f t="shared" si="47"/>
        <v>#N/A</v>
      </c>
      <c r="X10" s="61" t="e">
        <f t="shared" si="48"/>
        <v>#N/A</v>
      </c>
      <c r="Y10" s="61" t="e">
        <f t="shared" si="49"/>
        <v>#N/A</v>
      </c>
      <c r="Z10" s="61" t="e">
        <f t="shared" si="10"/>
        <v>#N/A</v>
      </c>
      <c r="AA10" s="270" t="e">
        <f t="shared" si="50"/>
        <v>#N/A</v>
      </c>
      <c r="AB10" s="270" t="e">
        <f t="shared" si="51"/>
        <v>#N/A</v>
      </c>
      <c r="AC10" s="61" t="e">
        <f t="shared" si="12"/>
        <v>#N/A</v>
      </c>
      <c r="AD10" s="61" t="e">
        <f t="shared" si="13"/>
        <v>#N/A</v>
      </c>
      <c r="AE10" s="61" t="e">
        <f t="shared" si="14"/>
        <v>#N/A</v>
      </c>
      <c r="AF10" s="61" t="e">
        <f t="shared" si="15"/>
        <v>#N/A</v>
      </c>
      <c r="AG10" s="61" t="e">
        <f t="shared" si="16"/>
        <v>#N/A</v>
      </c>
      <c r="AH10" s="61" t="e">
        <f t="shared" si="17"/>
        <v>#N/A</v>
      </c>
      <c r="AI10" s="61" t="e">
        <f t="shared" si="18"/>
        <v>#N/A</v>
      </c>
      <c r="AJ10" s="61" t="e">
        <f t="shared" si="19"/>
        <v>#N/A</v>
      </c>
      <c r="AK10" s="61" t="e">
        <f t="shared" si="20"/>
        <v>#N/A</v>
      </c>
      <c r="AL10" s="61" t="e">
        <f t="shared" si="21"/>
        <v>#N/A</v>
      </c>
      <c r="AM10" s="61" t="e">
        <f t="shared" si="22"/>
        <v>#N/A</v>
      </c>
      <c r="AN10" s="61" t="e">
        <f t="shared" si="23"/>
        <v>#N/A</v>
      </c>
      <c r="AO10" s="61" t="e">
        <f t="shared" si="52"/>
        <v>#N/A</v>
      </c>
      <c r="AP10" s="61" t="e">
        <f t="shared" si="53"/>
        <v>#N/A</v>
      </c>
      <c r="AQ10" s="247" t="e">
        <f t="shared" si="24"/>
        <v>#N/A</v>
      </c>
      <c r="AR10" s="247" t="e">
        <f t="shared" si="25"/>
        <v>#N/A</v>
      </c>
      <c r="AS10" s="247" t="e">
        <f t="shared" si="26"/>
        <v>#N/A</v>
      </c>
      <c r="AT10" s="196" t="e">
        <f t="shared" si="27"/>
        <v>#N/A</v>
      </c>
      <c r="AU10" s="196" t="e">
        <f>ROUND((VLOOKUP(A10,INPUT_RANGE,85,FALSE)/AS10)*('Team Info'!$H$25),2)</f>
        <v>#N/A</v>
      </c>
      <c r="AV10" s="8"/>
      <c r="AW10" s="197" t="e">
        <f t="shared" si="54"/>
        <v>#N/A</v>
      </c>
      <c r="AX10" s="197" t="e">
        <f t="shared" si="55"/>
        <v>#N/A</v>
      </c>
      <c r="AY10">
        <f t="shared" si="30"/>
        <v>0.44444444444444442</v>
      </c>
      <c r="AZ10" s="257" t="e">
        <f t="shared" si="56"/>
        <v>#N/A</v>
      </c>
      <c r="BA10" t="e">
        <f t="shared" si="57"/>
        <v>#N/A</v>
      </c>
      <c r="BB10" s="298" t="e">
        <f t="shared" si="31"/>
        <v>#N/A</v>
      </c>
      <c r="BC10" s="298" t="e">
        <f t="shared" si="32"/>
        <v>#N/A</v>
      </c>
      <c r="BD10" s="298" t="e">
        <f t="shared" si="33"/>
        <v>#N/A</v>
      </c>
      <c r="BE10" s="308" t="e">
        <f t="shared" si="34"/>
        <v>#N/A</v>
      </c>
      <c r="BF10" s="298" t="e">
        <f t="shared" si="58"/>
        <v>#N/A</v>
      </c>
      <c r="BG10" s="298" t="e">
        <f t="shared" si="35"/>
        <v>#N/A</v>
      </c>
      <c r="BH10" s="298" t="e">
        <f t="shared" si="36"/>
        <v>#N/A</v>
      </c>
      <c r="BI10" s="298" t="e">
        <f t="shared" si="37"/>
        <v>#N/A</v>
      </c>
      <c r="BJ10" s="297" t="e">
        <f t="shared" si="38"/>
        <v>#N/A</v>
      </c>
      <c r="BK10" s="297" t="e">
        <f t="shared" si="39"/>
        <v>#N/A</v>
      </c>
      <c r="BL10" s="297" t="e">
        <f t="shared" si="40"/>
        <v>#N/A</v>
      </c>
      <c r="BM10" s="297" t="e">
        <f t="shared" si="41"/>
        <v>#N/A</v>
      </c>
    </row>
    <row r="11" spans="1:65" x14ac:dyDescent="0.25">
      <c r="A11" s="30">
        <v>10</v>
      </c>
      <c r="B11" s="30">
        <v>10</v>
      </c>
      <c r="C11" s="58" t="str">
        <f>Roster!$X13</f>
        <v>- -</v>
      </c>
      <c r="D11" s="271" t="e">
        <f t="shared" si="42"/>
        <v>#N/A</v>
      </c>
      <c r="E11" s="245"/>
      <c r="F11" s="271" t="e">
        <f t="shared" si="43"/>
        <v>#N/A</v>
      </c>
      <c r="G11" s="245"/>
      <c r="H11" s="274" t="e">
        <f t="shared" si="44"/>
        <v>#N/A</v>
      </c>
      <c r="I11" s="245"/>
      <c r="J11" s="274" t="e">
        <f t="shared" si="45"/>
        <v>#N/A</v>
      </c>
      <c r="K11" s="62"/>
      <c r="L11" s="63"/>
      <c r="M11" s="194" t="e">
        <f t="shared" si="46"/>
        <v>#N/A</v>
      </c>
      <c r="N11" s="61" t="e">
        <f t="shared" si="0"/>
        <v>#N/A</v>
      </c>
      <c r="O11" s="61" t="e">
        <f t="shared" si="1"/>
        <v>#N/A</v>
      </c>
      <c r="P11" s="61" t="e">
        <f t="shared" si="2"/>
        <v>#N/A</v>
      </c>
      <c r="Q11" s="61" t="e">
        <f t="shared" si="3"/>
        <v>#N/A</v>
      </c>
      <c r="R11" s="61" t="e">
        <f t="shared" si="4"/>
        <v>#N/A</v>
      </c>
      <c r="S11" s="61" t="e">
        <f t="shared" si="5"/>
        <v>#N/A</v>
      </c>
      <c r="T11" s="61" t="e">
        <f t="shared" si="6"/>
        <v>#N/A</v>
      </c>
      <c r="U11" s="61" t="e">
        <f t="shared" si="7"/>
        <v>#N/A</v>
      </c>
      <c r="V11" s="61" t="e">
        <f t="shared" si="47"/>
        <v>#N/A</v>
      </c>
      <c r="X11" s="61" t="e">
        <f t="shared" si="48"/>
        <v>#N/A</v>
      </c>
      <c r="Y11" s="61" t="e">
        <f t="shared" si="49"/>
        <v>#N/A</v>
      </c>
      <c r="Z11" s="61" t="e">
        <f t="shared" si="10"/>
        <v>#N/A</v>
      </c>
      <c r="AA11" s="270" t="e">
        <f t="shared" si="50"/>
        <v>#N/A</v>
      </c>
      <c r="AB11" s="270" t="e">
        <f t="shared" si="51"/>
        <v>#N/A</v>
      </c>
      <c r="AC11" s="61" t="e">
        <f t="shared" si="12"/>
        <v>#N/A</v>
      </c>
      <c r="AD11" s="61" t="e">
        <f t="shared" si="13"/>
        <v>#N/A</v>
      </c>
      <c r="AE11" s="61" t="e">
        <f t="shared" si="14"/>
        <v>#N/A</v>
      </c>
      <c r="AF11" s="61" t="e">
        <f t="shared" si="15"/>
        <v>#N/A</v>
      </c>
      <c r="AG11" s="61" t="e">
        <f t="shared" si="16"/>
        <v>#N/A</v>
      </c>
      <c r="AH11" s="61" t="e">
        <f t="shared" si="17"/>
        <v>#N/A</v>
      </c>
      <c r="AI11" s="61" t="e">
        <f t="shared" si="18"/>
        <v>#N/A</v>
      </c>
      <c r="AJ11" s="61" t="e">
        <f t="shared" si="19"/>
        <v>#N/A</v>
      </c>
      <c r="AK11" s="61" t="e">
        <f t="shared" si="20"/>
        <v>#N/A</v>
      </c>
      <c r="AL11" s="61" t="e">
        <f t="shared" si="21"/>
        <v>#N/A</v>
      </c>
      <c r="AM11" s="61" t="e">
        <f t="shared" si="22"/>
        <v>#N/A</v>
      </c>
      <c r="AN11" s="61" t="e">
        <f t="shared" si="23"/>
        <v>#N/A</v>
      </c>
      <c r="AO11" s="61" t="e">
        <f t="shared" si="52"/>
        <v>#N/A</v>
      </c>
      <c r="AP11" s="61" t="e">
        <f t="shared" si="53"/>
        <v>#N/A</v>
      </c>
      <c r="AQ11" s="247" t="e">
        <f t="shared" si="24"/>
        <v>#N/A</v>
      </c>
      <c r="AR11" s="247" t="e">
        <f t="shared" si="25"/>
        <v>#N/A</v>
      </c>
      <c r="AS11" s="247" t="e">
        <f t="shared" si="26"/>
        <v>#N/A</v>
      </c>
      <c r="AT11" s="196" t="e">
        <f t="shared" si="27"/>
        <v>#N/A</v>
      </c>
      <c r="AU11" s="196" t="e">
        <f>ROUND((VLOOKUP(A11,INPUT_RANGE,85,FALSE)/AS11)*('Team Info'!$H$25),2)</f>
        <v>#N/A</v>
      </c>
      <c r="AV11" s="8"/>
      <c r="AW11" s="197" t="e">
        <f t="shared" si="54"/>
        <v>#N/A</v>
      </c>
      <c r="AX11" s="197" t="e">
        <f t="shared" si="55"/>
        <v>#N/A</v>
      </c>
      <c r="AY11">
        <f t="shared" si="30"/>
        <v>0.44444444444444442</v>
      </c>
      <c r="AZ11" s="257" t="e">
        <f t="shared" si="56"/>
        <v>#N/A</v>
      </c>
      <c r="BA11" t="e">
        <f t="shared" si="57"/>
        <v>#N/A</v>
      </c>
      <c r="BB11" s="298" t="e">
        <f t="shared" si="31"/>
        <v>#N/A</v>
      </c>
      <c r="BC11" s="298" t="e">
        <f t="shared" si="32"/>
        <v>#N/A</v>
      </c>
      <c r="BD11" s="298" t="e">
        <f t="shared" si="33"/>
        <v>#N/A</v>
      </c>
      <c r="BE11" s="308" t="e">
        <f t="shared" si="34"/>
        <v>#N/A</v>
      </c>
      <c r="BF11" s="298" t="e">
        <f t="shared" si="58"/>
        <v>#N/A</v>
      </c>
      <c r="BG11" s="298" t="e">
        <f t="shared" si="35"/>
        <v>#N/A</v>
      </c>
      <c r="BH11" s="298" t="e">
        <f t="shared" si="36"/>
        <v>#N/A</v>
      </c>
      <c r="BI11" s="298" t="e">
        <f t="shared" si="37"/>
        <v>#N/A</v>
      </c>
      <c r="BJ11" s="297" t="e">
        <f t="shared" si="38"/>
        <v>#N/A</v>
      </c>
      <c r="BK11" s="297" t="e">
        <f t="shared" si="39"/>
        <v>#N/A</v>
      </c>
      <c r="BL11" s="297" t="e">
        <f t="shared" si="40"/>
        <v>#N/A</v>
      </c>
      <c r="BM11" s="297" t="e">
        <f t="shared" si="41"/>
        <v>#N/A</v>
      </c>
    </row>
    <row r="12" spans="1:65" x14ac:dyDescent="0.25">
      <c r="A12" s="30">
        <v>11</v>
      </c>
      <c r="B12" s="30">
        <v>11</v>
      </c>
      <c r="C12" s="58" t="str">
        <f>Roster!$X14</f>
        <v>- -</v>
      </c>
      <c r="D12" s="271" t="e">
        <f t="shared" si="42"/>
        <v>#N/A</v>
      </c>
      <c r="E12" s="245"/>
      <c r="F12" s="271" t="e">
        <f t="shared" si="43"/>
        <v>#N/A</v>
      </c>
      <c r="G12" s="245"/>
      <c r="H12" s="274" t="e">
        <f t="shared" si="44"/>
        <v>#N/A</v>
      </c>
      <c r="I12" s="245"/>
      <c r="J12" s="274" t="e">
        <f t="shared" si="45"/>
        <v>#N/A</v>
      </c>
      <c r="K12" s="62"/>
      <c r="L12" s="63"/>
      <c r="M12" s="194" t="e">
        <f t="shared" si="46"/>
        <v>#N/A</v>
      </c>
      <c r="N12" s="61" t="e">
        <f t="shared" si="0"/>
        <v>#N/A</v>
      </c>
      <c r="O12" s="61" t="e">
        <f t="shared" si="1"/>
        <v>#N/A</v>
      </c>
      <c r="P12" s="61" t="e">
        <f t="shared" si="2"/>
        <v>#N/A</v>
      </c>
      <c r="Q12" s="61" t="e">
        <f t="shared" si="3"/>
        <v>#N/A</v>
      </c>
      <c r="R12" s="61" t="e">
        <f t="shared" si="4"/>
        <v>#N/A</v>
      </c>
      <c r="S12" s="61" t="e">
        <f t="shared" si="5"/>
        <v>#N/A</v>
      </c>
      <c r="T12" s="61" t="e">
        <f t="shared" si="6"/>
        <v>#N/A</v>
      </c>
      <c r="U12" s="61" t="e">
        <f t="shared" si="7"/>
        <v>#N/A</v>
      </c>
      <c r="V12" s="61" t="e">
        <f t="shared" si="47"/>
        <v>#N/A</v>
      </c>
      <c r="X12" s="61" t="e">
        <f t="shared" si="48"/>
        <v>#N/A</v>
      </c>
      <c r="Y12" s="61" t="e">
        <f t="shared" si="49"/>
        <v>#N/A</v>
      </c>
      <c r="Z12" s="61" t="e">
        <f t="shared" si="10"/>
        <v>#N/A</v>
      </c>
      <c r="AA12" s="270" t="e">
        <f t="shared" si="50"/>
        <v>#N/A</v>
      </c>
      <c r="AB12" s="270" t="e">
        <f t="shared" si="51"/>
        <v>#N/A</v>
      </c>
      <c r="AC12" s="61" t="e">
        <f t="shared" si="12"/>
        <v>#N/A</v>
      </c>
      <c r="AD12" s="61" t="e">
        <f t="shared" si="13"/>
        <v>#N/A</v>
      </c>
      <c r="AE12" s="61" t="e">
        <f t="shared" si="14"/>
        <v>#N/A</v>
      </c>
      <c r="AF12" s="61" t="e">
        <f t="shared" si="15"/>
        <v>#N/A</v>
      </c>
      <c r="AG12" s="61" t="e">
        <f t="shared" si="16"/>
        <v>#N/A</v>
      </c>
      <c r="AH12" s="61" t="e">
        <f t="shared" si="17"/>
        <v>#N/A</v>
      </c>
      <c r="AI12" s="61" t="e">
        <f t="shared" si="18"/>
        <v>#N/A</v>
      </c>
      <c r="AJ12" s="61" t="e">
        <f t="shared" si="19"/>
        <v>#N/A</v>
      </c>
      <c r="AK12" s="61" t="e">
        <f t="shared" si="20"/>
        <v>#N/A</v>
      </c>
      <c r="AL12" s="61" t="e">
        <f t="shared" si="21"/>
        <v>#N/A</v>
      </c>
      <c r="AM12" s="61" t="e">
        <f t="shared" si="22"/>
        <v>#N/A</v>
      </c>
      <c r="AN12" s="61" t="e">
        <f t="shared" si="23"/>
        <v>#N/A</v>
      </c>
      <c r="AO12" s="61" t="e">
        <f t="shared" si="52"/>
        <v>#N/A</v>
      </c>
      <c r="AP12" s="61" t="e">
        <f t="shared" si="53"/>
        <v>#N/A</v>
      </c>
      <c r="AQ12" s="247" t="e">
        <f t="shared" si="24"/>
        <v>#N/A</v>
      </c>
      <c r="AR12" s="247" t="e">
        <f t="shared" si="25"/>
        <v>#N/A</v>
      </c>
      <c r="AS12" s="247" t="e">
        <f t="shared" si="26"/>
        <v>#N/A</v>
      </c>
      <c r="AT12" s="196" t="e">
        <f t="shared" si="27"/>
        <v>#N/A</v>
      </c>
      <c r="AU12" s="196" t="e">
        <f>ROUND((VLOOKUP(A12,INPUT_RANGE,85,FALSE)/AS12)*('Team Info'!$H$25),2)</f>
        <v>#N/A</v>
      </c>
      <c r="AV12" s="8"/>
      <c r="AW12" s="197" t="e">
        <f t="shared" si="54"/>
        <v>#N/A</v>
      </c>
      <c r="AX12" s="197" t="e">
        <f t="shared" si="55"/>
        <v>#N/A</v>
      </c>
      <c r="AY12">
        <f t="shared" si="30"/>
        <v>0.44444444444444442</v>
      </c>
      <c r="AZ12" s="257" t="e">
        <f t="shared" si="56"/>
        <v>#N/A</v>
      </c>
      <c r="BA12" t="e">
        <f t="shared" si="57"/>
        <v>#N/A</v>
      </c>
      <c r="BB12" s="298" t="e">
        <f t="shared" si="31"/>
        <v>#N/A</v>
      </c>
      <c r="BC12" s="298" t="e">
        <f t="shared" si="32"/>
        <v>#N/A</v>
      </c>
      <c r="BD12" s="298" t="e">
        <f t="shared" si="33"/>
        <v>#N/A</v>
      </c>
      <c r="BE12" s="308" t="e">
        <f t="shared" si="34"/>
        <v>#N/A</v>
      </c>
      <c r="BF12" s="298" t="e">
        <f t="shared" si="58"/>
        <v>#N/A</v>
      </c>
      <c r="BG12" s="298" t="e">
        <f t="shared" si="35"/>
        <v>#N/A</v>
      </c>
      <c r="BH12" s="298" t="e">
        <f t="shared" si="36"/>
        <v>#N/A</v>
      </c>
      <c r="BI12" s="298" t="e">
        <f t="shared" si="37"/>
        <v>#N/A</v>
      </c>
      <c r="BJ12" s="297" t="e">
        <f t="shared" si="38"/>
        <v>#N/A</v>
      </c>
      <c r="BK12" s="297" t="e">
        <f t="shared" si="39"/>
        <v>#N/A</v>
      </c>
      <c r="BL12" s="297" t="e">
        <f t="shared" si="40"/>
        <v>#N/A</v>
      </c>
      <c r="BM12" s="297" t="e">
        <f t="shared" si="41"/>
        <v>#N/A</v>
      </c>
    </row>
    <row r="13" spans="1:65" x14ac:dyDescent="0.25">
      <c r="A13" s="30">
        <v>12</v>
      </c>
      <c r="B13" s="30">
        <v>12</v>
      </c>
      <c r="C13" s="58" t="str">
        <f>Roster!$X15</f>
        <v>- -</v>
      </c>
      <c r="D13" s="271" t="e">
        <f t="shared" si="42"/>
        <v>#N/A</v>
      </c>
      <c r="E13" s="245"/>
      <c r="F13" s="271" t="e">
        <f t="shared" si="43"/>
        <v>#N/A</v>
      </c>
      <c r="G13" s="245"/>
      <c r="H13" s="274" t="e">
        <f t="shared" si="44"/>
        <v>#N/A</v>
      </c>
      <c r="I13" s="245"/>
      <c r="J13" s="274" t="e">
        <f t="shared" si="45"/>
        <v>#N/A</v>
      </c>
      <c r="K13" s="62"/>
      <c r="L13" s="63"/>
      <c r="M13" s="194" t="e">
        <f t="shared" si="46"/>
        <v>#N/A</v>
      </c>
      <c r="N13" s="61" t="e">
        <f t="shared" si="0"/>
        <v>#N/A</v>
      </c>
      <c r="O13" s="61" t="e">
        <f t="shared" si="1"/>
        <v>#N/A</v>
      </c>
      <c r="P13" s="61" t="e">
        <f t="shared" si="2"/>
        <v>#N/A</v>
      </c>
      <c r="Q13" s="61" t="e">
        <f t="shared" si="3"/>
        <v>#N/A</v>
      </c>
      <c r="R13" s="61" t="e">
        <f t="shared" si="4"/>
        <v>#N/A</v>
      </c>
      <c r="S13" s="61" t="e">
        <f t="shared" si="5"/>
        <v>#N/A</v>
      </c>
      <c r="T13" s="61" t="e">
        <f t="shared" si="6"/>
        <v>#N/A</v>
      </c>
      <c r="U13" s="61" t="e">
        <f t="shared" si="7"/>
        <v>#N/A</v>
      </c>
      <c r="V13" s="61" t="e">
        <f t="shared" si="47"/>
        <v>#N/A</v>
      </c>
      <c r="X13" s="61" t="e">
        <f t="shared" si="48"/>
        <v>#N/A</v>
      </c>
      <c r="Y13" s="61" t="e">
        <f t="shared" si="49"/>
        <v>#N/A</v>
      </c>
      <c r="Z13" s="61" t="e">
        <f t="shared" si="10"/>
        <v>#N/A</v>
      </c>
      <c r="AA13" s="270" t="e">
        <f t="shared" si="50"/>
        <v>#N/A</v>
      </c>
      <c r="AB13" s="270" t="e">
        <f t="shared" si="51"/>
        <v>#N/A</v>
      </c>
      <c r="AC13" s="61" t="e">
        <f t="shared" si="12"/>
        <v>#N/A</v>
      </c>
      <c r="AD13" s="61" t="e">
        <f t="shared" si="13"/>
        <v>#N/A</v>
      </c>
      <c r="AE13" s="61" t="e">
        <f t="shared" si="14"/>
        <v>#N/A</v>
      </c>
      <c r="AF13" s="61" t="e">
        <f t="shared" si="15"/>
        <v>#N/A</v>
      </c>
      <c r="AG13" s="61" t="e">
        <f t="shared" si="16"/>
        <v>#N/A</v>
      </c>
      <c r="AH13" s="61" t="e">
        <f t="shared" si="17"/>
        <v>#N/A</v>
      </c>
      <c r="AI13" s="61" t="e">
        <f t="shared" si="18"/>
        <v>#N/A</v>
      </c>
      <c r="AJ13" s="61" t="e">
        <f t="shared" si="19"/>
        <v>#N/A</v>
      </c>
      <c r="AK13" s="61" t="e">
        <f t="shared" si="20"/>
        <v>#N/A</v>
      </c>
      <c r="AL13" s="61" t="e">
        <f t="shared" si="21"/>
        <v>#N/A</v>
      </c>
      <c r="AM13" s="61" t="e">
        <f t="shared" si="22"/>
        <v>#N/A</v>
      </c>
      <c r="AN13" s="61" t="e">
        <f t="shared" si="23"/>
        <v>#N/A</v>
      </c>
      <c r="AO13" s="61" t="e">
        <f t="shared" si="52"/>
        <v>#N/A</v>
      </c>
      <c r="AP13" s="61" t="e">
        <f t="shared" si="53"/>
        <v>#N/A</v>
      </c>
      <c r="AQ13" s="247" t="e">
        <f t="shared" si="24"/>
        <v>#N/A</v>
      </c>
      <c r="AR13" s="247" t="e">
        <f t="shared" si="25"/>
        <v>#N/A</v>
      </c>
      <c r="AS13" s="247" t="e">
        <f t="shared" si="26"/>
        <v>#N/A</v>
      </c>
      <c r="AT13" s="196" t="e">
        <f t="shared" si="27"/>
        <v>#N/A</v>
      </c>
      <c r="AU13" s="196" t="e">
        <f>ROUND((VLOOKUP(A13,INPUT_RANGE,85,FALSE)/AS13)*('Team Info'!$H$25),2)</f>
        <v>#N/A</v>
      </c>
      <c r="AV13" s="8"/>
      <c r="AW13" s="197" t="e">
        <f t="shared" si="54"/>
        <v>#N/A</v>
      </c>
      <c r="AX13" s="197" t="e">
        <f t="shared" si="55"/>
        <v>#N/A</v>
      </c>
      <c r="AY13">
        <f t="shared" si="30"/>
        <v>0.44444444444444442</v>
      </c>
      <c r="AZ13" s="257" t="e">
        <f t="shared" si="56"/>
        <v>#N/A</v>
      </c>
      <c r="BA13" t="e">
        <f t="shared" si="57"/>
        <v>#N/A</v>
      </c>
      <c r="BB13" s="298" t="e">
        <f t="shared" si="31"/>
        <v>#N/A</v>
      </c>
      <c r="BC13" s="298" t="e">
        <f t="shared" si="32"/>
        <v>#N/A</v>
      </c>
      <c r="BD13" s="298" t="e">
        <f t="shared" si="33"/>
        <v>#N/A</v>
      </c>
      <c r="BE13" s="308" t="e">
        <f t="shared" si="34"/>
        <v>#N/A</v>
      </c>
      <c r="BF13" s="298" t="e">
        <f t="shared" si="58"/>
        <v>#N/A</v>
      </c>
      <c r="BG13" s="298" t="e">
        <f t="shared" si="35"/>
        <v>#N/A</v>
      </c>
      <c r="BH13" s="298" t="e">
        <f t="shared" si="36"/>
        <v>#N/A</v>
      </c>
      <c r="BI13" s="298" t="e">
        <f t="shared" si="37"/>
        <v>#N/A</v>
      </c>
      <c r="BJ13" s="297" t="e">
        <f t="shared" si="38"/>
        <v>#N/A</v>
      </c>
      <c r="BK13" s="297" t="e">
        <f t="shared" si="39"/>
        <v>#N/A</v>
      </c>
      <c r="BL13" s="297" t="e">
        <f t="shared" si="40"/>
        <v>#N/A</v>
      </c>
      <c r="BM13" s="297" t="e">
        <f t="shared" si="41"/>
        <v>#N/A</v>
      </c>
    </row>
    <row r="14" spans="1:65" x14ac:dyDescent="0.25">
      <c r="A14" s="30">
        <v>13</v>
      </c>
      <c r="B14" s="30">
        <v>13</v>
      </c>
      <c r="C14" s="58" t="str">
        <f>Roster!$X16</f>
        <v>- -</v>
      </c>
      <c r="D14" s="271" t="e">
        <f t="shared" si="42"/>
        <v>#N/A</v>
      </c>
      <c r="E14" s="245"/>
      <c r="F14" s="271" t="e">
        <f t="shared" si="43"/>
        <v>#N/A</v>
      </c>
      <c r="G14" s="245"/>
      <c r="H14" s="274" t="e">
        <f t="shared" si="44"/>
        <v>#N/A</v>
      </c>
      <c r="I14" s="245"/>
      <c r="J14" s="274" t="e">
        <f t="shared" si="45"/>
        <v>#N/A</v>
      </c>
      <c r="K14" s="62"/>
      <c r="L14" s="63"/>
      <c r="M14" s="194" t="e">
        <f t="shared" si="46"/>
        <v>#N/A</v>
      </c>
      <c r="N14" s="61" t="e">
        <f t="shared" si="0"/>
        <v>#N/A</v>
      </c>
      <c r="O14" s="61" t="e">
        <f t="shared" si="1"/>
        <v>#N/A</v>
      </c>
      <c r="P14" s="61" t="e">
        <f t="shared" si="2"/>
        <v>#N/A</v>
      </c>
      <c r="Q14" s="61" t="e">
        <f t="shared" si="3"/>
        <v>#N/A</v>
      </c>
      <c r="R14" s="61" t="e">
        <f t="shared" si="4"/>
        <v>#N/A</v>
      </c>
      <c r="S14" s="61" t="e">
        <f t="shared" si="5"/>
        <v>#N/A</v>
      </c>
      <c r="T14" s="61" t="e">
        <f t="shared" si="6"/>
        <v>#N/A</v>
      </c>
      <c r="U14" s="61" t="e">
        <f t="shared" si="7"/>
        <v>#N/A</v>
      </c>
      <c r="V14" s="61" t="e">
        <f t="shared" si="47"/>
        <v>#N/A</v>
      </c>
      <c r="X14" s="61" t="e">
        <f t="shared" si="48"/>
        <v>#N/A</v>
      </c>
      <c r="Y14" s="61" t="e">
        <f t="shared" si="49"/>
        <v>#N/A</v>
      </c>
      <c r="Z14" s="61" t="e">
        <f t="shared" si="10"/>
        <v>#N/A</v>
      </c>
      <c r="AA14" s="270" t="e">
        <f t="shared" si="50"/>
        <v>#N/A</v>
      </c>
      <c r="AB14" s="270" t="e">
        <f t="shared" si="51"/>
        <v>#N/A</v>
      </c>
      <c r="AC14" s="61" t="e">
        <f t="shared" si="12"/>
        <v>#N/A</v>
      </c>
      <c r="AD14" s="61" t="e">
        <f t="shared" si="13"/>
        <v>#N/A</v>
      </c>
      <c r="AE14" s="61" t="e">
        <f t="shared" si="14"/>
        <v>#N/A</v>
      </c>
      <c r="AF14" s="61" t="e">
        <f t="shared" si="15"/>
        <v>#N/A</v>
      </c>
      <c r="AG14" s="61" t="e">
        <f t="shared" si="16"/>
        <v>#N/A</v>
      </c>
      <c r="AH14" s="61" t="e">
        <f t="shared" si="17"/>
        <v>#N/A</v>
      </c>
      <c r="AI14" s="61" t="e">
        <f t="shared" si="18"/>
        <v>#N/A</v>
      </c>
      <c r="AJ14" s="61" t="e">
        <f t="shared" si="19"/>
        <v>#N/A</v>
      </c>
      <c r="AK14" s="61" t="e">
        <f t="shared" si="20"/>
        <v>#N/A</v>
      </c>
      <c r="AL14" s="61" t="e">
        <f t="shared" si="21"/>
        <v>#N/A</v>
      </c>
      <c r="AM14" s="61" t="e">
        <f t="shared" si="22"/>
        <v>#N/A</v>
      </c>
      <c r="AN14" s="61" t="e">
        <f t="shared" si="23"/>
        <v>#N/A</v>
      </c>
      <c r="AO14" s="61" t="e">
        <f t="shared" si="52"/>
        <v>#N/A</v>
      </c>
      <c r="AP14" s="61" t="e">
        <f t="shared" si="53"/>
        <v>#N/A</v>
      </c>
      <c r="AQ14" s="247" t="e">
        <f t="shared" si="24"/>
        <v>#N/A</v>
      </c>
      <c r="AR14" s="247" t="e">
        <f t="shared" si="25"/>
        <v>#N/A</v>
      </c>
      <c r="AS14" s="247" t="e">
        <f t="shared" si="26"/>
        <v>#N/A</v>
      </c>
      <c r="AT14" s="196" t="e">
        <f t="shared" si="27"/>
        <v>#N/A</v>
      </c>
      <c r="AU14" s="196" t="e">
        <f>ROUND((VLOOKUP(A14,INPUT_RANGE,85,FALSE)/AS14)*('Team Info'!$H$25),2)</f>
        <v>#N/A</v>
      </c>
      <c r="AV14" s="8"/>
      <c r="AW14" s="197" t="e">
        <f t="shared" si="54"/>
        <v>#N/A</v>
      </c>
      <c r="AX14" s="197" t="e">
        <f t="shared" si="55"/>
        <v>#N/A</v>
      </c>
      <c r="AY14">
        <f t="shared" si="30"/>
        <v>0.44444444444444442</v>
      </c>
      <c r="AZ14" s="257" t="e">
        <f t="shared" si="56"/>
        <v>#N/A</v>
      </c>
      <c r="BA14" t="e">
        <f t="shared" si="57"/>
        <v>#N/A</v>
      </c>
      <c r="BB14" s="298" t="e">
        <f t="shared" si="31"/>
        <v>#N/A</v>
      </c>
      <c r="BC14" s="298" t="e">
        <f t="shared" si="32"/>
        <v>#N/A</v>
      </c>
      <c r="BD14" s="298" t="e">
        <f t="shared" si="33"/>
        <v>#N/A</v>
      </c>
      <c r="BE14" s="308" t="e">
        <f t="shared" si="34"/>
        <v>#N/A</v>
      </c>
      <c r="BF14" s="298" t="e">
        <f t="shared" si="58"/>
        <v>#N/A</v>
      </c>
      <c r="BG14" s="298" t="e">
        <f t="shared" si="35"/>
        <v>#N/A</v>
      </c>
      <c r="BH14" s="298" t="e">
        <f t="shared" si="36"/>
        <v>#N/A</v>
      </c>
      <c r="BI14" s="298" t="e">
        <f t="shared" si="37"/>
        <v>#N/A</v>
      </c>
      <c r="BJ14" s="297" t="e">
        <f t="shared" si="38"/>
        <v>#N/A</v>
      </c>
      <c r="BK14" s="297" t="e">
        <f t="shared" si="39"/>
        <v>#N/A</v>
      </c>
      <c r="BL14" s="297" t="e">
        <f t="shared" si="40"/>
        <v>#N/A</v>
      </c>
      <c r="BM14" s="297" t="e">
        <f t="shared" si="41"/>
        <v>#N/A</v>
      </c>
    </row>
    <row r="15" spans="1:65" x14ac:dyDescent="0.25">
      <c r="A15" s="30">
        <v>14</v>
      </c>
      <c r="B15" s="30">
        <v>14</v>
      </c>
      <c r="C15" s="58" t="str">
        <f>Roster!$X17</f>
        <v>- -</v>
      </c>
      <c r="D15" s="271" t="e">
        <f t="shared" si="42"/>
        <v>#N/A</v>
      </c>
      <c r="E15" s="245"/>
      <c r="F15" s="271" t="e">
        <f t="shared" si="43"/>
        <v>#N/A</v>
      </c>
      <c r="G15" s="245"/>
      <c r="H15" s="274" t="e">
        <f t="shared" si="44"/>
        <v>#N/A</v>
      </c>
      <c r="I15" s="245"/>
      <c r="J15" s="274" t="e">
        <f t="shared" si="45"/>
        <v>#N/A</v>
      </c>
      <c r="K15" s="62"/>
      <c r="L15" s="63"/>
      <c r="M15" s="194" t="e">
        <f t="shared" si="46"/>
        <v>#N/A</v>
      </c>
      <c r="N15" s="61" t="e">
        <f t="shared" si="0"/>
        <v>#N/A</v>
      </c>
      <c r="O15" s="61" t="e">
        <f t="shared" si="1"/>
        <v>#N/A</v>
      </c>
      <c r="P15" s="61" t="e">
        <f t="shared" si="2"/>
        <v>#N/A</v>
      </c>
      <c r="Q15" s="61" t="e">
        <f t="shared" si="3"/>
        <v>#N/A</v>
      </c>
      <c r="R15" s="61" t="e">
        <f t="shared" si="4"/>
        <v>#N/A</v>
      </c>
      <c r="S15" s="61" t="e">
        <f t="shared" si="5"/>
        <v>#N/A</v>
      </c>
      <c r="T15" s="61" t="e">
        <f t="shared" si="6"/>
        <v>#N/A</v>
      </c>
      <c r="U15" s="61" t="e">
        <f t="shared" si="7"/>
        <v>#N/A</v>
      </c>
      <c r="V15" s="61" t="e">
        <f t="shared" si="47"/>
        <v>#N/A</v>
      </c>
      <c r="X15" s="61" t="e">
        <f t="shared" si="48"/>
        <v>#N/A</v>
      </c>
      <c r="Y15" s="61" t="e">
        <f t="shared" si="49"/>
        <v>#N/A</v>
      </c>
      <c r="Z15" s="61" t="e">
        <f t="shared" si="10"/>
        <v>#N/A</v>
      </c>
      <c r="AA15" s="270" t="e">
        <f t="shared" si="50"/>
        <v>#N/A</v>
      </c>
      <c r="AB15" s="270" t="e">
        <f t="shared" si="51"/>
        <v>#N/A</v>
      </c>
      <c r="AC15" s="61" t="e">
        <f t="shared" si="12"/>
        <v>#N/A</v>
      </c>
      <c r="AD15" s="61" t="e">
        <f t="shared" si="13"/>
        <v>#N/A</v>
      </c>
      <c r="AE15" s="61" t="e">
        <f t="shared" si="14"/>
        <v>#N/A</v>
      </c>
      <c r="AF15" s="61" t="e">
        <f t="shared" si="15"/>
        <v>#N/A</v>
      </c>
      <c r="AG15" s="61" t="e">
        <f t="shared" si="16"/>
        <v>#N/A</v>
      </c>
      <c r="AH15" s="61" t="e">
        <f t="shared" si="17"/>
        <v>#N/A</v>
      </c>
      <c r="AI15" s="61" t="e">
        <f t="shared" si="18"/>
        <v>#N/A</v>
      </c>
      <c r="AJ15" s="61" t="e">
        <f t="shared" si="19"/>
        <v>#N/A</v>
      </c>
      <c r="AK15" s="61" t="e">
        <f t="shared" si="20"/>
        <v>#N/A</v>
      </c>
      <c r="AL15" s="61" t="e">
        <f t="shared" si="21"/>
        <v>#N/A</v>
      </c>
      <c r="AM15" s="61" t="e">
        <f t="shared" si="22"/>
        <v>#N/A</v>
      </c>
      <c r="AN15" s="61" t="e">
        <f t="shared" si="23"/>
        <v>#N/A</v>
      </c>
      <c r="AO15" s="61" t="e">
        <f t="shared" si="52"/>
        <v>#N/A</v>
      </c>
      <c r="AP15" s="61" t="e">
        <f t="shared" si="53"/>
        <v>#N/A</v>
      </c>
      <c r="AQ15" s="247" t="e">
        <f t="shared" si="24"/>
        <v>#N/A</v>
      </c>
      <c r="AR15" s="247" t="e">
        <f t="shared" si="25"/>
        <v>#N/A</v>
      </c>
      <c r="AS15" s="247" t="e">
        <f t="shared" si="26"/>
        <v>#N/A</v>
      </c>
      <c r="AT15" s="196" t="e">
        <f t="shared" si="27"/>
        <v>#N/A</v>
      </c>
      <c r="AU15" s="196" t="e">
        <f>ROUND((VLOOKUP(A15,INPUT_RANGE,85,FALSE)/AS15)*('Team Info'!$H$25),2)</f>
        <v>#N/A</v>
      </c>
      <c r="AV15" s="8"/>
      <c r="AW15" s="197" t="e">
        <f t="shared" si="54"/>
        <v>#N/A</v>
      </c>
      <c r="AX15" s="197" t="e">
        <f t="shared" si="55"/>
        <v>#N/A</v>
      </c>
      <c r="AY15">
        <f t="shared" si="30"/>
        <v>0.44444444444444442</v>
      </c>
      <c r="AZ15" s="257" t="e">
        <f t="shared" si="56"/>
        <v>#N/A</v>
      </c>
      <c r="BA15" t="e">
        <f t="shared" si="57"/>
        <v>#N/A</v>
      </c>
      <c r="BB15" s="298" t="e">
        <f t="shared" si="31"/>
        <v>#N/A</v>
      </c>
      <c r="BC15" s="298" t="e">
        <f t="shared" si="32"/>
        <v>#N/A</v>
      </c>
      <c r="BD15" s="298" t="e">
        <f t="shared" si="33"/>
        <v>#N/A</v>
      </c>
      <c r="BE15" s="308" t="e">
        <f t="shared" si="34"/>
        <v>#N/A</v>
      </c>
      <c r="BF15" s="298" t="e">
        <f t="shared" si="58"/>
        <v>#N/A</v>
      </c>
      <c r="BG15" s="298" t="e">
        <f t="shared" si="35"/>
        <v>#N/A</v>
      </c>
      <c r="BH15" s="298" t="e">
        <f t="shared" si="36"/>
        <v>#N/A</v>
      </c>
      <c r="BI15" s="298" t="e">
        <f t="shared" si="37"/>
        <v>#N/A</v>
      </c>
      <c r="BJ15" s="297" t="e">
        <f t="shared" si="38"/>
        <v>#N/A</v>
      </c>
      <c r="BK15" s="297" t="e">
        <f t="shared" si="39"/>
        <v>#N/A</v>
      </c>
      <c r="BL15" s="297" t="e">
        <f t="shared" si="40"/>
        <v>#N/A</v>
      </c>
      <c r="BM15" s="297" t="e">
        <f t="shared" si="41"/>
        <v>#N/A</v>
      </c>
    </row>
    <row r="16" spans="1:65" x14ac:dyDescent="0.25">
      <c r="A16" s="30">
        <v>15</v>
      </c>
      <c r="B16" s="30">
        <v>15</v>
      </c>
      <c r="C16" s="58" t="str">
        <f>Roster!$X18</f>
        <v>- -</v>
      </c>
      <c r="D16" s="271" t="e">
        <f t="shared" si="42"/>
        <v>#N/A</v>
      </c>
      <c r="E16" s="245"/>
      <c r="F16" s="271" t="e">
        <f t="shared" si="43"/>
        <v>#N/A</v>
      </c>
      <c r="G16" s="245"/>
      <c r="H16" s="274" t="e">
        <f t="shared" si="44"/>
        <v>#N/A</v>
      </c>
      <c r="I16" s="245"/>
      <c r="J16" s="274" t="e">
        <f t="shared" si="45"/>
        <v>#N/A</v>
      </c>
      <c r="K16" s="62"/>
      <c r="L16" s="63"/>
      <c r="M16" s="194" t="e">
        <f t="shared" si="46"/>
        <v>#N/A</v>
      </c>
      <c r="N16" s="61" t="e">
        <f t="shared" si="0"/>
        <v>#N/A</v>
      </c>
      <c r="O16" s="61" t="e">
        <f t="shared" si="1"/>
        <v>#N/A</v>
      </c>
      <c r="P16" s="61" t="e">
        <f t="shared" si="2"/>
        <v>#N/A</v>
      </c>
      <c r="Q16" s="61" t="e">
        <f t="shared" si="3"/>
        <v>#N/A</v>
      </c>
      <c r="R16" s="61" t="e">
        <f t="shared" si="4"/>
        <v>#N/A</v>
      </c>
      <c r="S16" s="61" t="e">
        <f t="shared" si="5"/>
        <v>#N/A</v>
      </c>
      <c r="T16" s="61" t="e">
        <f t="shared" si="6"/>
        <v>#N/A</v>
      </c>
      <c r="U16" s="61" t="e">
        <f t="shared" si="7"/>
        <v>#N/A</v>
      </c>
      <c r="V16" s="61" t="e">
        <f t="shared" si="47"/>
        <v>#N/A</v>
      </c>
      <c r="X16" s="61" t="e">
        <f t="shared" si="48"/>
        <v>#N/A</v>
      </c>
      <c r="Y16" s="61" t="e">
        <f t="shared" si="49"/>
        <v>#N/A</v>
      </c>
      <c r="Z16" s="61" t="e">
        <f t="shared" si="10"/>
        <v>#N/A</v>
      </c>
      <c r="AA16" s="270" t="e">
        <f t="shared" si="50"/>
        <v>#N/A</v>
      </c>
      <c r="AB16" s="270" t="e">
        <f t="shared" si="51"/>
        <v>#N/A</v>
      </c>
      <c r="AC16" s="61" t="e">
        <f t="shared" si="12"/>
        <v>#N/A</v>
      </c>
      <c r="AD16" s="61" t="e">
        <f t="shared" si="13"/>
        <v>#N/A</v>
      </c>
      <c r="AE16" s="61" t="e">
        <f t="shared" si="14"/>
        <v>#N/A</v>
      </c>
      <c r="AF16" s="61" t="e">
        <f t="shared" si="15"/>
        <v>#N/A</v>
      </c>
      <c r="AG16" s="61" t="e">
        <f t="shared" si="16"/>
        <v>#N/A</v>
      </c>
      <c r="AH16" s="61" t="e">
        <f t="shared" si="17"/>
        <v>#N/A</v>
      </c>
      <c r="AI16" s="61" t="e">
        <f t="shared" si="18"/>
        <v>#N/A</v>
      </c>
      <c r="AJ16" s="61" t="e">
        <f t="shared" si="19"/>
        <v>#N/A</v>
      </c>
      <c r="AK16" s="61" t="e">
        <f t="shared" si="20"/>
        <v>#N/A</v>
      </c>
      <c r="AL16" s="61" t="e">
        <f t="shared" si="21"/>
        <v>#N/A</v>
      </c>
      <c r="AM16" s="61" t="e">
        <f t="shared" si="22"/>
        <v>#N/A</v>
      </c>
      <c r="AN16" s="61" t="e">
        <f t="shared" si="23"/>
        <v>#N/A</v>
      </c>
      <c r="AO16" s="61" t="e">
        <f t="shared" si="52"/>
        <v>#N/A</v>
      </c>
      <c r="AP16" s="61" t="e">
        <f t="shared" si="53"/>
        <v>#N/A</v>
      </c>
      <c r="AQ16" s="247" t="e">
        <f t="shared" si="24"/>
        <v>#N/A</v>
      </c>
      <c r="AR16" s="247" t="e">
        <f t="shared" si="25"/>
        <v>#N/A</v>
      </c>
      <c r="AS16" s="247" t="e">
        <f t="shared" si="26"/>
        <v>#N/A</v>
      </c>
      <c r="AT16" s="196" t="e">
        <f t="shared" si="27"/>
        <v>#N/A</v>
      </c>
      <c r="AU16" s="196" t="e">
        <f>ROUND((VLOOKUP(A16,INPUT_RANGE,85,FALSE)/AS16)*('Team Info'!$H$25),2)</f>
        <v>#N/A</v>
      </c>
      <c r="AV16" s="8"/>
      <c r="AW16" s="197" t="e">
        <f t="shared" si="54"/>
        <v>#N/A</v>
      </c>
      <c r="AX16" s="197" t="e">
        <f t="shared" si="55"/>
        <v>#N/A</v>
      </c>
      <c r="AY16">
        <f t="shared" si="30"/>
        <v>0.44444444444444442</v>
      </c>
      <c r="AZ16" s="257" t="e">
        <f t="shared" si="56"/>
        <v>#N/A</v>
      </c>
      <c r="BA16" t="e">
        <f t="shared" si="57"/>
        <v>#N/A</v>
      </c>
      <c r="BB16" s="298" t="e">
        <f t="shared" si="31"/>
        <v>#N/A</v>
      </c>
      <c r="BC16" s="298" t="e">
        <f t="shared" si="32"/>
        <v>#N/A</v>
      </c>
      <c r="BD16" s="298" t="e">
        <f t="shared" si="33"/>
        <v>#N/A</v>
      </c>
      <c r="BE16" s="308" t="e">
        <f t="shared" si="34"/>
        <v>#N/A</v>
      </c>
      <c r="BF16" s="298" t="e">
        <f t="shared" si="58"/>
        <v>#N/A</v>
      </c>
      <c r="BG16" s="298" t="e">
        <f t="shared" si="35"/>
        <v>#N/A</v>
      </c>
      <c r="BH16" s="298" t="e">
        <f t="shared" si="36"/>
        <v>#N/A</v>
      </c>
      <c r="BI16" s="298" t="e">
        <f t="shared" si="37"/>
        <v>#N/A</v>
      </c>
      <c r="BJ16" s="297" t="e">
        <f t="shared" si="38"/>
        <v>#N/A</v>
      </c>
      <c r="BK16" s="297" t="e">
        <f t="shared" si="39"/>
        <v>#N/A</v>
      </c>
      <c r="BL16" s="297" t="e">
        <f t="shared" si="40"/>
        <v>#N/A</v>
      </c>
      <c r="BM16" s="297" t="e">
        <f t="shared" si="41"/>
        <v>#N/A</v>
      </c>
    </row>
    <row r="17" spans="1:65" x14ac:dyDescent="0.25">
      <c r="A17" s="30">
        <v>16</v>
      </c>
      <c r="B17" s="30">
        <v>16</v>
      </c>
      <c r="C17" s="58" t="str">
        <f>Roster!$X19</f>
        <v>- -</v>
      </c>
      <c r="D17" s="271" t="e">
        <f t="shared" si="42"/>
        <v>#N/A</v>
      </c>
      <c r="E17" s="245"/>
      <c r="F17" s="271" t="e">
        <f t="shared" si="43"/>
        <v>#N/A</v>
      </c>
      <c r="G17" s="245"/>
      <c r="H17" s="274" t="e">
        <f t="shared" si="44"/>
        <v>#N/A</v>
      </c>
      <c r="I17" s="245"/>
      <c r="J17" s="274" t="e">
        <f t="shared" si="45"/>
        <v>#N/A</v>
      </c>
      <c r="K17" s="62"/>
      <c r="L17" s="63"/>
      <c r="M17" s="194" t="e">
        <f t="shared" si="46"/>
        <v>#N/A</v>
      </c>
      <c r="N17" s="61" t="e">
        <f t="shared" si="0"/>
        <v>#N/A</v>
      </c>
      <c r="O17" s="61" t="e">
        <f t="shared" si="1"/>
        <v>#N/A</v>
      </c>
      <c r="P17" s="61" t="e">
        <f t="shared" si="2"/>
        <v>#N/A</v>
      </c>
      <c r="Q17" s="61" t="e">
        <f t="shared" si="3"/>
        <v>#N/A</v>
      </c>
      <c r="R17" s="61" t="e">
        <f t="shared" si="4"/>
        <v>#N/A</v>
      </c>
      <c r="S17" s="61" t="e">
        <f t="shared" si="5"/>
        <v>#N/A</v>
      </c>
      <c r="T17" s="61" t="e">
        <f t="shared" si="6"/>
        <v>#N/A</v>
      </c>
      <c r="U17" s="61" t="e">
        <f t="shared" si="7"/>
        <v>#N/A</v>
      </c>
      <c r="V17" s="61" t="e">
        <f t="shared" si="47"/>
        <v>#N/A</v>
      </c>
      <c r="X17" s="61" t="e">
        <f t="shared" si="48"/>
        <v>#N/A</v>
      </c>
      <c r="Y17" s="61" t="e">
        <f t="shared" si="49"/>
        <v>#N/A</v>
      </c>
      <c r="Z17" s="61" t="e">
        <f t="shared" si="10"/>
        <v>#N/A</v>
      </c>
      <c r="AA17" s="270" t="e">
        <f t="shared" si="50"/>
        <v>#N/A</v>
      </c>
      <c r="AB17" s="270" t="e">
        <f t="shared" si="51"/>
        <v>#N/A</v>
      </c>
      <c r="AC17" s="61" t="e">
        <f t="shared" si="12"/>
        <v>#N/A</v>
      </c>
      <c r="AD17" s="61" t="e">
        <f t="shared" si="13"/>
        <v>#N/A</v>
      </c>
      <c r="AE17" s="61" t="e">
        <f t="shared" si="14"/>
        <v>#N/A</v>
      </c>
      <c r="AF17" s="61" t="e">
        <f t="shared" si="15"/>
        <v>#N/A</v>
      </c>
      <c r="AG17" s="61" t="e">
        <f t="shared" si="16"/>
        <v>#N/A</v>
      </c>
      <c r="AH17" s="61" t="e">
        <f t="shared" si="17"/>
        <v>#N/A</v>
      </c>
      <c r="AI17" s="61" t="e">
        <f t="shared" si="18"/>
        <v>#N/A</v>
      </c>
      <c r="AJ17" s="61" t="e">
        <f t="shared" si="19"/>
        <v>#N/A</v>
      </c>
      <c r="AK17" s="61" t="e">
        <f t="shared" si="20"/>
        <v>#N/A</v>
      </c>
      <c r="AL17" s="61" t="e">
        <f t="shared" si="21"/>
        <v>#N/A</v>
      </c>
      <c r="AM17" s="61" t="e">
        <f t="shared" si="22"/>
        <v>#N/A</v>
      </c>
      <c r="AN17" s="61" t="e">
        <f t="shared" si="23"/>
        <v>#N/A</v>
      </c>
      <c r="AO17" s="61" t="e">
        <f t="shared" si="52"/>
        <v>#N/A</v>
      </c>
      <c r="AP17" s="61" t="e">
        <f t="shared" si="53"/>
        <v>#N/A</v>
      </c>
      <c r="AQ17" s="247" t="e">
        <f t="shared" si="24"/>
        <v>#N/A</v>
      </c>
      <c r="AR17" s="247" t="e">
        <f t="shared" si="25"/>
        <v>#N/A</v>
      </c>
      <c r="AS17" s="247" t="e">
        <f t="shared" si="26"/>
        <v>#N/A</v>
      </c>
      <c r="AT17" s="196" t="e">
        <f t="shared" si="27"/>
        <v>#N/A</v>
      </c>
      <c r="AU17" s="196" t="e">
        <f>ROUND((VLOOKUP(A17,INPUT_RANGE,85,FALSE)/AS17)*('Team Info'!$H$25),2)</f>
        <v>#N/A</v>
      </c>
      <c r="AV17" s="8"/>
      <c r="AW17" s="197" t="e">
        <f t="shared" si="54"/>
        <v>#N/A</v>
      </c>
      <c r="AX17" s="197" t="e">
        <f t="shared" si="55"/>
        <v>#N/A</v>
      </c>
      <c r="AY17">
        <f t="shared" si="30"/>
        <v>0.44444444444444442</v>
      </c>
      <c r="AZ17" s="257" t="e">
        <f t="shared" si="56"/>
        <v>#N/A</v>
      </c>
      <c r="BA17" t="e">
        <f t="shared" si="57"/>
        <v>#N/A</v>
      </c>
      <c r="BB17" s="298" t="e">
        <f t="shared" si="31"/>
        <v>#N/A</v>
      </c>
      <c r="BC17" s="298" t="e">
        <f t="shared" si="32"/>
        <v>#N/A</v>
      </c>
      <c r="BD17" s="298" t="e">
        <f t="shared" si="33"/>
        <v>#N/A</v>
      </c>
      <c r="BE17" s="308" t="e">
        <f t="shared" si="34"/>
        <v>#N/A</v>
      </c>
      <c r="BF17" s="298" t="e">
        <f t="shared" si="58"/>
        <v>#N/A</v>
      </c>
      <c r="BG17" s="298" t="e">
        <f t="shared" si="35"/>
        <v>#N/A</v>
      </c>
      <c r="BH17" s="298" t="e">
        <f t="shared" si="36"/>
        <v>#N/A</v>
      </c>
      <c r="BI17" s="298" t="e">
        <f t="shared" si="37"/>
        <v>#N/A</v>
      </c>
      <c r="BJ17" s="297" t="e">
        <f t="shared" si="38"/>
        <v>#N/A</v>
      </c>
      <c r="BK17" s="297" t="e">
        <f t="shared" si="39"/>
        <v>#N/A</v>
      </c>
      <c r="BL17" s="297" t="e">
        <f t="shared" si="40"/>
        <v>#N/A</v>
      </c>
      <c r="BM17" s="297" t="e">
        <f t="shared" si="41"/>
        <v>#N/A</v>
      </c>
    </row>
    <row r="18" spans="1:65" x14ac:dyDescent="0.25">
      <c r="A18" s="30">
        <v>17</v>
      </c>
      <c r="B18" s="30">
        <v>17</v>
      </c>
      <c r="C18" s="58" t="str">
        <f>Roster!$X20</f>
        <v>- -</v>
      </c>
      <c r="D18" s="271" t="e">
        <f t="shared" si="42"/>
        <v>#N/A</v>
      </c>
      <c r="E18" s="245"/>
      <c r="F18" s="271" t="e">
        <f t="shared" si="43"/>
        <v>#N/A</v>
      </c>
      <c r="G18" s="245"/>
      <c r="H18" s="274" t="e">
        <f t="shared" si="44"/>
        <v>#N/A</v>
      </c>
      <c r="I18" s="245"/>
      <c r="J18" s="274" t="e">
        <f t="shared" si="45"/>
        <v>#N/A</v>
      </c>
      <c r="K18" s="62"/>
      <c r="L18" s="63"/>
      <c r="M18" s="194" t="e">
        <f t="shared" si="46"/>
        <v>#N/A</v>
      </c>
      <c r="N18" s="61" t="e">
        <f t="shared" si="0"/>
        <v>#N/A</v>
      </c>
      <c r="O18" s="61" t="e">
        <f t="shared" si="1"/>
        <v>#N/A</v>
      </c>
      <c r="P18" s="61" t="e">
        <f t="shared" si="2"/>
        <v>#N/A</v>
      </c>
      <c r="Q18" s="61" t="e">
        <f t="shared" si="3"/>
        <v>#N/A</v>
      </c>
      <c r="R18" s="61" t="e">
        <f t="shared" si="4"/>
        <v>#N/A</v>
      </c>
      <c r="S18" s="61" t="e">
        <f t="shared" si="5"/>
        <v>#N/A</v>
      </c>
      <c r="T18" s="61" t="e">
        <f t="shared" si="6"/>
        <v>#N/A</v>
      </c>
      <c r="U18" s="61" t="e">
        <f t="shared" si="7"/>
        <v>#N/A</v>
      </c>
      <c r="V18" s="61" t="e">
        <f t="shared" si="47"/>
        <v>#N/A</v>
      </c>
      <c r="X18" s="61" t="e">
        <f t="shared" si="48"/>
        <v>#N/A</v>
      </c>
      <c r="Y18" s="61" t="e">
        <f t="shared" si="49"/>
        <v>#N/A</v>
      </c>
      <c r="Z18" s="61" t="e">
        <f t="shared" si="10"/>
        <v>#N/A</v>
      </c>
      <c r="AA18" s="270" t="e">
        <f t="shared" si="50"/>
        <v>#N/A</v>
      </c>
      <c r="AB18" s="270" t="e">
        <f t="shared" si="51"/>
        <v>#N/A</v>
      </c>
      <c r="AC18" s="61" t="e">
        <f t="shared" si="12"/>
        <v>#N/A</v>
      </c>
      <c r="AD18" s="61" t="e">
        <f t="shared" si="13"/>
        <v>#N/A</v>
      </c>
      <c r="AE18" s="61" t="e">
        <f t="shared" si="14"/>
        <v>#N/A</v>
      </c>
      <c r="AF18" s="61" t="e">
        <f t="shared" si="15"/>
        <v>#N/A</v>
      </c>
      <c r="AG18" s="61" t="e">
        <f t="shared" si="16"/>
        <v>#N/A</v>
      </c>
      <c r="AH18" s="61" t="e">
        <f t="shared" si="17"/>
        <v>#N/A</v>
      </c>
      <c r="AI18" s="61" t="e">
        <f t="shared" si="18"/>
        <v>#N/A</v>
      </c>
      <c r="AJ18" s="61" t="e">
        <f t="shared" si="19"/>
        <v>#N/A</v>
      </c>
      <c r="AK18" s="61" t="e">
        <f t="shared" si="20"/>
        <v>#N/A</v>
      </c>
      <c r="AL18" s="61" t="e">
        <f t="shared" si="21"/>
        <v>#N/A</v>
      </c>
      <c r="AM18" s="61" t="e">
        <f t="shared" si="22"/>
        <v>#N/A</v>
      </c>
      <c r="AN18" s="61" t="e">
        <f t="shared" si="23"/>
        <v>#N/A</v>
      </c>
      <c r="AO18" s="61" t="e">
        <f t="shared" si="52"/>
        <v>#N/A</v>
      </c>
      <c r="AP18" s="61" t="e">
        <f t="shared" si="53"/>
        <v>#N/A</v>
      </c>
      <c r="AQ18" s="247" t="e">
        <f t="shared" si="24"/>
        <v>#N/A</v>
      </c>
      <c r="AR18" s="247" t="e">
        <f t="shared" si="25"/>
        <v>#N/A</v>
      </c>
      <c r="AS18" s="247" t="e">
        <f t="shared" si="26"/>
        <v>#N/A</v>
      </c>
      <c r="AT18" s="196" t="e">
        <f t="shared" si="27"/>
        <v>#N/A</v>
      </c>
      <c r="AU18" s="196" t="e">
        <f>ROUND((VLOOKUP(A18,INPUT_RANGE,85,FALSE)/AS18)*('Team Info'!$H$25),2)</f>
        <v>#N/A</v>
      </c>
      <c r="AV18" s="8"/>
      <c r="AW18" s="197" t="e">
        <f t="shared" si="54"/>
        <v>#N/A</v>
      </c>
      <c r="AX18" s="197" t="e">
        <f t="shared" si="55"/>
        <v>#N/A</v>
      </c>
      <c r="AY18">
        <f t="shared" si="30"/>
        <v>0.44444444444444442</v>
      </c>
      <c r="AZ18" s="257" t="e">
        <f t="shared" si="56"/>
        <v>#N/A</v>
      </c>
      <c r="BA18" t="e">
        <f t="shared" si="57"/>
        <v>#N/A</v>
      </c>
      <c r="BB18" s="298" t="e">
        <f t="shared" si="31"/>
        <v>#N/A</v>
      </c>
      <c r="BC18" s="298" t="e">
        <f t="shared" si="32"/>
        <v>#N/A</v>
      </c>
      <c r="BD18" s="298" t="e">
        <f t="shared" si="33"/>
        <v>#N/A</v>
      </c>
      <c r="BE18" s="308" t="e">
        <f t="shared" si="34"/>
        <v>#N/A</v>
      </c>
      <c r="BF18" s="298" t="e">
        <f t="shared" si="58"/>
        <v>#N/A</v>
      </c>
      <c r="BG18" s="298" t="e">
        <f t="shared" si="35"/>
        <v>#N/A</v>
      </c>
      <c r="BH18" s="298" t="e">
        <f t="shared" si="36"/>
        <v>#N/A</v>
      </c>
      <c r="BI18" s="298" t="e">
        <f t="shared" si="37"/>
        <v>#N/A</v>
      </c>
      <c r="BJ18" s="297" t="e">
        <f t="shared" si="38"/>
        <v>#N/A</v>
      </c>
      <c r="BK18" s="297" t="e">
        <f t="shared" si="39"/>
        <v>#N/A</v>
      </c>
      <c r="BL18" s="297" t="e">
        <f t="shared" si="40"/>
        <v>#N/A</v>
      </c>
      <c r="BM18" s="297" t="e">
        <f t="shared" si="41"/>
        <v>#N/A</v>
      </c>
    </row>
    <row r="19" spans="1:65" x14ac:dyDescent="0.25">
      <c r="A19" s="30">
        <v>18</v>
      </c>
      <c r="B19" s="30">
        <v>18</v>
      </c>
      <c r="C19" s="58" t="str">
        <f>Roster!$X21</f>
        <v>- -</v>
      </c>
      <c r="D19" s="271" t="e">
        <f t="shared" si="42"/>
        <v>#N/A</v>
      </c>
      <c r="E19" s="245"/>
      <c r="F19" s="271" t="e">
        <f t="shared" si="43"/>
        <v>#N/A</v>
      </c>
      <c r="G19" s="245"/>
      <c r="H19" s="274" t="e">
        <f t="shared" si="44"/>
        <v>#N/A</v>
      </c>
      <c r="I19" s="245"/>
      <c r="J19" s="274" t="e">
        <f t="shared" si="45"/>
        <v>#N/A</v>
      </c>
      <c r="K19" s="62"/>
      <c r="L19" s="63"/>
      <c r="M19" s="194" t="e">
        <f t="shared" si="46"/>
        <v>#N/A</v>
      </c>
      <c r="N19" s="61" t="e">
        <f t="shared" si="0"/>
        <v>#N/A</v>
      </c>
      <c r="O19" s="61" t="e">
        <f t="shared" si="1"/>
        <v>#N/A</v>
      </c>
      <c r="P19" s="61" t="e">
        <f t="shared" si="2"/>
        <v>#N/A</v>
      </c>
      <c r="Q19" s="61" t="e">
        <f t="shared" si="3"/>
        <v>#N/A</v>
      </c>
      <c r="R19" s="61" t="e">
        <f t="shared" si="4"/>
        <v>#N/A</v>
      </c>
      <c r="S19" s="61" t="e">
        <f t="shared" si="5"/>
        <v>#N/A</v>
      </c>
      <c r="T19" s="61" t="e">
        <f t="shared" si="6"/>
        <v>#N/A</v>
      </c>
      <c r="U19" s="61" t="e">
        <f t="shared" si="7"/>
        <v>#N/A</v>
      </c>
      <c r="V19" s="61" t="e">
        <f t="shared" si="47"/>
        <v>#N/A</v>
      </c>
      <c r="X19" s="61" t="e">
        <f t="shared" si="48"/>
        <v>#N/A</v>
      </c>
      <c r="Y19" s="61" t="e">
        <f t="shared" si="49"/>
        <v>#N/A</v>
      </c>
      <c r="Z19" s="61" t="e">
        <f t="shared" si="10"/>
        <v>#N/A</v>
      </c>
      <c r="AA19" s="270" t="e">
        <f t="shared" si="50"/>
        <v>#N/A</v>
      </c>
      <c r="AB19" s="270" t="e">
        <f t="shared" si="51"/>
        <v>#N/A</v>
      </c>
      <c r="AC19" s="61" t="e">
        <f t="shared" si="12"/>
        <v>#N/A</v>
      </c>
      <c r="AD19" s="61" t="e">
        <f t="shared" si="13"/>
        <v>#N/A</v>
      </c>
      <c r="AE19" s="61" t="e">
        <f t="shared" si="14"/>
        <v>#N/A</v>
      </c>
      <c r="AF19" s="61" t="e">
        <f t="shared" si="15"/>
        <v>#N/A</v>
      </c>
      <c r="AG19" s="61" t="e">
        <f t="shared" si="16"/>
        <v>#N/A</v>
      </c>
      <c r="AH19" s="61" t="e">
        <f t="shared" si="17"/>
        <v>#N/A</v>
      </c>
      <c r="AI19" s="61" t="e">
        <f t="shared" si="18"/>
        <v>#N/A</v>
      </c>
      <c r="AJ19" s="61" t="e">
        <f t="shared" si="19"/>
        <v>#N/A</v>
      </c>
      <c r="AK19" s="61" t="e">
        <f t="shared" si="20"/>
        <v>#N/A</v>
      </c>
      <c r="AL19" s="61" t="e">
        <f t="shared" si="21"/>
        <v>#N/A</v>
      </c>
      <c r="AM19" s="61" t="e">
        <f t="shared" si="22"/>
        <v>#N/A</v>
      </c>
      <c r="AN19" s="61" t="e">
        <f t="shared" si="23"/>
        <v>#N/A</v>
      </c>
      <c r="AO19" s="61" t="e">
        <f t="shared" si="52"/>
        <v>#N/A</v>
      </c>
      <c r="AP19" s="61" t="e">
        <f t="shared" si="53"/>
        <v>#N/A</v>
      </c>
      <c r="AQ19" s="247" t="e">
        <f t="shared" si="24"/>
        <v>#N/A</v>
      </c>
      <c r="AR19" s="247" t="e">
        <f t="shared" si="25"/>
        <v>#N/A</v>
      </c>
      <c r="AS19" s="247" t="e">
        <f t="shared" si="26"/>
        <v>#N/A</v>
      </c>
      <c r="AT19" s="196" t="e">
        <f t="shared" si="27"/>
        <v>#N/A</v>
      </c>
      <c r="AU19" s="196" t="e">
        <f>ROUND((VLOOKUP(A19,INPUT_RANGE,85,FALSE)/AS19)*('Team Info'!$H$25),2)</f>
        <v>#N/A</v>
      </c>
      <c r="AV19" s="8"/>
      <c r="AW19" s="197" t="e">
        <f t="shared" si="54"/>
        <v>#N/A</v>
      </c>
      <c r="AX19" s="197" t="e">
        <f t="shared" si="55"/>
        <v>#N/A</v>
      </c>
      <c r="AY19">
        <f t="shared" si="30"/>
        <v>0.44444444444444442</v>
      </c>
      <c r="AZ19" s="257" t="e">
        <f t="shared" si="56"/>
        <v>#N/A</v>
      </c>
      <c r="BA19" t="e">
        <f t="shared" si="57"/>
        <v>#N/A</v>
      </c>
      <c r="BB19" s="298" t="e">
        <f t="shared" si="31"/>
        <v>#N/A</v>
      </c>
      <c r="BC19" s="298" t="e">
        <f t="shared" si="32"/>
        <v>#N/A</v>
      </c>
      <c r="BD19" s="298" t="e">
        <f t="shared" si="33"/>
        <v>#N/A</v>
      </c>
      <c r="BE19" s="308" t="e">
        <f t="shared" si="34"/>
        <v>#N/A</v>
      </c>
      <c r="BF19" s="298" t="e">
        <f t="shared" si="58"/>
        <v>#N/A</v>
      </c>
      <c r="BG19" s="298" t="e">
        <f t="shared" si="35"/>
        <v>#N/A</v>
      </c>
      <c r="BH19" s="298" t="e">
        <f t="shared" si="36"/>
        <v>#N/A</v>
      </c>
      <c r="BI19" s="298" t="e">
        <f t="shared" si="37"/>
        <v>#N/A</v>
      </c>
      <c r="BJ19" s="297" t="e">
        <f t="shared" si="38"/>
        <v>#N/A</v>
      </c>
      <c r="BK19" s="297" t="e">
        <f t="shared" si="39"/>
        <v>#N/A</v>
      </c>
      <c r="BL19" s="297" t="e">
        <f t="shared" si="40"/>
        <v>#N/A</v>
      </c>
      <c r="BM19" s="297" t="e">
        <f t="shared" si="41"/>
        <v>#N/A</v>
      </c>
    </row>
    <row r="20" spans="1:65" x14ac:dyDescent="0.25">
      <c r="A20" s="30">
        <v>19</v>
      </c>
      <c r="B20" s="30">
        <v>19</v>
      </c>
      <c r="C20" s="58" t="str">
        <f>Roster!$X22</f>
        <v>- -</v>
      </c>
      <c r="D20" s="271" t="e">
        <f t="shared" si="42"/>
        <v>#N/A</v>
      </c>
      <c r="E20" s="245"/>
      <c r="F20" s="271" t="e">
        <f t="shared" si="43"/>
        <v>#N/A</v>
      </c>
      <c r="G20" s="245"/>
      <c r="H20" s="274" t="e">
        <f t="shared" si="44"/>
        <v>#N/A</v>
      </c>
      <c r="I20" s="245"/>
      <c r="J20" s="274" t="e">
        <f t="shared" si="45"/>
        <v>#N/A</v>
      </c>
      <c r="K20" s="62"/>
      <c r="L20" s="63"/>
      <c r="M20" s="194" t="e">
        <f t="shared" si="46"/>
        <v>#N/A</v>
      </c>
      <c r="N20" s="61" t="e">
        <f t="shared" si="0"/>
        <v>#N/A</v>
      </c>
      <c r="O20" s="61" t="e">
        <f t="shared" si="1"/>
        <v>#N/A</v>
      </c>
      <c r="P20" s="61" t="e">
        <f t="shared" si="2"/>
        <v>#N/A</v>
      </c>
      <c r="Q20" s="61" t="e">
        <f t="shared" si="3"/>
        <v>#N/A</v>
      </c>
      <c r="R20" s="61" t="e">
        <f t="shared" si="4"/>
        <v>#N/A</v>
      </c>
      <c r="S20" s="61" t="e">
        <f t="shared" si="5"/>
        <v>#N/A</v>
      </c>
      <c r="T20" s="61" t="e">
        <f t="shared" si="6"/>
        <v>#N/A</v>
      </c>
      <c r="U20" s="61" t="e">
        <f t="shared" si="7"/>
        <v>#N/A</v>
      </c>
      <c r="V20" s="61" t="e">
        <f t="shared" si="47"/>
        <v>#N/A</v>
      </c>
      <c r="X20" s="61" t="e">
        <f t="shared" si="48"/>
        <v>#N/A</v>
      </c>
      <c r="Y20" s="61" t="e">
        <f t="shared" si="49"/>
        <v>#N/A</v>
      </c>
      <c r="Z20" s="61" t="e">
        <f t="shared" si="10"/>
        <v>#N/A</v>
      </c>
      <c r="AA20" s="270" t="e">
        <f t="shared" si="50"/>
        <v>#N/A</v>
      </c>
      <c r="AB20" s="270" t="e">
        <f t="shared" si="51"/>
        <v>#N/A</v>
      </c>
      <c r="AC20" s="61" t="e">
        <f t="shared" si="12"/>
        <v>#N/A</v>
      </c>
      <c r="AD20" s="61" t="e">
        <f t="shared" si="13"/>
        <v>#N/A</v>
      </c>
      <c r="AE20" s="61" t="e">
        <f t="shared" si="14"/>
        <v>#N/A</v>
      </c>
      <c r="AF20" s="61" t="e">
        <f t="shared" si="15"/>
        <v>#N/A</v>
      </c>
      <c r="AG20" s="61" t="e">
        <f t="shared" si="16"/>
        <v>#N/A</v>
      </c>
      <c r="AH20" s="61" t="e">
        <f t="shared" si="17"/>
        <v>#N/A</v>
      </c>
      <c r="AI20" s="61" t="e">
        <f t="shared" si="18"/>
        <v>#N/A</v>
      </c>
      <c r="AJ20" s="61" t="e">
        <f t="shared" si="19"/>
        <v>#N/A</v>
      </c>
      <c r="AK20" s="61" t="e">
        <f t="shared" si="20"/>
        <v>#N/A</v>
      </c>
      <c r="AL20" s="61" t="e">
        <f t="shared" si="21"/>
        <v>#N/A</v>
      </c>
      <c r="AM20" s="61" t="e">
        <f t="shared" si="22"/>
        <v>#N/A</v>
      </c>
      <c r="AN20" s="61" t="e">
        <f t="shared" si="23"/>
        <v>#N/A</v>
      </c>
      <c r="AO20" s="61" t="e">
        <f t="shared" si="52"/>
        <v>#N/A</v>
      </c>
      <c r="AP20" s="61" t="e">
        <f t="shared" si="53"/>
        <v>#N/A</v>
      </c>
      <c r="AQ20" s="247" t="e">
        <f t="shared" si="24"/>
        <v>#N/A</v>
      </c>
      <c r="AR20" s="247" t="e">
        <f t="shared" si="25"/>
        <v>#N/A</v>
      </c>
      <c r="AS20" s="247" t="e">
        <f t="shared" si="26"/>
        <v>#N/A</v>
      </c>
      <c r="AT20" s="196" t="e">
        <f t="shared" si="27"/>
        <v>#N/A</v>
      </c>
      <c r="AU20" s="196" t="e">
        <f>ROUND((VLOOKUP(A20,INPUT_RANGE,85,FALSE)/AS20)*('Team Info'!$H$25),2)</f>
        <v>#N/A</v>
      </c>
      <c r="AV20" s="8"/>
      <c r="AW20" s="197" t="e">
        <f t="shared" si="54"/>
        <v>#N/A</v>
      </c>
      <c r="AX20" s="197" t="e">
        <f t="shared" si="55"/>
        <v>#N/A</v>
      </c>
      <c r="AY20">
        <f t="shared" si="30"/>
        <v>0.44444444444444442</v>
      </c>
      <c r="AZ20" s="257" t="e">
        <f t="shared" si="56"/>
        <v>#N/A</v>
      </c>
      <c r="BA20" t="e">
        <f t="shared" si="57"/>
        <v>#N/A</v>
      </c>
      <c r="BB20" s="298" t="e">
        <f t="shared" si="31"/>
        <v>#N/A</v>
      </c>
      <c r="BC20" s="298" t="e">
        <f t="shared" si="32"/>
        <v>#N/A</v>
      </c>
      <c r="BD20" s="298" t="e">
        <f t="shared" si="33"/>
        <v>#N/A</v>
      </c>
      <c r="BE20" s="308" t="e">
        <f t="shared" si="34"/>
        <v>#N/A</v>
      </c>
      <c r="BF20" s="298" t="e">
        <f t="shared" si="58"/>
        <v>#N/A</v>
      </c>
      <c r="BG20" s="298" t="e">
        <f t="shared" si="35"/>
        <v>#N/A</v>
      </c>
      <c r="BH20" s="298" t="e">
        <f t="shared" si="36"/>
        <v>#N/A</v>
      </c>
      <c r="BI20" s="298" t="e">
        <f t="shared" si="37"/>
        <v>#N/A</v>
      </c>
      <c r="BJ20" s="297" t="e">
        <f t="shared" si="38"/>
        <v>#N/A</v>
      </c>
      <c r="BK20" s="297" t="e">
        <f t="shared" si="39"/>
        <v>#N/A</v>
      </c>
      <c r="BL20" s="297" t="e">
        <f t="shared" si="40"/>
        <v>#N/A</v>
      </c>
      <c r="BM20" s="297" t="e">
        <f t="shared" si="41"/>
        <v>#N/A</v>
      </c>
    </row>
    <row r="21" spans="1:65" x14ac:dyDescent="0.25">
      <c r="A21" s="30">
        <v>20</v>
      </c>
      <c r="B21" s="30">
        <v>20</v>
      </c>
      <c r="C21" s="58" t="str">
        <f>Roster!$X23</f>
        <v>- -</v>
      </c>
      <c r="D21" s="271" t="e">
        <f t="shared" si="42"/>
        <v>#N/A</v>
      </c>
      <c r="E21" s="245"/>
      <c r="F21" s="271" t="e">
        <f t="shared" si="43"/>
        <v>#N/A</v>
      </c>
      <c r="G21" s="245"/>
      <c r="H21" s="274" t="e">
        <f t="shared" si="44"/>
        <v>#N/A</v>
      </c>
      <c r="I21" s="245"/>
      <c r="J21" s="274" t="e">
        <f t="shared" si="45"/>
        <v>#N/A</v>
      </c>
      <c r="K21" s="62"/>
      <c r="L21" s="63"/>
      <c r="M21" s="194" t="e">
        <f t="shared" si="46"/>
        <v>#N/A</v>
      </c>
      <c r="N21" s="61" t="e">
        <f t="shared" si="0"/>
        <v>#N/A</v>
      </c>
      <c r="O21" s="61" t="e">
        <f t="shared" si="1"/>
        <v>#N/A</v>
      </c>
      <c r="P21" s="61" t="e">
        <f t="shared" si="2"/>
        <v>#N/A</v>
      </c>
      <c r="Q21" s="61" t="e">
        <f t="shared" si="3"/>
        <v>#N/A</v>
      </c>
      <c r="R21" s="61" t="e">
        <f t="shared" si="4"/>
        <v>#N/A</v>
      </c>
      <c r="S21" s="61" t="e">
        <f t="shared" si="5"/>
        <v>#N/A</v>
      </c>
      <c r="T21" s="61" t="e">
        <f t="shared" si="6"/>
        <v>#N/A</v>
      </c>
      <c r="U21" s="61" t="e">
        <f t="shared" si="7"/>
        <v>#N/A</v>
      </c>
      <c r="V21" s="61" t="e">
        <f t="shared" si="47"/>
        <v>#N/A</v>
      </c>
      <c r="X21" s="61" t="e">
        <f t="shared" si="48"/>
        <v>#N/A</v>
      </c>
      <c r="Y21" s="61" t="e">
        <f t="shared" si="49"/>
        <v>#N/A</v>
      </c>
      <c r="Z21" s="61" t="e">
        <f t="shared" si="10"/>
        <v>#N/A</v>
      </c>
      <c r="AA21" s="270" t="e">
        <f t="shared" si="50"/>
        <v>#N/A</v>
      </c>
      <c r="AB21" s="270" t="e">
        <f t="shared" si="51"/>
        <v>#N/A</v>
      </c>
      <c r="AC21" s="61" t="e">
        <f t="shared" si="12"/>
        <v>#N/A</v>
      </c>
      <c r="AD21" s="61" t="e">
        <f t="shared" si="13"/>
        <v>#N/A</v>
      </c>
      <c r="AE21" s="61" t="e">
        <f t="shared" si="14"/>
        <v>#N/A</v>
      </c>
      <c r="AF21" s="61" t="e">
        <f t="shared" si="15"/>
        <v>#N/A</v>
      </c>
      <c r="AG21" s="61" t="e">
        <f t="shared" si="16"/>
        <v>#N/A</v>
      </c>
      <c r="AH21" s="61" t="e">
        <f t="shared" si="17"/>
        <v>#N/A</v>
      </c>
      <c r="AI21" s="61" t="e">
        <f t="shared" si="18"/>
        <v>#N/A</v>
      </c>
      <c r="AJ21" s="61" t="e">
        <f t="shared" si="19"/>
        <v>#N/A</v>
      </c>
      <c r="AK21" s="61" t="e">
        <f t="shared" si="20"/>
        <v>#N/A</v>
      </c>
      <c r="AL21" s="61" t="e">
        <f t="shared" si="21"/>
        <v>#N/A</v>
      </c>
      <c r="AM21" s="61" t="e">
        <f t="shared" si="22"/>
        <v>#N/A</v>
      </c>
      <c r="AN21" s="61" t="e">
        <f t="shared" si="23"/>
        <v>#N/A</v>
      </c>
      <c r="AO21" s="61" t="e">
        <f t="shared" si="52"/>
        <v>#N/A</v>
      </c>
      <c r="AP21" s="61" t="e">
        <f t="shared" si="53"/>
        <v>#N/A</v>
      </c>
      <c r="AQ21" s="247" t="e">
        <f t="shared" si="24"/>
        <v>#N/A</v>
      </c>
      <c r="AR21" s="247" t="e">
        <f t="shared" si="25"/>
        <v>#N/A</v>
      </c>
      <c r="AS21" s="247" t="e">
        <f t="shared" si="26"/>
        <v>#N/A</v>
      </c>
      <c r="AT21" s="196" t="e">
        <f t="shared" si="27"/>
        <v>#N/A</v>
      </c>
      <c r="AU21" s="196" t="e">
        <f>ROUND((VLOOKUP(A21,INPUT_RANGE,85,FALSE)/AS21)*('Team Info'!$H$25),2)</f>
        <v>#N/A</v>
      </c>
      <c r="AV21" s="8"/>
      <c r="AW21" s="197" t="e">
        <f t="shared" si="54"/>
        <v>#N/A</v>
      </c>
      <c r="AX21" s="197" t="e">
        <f t="shared" si="55"/>
        <v>#N/A</v>
      </c>
      <c r="AY21">
        <f t="shared" si="30"/>
        <v>0.44444444444444442</v>
      </c>
      <c r="AZ21" s="257" t="e">
        <f t="shared" si="56"/>
        <v>#N/A</v>
      </c>
      <c r="BA21" t="e">
        <f t="shared" si="57"/>
        <v>#N/A</v>
      </c>
      <c r="BB21" s="298" t="e">
        <f t="shared" si="31"/>
        <v>#N/A</v>
      </c>
      <c r="BC21" s="298" t="e">
        <f t="shared" si="32"/>
        <v>#N/A</v>
      </c>
      <c r="BD21" s="298" t="e">
        <f t="shared" si="33"/>
        <v>#N/A</v>
      </c>
      <c r="BE21" s="308" t="e">
        <f t="shared" si="34"/>
        <v>#N/A</v>
      </c>
      <c r="BF21" s="298" t="e">
        <f t="shared" si="58"/>
        <v>#N/A</v>
      </c>
      <c r="BG21" s="298" t="e">
        <f t="shared" si="35"/>
        <v>#N/A</v>
      </c>
      <c r="BH21" s="298" t="e">
        <f t="shared" si="36"/>
        <v>#N/A</v>
      </c>
      <c r="BI21" s="298" t="e">
        <f t="shared" si="37"/>
        <v>#N/A</v>
      </c>
      <c r="BJ21" s="297" t="e">
        <f t="shared" si="38"/>
        <v>#N/A</v>
      </c>
      <c r="BK21" s="297" t="e">
        <f t="shared" si="39"/>
        <v>#N/A</v>
      </c>
      <c r="BL21" s="297" t="e">
        <f t="shared" si="40"/>
        <v>#N/A</v>
      </c>
      <c r="BM21" s="297" t="e">
        <f t="shared" si="41"/>
        <v>#N/A</v>
      </c>
    </row>
    <row r="22" spans="1:65" x14ac:dyDescent="0.25">
      <c r="A22" s="30">
        <v>21</v>
      </c>
      <c r="B22" s="30">
        <v>21</v>
      </c>
      <c r="C22" s="58" t="str">
        <f>Roster!$X24</f>
        <v>- -</v>
      </c>
      <c r="D22" s="271" t="e">
        <f t="shared" si="42"/>
        <v>#N/A</v>
      </c>
      <c r="E22" s="245"/>
      <c r="F22" s="271" t="e">
        <f t="shared" si="43"/>
        <v>#N/A</v>
      </c>
      <c r="G22" s="245"/>
      <c r="H22" s="274" t="e">
        <f t="shared" si="44"/>
        <v>#N/A</v>
      </c>
      <c r="I22" s="245"/>
      <c r="J22" s="274" t="e">
        <f t="shared" si="45"/>
        <v>#N/A</v>
      </c>
      <c r="K22" s="62"/>
      <c r="L22" s="63"/>
      <c r="M22" s="194" t="e">
        <f t="shared" si="46"/>
        <v>#N/A</v>
      </c>
      <c r="N22" s="61" t="e">
        <f t="shared" si="0"/>
        <v>#N/A</v>
      </c>
      <c r="O22" s="61" t="e">
        <f t="shared" si="1"/>
        <v>#N/A</v>
      </c>
      <c r="P22" s="61" t="e">
        <f t="shared" si="2"/>
        <v>#N/A</v>
      </c>
      <c r="Q22" s="61" t="e">
        <f t="shared" si="3"/>
        <v>#N/A</v>
      </c>
      <c r="R22" s="61" t="e">
        <f t="shared" si="4"/>
        <v>#N/A</v>
      </c>
      <c r="S22" s="61" t="e">
        <f t="shared" si="5"/>
        <v>#N/A</v>
      </c>
      <c r="T22" s="61" t="e">
        <f t="shared" si="6"/>
        <v>#N/A</v>
      </c>
      <c r="U22" s="61" t="e">
        <f t="shared" si="7"/>
        <v>#N/A</v>
      </c>
      <c r="V22" s="61" t="e">
        <f t="shared" si="47"/>
        <v>#N/A</v>
      </c>
      <c r="X22" s="61" t="e">
        <f t="shared" si="48"/>
        <v>#N/A</v>
      </c>
      <c r="Y22" s="61" t="e">
        <f t="shared" si="49"/>
        <v>#N/A</v>
      </c>
      <c r="Z22" s="61" t="e">
        <f t="shared" si="10"/>
        <v>#N/A</v>
      </c>
      <c r="AA22" s="270" t="e">
        <f t="shared" si="50"/>
        <v>#N/A</v>
      </c>
      <c r="AB22" s="270" t="e">
        <f t="shared" si="51"/>
        <v>#N/A</v>
      </c>
      <c r="AC22" s="61" t="e">
        <f t="shared" si="12"/>
        <v>#N/A</v>
      </c>
      <c r="AD22" s="61" t="e">
        <f t="shared" si="13"/>
        <v>#N/A</v>
      </c>
      <c r="AE22" s="61" t="e">
        <f t="shared" si="14"/>
        <v>#N/A</v>
      </c>
      <c r="AF22" s="61" t="e">
        <f t="shared" si="15"/>
        <v>#N/A</v>
      </c>
      <c r="AG22" s="61" t="e">
        <f t="shared" si="16"/>
        <v>#N/A</v>
      </c>
      <c r="AH22" s="61" t="e">
        <f t="shared" si="17"/>
        <v>#N/A</v>
      </c>
      <c r="AI22" s="61" t="e">
        <f t="shared" si="18"/>
        <v>#N/A</v>
      </c>
      <c r="AJ22" s="61" t="e">
        <f t="shared" si="19"/>
        <v>#N/A</v>
      </c>
      <c r="AK22" s="61" t="e">
        <f t="shared" si="20"/>
        <v>#N/A</v>
      </c>
      <c r="AL22" s="61" t="e">
        <f t="shared" si="21"/>
        <v>#N/A</v>
      </c>
      <c r="AM22" s="61" t="e">
        <f t="shared" si="22"/>
        <v>#N/A</v>
      </c>
      <c r="AN22" s="61" t="e">
        <f t="shared" si="23"/>
        <v>#N/A</v>
      </c>
      <c r="AO22" s="61" t="e">
        <f t="shared" si="52"/>
        <v>#N/A</v>
      </c>
      <c r="AP22" s="61" t="e">
        <f t="shared" si="53"/>
        <v>#N/A</v>
      </c>
      <c r="AQ22" s="247" t="e">
        <f t="shared" si="24"/>
        <v>#N/A</v>
      </c>
      <c r="AR22" s="247" t="e">
        <f t="shared" si="25"/>
        <v>#N/A</v>
      </c>
      <c r="AS22" s="247" t="e">
        <f t="shared" si="26"/>
        <v>#N/A</v>
      </c>
      <c r="AT22" s="196" t="e">
        <f t="shared" si="27"/>
        <v>#N/A</v>
      </c>
      <c r="AU22" s="196" t="e">
        <f>ROUND((VLOOKUP(A22,INPUT_RANGE,85,FALSE)/AS22)*('Team Info'!$H$25),2)</f>
        <v>#N/A</v>
      </c>
      <c r="AV22" s="8"/>
      <c r="AW22" s="197" t="e">
        <f t="shared" si="54"/>
        <v>#N/A</v>
      </c>
      <c r="AX22" s="197" t="e">
        <f t="shared" si="55"/>
        <v>#N/A</v>
      </c>
      <c r="AY22">
        <f t="shared" si="30"/>
        <v>0.44444444444444442</v>
      </c>
      <c r="AZ22" s="257" t="e">
        <f t="shared" si="56"/>
        <v>#N/A</v>
      </c>
      <c r="BA22" t="e">
        <f t="shared" si="57"/>
        <v>#N/A</v>
      </c>
      <c r="BB22" s="298" t="e">
        <f t="shared" si="31"/>
        <v>#N/A</v>
      </c>
      <c r="BC22" s="298" t="e">
        <f t="shared" si="32"/>
        <v>#N/A</v>
      </c>
      <c r="BD22" s="298" t="e">
        <f t="shared" si="33"/>
        <v>#N/A</v>
      </c>
      <c r="BE22" s="308" t="e">
        <f t="shared" si="34"/>
        <v>#N/A</v>
      </c>
      <c r="BF22" s="298" t="e">
        <f t="shared" si="58"/>
        <v>#N/A</v>
      </c>
      <c r="BG22" s="298" t="e">
        <f t="shared" si="35"/>
        <v>#N/A</v>
      </c>
      <c r="BH22" s="298" t="e">
        <f t="shared" si="36"/>
        <v>#N/A</v>
      </c>
      <c r="BI22" s="298" t="e">
        <f t="shared" si="37"/>
        <v>#N/A</v>
      </c>
      <c r="BJ22" s="297" t="e">
        <f t="shared" si="38"/>
        <v>#N/A</v>
      </c>
      <c r="BK22" s="297" t="e">
        <f t="shared" si="39"/>
        <v>#N/A</v>
      </c>
      <c r="BL22" s="297" t="e">
        <f t="shared" si="40"/>
        <v>#N/A</v>
      </c>
      <c r="BM22" s="297" t="e">
        <f t="shared" si="41"/>
        <v>#N/A</v>
      </c>
    </row>
    <row r="23" spans="1:65" x14ac:dyDescent="0.25">
      <c r="A23" s="30">
        <v>22</v>
      </c>
      <c r="B23" s="30">
        <v>22</v>
      </c>
      <c r="C23" s="58" t="str">
        <f>Roster!$X25</f>
        <v>- -</v>
      </c>
      <c r="D23" s="271" t="e">
        <f t="shared" si="42"/>
        <v>#N/A</v>
      </c>
      <c r="E23" s="245"/>
      <c r="F23" s="271" t="e">
        <f t="shared" si="43"/>
        <v>#N/A</v>
      </c>
      <c r="G23" s="245"/>
      <c r="H23" s="274" t="e">
        <f t="shared" si="44"/>
        <v>#N/A</v>
      </c>
      <c r="I23" s="245"/>
      <c r="J23" s="274" t="e">
        <f t="shared" si="45"/>
        <v>#N/A</v>
      </c>
      <c r="K23" s="62"/>
      <c r="L23" s="63"/>
      <c r="M23" s="194" t="e">
        <f t="shared" si="46"/>
        <v>#N/A</v>
      </c>
      <c r="N23" s="61" t="e">
        <f t="shared" si="0"/>
        <v>#N/A</v>
      </c>
      <c r="O23" s="61" t="e">
        <f t="shared" si="1"/>
        <v>#N/A</v>
      </c>
      <c r="P23" s="61" t="e">
        <f t="shared" si="2"/>
        <v>#N/A</v>
      </c>
      <c r="Q23" s="61" t="e">
        <f t="shared" si="3"/>
        <v>#N/A</v>
      </c>
      <c r="R23" s="61" t="e">
        <f t="shared" si="4"/>
        <v>#N/A</v>
      </c>
      <c r="S23" s="61" t="e">
        <f t="shared" si="5"/>
        <v>#N/A</v>
      </c>
      <c r="T23" s="61" t="e">
        <f t="shared" si="6"/>
        <v>#N/A</v>
      </c>
      <c r="U23" s="61" t="e">
        <f t="shared" si="7"/>
        <v>#N/A</v>
      </c>
      <c r="V23" s="61" t="e">
        <f t="shared" si="47"/>
        <v>#N/A</v>
      </c>
      <c r="X23" s="61" t="e">
        <f t="shared" si="48"/>
        <v>#N/A</v>
      </c>
      <c r="Y23" s="61" t="e">
        <f t="shared" si="49"/>
        <v>#N/A</v>
      </c>
      <c r="Z23" s="61" t="e">
        <f t="shared" si="10"/>
        <v>#N/A</v>
      </c>
      <c r="AA23" s="270" t="e">
        <f t="shared" si="50"/>
        <v>#N/A</v>
      </c>
      <c r="AB23" s="270" t="e">
        <f t="shared" si="51"/>
        <v>#N/A</v>
      </c>
      <c r="AC23" s="61" t="e">
        <f t="shared" si="12"/>
        <v>#N/A</v>
      </c>
      <c r="AD23" s="61" t="e">
        <f t="shared" si="13"/>
        <v>#N/A</v>
      </c>
      <c r="AE23" s="61" t="e">
        <f t="shared" si="14"/>
        <v>#N/A</v>
      </c>
      <c r="AF23" s="61" t="e">
        <f t="shared" si="15"/>
        <v>#N/A</v>
      </c>
      <c r="AG23" s="61" t="e">
        <f t="shared" si="16"/>
        <v>#N/A</v>
      </c>
      <c r="AH23" s="61" t="e">
        <f t="shared" si="17"/>
        <v>#N/A</v>
      </c>
      <c r="AI23" s="61" t="e">
        <f t="shared" si="18"/>
        <v>#N/A</v>
      </c>
      <c r="AJ23" s="61" t="e">
        <f t="shared" si="19"/>
        <v>#N/A</v>
      </c>
      <c r="AK23" s="61" t="e">
        <f t="shared" si="20"/>
        <v>#N/A</v>
      </c>
      <c r="AL23" s="61" t="e">
        <f t="shared" si="21"/>
        <v>#N/A</v>
      </c>
      <c r="AM23" s="61" t="e">
        <f t="shared" si="22"/>
        <v>#N/A</v>
      </c>
      <c r="AN23" s="61" t="e">
        <f t="shared" si="23"/>
        <v>#N/A</v>
      </c>
      <c r="AO23" s="61" t="e">
        <f t="shared" si="52"/>
        <v>#N/A</v>
      </c>
      <c r="AP23" s="61" t="e">
        <f t="shared" si="53"/>
        <v>#N/A</v>
      </c>
      <c r="AQ23" s="247" t="e">
        <f t="shared" si="24"/>
        <v>#N/A</v>
      </c>
      <c r="AR23" s="247" t="e">
        <f t="shared" si="25"/>
        <v>#N/A</v>
      </c>
      <c r="AS23" s="247" t="e">
        <f t="shared" si="26"/>
        <v>#N/A</v>
      </c>
      <c r="AT23" s="196" t="e">
        <f t="shared" si="27"/>
        <v>#N/A</v>
      </c>
      <c r="AU23" s="196" t="e">
        <f>ROUND((VLOOKUP(A23,INPUT_RANGE,85,FALSE)/AS23)*('Team Info'!$H$25),2)</f>
        <v>#N/A</v>
      </c>
      <c r="AV23" s="8"/>
      <c r="AW23" s="197" t="e">
        <f t="shared" si="54"/>
        <v>#N/A</v>
      </c>
      <c r="AX23" s="197" t="e">
        <f t="shared" si="55"/>
        <v>#N/A</v>
      </c>
      <c r="AY23">
        <f t="shared" si="30"/>
        <v>0.44444444444444442</v>
      </c>
      <c r="AZ23" s="257" t="e">
        <f t="shared" si="56"/>
        <v>#N/A</v>
      </c>
      <c r="BA23" t="e">
        <f t="shared" si="57"/>
        <v>#N/A</v>
      </c>
      <c r="BB23" s="298" t="e">
        <f t="shared" si="31"/>
        <v>#N/A</v>
      </c>
      <c r="BC23" s="298" t="e">
        <f t="shared" si="32"/>
        <v>#N/A</v>
      </c>
      <c r="BD23" s="298" t="e">
        <f t="shared" si="33"/>
        <v>#N/A</v>
      </c>
      <c r="BE23" s="308" t="e">
        <f t="shared" si="34"/>
        <v>#N/A</v>
      </c>
      <c r="BF23" s="298" t="e">
        <f t="shared" si="58"/>
        <v>#N/A</v>
      </c>
      <c r="BG23" s="298" t="e">
        <f t="shared" si="35"/>
        <v>#N/A</v>
      </c>
      <c r="BH23" s="298" t="e">
        <f t="shared" si="36"/>
        <v>#N/A</v>
      </c>
      <c r="BI23" s="298" t="e">
        <f t="shared" si="37"/>
        <v>#N/A</v>
      </c>
      <c r="BJ23" s="297" t="e">
        <f t="shared" si="38"/>
        <v>#N/A</v>
      </c>
      <c r="BK23" s="297" t="e">
        <f t="shared" si="39"/>
        <v>#N/A</v>
      </c>
      <c r="BL23" s="297" t="e">
        <f t="shared" si="40"/>
        <v>#N/A</v>
      </c>
      <c r="BM23" s="297" t="e">
        <f t="shared" si="41"/>
        <v>#N/A</v>
      </c>
    </row>
    <row r="24" spans="1:65" x14ac:dyDescent="0.25">
      <c r="A24" s="30">
        <v>23</v>
      </c>
      <c r="B24" s="30">
        <v>23</v>
      </c>
      <c r="C24" s="58" t="str">
        <f>Roster!$X26</f>
        <v>- -</v>
      </c>
      <c r="D24" s="271" t="e">
        <f t="shared" si="42"/>
        <v>#N/A</v>
      </c>
      <c r="E24" s="245"/>
      <c r="F24" s="271" t="e">
        <f t="shared" si="43"/>
        <v>#N/A</v>
      </c>
      <c r="G24" s="245"/>
      <c r="H24" s="274" t="e">
        <f t="shared" si="44"/>
        <v>#N/A</v>
      </c>
      <c r="I24" s="245"/>
      <c r="J24" s="274" t="e">
        <f t="shared" si="45"/>
        <v>#N/A</v>
      </c>
      <c r="K24" s="62"/>
      <c r="L24" s="63"/>
      <c r="M24" s="194" t="e">
        <f t="shared" si="46"/>
        <v>#N/A</v>
      </c>
      <c r="N24" s="61" t="e">
        <f t="shared" si="0"/>
        <v>#N/A</v>
      </c>
      <c r="O24" s="61" t="e">
        <f t="shared" si="1"/>
        <v>#N/A</v>
      </c>
      <c r="P24" s="61" t="e">
        <f t="shared" si="2"/>
        <v>#N/A</v>
      </c>
      <c r="Q24" s="61" t="e">
        <f t="shared" si="3"/>
        <v>#N/A</v>
      </c>
      <c r="R24" s="61" t="e">
        <f t="shared" si="4"/>
        <v>#N/A</v>
      </c>
      <c r="S24" s="61" t="e">
        <f t="shared" si="5"/>
        <v>#N/A</v>
      </c>
      <c r="T24" s="61" t="e">
        <f t="shared" si="6"/>
        <v>#N/A</v>
      </c>
      <c r="U24" s="61" t="e">
        <f t="shared" si="7"/>
        <v>#N/A</v>
      </c>
      <c r="V24" s="61" t="e">
        <f t="shared" si="47"/>
        <v>#N/A</v>
      </c>
      <c r="X24" s="61" t="e">
        <f t="shared" si="48"/>
        <v>#N/A</v>
      </c>
      <c r="Y24" s="61" t="e">
        <f t="shared" si="49"/>
        <v>#N/A</v>
      </c>
      <c r="Z24" s="61" t="e">
        <f t="shared" si="10"/>
        <v>#N/A</v>
      </c>
      <c r="AA24" s="270" t="e">
        <f t="shared" si="50"/>
        <v>#N/A</v>
      </c>
      <c r="AB24" s="270" t="e">
        <f t="shared" si="51"/>
        <v>#N/A</v>
      </c>
      <c r="AC24" s="61" t="e">
        <f t="shared" si="12"/>
        <v>#N/A</v>
      </c>
      <c r="AD24" s="61" t="e">
        <f t="shared" si="13"/>
        <v>#N/A</v>
      </c>
      <c r="AE24" s="61" t="e">
        <f t="shared" si="14"/>
        <v>#N/A</v>
      </c>
      <c r="AF24" s="61" t="e">
        <f t="shared" si="15"/>
        <v>#N/A</v>
      </c>
      <c r="AG24" s="61" t="e">
        <f t="shared" si="16"/>
        <v>#N/A</v>
      </c>
      <c r="AH24" s="61" t="e">
        <f t="shared" si="17"/>
        <v>#N/A</v>
      </c>
      <c r="AI24" s="61" t="e">
        <f t="shared" si="18"/>
        <v>#N/A</v>
      </c>
      <c r="AJ24" s="61" t="e">
        <f t="shared" si="19"/>
        <v>#N/A</v>
      </c>
      <c r="AK24" s="61" t="e">
        <f t="shared" si="20"/>
        <v>#N/A</v>
      </c>
      <c r="AL24" s="61" t="e">
        <f t="shared" si="21"/>
        <v>#N/A</v>
      </c>
      <c r="AM24" s="61" t="e">
        <f t="shared" si="22"/>
        <v>#N/A</v>
      </c>
      <c r="AN24" s="61" t="e">
        <f t="shared" si="23"/>
        <v>#N/A</v>
      </c>
      <c r="AO24" s="61" t="e">
        <f t="shared" si="52"/>
        <v>#N/A</v>
      </c>
      <c r="AP24" s="61" t="e">
        <f t="shared" si="53"/>
        <v>#N/A</v>
      </c>
      <c r="AQ24" s="247" t="e">
        <f t="shared" si="24"/>
        <v>#N/A</v>
      </c>
      <c r="AR24" s="247" t="e">
        <f t="shared" si="25"/>
        <v>#N/A</v>
      </c>
      <c r="AS24" s="247" t="e">
        <f t="shared" si="26"/>
        <v>#N/A</v>
      </c>
      <c r="AT24" s="196" t="e">
        <f t="shared" si="27"/>
        <v>#N/A</v>
      </c>
      <c r="AU24" s="196" t="e">
        <f>ROUND((VLOOKUP(A24,INPUT_RANGE,85,FALSE)/AS24)*('Team Info'!$H$25),2)</f>
        <v>#N/A</v>
      </c>
      <c r="AV24" s="8"/>
      <c r="AW24" s="197" t="e">
        <f t="shared" si="54"/>
        <v>#N/A</v>
      </c>
      <c r="AX24" s="197" t="e">
        <f t="shared" si="55"/>
        <v>#N/A</v>
      </c>
      <c r="AY24">
        <f t="shared" si="30"/>
        <v>0.44444444444444442</v>
      </c>
      <c r="AZ24" s="257" t="e">
        <f t="shared" si="56"/>
        <v>#N/A</v>
      </c>
      <c r="BA24" t="e">
        <f t="shared" si="57"/>
        <v>#N/A</v>
      </c>
      <c r="BB24" s="298" t="e">
        <f t="shared" si="31"/>
        <v>#N/A</v>
      </c>
      <c r="BC24" s="298" t="e">
        <f t="shared" si="32"/>
        <v>#N/A</v>
      </c>
      <c r="BD24" s="298" t="e">
        <f t="shared" si="33"/>
        <v>#N/A</v>
      </c>
      <c r="BE24" s="308" t="e">
        <f t="shared" si="34"/>
        <v>#N/A</v>
      </c>
      <c r="BF24" s="298" t="e">
        <f t="shared" si="58"/>
        <v>#N/A</v>
      </c>
      <c r="BG24" s="298" t="e">
        <f t="shared" si="35"/>
        <v>#N/A</v>
      </c>
      <c r="BH24" s="298" t="e">
        <f t="shared" si="36"/>
        <v>#N/A</v>
      </c>
      <c r="BI24" s="298" t="e">
        <f t="shared" si="37"/>
        <v>#N/A</v>
      </c>
      <c r="BJ24" s="297" t="e">
        <f t="shared" si="38"/>
        <v>#N/A</v>
      </c>
      <c r="BK24" s="297" t="e">
        <f t="shared" si="39"/>
        <v>#N/A</v>
      </c>
      <c r="BL24" s="297" t="e">
        <f t="shared" si="40"/>
        <v>#N/A</v>
      </c>
      <c r="BM24" s="297" t="e">
        <f t="shared" si="41"/>
        <v>#N/A</v>
      </c>
    </row>
    <row r="25" spans="1:65" x14ac:dyDescent="0.25">
      <c r="A25" s="30">
        <v>24</v>
      </c>
      <c r="B25" s="30">
        <v>24</v>
      </c>
      <c r="C25" s="58" t="str">
        <f>Roster!$X27</f>
        <v>- -</v>
      </c>
      <c r="D25" s="271" t="e">
        <f t="shared" si="42"/>
        <v>#N/A</v>
      </c>
      <c r="E25" s="245"/>
      <c r="F25" s="271" t="e">
        <f t="shared" si="43"/>
        <v>#N/A</v>
      </c>
      <c r="G25" s="245"/>
      <c r="H25" s="274" t="e">
        <f t="shared" si="44"/>
        <v>#N/A</v>
      </c>
      <c r="I25" s="245"/>
      <c r="J25" s="274" t="e">
        <f t="shared" si="45"/>
        <v>#N/A</v>
      </c>
      <c r="K25" s="62"/>
      <c r="L25" s="63"/>
      <c r="M25" s="194" t="e">
        <f t="shared" si="46"/>
        <v>#N/A</v>
      </c>
      <c r="N25" s="61" t="e">
        <f t="shared" si="0"/>
        <v>#N/A</v>
      </c>
      <c r="O25" s="61" t="e">
        <f t="shared" si="1"/>
        <v>#N/A</v>
      </c>
      <c r="P25" s="61" t="e">
        <f t="shared" si="2"/>
        <v>#N/A</v>
      </c>
      <c r="Q25" s="61" t="e">
        <f t="shared" si="3"/>
        <v>#N/A</v>
      </c>
      <c r="R25" s="61" t="e">
        <f t="shared" si="4"/>
        <v>#N/A</v>
      </c>
      <c r="S25" s="61" t="e">
        <f t="shared" si="5"/>
        <v>#N/A</v>
      </c>
      <c r="T25" s="61" t="e">
        <f t="shared" si="6"/>
        <v>#N/A</v>
      </c>
      <c r="U25" s="61" t="e">
        <f t="shared" si="7"/>
        <v>#N/A</v>
      </c>
      <c r="V25" s="61" t="e">
        <f t="shared" si="47"/>
        <v>#N/A</v>
      </c>
      <c r="X25" s="61" t="e">
        <f t="shared" si="48"/>
        <v>#N/A</v>
      </c>
      <c r="Y25" s="61" t="e">
        <f t="shared" si="49"/>
        <v>#N/A</v>
      </c>
      <c r="Z25" s="61" t="e">
        <f t="shared" si="10"/>
        <v>#N/A</v>
      </c>
      <c r="AA25" s="270" t="e">
        <f t="shared" si="50"/>
        <v>#N/A</v>
      </c>
      <c r="AB25" s="270" t="e">
        <f t="shared" si="51"/>
        <v>#N/A</v>
      </c>
      <c r="AC25" s="61" t="e">
        <f t="shared" si="12"/>
        <v>#N/A</v>
      </c>
      <c r="AD25" s="61" t="e">
        <f t="shared" si="13"/>
        <v>#N/A</v>
      </c>
      <c r="AE25" s="61" t="e">
        <f t="shared" si="14"/>
        <v>#N/A</v>
      </c>
      <c r="AF25" s="61" t="e">
        <f t="shared" si="15"/>
        <v>#N/A</v>
      </c>
      <c r="AG25" s="61" t="e">
        <f t="shared" si="16"/>
        <v>#N/A</v>
      </c>
      <c r="AH25" s="61" t="e">
        <f t="shared" si="17"/>
        <v>#N/A</v>
      </c>
      <c r="AI25" s="61" t="e">
        <f t="shared" si="18"/>
        <v>#N/A</v>
      </c>
      <c r="AJ25" s="61" t="e">
        <f t="shared" si="19"/>
        <v>#N/A</v>
      </c>
      <c r="AK25" s="61" t="e">
        <f t="shared" si="20"/>
        <v>#N/A</v>
      </c>
      <c r="AL25" s="61" t="e">
        <f t="shared" si="21"/>
        <v>#N/A</v>
      </c>
      <c r="AM25" s="61" t="e">
        <f t="shared" si="22"/>
        <v>#N/A</v>
      </c>
      <c r="AN25" s="61" t="e">
        <f t="shared" si="23"/>
        <v>#N/A</v>
      </c>
      <c r="AO25" s="61" t="e">
        <f t="shared" si="52"/>
        <v>#N/A</v>
      </c>
      <c r="AP25" s="61" t="e">
        <f t="shared" si="53"/>
        <v>#N/A</v>
      </c>
      <c r="AQ25" s="247" t="e">
        <f t="shared" si="24"/>
        <v>#N/A</v>
      </c>
      <c r="AR25" s="247" t="e">
        <f t="shared" si="25"/>
        <v>#N/A</v>
      </c>
      <c r="AS25" s="247" t="e">
        <f t="shared" si="26"/>
        <v>#N/A</v>
      </c>
      <c r="AT25" s="196" t="e">
        <f t="shared" si="27"/>
        <v>#N/A</v>
      </c>
      <c r="AU25" s="196" t="e">
        <f>ROUND((VLOOKUP(A25,INPUT_RANGE,85,FALSE)/AS25)*('Team Info'!$H$25),2)</f>
        <v>#N/A</v>
      </c>
      <c r="AV25" s="8"/>
      <c r="AW25" s="197" t="e">
        <f t="shared" si="54"/>
        <v>#N/A</v>
      </c>
      <c r="AX25" s="197" t="e">
        <f t="shared" si="55"/>
        <v>#N/A</v>
      </c>
      <c r="AY25">
        <f t="shared" si="30"/>
        <v>0.44444444444444442</v>
      </c>
      <c r="AZ25" s="257" t="e">
        <f t="shared" si="56"/>
        <v>#N/A</v>
      </c>
      <c r="BA25" t="e">
        <f t="shared" si="57"/>
        <v>#N/A</v>
      </c>
      <c r="BB25" s="298" t="e">
        <f t="shared" si="31"/>
        <v>#N/A</v>
      </c>
      <c r="BC25" s="298" t="e">
        <f t="shared" si="32"/>
        <v>#N/A</v>
      </c>
      <c r="BD25" s="298" t="e">
        <f t="shared" si="33"/>
        <v>#N/A</v>
      </c>
      <c r="BE25" s="308" t="e">
        <f t="shared" si="34"/>
        <v>#N/A</v>
      </c>
      <c r="BF25" s="298" t="e">
        <f t="shared" si="58"/>
        <v>#N/A</v>
      </c>
      <c r="BG25" s="298" t="e">
        <f t="shared" si="35"/>
        <v>#N/A</v>
      </c>
      <c r="BH25" s="298" t="e">
        <f t="shared" si="36"/>
        <v>#N/A</v>
      </c>
      <c r="BI25" s="298" t="e">
        <f t="shared" si="37"/>
        <v>#N/A</v>
      </c>
      <c r="BJ25" s="297" t="e">
        <f t="shared" si="38"/>
        <v>#N/A</v>
      </c>
      <c r="BK25" s="297" t="e">
        <f t="shared" si="39"/>
        <v>#N/A</v>
      </c>
      <c r="BL25" s="297" t="e">
        <f t="shared" si="40"/>
        <v>#N/A</v>
      </c>
      <c r="BM25" s="297" t="e">
        <f t="shared" si="41"/>
        <v>#N/A</v>
      </c>
    </row>
    <row r="26" spans="1:65" x14ac:dyDescent="0.25">
      <c r="A26" s="30">
        <v>25</v>
      </c>
      <c r="B26" s="30">
        <v>25</v>
      </c>
      <c r="C26" s="58" t="str">
        <f>Roster!$X28</f>
        <v>- -</v>
      </c>
      <c r="D26" s="271" t="e">
        <f t="shared" si="42"/>
        <v>#N/A</v>
      </c>
      <c r="E26" s="245"/>
      <c r="F26" s="271" t="e">
        <f t="shared" si="43"/>
        <v>#N/A</v>
      </c>
      <c r="G26" s="245"/>
      <c r="H26" s="274" t="e">
        <f t="shared" si="44"/>
        <v>#N/A</v>
      </c>
      <c r="I26" s="245"/>
      <c r="J26" s="274" t="e">
        <f t="shared" si="45"/>
        <v>#N/A</v>
      </c>
      <c r="K26" s="62"/>
      <c r="L26" s="63"/>
      <c r="M26" s="194" t="e">
        <f t="shared" si="46"/>
        <v>#N/A</v>
      </c>
      <c r="N26" s="61" t="e">
        <f t="shared" si="0"/>
        <v>#N/A</v>
      </c>
      <c r="O26" s="61" t="e">
        <f t="shared" si="1"/>
        <v>#N/A</v>
      </c>
      <c r="P26" s="61" t="e">
        <f t="shared" si="2"/>
        <v>#N/A</v>
      </c>
      <c r="Q26" s="61" t="e">
        <f t="shared" si="3"/>
        <v>#N/A</v>
      </c>
      <c r="R26" s="61" t="e">
        <f t="shared" si="4"/>
        <v>#N/A</v>
      </c>
      <c r="S26" s="61" t="e">
        <f t="shared" si="5"/>
        <v>#N/A</v>
      </c>
      <c r="T26" s="61" t="e">
        <f t="shared" si="6"/>
        <v>#N/A</v>
      </c>
      <c r="U26" s="61" t="e">
        <f t="shared" si="7"/>
        <v>#N/A</v>
      </c>
      <c r="V26" s="61" t="e">
        <f t="shared" si="47"/>
        <v>#N/A</v>
      </c>
      <c r="X26" s="61" t="e">
        <f t="shared" si="48"/>
        <v>#N/A</v>
      </c>
      <c r="Y26" s="61" t="e">
        <f t="shared" si="49"/>
        <v>#N/A</v>
      </c>
      <c r="Z26" s="61" t="e">
        <f t="shared" si="10"/>
        <v>#N/A</v>
      </c>
      <c r="AA26" s="270" t="e">
        <f t="shared" si="50"/>
        <v>#N/A</v>
      </c>
      <c r="AB26" s="270" t="e">
        <f t="shared" si="51"/>
        <v>#N/A</v>
      </c>
      <c r="AC26" s="61" t="e">
        <f t="shared" si="12"/>
        <v>#N/A</v>
      </c>
      <c r="AD26" s="61" t="e">
        <f t="shared" si="13"/>
        <v>#N/A</v>
      </c>
      <c r="AE26" s="61" t="e">
        <f t="shared" si="14"/>
        <v>#N/A</v>
      </c>
      <c r="AF26" s="61" t="e">
        <f t="shared" si="15"/>
        <v>#N/A</v>
      </c>
      <c r="AG26" s="61" t="e">
        <f t="shared" si="16"/>
        <v>#N/A</v>
      </c>
      <c r="AH26" s="61" t="e">
        <f t="shared" si="17"/>
        <v>#N/A</v>
      </c>
      <c r="AI26" s="61" t="e">
        <f t="shared" si="18"/>
        <v>#N/A</v>
      </c>
      <c r="AJ26" s="61" t="e">
        <f t="shared" si="19"/>
        <v>#N/A</v>
      </c>
      <c r="AK26" s="61" t="e">
        <f t="shared" si="20"/>
        <v>#N/A</v>
      </c>
      <c r="AL26" s="61" t="e">
        <f t="shared" si="21"/>
        <v>#N/A</v>
      </c>
      <c r="AM26" s="61" t="e">
        <f t="shared" si="22"/>
        <v>#N/A</v>
      </c>
      <c r="AN26" s="61" t="e">
        <f t="shared" si="23"/>
        <v>#N/A</v>
      </c>
      <c r="AO26" s="61" t="e">
        <f t="shared" si="52"/>
        <v>#N/A</v>
      </c>
      <c r="AP26" s="61" t="e">
        <f t="shared" si="53"/>
        <v>#N/A</v>
      </c>
      <c r="AQ26" s="247" t="e">
        <f t="shared" si="24"/>
        <v>#N/A</v>
      </c>
      <c r="AR26" s="247" t="e">
        <f t="shared" si="25"/>
        <v>#N/A</v>
      </c>
      <c r="AS26" s="247" t="e">
        <f t="shared" si="26"/>
        <v>#N/A</v>
      </c>
      <c r="AT26" s="196" t="e">
        <f t="shared" si="27"/>
        <v>#N/A</v>
      </c>
      <c r="AU26" s="196" t="e">
        <f>ROUND((VLOOKUP(A26,INPUT_RANGE,85,FALSE)/AS26)*('Team Info'!$H$25),2)</f>
        <v>#N/A</v>
      </c>
      <c r="AV26" s="8"/>
      <c r="AW26" s="197" t="e">
        <f t="shared" si="54"/>
        <v>#N/A</v>
      </c>
      <c r="AX26" s="197" t="e">
        <f t="shared" si="55"/>
        <v>#N/A</v>
      </c>
      <c r="AY26">
        <f t="shared" si="30"/>
        <v>0.44444444444444442</v>
      </c>
      <c r="AZ26" s="257" t="e">
        <f t="shared" si="56"/>
        <v>#N/A</v>
      </c>
      <c r="BA26" t="e">
        <f t="shared" si="57"/>
        <v>#N/A</v>
      </c>
      <c r="BB26" s="298" t="e">
        <f t="shared" si="31"/>
        <v>#N/A</v>
      </c>
      <c r="BC26" s="298" t="e">
        <f t="shared" si="32"/>
        <v>#N/A</v>
      </c>
      <c r="BD26" s="298" t="e">
        <f t="shared" si="33"/>
        <v>#N/A</v>
      </c>
      <c r="BE26" s="308" t="e">
        <f t="shared" si="34"/>
        <v>#N/A</v>
      </c>
      <c r="BF26" s="298" t="e">
        <f t="shared" si="58"/>
        <v>#N/A</v>
      </c>
      <c r="BG26" s="298" t="e">
        <f t="shared" si="35"/>
        <v>#N/A</v>
      </c>
      <c r="BH26" s="298" t="e">
        <f t="shared" si="36"/>
        <v>#N/A</v>
      </c>
      <c r="BI26" s="298" t="e">
        <f t="shared" si="37"/>
        <v>#N/A</v>
      </c>
      <c r="BJ26" s="297" t="e">
        <f t="shared" si="38"/>
        <v>#N/A</v>
      </c>
      <c r="BK26" s="297" t="e">
        <f t="shared" si="39"/>
        <v>#N/A</v>
      </c>
      <c r="BL26" s="297" t="e">
        <f t="shared" si="40"/>
        <v>#N/A</v>
      </c>
      <c r="BM26" s="297" t="e">
        <f t="shared" si="41"/>
        <v>#N/A</v>
      </c>
    </row>
    <row r="27" spans="1:65" x14ac:dyDescent="0.25">
      <c r="A27" s="30">
        <v>26</v>
      </c>
      <c r="B27" s="30">
        <v>26</v>
      </c>
      <c r="C27" s="58" t="str">
        <f>Roster!$X29</f>
        <v>- -</v>
      </c>
      <c r="D27" s="271" t="e">
        <f t="shared" si="42"/>
        <v>#N/A</v>
      </c>
      <c r="E27" s="245"/>
      <c r="F27" s="271" t="e">
        <f t="shared" si="43"/>
        <v>#N/A</v>
      </c>
      <c r="G27" s="245"/>
      <c r="H27" s="274" t="e">
        <f t="shared" si="44"/>
        <v>#N/A</v>
      </c>
      <c r="I27" s="245"/>
      <c r="J27" s="274" t="e">
        <f t="shared" si="45"/>
        <v>#N/A</v>
      </c>
      <c r="K27" s="62"/>
      <c r="L27" s="63"/>
      <c r="M27" s="194" t="e">
        <f t="shared" si="46"/>
        <v>#N/A</v>
      </c>
      <c r="N27" s="61" t="e">
        <f t="shared" si="0"/>
        <v>#N/A</v>
      </c>
      <c r="O27" s="61" t="e">
        <f t="shared" si="1"/>
        <v>#N/A</v>
      </c>
      <c r="P27" s="61" t="e">
        <f t="shared" si="2"/>
        <v>#N/A</v>
      </c>
      <c r="Q27" s="61" t="e">
        <f t="shared" si="3"/>
        <v>#N/A</v>
      </c>
      <c r="R27" s="61" t="e">
        <f t="shared" si="4"/>
        <v>#N/A</v>
      </c>
      <c r="S27" s="61" t="e">
        <f t="shared" si="5"/>
        <v>#N/A</v>
      </c>
      <c r="T27" s="61" t="e">
        <f t="shared" si="6"/>
        <v>#N/A</v>
      </c>
      <c r="U27" s="61" t="e">
        <f t="shared" si="7"/>
        <v>#N/A</v>
      </c>
      <c r="V27" s="61" t="e">
        <f t="shared" si="47"/>
        <v>#N/A</v>
      </c>
      <c r="X27" s="61" t="e">
        <f t="shared" si="48"/>
        <v>#N/A</v>
      </c>
      <c r="Y27" s="61" t="e">
        <f t="shared" si="49"/>
        <v>#N/A</v>
      </c>
      <c r="Z27" s="61" t="e">
        <f t="shared" si="10"/>
        <v>#N/A</v>
      </c>
      <c r="AA27" s="270" t="e">
        <f t="shared" si="50"/>
        <v>#N/A</v>
      </c>
      <c r="AB27" s="270" t="e">
        <f t="shared" si="51"/>
        <v>#N/A</v>
      </c>
      <c r="AC27" s="61" t="e">
        <f t="shared" si="12"/>
        <v>#N/A</v>
      </c>
      <c r="AD27" s="61" t="e">
        <f t="shared" si="13"/>
        <v>#N/A</v>
      </c>
      <c r="AE27" s="61" t="e">
        <f t="shared" si="14"/>
        <v>#N/A</v>
      </c>
      <c r="AF27" s="61" t="e">
        <f t="shared" si="15"/>
        <v>#N/A</v>
      </c>
      <c r="AG27" s="61" t="e">
        <f t="shared" si="16"/>
        <v>#N/A</v>
      </c>
      <c r="AH27" s="61" t="e">
        <f t="shared" si="17"/>
        <v>#N/A</v>
      </c>
      <c r="AI27" s="61" t="e">
        <f t="shared" si="18"/>
        <v>#N/A</v>
      </c>
      <c r="AJ27" s="61" t="e">
        <f t="shared" si="19"/>
        <v>#N/A</v>
      </c>
      <c r="AK27" s="61" t="e">
        <f t="shared" si="20"/>
        <v>#N/A</v>
      </c>
      <c r="AL27" s="61" t="e">
        <f t="shared" si="21"/>
        <v>#N/A</v>
      </c>
      <c r="AM27" s="61" t="e">
        <f t="shared" si="22"/>
        <v>#N/A</v>
      </c>
      <c r="AN27" s="61" t="e">
        <f t="shared" si="23"/>
        <v>#N/A</v>
      </c>
      <c r="AO27" s="61" t="e">
        <f t="shared" si="52"/>
        <v>#N/A</v>
      </c>
      <c r="AP27" s="61" t="e">
        <f t="shared" si="53"/>
        <v>#N/A</v>
      </c>
      <c r="AQ27" s="247" t="e">
        <f t="shared" si="24"/>
        <v>#N/A</v>
      </c>
      <c r="AR27" s="247" t="e">
        <f t="shared" si="25"/>
        <v>#N/A</v>
      </c>
      <c r="AS27" s="247" t="e">
        <f t="shared" si="26"/>
        <v>#N/A</v>
      </c>
      <c r="AT27" s="196" t="e">
        <f t="shared" si="27"/>
        <v>#N/A</v>
      </c>
      <c r="AU27" s="196" t="e">
        <f>ROUND((VLOOKUP(A27,INPUT_RANGE,85,FALSE)/AS27)*('Team Info'!$H$25),2)</f>
        <v>#N/A</v>
      </c>
      <c r="AV27" s="8"/>
      <c r="AW27" s="197" t="e">
        <f t="shared" si="54"/>
        <v>#N/A</v>
      </c>
      <c r="AX27" s="197" t="e">
        <f t="shared" si="55"/>
        <v>#N/A</v>
      </c>
      <c r="AY27">
        <f t="shared" si="30"/>
        <v>0.44444444444444442</v>
      </c>
      <c r="AZ27" s="257" t="e">
        <f t="shared" si="56"/>
        <v>#N/A</v>
      </c>
      <c r="BA27" t="e">
        <f t="shared" si="57"/>
        <v>#N/A</v>
      </c>
      <c r="BB27" s="298" t="e">
        <f t="shared" si="31"/>
        <v>#N/A</v>
      </c>
      <c r="BC27" s="298" t="e">
        <f t="shared" si="32"/>
        <v>#N/A</v>
      </c>
      <c r="BD27" s="298" t="e">
        <f t="shared" si="33"/>
        <v>#N/A</v>
      </c>
      <c r="BE27" s="308" t="e">
        <f t="shared" si="34"/>
        <v>#N/A</v>
      </c>
      <c r="BF27" s="298" t="e">
        <f t="shared" si="58"/>
        <v>#N/A</v>
      </c>
      <c r="BG27" s="298" t="e">
        <f t="shared" si="35"/>
        <v>#N/A</v>
      </c>
      <c r="BH27" s="298" t="e">
        <f t="shared" si="36"/>
        <v>#N/A</v>
      </c>
      <c r="BI27" s="298" t="e">
        <f t="shared" si="37"/>
        <v>#N/A</v>
      </c>
      <c r="BJ27" s="297" t="e">
        <f t="shared" si="38"/>
        <v>#N/A</v>
      </c>
      <c r="BK27" s="297" t="e">
        <f t="shared" si="39"/>
        <v>#N/A</v>
      </c>
      <c r="BL27" s="297" t="e">
        <f t="shared" si="40"/>
        <v>#N/A</v>
      </c>
      <c r="BM27" s="297" t="e">
        <f t="shared" si="41"/>
        <v>#N/A</v>
      </c>
    </row>
    <row r="28" spans="1:65" x14ac:dyDescent="0.25">
      <c r="A28" s="30">
        <v>27</v>
      </c>
      <c r="B28" s="30">
        <v>27</v>
      </c>
      <c r="C28" s="58" t="str">
        <f>Roster!$X30</f>
        <v>- -</v>
      </c>
      <c r="D28" s="271" t="e">
        <f t="shared" si="42"/>
        <v>#N/A</v>
      </c>
      <c r="E28" s="245"/>
      <c r="F28" s="271" t="e">
        <f t="shared" si="43"/>
        <v>#N/A</v>
      </c>
      <c r="G28" s="245"/>
      <c r="H28" s="274" t="e">
        <f t="shared" si="44"/>
        <v>#N/A</v>
      </c>
      <c r="I28" s="245"/>
      <c r="J28" s="274" t="e">
        <f t="shared" si="45"/>
        <v>#N/A</v>
      </c>
      <c r="K28" s="62"/>
      <c r="L28" s="63"/>
      <c r="M28" s="194" t="e">
        <f t="shared" si="46"/>
        <v>#N/A</v>
      </c>
      <c r="N28" s="61" t="e">
        <f t="shared" si="0"/>
        <v>#N/A</v>
      </c>
      <c r="O28" s="61" t="e">
        <f t="shared" si="1"/>
        <v>#N/A</v>
      </c>
      <c r="P28" s="61" t="e">
        <f t="shared" si="2"/>
        <v>#N/A</v>
      </c>
      <c r="Q28" s="61" t="e">
        <f t="shared" si="3"/>
        <v>#N/A</v>
      </c>
      <c r="R28" s="61" t="e">
        <f t="shared" si="4"/>
        <v>#N/A</v>
      </c>
      <c r="S28" s="61" t="e">
        <f t="shared" si="5"/>
        <v>#N/A</v>
      </c>
      <c r="T28" s="61" t="e">
        <f t="shared" si="6"/>
        <v>#N/A</v>
      </c>
      <c r="U28" s="61" t="e">
        <f t="shared" si="7"/>
        <v>#N/A</v>
      </c>
      <c r="V28" s="61" t="e">
        <f t="shared" si="47"/>
        <v>#N/A</v>
      </c>
      <c r="X28" s="61" t="e">
        <f t="shared" si="48"/>
        <v>#N/A</v>
      </c>
      <c r="Y28" s="61" t="e">
        <f t="shared" si="49"/>
        <v>#N/A</v>
      </c>
      <c r="Z28" s="61" t="e">
        <f t="shared" si="10"/>
        <v>#N/A</v>
      </c>
      <c r="AA28" s="270" t="e">
        <f t="shared" si="50"/>
        <v>#N/A</v>
      </c>
      <c r="AB28" s="270" t="e">
        <f t="shared" si="51"/>
        <v>#N/A</v>
      </c>
      <c r="AC28" s="61" t="e">
        <f t="shared" si="12"/>
        <v>#N/A</v>
      </c>
      <c r="AD28" s="61" t="e">
        <f t="shared" si="13"/>
        <v>#N/A</v>
      </c>
      <c r="AE28" s="61" t="e">
        <f t="shared" si="14"/>
        <v>#N/A</v>
      </c>
      <c r="AF28" s="61" t="e">
        <f t="shared" si="15"/>
        <v>#N/A</v>
      </c>
      <c r="AG28" s="61" t="e">
        <f t="shared" si="16"/>
        <v>#N/A</v>
      </c>
      <c r="AH28" s="61" t="e">
        <f t="shared" si="17"/>
        <v>#N/A</v>
      </c>
      <c r="AI28" s="61" t="e">
        <f t="shared" si="18"/>
        <v>#N/A</v>
      </c>
      <c r="AJ28" s="61" t="e">
        <f t="shared" si="19"/>
        <v>#N/A</v>
      </c>
      <c r="AK28" s="61" t="e">
        <f t="shared" si="20"/>
        <v>#N/A</v>
      </c>
      <c r="AL28" s="61" t="e">
        <f t="shared" si="21"/>
        <v>#N/A</v>
      </c>
      <c r="AM28" s="61" t="e">
        <f t="shared" si="22"/>
        <v>#N/A</v>
      </c>
      <c r="AN28" s="61" t="e">
        <f t="shared" si="23"/>
        <v>#N/A</v>
      </c>
      <c r="AO28" s="61" t="e">
        <f t="shared" si="52"/>
        <v>#N/A</v>
      </c>
      <c r="AP28" s="61" t="e">
        <f t="shared" si="53"/>
        <v>#N/A</v>
      </c>
      <c r="AQ28" s="247" t="e">
        <f t="shared" si="24"/>
        <v>#N/A</v>
      </c>
      <c r="AR28" s="247" t="e">
        <f t="shared" si="25"/>
        <v>#N/A</v>
      </c>
      <c r="AS28" s="247" t="e">
        <f t="shared" si="26"/>
        <v>#N/A</v>
      </c>
      <c r="AT28" s="196" t="e">
        <f t="shared" si="27"/>
        <v>#N/A</v>
      </c>
      <c r="AU28" s="196" t="e">
        <f>ROUND((VLOOKUP(A28,INPUT_RANGE,85,FALSE)/AS28)*('Team Info'!$H$25),2)</f>
        <v>#N/A</v>
      </c>
      <c r="AV28" s="8"/>
      <c r="AW28" s="197" t="e">
        <f t="shared" si="54"/>
        <v>#N/A</v>
      </c>
      <c r="AX28" s="197" t="e">
        <f t="shared" si="55"/>
        <v>#N/A</v>
      </c>
      <c r="AY28">
        <f t="shared" si="30"/>
        <v>0.44444444444444442</v>
      </c>
      <c r="AZ28" s="257" t="e">
        <f t="shared" si="56"/>
        <v>#N/A</v>
      </c>
      <c r="BA28" t="e">
        <f t="shared" si="57"/>
        <v>#N/A</v>
      </c>
      <c r="BB28" s="298" t="e">
        <f t="shared" si="31"/>
        <v>#N/A</v>
      </c>
      <c r="BC28" s="298" t="e">
        <f t="shared" si="32"/>
        <v>#N/A</v>
      </c>
      <c r="BD28" s="298" t="e">
        <f t="shared" si="33"/>
        <v>#N/A</v>
      </c>
      <c r="BE28" s="308" t="e">
        <f t="shared" si="34"/>
        <v>#N/A</v>
      </c>
      <c r="BF28" s="298" t="e">
        <f t="shared" si="58"/>
        <v>#N/A</v>
      </c>
      <c r="BG28" s="298" t="e">
        <f t="shared" si="35"/>
        <v>#N/A</v>
      </c>
      <c r="BH28" s="298" t="e">
        <f t="shared" si="36"/>
        <v>#N/A</v>
      </c>
      <c r="BI28" s="298" t="e">
        <f t="shared" si="37"/>
        <v>#N/A</v>
      </c>
      <c r="BJ28" s="297" t="e">
        <f t="shared" si="38"/>
        <v>#N/A</v>
      </c>
      <c r="BK28" s="297" t="e">
        <f t="shared" si="39"/>
        <v>#N/A</v>
      </c>
      <c r="BL28" s="297" t="e">
        <f t="shared" si="40"/>
        <v>#N/A</v>
      </c>
      <c r="BM28" s="297" t="e">
        <f t="shared" si="41"/>
        <v>#N/A</v>
      </c>
    </row>
    <row r="29" spans="1:65" x14ac:dyDescent="0.25">
      <c r="A29" s="30">
        <v>28</v>
      </c>
      <c r="B29" s="30">
        <v>28</v>
      </c>
      <c r="C29" s="58" t="str">
        <f>Roster!$X31</f>
        <v>- -</v>
      </c>
      <c r="D29" s="271" t="e">
        <f t="shared" si="42"/>
        <v>#N/A</v>
      </c>
      <c r="E29" s="245"/>
      <c r="F29" s="271" t="e">
        <f t="shared" si="43"/>
        <v>#N/A</v>
      </c>
      <c r="G29" s="245"/>
      <c r="H29" s="274" t="e">
        <f t="shared" si="44"/>
        <v>#N/A</v>
      </c>
      <c r="I29" s="245"/>
      <c r="J29" s="274" t="e">
        <f t="shared" si="45"/>
        <v>#N/A</v>
      </c>
      <c r="K29" s="62"/>
      <c r="L29" s="63"/>
      <c r="M29" s="194" t="e">
        <f t="shared" si="46"/>
        <v>#N/A</v>
      </c>
      <c r="N29" s="61" t="e">
        <f t="shared" si="0"/>
        <v>#N/A</v>
      </c>
      <c r="O29" s="61" t="e">
        <f t="shared" si="1"/>
        <v>#N/A</v>
      </c>
      <c r="P29" s="61" t="e">
        <f t="shared" si="2"/>
        <v>#N/A</v>
      </c>
      <c r="Q29" s="61" t="e">
        <f t="shared" si="3"/>
        <v>#N/A</v>
      </c>
      <c r="R29" s="61" t="e">
        <f t="shared" si="4"/>
        <v>#N/A</v>
      </c>
      <c r="S29" s="61" t="e">
        <f t="shared" si="5"/>
        <v>#N/A</v>
      </c>
      <c r="T29" s="61" t="e">
        <f t="shared" si="6"/>
        <v>#N/A</v>
      </c>
      <c r="U29" s="61" t="e">
        <f t="shared" si="7"/>
        <v>#N/A</v>
      </c>
      <c r="V29" s="61" t="e">
        <f t="shared" si="47"/>
        <v>#N/A</v>
      </c>
      <c r="X29" s="61" t="e">
        <f t="shared" si="48"/>
        <v>#N/A</v>
      </c>
      <c r="Y29" s="61" t="e">
        <f t="shared" si="49"/>
        <v>#N/A</v>
      </c>
      <c r="Z29" s="61" t="e">
        <f t="shared" si="10"/>
        <v>#N/A</v>
      </c>
      <c r="AA29" s="270" t="e">
        <f t="shared" si="50"/>
        <v>#N/A</v>
      </c>
      <c r="AB29" s="270" t="e">
        <f t="shared" si="51"/>
        <v>#N/A</v>
      </c>
      <c r="AC29" s="61" t="e">
        <f t="shared" si="12"/>
        <v>#N/A</v>
      </c>
      <c r="AD29" s="61" t="e">
        <f t="shared" si="13"/>
        <v>#N/A</v>
      </c>
      <c r="AE29" s="61" t="e">
        <f t="shared" si="14"/>
        <v>#N/A</v>
      </c>
      <c r="AF29" s="61" t="e">
        <f t="shared" si="15"/>
        <v>#N/A</v>
      </c>
      <c r="AG29" s="61" t="e">
        <f t="shared" si="16"/>
        <v>#N/A</v>
      </c>
      <c r="AH29" s="61" t="e">
        <f t="shared" si="17"/>
        <v>#N/A</v>
      </c>
      <c r="AI29" s="61" t="e">
        <f t="shared" si="18"/>
        <v>#N/A</v>
      </c>
      <c r="AJ29" s="61" t="e">
        <f t="shared" si="19"/>
        <v>#N/A</v>
      </c>
      <c r="AK29" s="61" t="e">
        <f t="shared" si="20"/>
        <v>#N/A</v>
      </c>
      <c r="AL29" s="61" t="e">
        <f t="shared" si="21"/>
        <v>#N/A</v>
      </c>
      <c r="AM29" s="61" t="e">
        <f t="shared" si="22"/>
        <v>#N/A</v>
      </c>
      <c r="AN29" s="61" t="e">
        <f t="shared" si="23"/>
        <v>#N/A</v>
      </c>
      <c r="AO29" s="61" t="e">
        <f t="shared" si="52"/>
        <v>#N/A</v>
      </c>
      <c r="AP29" s="61" t="e">
        <f t="shared" si="53"/>
        <v>#N/A</v>
      </c>
      <c r="AQ29" s="247" t="e">
        <f t="shared" si="24"/>
        <v>#N/A</v>
      </c>
      <c r="AR29" s="247" t="e">
        <f t="shared" si="25"/>
        <v>#N/A</v>
      </c>
      <c r="AS29" s="247" t="e">
        <f t="shared" si="26"/>
        <v>#N/A</v>
      </c>
      <c r="AT29" s="196" t="e">
        <f t="shared" si="27"/>
        <v>#N/A</v>
      </c>
      <c r="AU29" s="196" t="e">
        <f>ROUND((VLOOKUP(A29,INPUT_RANGE,85,FALSE)/AS29)*('Team Info'!$H$25),2)</f>
        <v>#N/A</v>
      </c>
      <c r="AV29" s="8"/>
      <c r="AW29" s="197" t="e">
        <f t="shared" si="54"/>
        <v>#N/A</v>
      </c>
      <c r="AX29" s="197" t="e">
        <f t="shared" si="55"/>
        <v>#N/A</v>
      </c>
      <c r="AY29">
        <f t="shared" si="30"/>
        <v>0.44444444444444442</v>
      </c>
      <c r="AZ29" s="257" t="e">
        <f t="shared" si="56"/>
        <v>#N/A</v>
      </c>
      <c r="BA29" t="e">
        <f t="shared" si="57"/>
        <v>#N/A</v>
      </c>
      <c r="BB29" s="298" t="e">
        <f t="shared" si="31"/>
        <v>#N/A</v>
      </c>
      <c r="BC29" s="298" t="e">
        <f t="shared" si="32"/>
        <v>#N/A</v>
      </c>
      <c r="BD29" s="298" t="e">
        <f t="shared" si="33"/>
        <v>#N/A</v>
      </c>
      <c r="BE29" s="308" t="e">
        <f t="shared" si="34"/>
        <v>#N/A</v>
      </c>
      <c r="BF29" s="298" t="e">
        <f t="shared" si="58"/>
        <v>#N/A</v>
      </c>
      <c r="BG29" s="298" t="e">
        <f t="shared" si="35"/>
        <v>#N/A</v>
      </c>
      <c r="BH29" s="298" t="e">
        <f t="shared" si="36"/>
        <v>#N/A</v>
      </c>
      <c r="BI29" s="298" t="e">
        <f t="shared" si="37"/>
        <v>#N/A</v>
      </c>
      <c r="BJ29" s="297" t="e">
        <f t="shared" si="38"/>
        <v>#N/A</v>
      </c>
      <c r="BK29" s="297" t="e">
        <f t="shared" si="39"/>
        <v>#N/A</v>
      </c>
      <c r="BL29" s="297" t="e">
        <f t="shared" si="40"/>
        <v>#N/A</v>
      </c>
      <c r="BM29" s="297" t="e">
        <f t="shared" si="41"/>
        <v>#N/A</v>
      </c>
    </row>
    <row r="30" spans="1:65" x14ac:dyDescent="0.25">
      <c r="A30" s="30">
        <v>29</v>
      </c>
      <c r="B30" s="30">
        <v>29</v>
      </c>
      <c r="C30" s="58" t="str">
        <f>Roster!$X32</f>
        <v>- -</v>
      </c>
      <c r="D30" s="271" t="e">
        <f t="shared" si="42"/>
        <v>#N/A</v>
      </c>
      <c r="E30" s="245"/>
      <c r="F30" s="271" t="e">
        <f t="shared" si="43"/>
        <v>#N/A</v>
      </c>
      <c r="G30" s="245"/>
      <c r="H30" s="274" t="e">
        <f t="shared" si="44"/>
        <v>#N/A</v>
      </c>
      <c r="I30" s="245"/>
      <c r="J30" s="274" t="e">
        <f t="shared" si="45"/>
        <v>#N/A</v>
      </c>
      <c r="K30" s="62"/>
      <c r="L30" s="63"/>
      <c r="M30" s="194" t="e">
        <f t="shared" si="46"/>
        <v>#N/A</v>
      </c>
      <c r="N30" s="61" t="e">
        <f t="shared" si="0"/>
        <v>#N/A</v>
      </c>
      <c r="O30" s="61" t="e">
        <f t="shared" si="1"/>
        <v>#N/A</v>
      </c>
      <c r="P30" s="61" t="e">
        <f t="shared" si="2"/>
        <v>#N/A</v>
      </c>
      <c r="Q30" s="61" t="e">
        <f t="shared" si="3"/>
        <v>#N/A</v>
      </c>
      <c r="R30" s="61" t="e">
        <f t="shared" si="4"/>
        <v>#N/A</v>
      </c>
      <c r="S30" s="61" t="e">
        <f t="shared" si="5"/>
        <v>#N/A</v>
      </c>
      <c r="T30" s="61" t="e">
        <f t="shared" si="6"/>
        <v>#N/A</v>
      </c>
      <c r="U30" s="61" t="e">
        <f t="shared" si="7"/>
        <v>#N/A</v>
      </c>
      <c r="V30" s="61" t="e">
        <f t="shared" si="47"/>
        <v>#N/A</v>
      </c>
      <c r="X30" s="61" t="e">
        <f t="shared" si="48"/>
        <v>#N/A</v>
      </c>
      <c r="Y30" s="61" t="e">
        <f t="shared" si="49"/>
        <v>#N/A</v>
      </c>
      <c r="Z30" s="61" t="e">
        <f t="shared" si="10"/>
        <v>#N/A</v>
      </c>
      <c r="AA30" s="270" t="e">
        <f t="shared" si="50"/>
        <v>#N/A</v>
      </c>
      <c r="AB30" s="270" t="e">
        <f t="shared" si="51"/>
        <v>#N/A</v>
      </c>
      <c r="AC30" s="61" t="e">
        <f t="shared" si="12"/>
        <v>#N/A</v>
      </c>
      <c r="AD30" s="61" t="e">
        <f t="shared" si="13"/>
        <v>#N/A</v>
      </c>
      <c r="AE30" s="61" t="e">
        <f t="shared" si="14"/>
        <v>#N/A</v>
      </c>
      <c r="AF30" s="61" t="e">
        <f t="shared" si="15"/>
        <v>#N/A</v>
      </c>
      <c r="AG30" s="61" t="e">
        <f t="shared" si="16"/>
        <v>#N/A</v>
      </c>
      <c r="AH30" s="61" t="e">
        <f t="shared" si="17"/>
        <v>#N/A</v>
      </c>
      <c r="AI30" s="61" t="e">
        <f t="shared" si="18"/>
        <v>#N/A</v>
      </c>
      <c r="AJ30" s="61" t="e">
        <f t="shared" si="19"/>
        <v>#N/A</v>
      </c>
      <c r="AK30" s="61" t="e">
        <f t="shared" si="20"/>
        <v>#N/A</v>
      </c>
      <c r="AL30" s="61" t="e">
        <f t="shared" si="21"/>
        <v>#N/A</v>
      </c>
      <c r="AM30" s="61" t="e">
        <f t="shared" si="22"/>
        <v>#N/A</v>
      </c>
      <c r="AN30" s="61" t="e">
        <f t="shared" si="23"/>
        <v>#N/A</v>
      </c>
      <c r="AO30" s="61" t="e">
        <f t="shared" si="52"/>
        <v>#N/A</v>
      </c>
      <c r="AP30" s="61" t="e">
        <f t="shared" si="53"/>
        <v>#N/A</v>
      </c>
      <c r="AQ30" s="247" t="e">
        <f t="shared" si="24"/>
        <v>#N/A</v>
      </c>
      <c r="AR30" s="247" t="e">
        <f t="shared" si="25"/>
        <v>#N/A</v>
      </c>
      <c r="AS30" s="247" t="e">
        <f t="shared" si="26"/>
        <v>#N/A</v>
      </c>
      <c r="AT30" s="196" t="e">
        <f t="shared" si="27"/>
        <v>#N/A</v>
      </c>
      <c r="AU30" s="196" t="e">
        <f>ROUND((VLOOKUP(A30,INPUT_RANGE,85,FALSE)/AS30)*('Team Info'!$H$25),2)</f>
        <v>#N/A</v>
      </c>
      <c r="AV30" s="8"/>
      <c r="AW30" s="197" t="e">
        <f t="shared" si="54"/>
        <v>#N/A</v>
      </c>
      <c r="AX30" s="197" t="e">
        <f t="shared" si="55"/>
        <v>#N/A</v>
      </c>
      <c r="AY30">
        <f t="shared" si="30"/>
        <v>0.44444444444444442</v>
      </c>
      <c r="AZ30" s="257" t="e">
        <f t="shared" si="56"/>
        <v>#N/A</v>
      </c>
      <c r="BA30" t="e">
        <f t="shared" si="57"/>
        <v>#N/A</v>
      </c>
      <c r="BB30" s="298" t="e">
        <f t="shared" si="31"/>
        <v>#N/A</v>
      </c>
      <c r="BC30" s="298" t="e">
        <f t="shared" si="32"/>
        <v>#N/A</v>
      </c>
      <c r="BD30" s="298" t="e">
        <f t="shared" si="33"/>
        <v>#N/A</v>
      </c>
      <c r="BE30" s="308" t="e">
        <f>AU30</f>
        <v>#N/A</v>
      </c>
      <c r="BF30" s="298" t="e">
        <f t="shared" si="58"/>
        <v>#N/A</v>
      </c>
      <c r="BG30" s="298" t="e">
        <f t="shared" si="35"/>
        <v>#N/A</v>
      </c>
      <c r="BH30" s="298" t="e">
        <f t="shared" si="36"/>
        <v>#N/A</v>
      </c>
      <c r="BI30" s="298" t="e">
        <f t="shared" si="37"/>
        <v>#N/A</v>
      </c>
      <c r="BJ30" s="297" t="e">
        <f t="shared" si="38"/>
        <v>#N/A</v>
      </c>
      <c r="BK30" s="297" t="e">
        <f t="shared" si="39"/>
        <v>#N/A</v>
      </c>
      <c r="BL30" s="297" t="e">
        <f t="shared" si="40"/>
        <v>#N/A</v>
      </c>
      <c r="BM30" s="297" t="e">
        <f t="shared" si="41"/>
        <v>#N/A</v>
      </c>
    </row>
    <row r="31" spans="1:65" x14ac:dyDescent="0.25">
      <c r="A31" s="30">
        <v>30</v>
      </c>
      <c r="B31" s="30">
        <v>30</v>
      </c>
      <c r="C31" s="58" t="str">
        <f>Roster!$X33</f>
        <v>- -</v>
      </c>
      <c r="D31" s="271" t="e">
        <f t="shared" si="42"/>
        <v>#N/A</v>
      </c>
      <c r="E31" s="245"/>
      <c r="F31" s="271" t="e">
        <f t="shared" si="43"/>
        <v>#N/A</v>
      </c>
      <c r="G31" s="245"/>
      <c r="H31" s="274" t="e">
        <f t="shared" si="44"/>
        <v>#N/A</v>
      </c>
      <c r="I31" s="245"/>
      <c r="J31" s="274" t="e">
        <f t="shared" si="45"/>
        <v>#N/A</v>
      </c>
      <c r="K31" s="62"/>
      <c r="L31" s="63"/>
      <c r="M31" s="194" t="e">
        <f t="shared" si="46"/>
        <v>#N/A</v>
      </c>
      <c r="N31" s="61" t="e">
        <f t="shared" si="0"/>
        <v>#N/A</v>
      </c>
      <c r="O31" s="61" t="e">
        <f t="shared" si="1"/>
        <v>#N/A</v>
      </c>
      <c r="P31" s="61" t="e">
        <f t="shared" si="2"/>
        <v>#N/A</v>
      </c>
      <c r="Q31" s="61" t="e">
        <f t="shared" si="3"/>
        <v>#N/A</v>
      </c>
      <c r="R31" s="61" t="e">
        <f t="shared" si="4"/>
        <v>#N/A</v>
      </c>
      <c r="S31" s="61" t="e">
        <f t="shared" si="5"/>
        <v>#N/A</v>
      </c>
      <c r="T31" s="61" t="e">
        <f t="shared" si="6"/>
        <v>#N/A</v>
      </c>
      <c r="U31" s="61" t="e">
        <f t="shared" si="7"/>
        <v>#N/A</v>
      </c>
      <c r="V31" s="61" t="e">
        <f t="shared" si="47"/>
        <v>#N/A</v>
      </c>
      <c r="X31" s="61" t="e">
        <f t="shared" si="48"/>
        <v>#N/A</v>
      </c>
      <c r="Y31" s="61" t="e">
        <f t="shared" si="49"/>
        <v>#N/A</v>
      </c>
      <c r="Z31" s="61" t="e">
        <f t="shared" si="10"/>
        <v>#N/A</v>
      </c>
      <c r="AA31" s="270" t="e">
        <f t="shared" si="50"/>
        <v>#N/A</v>
      </c>
      <c r="AB31" s="270" t="e">
        <f t="shared" si="51"/>
        <v>#N/A</v>
      </c>
      <c r="AC31" s="61" t="e">
        <f t="shared" si="12"/>
        <v>#N/A</v>
      </c>
      <c r="AD31" s="61" t="e">
        <f t="shared" si="13"/>
        <v>#N/A</v>
      </c>
      <c r="AE31" s="61" t="e">
        <f t="shared" si="14"/>
        <v>#N/A</v>
      </c>
      <c r="AF31" s="61" t="e">
        <f t="shared" si="15"/>
        <v>#N/A</v>
      </c>
      <c r="AG31" s="61" t="e">
        <f t="shared" si="16"/>
        <v>#N/A</v>
      </c>
      <c r="AH31" s="61" t="e">
        <f t="shared" si="17"/>
        <v>#N/A</v>
      </c>
      <c r="AI31" s="61" t="e">
        <f t="shared" si="18"/>
        <v>#N/A</v>
      </c>
      <c r="AJ31" s="61" t="e">
        <f t="shared" si="19"/>
        <v>#N/A</v>
      </c>
      <c r="AK31" s="61" t="e">
        <f t="shared" si="20"/>
        <v>#N/A</v>
      </c>
      <c r="AL31" s="61" t="e">
        <f t="shared" si="21"/>
        <v>#N/A</v>
      </c>
      <c r="AM31" s="61" t="e">
        <f t="shared" si="22"/>
        <v>#N/A</v>
      </c>
      <c r="AN31" s="61" t="e">
        <f t="shared" si="23"/>
        <v>#N/A</v>
      </c>
      <c r="AO31" s="61" t="e">
        <f t="shared" si="52"/>
        <v>#N/A</v>
      </c>
      <c r="AP31" s="61" t="e">
        <f t="shared" si="53"/>
        <v>#N/A</v>
      </c>
      <c r="AQ31" s="247" t="e">
        <f t="shared" si="24"/>
        <v>#N/A</v>
      </c>
      <c r="AR31" s="247" t="e">
        <f t="shared" si="25"/>
        <v>#N/A</v>
      </c>
      <c r="AS31" s="247" t="e">
        <f t="shared" si="26"/>
        <v>#N/A</v>
      </c>
      <c r="AT31" s="196" t="e">
        <f t="shared" si="27"/>
        <v>#N/A</v>
      </c>
      <c r="AU31" s="196" t="e">
        <f>ROUND((VLOOKUP(A31,INPUT_RANGE,85,FALSE)/AS31)*('Team Info'!$H$25),2)</f>
        <v>#N/A</v>
      </c>
      <c r="AV31" s="8"/>
      <c r="AW31" s="197" t="e">
        <f t="shared" si="54"/>
        <v>#N/A</v>
      </c>
      <c r="AX31" s="197" t="e">
        <f t="shared" si="55"/>
        <v>#N/A</v>
      </c>
      <c r="AY31">
        <f t="shared" si="30"/>
        <v>0.44444444444444442</v>
      </c>
      <c r="AZ31" s="257" t="e">
        <f t="shared" si="56"/>
        <v>#N/A</v>
      </c>
      <c r="BA31" t="e">
        <f t="shared" si="57"/>
        <v>#N/A</v>
      </c>
      <c r="BB31" s="298" t="e">
        <f t="shared" si="31"/>
        <v>#N/A</v>
      </c>
      <c r="BC31" s="298" t="e">
        <f t="shared" si="32"/>
        <v>#N/A</v>
      </c>
      <c r="BD31" s="298" t="e">
        <f t="shared" si="33"/>
        <v>#N/A</v>
      </c>
      <c r="BE31" s="308" t="e">
        <f t="shared" ref="BE31:BE94" si="59">AU31</f>
        <v>#N/A</v>
      </c>
      <c r="BF31" s="298" t="e">
        <f t="shared" si="58"/>
        <v>#N/A</v>
      </c>
      <c r="BG31" s="298" t="e">
        <f t="shared" si="35"/>
        <v>#N/A</v>
      </c>
      <c r="BH31" s="298" t="e">
        <f t="shared" si="36"/>
        <v>#N/A</v>
      </c>
      <c r="BI31" s="298" t="e">
        <f t="shared" si="37"/>
        <v>#N/A</v>
      </c>
      <c r="BJ31" s="297" t="e">
        <f t="shared" si="38"/>
        <v>#N/A</v>
      </c>
      <c r="BK31" s="297" t="e">
        <f t="shared" si="39"/>
        <v>#N/A</v>
      </c>
      <c r="BL31" s="297" t="e">
        <f t="shared" si="40"/>
        <v>#N/A</v>
      </c>
      <c r="BM31" s="297" t="e">
        <f t="shared" si="41"/>
        <v>#N/A</v>
      </c>
    </row>
    <row r="32" spans="1:65" x14ac:dyDescent="0.25">
      <c r="A32" s="30">
        <v>31</v>
      </c>
      <c r="B32" s="30">
        <v>31</v>
      </c>
      <c r="C32" s="58" t="str">
        <f>Roster!$X34</f>
        <v>- -</v>
      </c>
      <c r="D32" s="271" t="e">
        <f t="shared" si="42"/>
        <v>#N/A</v>
      </c>
      <c r="E32" s="245"/>
      <c r="F32" s="271" t="e">
        <f t="shared" si="43"/>
        <v>#N/A</v>
      </c>
      <c r="G32" s="245"/>
      <c r="H32" s="274" t="e">
        <f t="shared" si="44"/>
        <v>#N/A</v>
      </c>
      <c r="I32" s="245"/>
      <c r="J32" s="274" t="e">
        <f t="shared" si="45"/>
        <v>#N/A</v>
      </c>
      <c r="K32" s="62"/>
      <c r="L32" s="63"/>
      <c r="M32" s="194" t="e">
        <f t="shared" si="46"/>
        <v>#N/A</v>
      </c>
      <c r="N32" s="61" t="e">
        <f t="shared" si="0"/>
        <v>#N/A</v>
      </c>
      <c r="O32" s="61" t="e">
        <f t="shared" si="1"/>
        <v>#N/A</v>
      </c>
      <c r="P32" s="61" t="e">
        <f t="shared" si="2"/>
        <v>#N/A</v>
      </c>
      <c r="Q32" s="61" t="e">
        <f t="shared" si="3"/>
        <v>#N/A</v>
      </c>
      <c r="R32" s="61" t="e">
        <f t="shared" si="4"/>
        <v>#N/A</v>
      </c>
      <c r="S32" s="61" t="e">
        <f t="shared" si="5"/>
        <v>#N/A</v>
      </c>
      <c r="T32" s="61" t="e">
        <f t="shared" si="6"/>
        <v>#N/A</v>
      </c>
      <c r="U32" s="61" t="e">
        <f t="shared" si="7"/>
        <v>#N/A</v>
      </c>
      <c r="V32" s="61" t="e">
        <f t="shared" si="47"/>
        <v>#N/A</v>
      </c>
      <c r="X32" s="61" t="e">
        <f t="shared" si="48"/>
        <v>#N/A</v>
      </c>
      <c r="Y32" s="61" t="e">
        <f t="shared" si="49"/>
        <v>#N/A</v>
      </c>
      <c r="Z32" s="61" t="e">
        <f t="shared" si="10"/>
        <v>#N/A</v>
      </c>
      <c r="AA32" s="270" t="e">
        <f t="shared" si="50"/>
        <v>#N/A</v>
      </c>
      <c r="AB32" s="270" t="e">
        <f t="shared" si="51"/>
        <v>#N/A</v>
      </c>
      <c r="AC32" s="61" t="e">
        <f t="shared" si="12"/>
        <v>#N/A</v>
      </c>
      <c r="AD32" s="61" t="e">
        <f t="shared" si="13"/>
        <v>#N/A</v>
      </c>
      <c r="AE32" s="61" t="e">
        <f t="shared" si="14"/>
        <v>#N/A</v>
      </c>
      <c r="AF32" s="61" t="e">
        <f t="shared" si="15"/>
        <v>#N/A</v>
      </c>
      <c r="AG32" s="61" t="e">
        <f t="shared" si="16"/>
        <v>#N/A</v>
      </c>
      <c r="AH32" s="61" t="e">
        <f t="shared" si="17"/>
        <v>#N/A</v>
      </c>
      <c r="AI32" s="61" t="e">
        <f t="shared" si="18"/>
        <v>#N/A</v>
      </c>
      <c r="AJ32" s="61" t="e">
        <f t="shared" si="19"/>
        <v>#N/A</v>
      </c>
      <c r="AK32" s="61" t="e">
        <f t="shared" si="20"/>
        <v>#N/A</v>
      </c>
      <c r="AL32" s="61" t="e">
        <f t="shared" si="21"/>
        <v>#N/A</v>
      </c>
      <c r="AM32" s="61" t="e">
        <f t="shared" si="22"/>
        <v>#N/A</v>
      </c>
      <c r="AN32" s="61" t="e">
        <f t="shared" si="23"/>
        <v>#N/A</v>
      </c>
      <c r="AO32" s="61" t="e">
        <f t="shared" si="52"/>
        <v>#N/A</v>
      </c>
      <c r="AP32" s="61" t="e">
        <f t="shared" si="53"/>
        <v>#N/A</v>
      </c>
      <c r="AQ32" s="247" t="e">
        <f t="shared" si="24"/>
        <v>#N/A</v>
      </c>
      <c r="AR32" s="247" t="e">
        <f t="shared" si="25"/>
        <v>#N/A</v>
      </c>
      <c r="AS32" s="247" t="e">
        <f t="shared" si="26"/>
        <v>#N/A</v>
      </c>
      <c r="AT32" s="196" t="e">
        <f t="shared" si="27"/>
        <v>#N/A</v>
      </c>
      <c r="AU32" s="196" t="e">
        <f>ROUND((VLOOKUP(A32,INPUT_RANGE,85,FALSE)/AS32)*('Team Info'!$H$25),2)</f>
        <v>#N/A</v>
      </c>
      <c r="AV32" s="8"/>
      <c r="AW32" s="197" t="e">
        <f t="shared" si="54"/>
        <v>#N/A</v>
      </c>
      <c r="AX32" s="197" t="e">
        <f t="shared" si="55"/>
        <v>#N/A</v>
      </c>
      <c r="AY32">
        <f t="shared" si="30"/>
        <v>0.44444444444444442</v>
      </c>
      <c r="AZ32" s="257" t="e">
        <f t="shared" si="56"/>
        <v>#N/A</v>
      </c>
      <c r="BA32" t="e">
        <f t="shared" si="57"/>
        <v>#N/A</v>
      </c>
      <c r="BB32" s="298" t="e">
        <f t="shared" si="31"/>
        <v>#N/A</v>
      </c>
      <c r="BC32" s="298" t="e">
        <f t="shared" si="32"/>
        <v>#N/A</v>
      </c>
      <c r="BD32" s="298" t="e">
        <f t="shared" si="33"/>
        <v>#N/A</v>
      </c>
      <c r="BE32" s="308" t="e">
        <f t="shared" si="59"/>
        <v>#N/A</v>
      </c>
      <c r="BF32" s="298" t="e">
        <f t="shared" si="58"/>
        <v>#N/A</v>
      </c>
      <c r="BG32" s="298" t="e">
        <f t="shared" si="35"/>
        <v>#N/A</v>
      </c>
      <c r="BH32" s="298" t="e">
        <f t="shared" si="36"/>
        <v>#N/A</v>
      </c>
      <c r="BI32" s="298" t="e">
        <f t="shared" si="37"/>
        <v>#N/A</v>
      </c>
      <c r="BJ32" s="297" t="e">
        <f t="shared" si="38"/>
        <v>#N/A</v>
      </c>
      <c r="BK32" s="297" t="e">
        <f t="shared" si="39"/>
        <v>#N/A</v>
      </c>
      <c r="BL32" s="297" t="e">
        <f t="shared" si="40"/>
        <v>#N/A</v>
      </c>
      <c r="BM32" s="297" t="e">
        <f t="shared" si="41"/>
        <v>#N/A</v>
      </c>
    </row>
    <row r="33" spans="1:65" x14ac:dyDescent="0.25">
      <c r="A33" s="30">
        <v>32</v>
      </c>
      <c r="B33" s="30">
        <v>32</v>
      </c>
      <c r="C33" s="58" t="str">
        <f>Roster!$X35</f>
        <v>- -</v>
      </c>
      <c r="D33" s="271" t="e">
        <f t="shared" si="42"/>
        <v>#N/A</v>
      </c>
      <c r="E33" s="245"/>
      <c r="F33" s="271" t="e">
        <f t="shared" si="43"/>
        <v>#N/A</v>
      </c>
      <c r="G33" s="245"/>
      <c r="H33" s="274" t="e">
        <f t="shared" si="44"/>
        <v>#N/A</v>
      </c>
      <c r="I33" s="245"/>
      <c r="J33" s="274" t="e">
        <f t="shared" si="45"/>
        <v>#N/A</v>
      </c>
      <c r="K33" s="62"/>
      <c r="L33" s="63"/>
      <c r="M33" s="194" t="e">
        <f t="shared" si="46"/>
        <v>#N/A</v>
      </c>
      <c r="N33" s="61" t="e">
        <f t="shared" si="0"/>
        <v>#N/A</v>
      </c>
      <c r="O33" s="61" t="e">
        <f t="shared" si="1"/>
        <v>#N/A</v>
      </c>
      <c r="P33" s="61" t="e">
        <f t="shared" si="2"/>
        <v>#N/A</v>
      </c>
      <c r="Q33" s="61" t="e">
        <f t="shared" si="3"/>
        <v>#N/A</v>
      </c>
      <c r="R33" s="61" t="e">
        <f t="shared" si="4"/>
        <v>#N/A</v>
      </c>
      <c r="S33" s="61" t="e">
        <f t="shared" si="5"/>
        <v>#N/A</v>
      </c>
      <c r="T33" s="61" t="e">
        <f t="shared" si="6"/>
        <v>#N/A</v>
      </c>
      <c r="U33" s="61" t="e">
        <f t="shared" si="7"/>
        <v>#N/A</v>
      </c>
      <c r="V33" s="61" t="e">
        <f t="shared" si="47"/>
        <v>#N/A</v>
      </c>
      <c r="X33" s="61" t="e">
        <f t="shared" si="48"/>
        <v>#N/A</v>
      </c>
      <c r="Y33" s="61" t="e">
        <f t="shared" si="49"/>
        <v>#N/A</v>
      </c>
      <c r="Z33" s="61" t="e">
        <f t="shared" si="10"/>
        <v>#N/A</v>
      </c>
      <c r="AA33" s="270" t="e">
        <f t="shared" si="50"/>
        <v>#N/A</v>
      </c>
      <c r="AB33" s="270" t="e">
        <f t="shared" si="51"/>
        <v>#N/A</v>
      </c>
      <c r="AC33" s="61" t="e">
        <f t="shared" si="12"/>
        <v>#N/A</v>
      </c>
      <c r="AD33" s="61" t="e">
        <f t="shared" si="13"/>
        <v>#N/A</v>
      </c>
      <c r="AE33" s="61" t="e">
        <f t="shared" si="14"/>
        <v>#N/A</v>
      </c>
      <c r="AF33" s="61" t="e">
        <f t="shared" si="15"/>
        <v>#N/A</v>
      </c>
      <c r="AG33" s="61" t="e">
        <f t="shared" si="16"/>
        <v>#N/A</v>
      </c>
      <c r="AH33" s="61" t="e">
        <f t="shared" si="17"/>
        <v>#N/A</v>
      </c>
      <c r="AI33" s="61" t="e">
        <f t="shared" si="18"/>
        <v>#N/A</v>
      </c>
      <c r="AJ33" s="61" t="e">
        <f t="shared" si="19"/>
        <v>#N/A</v>
      </c>
      <c r="AK33" s="61" t="e">
        <f t="shared" si="20"/>
        <v>#N/A</v>
      </c>
      <c r="AL33" s="61" t="e">
        <f t="shared" si="21"/>
        <v>#N/A</v>
      </c>
      <c r="AM33" s="61" t="e">
        <f t="shared" si="22"/>
        <v>#N/A</v>
      </c>
      <c r="AN33" s="61" t="e">
        <f t="shared" si="23"/>
        <v>#N/A</v>
      </c>
      <c r="AO33" s="61" t="e">
        <f t="shared" si="52"/>
        <v>#N/A</v>
      </c>
      <c r="AP33" s="61" t="e">
        <f t="shared" si="53"/>
        <v>#N/A</v>
      </c>
      <c r="AQ33" s="247" t="e">
        <f t="shared" si="24"/>
        <v>#N/A</v>
      </c>
      <c r="AR33" s="247" t="e">
        <f t="shared" si="25"/>
        <v>#N/A</v>
      </c>
      <c r="AS33" s="247" t="e">
        <f t="shared" si="26"/>
        <v>#N/A</v>
      </c>
      <c r="AT33" s="196" t="e">
        <f t="shared" si="27"/>
        <v>#N/A</v>
      </c>
      <c r="AU33" s="196" t="e">
        <f>ROUND((VLOOKUP(A33,INPUT_RANGE,85,FALSE)/AS33)*('Team Info'!$H$25),2)</f>
        <v>#N/A</v>
      </c>
      <c r="AV33" s="8"/>
      <c r="AW33" s="197" t="e">
        <f t="shared" si="54"/>
        <v>#N/A</v>
      </c>
      <c r="AX33" s="197" t="e">
        <f t="shared" si="55"/>
        <v>#N/A</v>
      </c>
      <c r="AY33">
        <f t="shared" si="30"/>
        <v>0.44444444444444442</v>
      </c>
      <c r="AZ33" s="257" t="e">
        <f t="shared" si="56"/>
        <v>#N/A</v>
      </c>
      <c r="BA33" t="e">
        <f t="shared" si="57"/>
        <v>#N/A</v>
      </c>
      <c r="BB33" s="298" t="e">
        <f t="shared" si="31"/>
        <v>#N/A</v>
      </c>
      <c r="BC33" s="298" t="e">
        <f t="shared" si="32"/>
        <v>#N/A</v>
      </c>
      <c r="BD33" s="298" t="e">
        <f t="shared" si="33"/>
        <v>#N/A</v>
      </c>
      <c r="BE33" s="308" t="e">
        <f t="shared" si="59"/>
        <v>#N/A</v>
      </c>
      <c r="BF33" s="298" t="e">
        <f t="shared" si="58"/>
        <v>#N/A</v>
      </c>
      <c r="BG33" s="298" t="e">
        <f t="shared" si="35"/>
        <v>#N/A</v>
      </c>
      <c r="BH33" s="298" t="e">
        <f t="shared" si="36"/>
        <v>#N/A</v>
      </c>
      <c r="BI33" s="298" t="e">
        <f t="shared" si="37"/>
        <v>#N/A</v>
      </c>
      <c r="BJ33" s="297" t="e">
        <f t="shared" si="38"/>
        <v>#N/A</v>
      </c>
      <c r="BK33" s="297" t="e">
        <f t="shared" si="39"/>
        <v>#N/A</v>
      </c>
      <c r="BL33" s="297" t="e">
        <f t="shared" si="40"/>
        <v>#N/A</v>
      </c>
      <c r="BM33" s="297" t="e">
        <f t="shared" si="41"/>
        <v>#N/A</v>
      </c>
    </row>
    <row r="34" spans="1:65" x14ac:dyDescent="0.25">
      <c r="A34" s="30">
        <v>33</v>
      </c>
      <c r="B34" s="30">
        <v>33</v>
      </c>
      <c r="C34" s="58" t="str">
        <f>Roster!$X36</f>
        <v>- -</v>
      </c>
      <c r="D34" s="271" t="e">
        <f t="shared" si="42"/>
        <v>#N/A</v>
      </c>
      <c r="E34" s="245"/>
      <c r="F34" s="271" t="e">
        <f t="shared" si="43"/>
        <v>#N/A</v>
      </c>
      <c r="G34" s="245"/>
      <c r="H34" s="274" t="e">
        <f t="shared" si="44"/>
        <v>#N/A</v>
      </c>
      <c r="I34" s="245"/>
      <c r="J34" s="274" t="e">
        <f t="shared" si="45"/>
        <v>#N/A</v>
      </c>
      <c r="K34" s="62"/>
      <c r="L34" s="63"/>
      <c r="M34" s="194" t="e">
        <f t="shared" si="46"/>
        <v>#N/A</v>
      </c>
      <c r="N34" s="61" t="e">
        <f t="shared" ref="N34:N65" si="60">VLOOKUP(A34,INPUT_RANGE,58,FALSE) &amp; " RBI"</f>
        <v>#N/A</v>
      </c>
      <c r="O34" s="61" t="e">
        <f t="shared" ref="O34:O65" si="61">VLOOKUP(A34,INPUT_RANGE,60,FALSE) &amp; " BB"</f>
        <v>#N/A</v>
      </c>
      <c r="P34" s="61" t="e">
        <f t="shared" ref="P34:P65" si="62">VLOOKUP(A34,INPUT_RANGE,61,FALSE) &amp; " K"</f>
        <v>#N/A</v>
      </c>
      <c r="Q34" s="61" t="e">
        <f t="shared" ref="Q34:Q65" si="63">VLOOKUP(A34,INPUT_RANGE,64,FALSE) &amp; " SB"</f>
        <v>#N/A</v>
      </c>
      <c r="R34" s="61" t="e">
        <f t="shared" ref="R34:R65" si="64">VLOOKUP(A34,INPUT_RANGE,55,FALSE) &amp; " 2B"</f>
        <v>#N/A</v>
      </c>
      <c r="S34" s="61" t="e">
        <f t="shared" ref="S34:S65" si="65">VLOOKUP(A34,INPUT_RANGE,56,FALSE) &amp; " 3B"</f>
        <v>#N/A</v>
      </c>
      <c r="T34" s="61" t="e">
        <f t="shared" ref="T34:T65" si="66">VLOOKUP(A34,INPUT_RANGE,57,FALSE) &amp; " HR"</f>
        <v>#N/A</v>
      </c>
      <c r="U34" s="61" t="e">
        <f t="shared" ref="U34:U65" si="67">VLOOKUP(A34,INPUT_RANGE,53,FALSE) &amp; " R"</f>
        <v>#N/A</v>
      </c>
      <c r="V34" s="61" t="e">
        <f t="shared" si="47"/>
        <v>#N/A</v>
      </c>
      <c r="X34" s="61" t="e">
        <f t="shared" si="48"/>
        <v>#N/A</v>
      </c>
      <c r="Y34" s="61" t="e">
        <f t="shared" si="49"/>
        <v>#N/A</v>
      </c>
      <c r="Z34" s="61" t="e">
        <f t="shared" ref="Z34:Z65" si="68">VLOOKUP(A34,INPUT_RANGE,82,FALSE) &amp; " IP"</f>
        <v>#N/A</v>
      </c>
      <c r="AA34" s="270" t="e">
        <f t="shared" si="50"/>
        <v>#N/A</v>
      </c>
      <c r="AB34" s="270" t="e">
        <f t="shared" si="51"/>
        <v>#N/A</v>
      </c>
      <c r="AC34" s="61" t="e">
        <f t="shared" ref="AC34:AC65" si="69">VLOOKUP(A34,INPUT_RANGE,79,FALSE) &amp; " CG"</f>
        <v>#N/A</v>
      </c>
      <c r="AD34" s="61" t="e">
        <f t="shared" ref="AD34:AD65" si="70">VLOOKUP(A34,INPUT_RANGE,80,FALSE) &amp; " SHO"</f>
        <v>#N/A</v>
      </c>
      <c r="AE34" s="61" t="e">
        <f t="shared" ref="AE34:AE65" si="71">VLOOKUP(A34,INPUT_RANGE,75,FALSE) &amp; " Win"</f>
        <v>#N/A</v>
      </c>
      <c r="AF34" s="61" t="e">
        <f t="shared" ref="AF34:AF65" si="72">VLOOKUP(A34,INPUT_RANGE,76,FALSE) &amp; " Loss"</f>
        <v>#N/A</v>
      </c>
      <c r="AG34" s="61" t="e">
        <f t="shared" ref="AG34:AG65" si="73">VLOOKUP(A34,INPUT_RANGE,75,FALSE) &amp; "-" &amp; VLOOKUP(A34,INPUT_RANGE,76,FALSE) &amp; " W-L"</f>
        <v>#N/A</v>
      </c>
      <c r="AH34" s="61" t="e">
        <f t="shared" ref="AH34:AH65" si="74">VLOOKUP(A34,INPUT_RANGE,81,FALSE)&amp; " Saves"</f>
        <v>#N/A</v>
      </c>
      <c r="AI34" s="61" t="e">
        <f t="shared" ref="AI34:AI65" si="75">VLOOKUP(A34,INPUT_RANGE,83,FALSE) &amp; " H"</f>
        <v>#N/A</v>
      </c>
      <c r="AJ34" s="61" t="e">
        <f t="shared" ref="AJ34:AJ65" si="76">VLOOKUP(A34,INPUT_RANGE,84,FALSE) &amp; " R"</f>
        <v>#N/A</v>
      </c>
      <c r="AK34" s="61" t="e">
        <f t="shared" ref="AK34:AK65" si="77">VLOOKUP(A34,INPUT_RANGE,85,FALSE) &amp;" ER"</f>
        <v>#N/A</v>
      </c>
      <c r="AL34" s="61" t="e">
        <f t="shared" ref="AL34:AL65" si="78">VLOOKUP(A34,INPUT_RANGE,88,FALSE) &amp;" HR"</f>
        <v>#N/A</v>
      </c>
      <c r="AM34" s="61" t="e">
        <f t="shared" ref="AM34:AM65" si="79">VLOOKUP(A34,INPUT_RANGE,87,FALSE) &amp; " K"</f>
        <v>#N/A</v>
      </c>
      <c r="AN34" s="61" t="e">
        <f t="shared" ref="AN34:AN65" si="80">VLOOKUP(A34,INPUT_RANGE,86,FALSE) &amp; " BB"</f>
        <v>#N/A</v>
      </c>
      <c r="AO34" s="61" t="e">
        <f t="shared" si="52"/>
        <v>#N/A</v>
      </c>
      <c r="AP34" s="61" t="e">
        <f t="shared" si="53"/>
        <v>#N/A</v>
      </c>
      <c r="AQ34" s="247" t="e">
        <f t="shared" si="24"/>
        <v>#N/A</v>
      </c>
      <c r="AR34" s="247" t="e">
        <f t="shared" si="25"/>
        <v>#N/A</v>
      </c>
      <c r="AS34" s="247" t="e">
        <f t="shared" si="26"/>
        <v>#N/A</v>
      </c>
      <c r="AT34" s="196" t="e">
        <f t="shared" ref="AT34:AT65" si="81">ROUND((VLOOKUP(A34,INPUT_RANGE,86,FALSE)+VLOOKUP(A34,INPUT_RANGE,83,FALSE))/AS34,2)</f>
        <v>#N/A</v>
      </c>
      <c r="AU34" s="196" t="e">
        <f>ROUND((VLOOKUP(A34,INPUT_RANGE,85,FALSE)/AS34)*('Team Info'!$H$25),2)</f>
        <v>#N/A</v>
      </c>
      <c r="AV34" s="8"/>
      <c r="AW34" s="197" t="e">
        <f t="shared" si="54"/>
        <v>#N/A</v>
      </c>
      <c r="AX34" s="197" t="e">
        <f t="shared" si="55"/>
        <v>#N/A</v>
      </c>
      <c r="AY34">
        <f t="shared" ref="AY34:AY65" si="82">(VLOOKUP(A34,INPUT_RANGE,54)+VLOOKUP(A34,INPUT_RANGE,55)+(VLOOKUP(A34,INPUT_RANGE,56)*2)+(VLOOKUP(A34,INPUT_RANGE,57)*3))/(VLOOKUP(A34,INPUT_RANGE,52))</f>
        <v>0.44444444444444442</v>
      </c>
      <c r="AZ34" s="257" t="e">
        <f t="shared" si="56"/>
        <v>#N/A</v>
      </c>
      <c r="BA34" t="e">
        <f t="shared" si="57"/>
        <v>#N/A</v>
      </c>
      <c r="BB34" s="298" t="e">
        <f t="shared" ref="BB34:BB65" si="83">VLOOKUP(A34,INPUT_RANGE,78,FALSE)</f>
        <v>#N/A</v>
      </c>
      <c r="BC34" s="298" t="e">
        <f t="shared" ref="BC34:BC65" si="84">VLOOKUP(A34,INPUT_RANGE,77,FALSE)</f>
        <v>#N/A</v>
      </c>
      <c r="BD34" s="298" t="e">
        <f t="shared" ref="BD34:BD65" si="85">VLOOKUP(A34,INPUT_RANGE,75,FALSE) &amp; "-" &amp; VLOOKUP(A34,INPUT_RANGE,76,FALSE)</f>
        <v>#N/A</v>
      </c>
      <c r="BE34" s="308" t="e">
        <f t="shared" si="59"/>
        <v>#N/A</v>
      </c>
      <c r="BF34" s="298" t="e">
        <f t="shared" si="58"/>
        <v>#N/A</v>
      </c>
      <c r="BG34" s="298" t="e">
        <f t="shared" ref="BG34:BG65" si="86">VLOOKUP(A34,INPUT_RANGE,86,FALSE)</f>
        <v>#N/A</v>
      </c>
      <c r="BH34" s="298" t="e">
        <f t="shared" ref="BH34:BH65" si="87">VLOOKUP(A34,INPUT_RANGE,87,FALSE)</f>
        <v>#N/A</v>
      </c>
      <c r="BI34" s="298" t="e">
        <f t="shared" ref="BI34:BI65" si="88">VLOOKUP(A34,INPUT_RANGE,81,FALSE) &amp; " SAVES"</f>
        <v>#N/A</v>
      </c>
      <c r="BJ34" s="297" t="e">
        <f t="shared" ref="BJ34:BJ65" si="89">VLOOKUP(A34,INPUT_RANGE,81,FALSE)</f>
        <v>#N/A</v>
      </c>
      <c r="BK34" s="297" t="e">
        <f t="shared" ref="BK34:BK65" si="90">VLOOKUP(A34,INPUT_RANGE,83,FALSE)</f>
        <v>#N/A</v>
      </c>
      <c r="BL34" s="297" t="e">
        <f t="shared" ref="BL34:BL65" si="91">VLOOKUP(A34,INPUT_RANGE,87,FALSE) &amp; "/" &amp; VLOOKUP(A34,INPUT_RANGE,86,FALSE)</f>
        <v>#N/A</v>
      </c>
      <c r="BM34" s="297" t="e">
        <f t="shared" ref="BM34:BM65" si="92">ROUND((VLOOKUP(A34,INPUT_RANGE,86,FALSE)+VLOOKUP(A34,INPUT_RANGE,83,FALSE))/AS34,2)</f>
        <v>#N/A</v>
      </c>
    </row>
    <row r="35" spans="1:65" x14ac:dyDescent="0.25">
      <c r="A35" s="30">
        <v>34</v>
      </c>
      <c r="B35" s="30">
        <v>34</v>
      </c>
      <c r="C35" s="58" t="str">
        <f>Roster!$X37</f>
        <v>- -</v>
      </c>
      <c r="D35" s="271" t="e">
        <f t="shared" si="42"/>
        <v>#N/A</v>
      </c>
      <c r="E35" s="245"/>
      <c r="F35" s="271" t="e">
        <f t="shared" si="43"/>
        <v>#N/A</v>
      </c>
      <c r="G35" s="245"/>
      <c r="H35" s="274" t="e">
        <f t="shared" si="44"/>
        <v>#N/A</v>
      </c>
      <c r="I35" s="245"/>
      <c r="J35" s="274" t="e">
        <f t="shared" si="45"/>
        <v>#N/A</v>
      </c>
      <c r="K35" s="62"/>
      <c r="L35" s="63"/>
      <c r="M35" s="194" t="e">
        <f t="shared" si="46"/>
        <v>#N/A</v>
      </c>
      <c r="N35" s="61" t="e">
        <f t="shared" si="60"/>
        <v>#N/A</v>
      </c>
      <c r="O35" s="61" t="e">
        <f t="shared" si="61"/>
        <v>#N/A</v>
      </c>
      <c r="P35" s="61" t="e">
        <f t="shared" si="62"/>
        <v>#N/A</v>
      </c>
      <c r="Q35" s="61" t="e">
        <f t="shared" si="63"/>
        <v>#N/A</v>
      </c>
      <c r="R35" s="61" t="e">
        <f t="shared" si="64"/>
        <v>#N/A</v>
      </c>
      <c r="S35" s="61" t="e">
        <f t="shared" si="65"/>
        <v>#N/A</v>
      </c>
      <c r="T35" s="61" t="e">
        <f t="shared" si="66"/>
        <v>#N/A</v>
      </c>
      <c r="U35" s="61" t="e">
        <f t="shared" si="67"/>
        <v>#N/A</v>
      </c>
      <c r="V35" s="61" t="e">
        <f t="shared" si="47"/>
        <v>#N/A</v>
      </c>
      <c r="X35" s="61" t="e">
        <f t="shared" si="48"/>
        <v>#N/A</v>
      </c>
      <c r="Y35" s="61" t="e">
        <f t="shared" si="49"/>
        <v>#N/A</v>
      </c>
      <c r="Z35" s="61" t="e">
        <f t="shared" si="68"/>
        <v>#N/A</v>
      </c>
      <c r="AA35" s="270" t="e">
        <f t="shared" si="50"/>
        <v>#N/A</v>
      </c>
      <c r="AB35" s="270" t="e">
        <f t="shared" si="51"/>
        <v>#N/A</v>
      </c>
      <c r="AC35" s="61" t="e">
        <f t="shared" si="69"/>
        <v>#N/A</v>
      </c>
      <c r="AD35" s="61" t="e">
        <f t="shared" si="70"/>
        <v>#N/A</v>
      </c>
      <c r="AE35" s="61" t="e">
        <f t="shared" si="71"/>
        <v>#N/A</v>
      </c>
      <c r="AF35" s="61" t="e">
        <f t="shared" si="72"/>
        <v>#N/A</v>
      </c>
      <c r="AG35" s="61" t="e">
        <f t="shared" si="73"/>
        <v>#N/A</v>
      </c>
      <c r="AH35" s="61" t="e">
        <f t="shared" si="74"/>
        <v>#N/A</v>
      </c>
      <c r="AI35" s="61" t="e">
        <f t="shared" si="75"/>
        <v>#N/A</v>
      </c>
      <c r="AJ35" s="61" t="e">
        <f t="shared" si="76"/>
        <v>#N/A</v>
      </c>
      <c r="AK35" s="61" t="e">
        <f t="shared" si="77"/>
        <v>#N/A</v>
      </c>
      <c r="AL35" s="61" t="e">
        <f t="shared" si="78"/>
        <v>#N/A</v>
      </c>
      <c r="AM35" s="61" t="e">
        <f t="shared" si="79"/>
        <v>#N/A</v>
      </c>
      <c r="AN35" s="61" t="e">
        <f t="shared" si="80"/>
        <v>#N/A</v>
      </c>
      <c r="AO35" s="61" t="e">
        <f t="shared" si="52"/>
        <v>#N/A</v>
      </c>
      <c r="AP35" s="61" t="e">
        <f t="shared" si="53"/>
        <v>#N/A</v>
      </c>
      <c r="AQ35" s="247" t="e">
        <f t="shared" si="24"/>
        <v>#N/A</v>
      </c>
      <c r="AR35" s="247" t="e">
        <f t="shared" si="25"/>
        <v>#N/A</v>
      </c>
      <c r="AS35" s="247" t="e">
        <f t="shared" si="26"/>
        <v>#N/A</v>
      </c>
      <c r="AT35" s="196" t="e">
        <f t="shared" si="81"/>
        <v>#N/A</v>
      </c>
      <c r="AU35" s="196" t="e">
        <f>ROUND((VLOOKUP(A35,INPUT_RANGE,85,FALSE)/AS35)*('Team Info'!$H$25),2)</f>
        <v>#N/A</v>
      </c>
      <c r="AV35" s="8"/>
      <c r="AW35" s="197" t="e">
        <f t="shared" si="54"/>
        <v>#N/A</v>
      </c>
      <c r="AX35" s="197" t="e">
        <f t="shared" si="55"/>
        <v>#N/A</v>
      </c>
      <c r="AY35">
        <f t="shared" si="82"/>
        <v>0.44444444444444442</v>
      </c>
      <c r="AZ35" s="257" t="e">
        <f t="shared" si="56"/>
        <v>#N/A</v>
      </c>
      <c r="BA35" t="e">
        <f t="shared" si="57"/>
        <v>#N/A</v>
      </c>
      <c r="BB35" s="298" t="e">
        <f t="shared" si="83"/>
        <v>#N/A</v>
      </c>
      <c r="BC35" s="298" t="e">
        <f t="shared" si="84"/>
        <v>#N/A</v>
      </c>
      <c r="BD35" s="298" t="e">
        <f t="shared" si="85"/>
        <v>#N/A</v>
      </c>
      <c r="BE35" s="308" t="e">
        <f t="shared" si="59"/>
        <v>#N/A</v>
      </c>
      <c r="BF35" s="298" t="e">
        <f t="shared" si="58"/>
        <v>#N/A</v>
      </c>
      <c r="BG35" s="298" t="e">
        <f t="shared" si="86"/>
        <v>#N/A</v>
      </c>
      <c r="BH35" s="298" t="e">
        <f t="shared" si="87"/>
        <v>#N/A</v>
      </c>
      <c r="BI35" s="298" t="e">
        <f t="shared" si="88"/>
        <v>#N/A</v>
      </c>
      <c r="BJ35" s="297" t="e">
        <f t="shared" si="89"/>
        <v>#N/A</v>
      </c>
      <c r="BK35" s="297" t="e">
        <f t="shared" si="90"/>
        <v>#N/A</v>
      </c>
      <c r="BL35" s="297" t="e">
        <f t="shared" si="91"/>
        <v>#N/A</v>
      </c>
      <c r="BM35" s="297" t="e">
        <f t="shared" si="92"/>
        <v>#N/A</v>
      </c>
    </row>
    <row r="36" spans="1:65" x14ac:dyDescent="0.25">
      <c r="A36" s="30">
        <v>35</v>
      </c>
      <c r="B36" s="30">
        <v>35</v>
      </c>
      <c r="C36" s="58" t="str">
        <f>Roster!$X38</f>
        <v>- -</v>
      </c>
      <c r="D36" s="271" t="e">
        <f t="shared" si="42"/>
        <v>#N/A</v>
      </c>
      <c r="E36" s="245"/>
      <c r="F36" s="271" t="e">
        <f t="shared" si="43"/>
        <v>#N/A</v>
      </c>
      <c r="G36" s="245"/>
      <c r="H36" s="274" t="e">
        <f t="shared" si="44"/>
        <v>#N/A</v>
      </c>
      <c r="I36" s="245"/>
      <c r="J36" s="274" t="e">
        <f t="shared" si="45"/>
        <v>#N/A</v>
      </c>
      <c r="K36" s="62"/>
      <c r="L36" s="63"/>
      <c r="M36" s="194" t="e">
        <f t="shared" si="46"/>
        <v>#N/A</v>
      </c>
      <c r="N36" s="61" t="e">
        <f t="shared" si="60"/>
        <v>#N/A</v>
      </c>
      <c r="O36" s="61" t="e">
        <f t="shared" si="61"/>
        <v>#N/A</v>
      </c>
      <c r="P36" s="61" t="e">
        <f t="shared" si="62"/>
        <v>#N/A</v>
      </c>
      <c r="Q36" s="61" t="e">
        <f t="shared" si="63"/>
        <v>#N/A</v>
      </c>
      <c r="R36" s="61" t="e">
        <f t="shared" si="64"/>
        <v>#N/A</v>
      </c>
      <c r="S36" s="61" t="e">
        <f t="shared" si="65"/>
        <v>#N/A</v>
      </c>
      <c r="T36" s="61" t="e">
        <f t="shared" si="66"/>
        <v>#N/A</v>
      </c>
      <c r="U36" s="61" t="e">
        <f t="shared" si="67"/>
        <v>#N/A</v>
      </c>
      <c r="V36" s="61" t="e">
        <f t="shared" si="47"/>
        <v>#N/A</v>
      </c>
      <c r="X36" s="61" t="e">
        <f t="shared" si="48"/>
        <v>#N/A</v>
      </c>
      <c r="Y36" s="61" t="e">
        <f t="shared" si="49"/>
        <v>#N/A</v>
      </c>
      <c r="Z36" s="61" t="e">
        <f t="shared" si="68"/>
        <v>#N/A</v>
      </c>
      <c r="AA36" s="270" t="e">
        <f t="shared" si="50"/>
        <v>#N/A</v>
      </c>
      <c r="AB36" s="270" t="e">
        <f t="shared" si="51"/>
        <v>#N/A</v>
      </c>
      <c r="AC36" s="61" t="e">
        <f t="shared" si="69"/>
        <v>#N/A</v>
      </c>
      <c r="AD36" s="61" t="e">
        <f t="shared" si="70"/>
        <v>#N/A</v>
      </c>
      <c r="AE36" s="61" t="e">
        <f t="shared" si="71"/>
        <v>#N/A</v>
      </c>
      <c r="AF36" s="61" t="e">
        <f t="shared" si="72"/>
        <v>#N/A</v>
      </c>
      <c r="AG36" s="61" t="e">
        <f t="shared" si="73"/>
        <v>#N/A</v>
      </c>
      <c r="AH36" s="61" t="e">
        <f t="shared" si="74"/>
        <v>#N/A</v>
      </c>
      <c r="AI36" s="61" t="e">
        <f t="shared" si="75"/>
        <v>#N/A</v>
      </c>
      <c r="AJ36" s="61" t="e">
        <f t="shared" si="76"/>
        <v>#N/A</v>
      </c>
      <c r="AK36" s="61" t="e">
        <f t="shared" si="77"/>
        <v>#N/A</v>
      </c>
      <c r="AL36" s="61" t="e">
        <f t="shared" si="78"/>
        <v>#N/A</v>
      </c>
      <c r="AM36" s="61" t="e">
        <f t="shared" si="79"/>
        <v>#N/A</v>
      </c>
      <c r="AN36" s="61" t="e">
        <f t="shared" si="80"/>
        <v>#N/A</v>
      </c>
      <c r="AO36" s="61" t="e">
        <f t="shared" si="52"/>
        <v>#N/A</v>
      </c>
      <c r="AP36" s="61" t="e">
        <f t="shared" si="53"/>
        <v>#N/A</v>
      </c>
      <c r="AQ36" s="247" t="e">
        <f t="shared" si="24"/>
        <v>#N/A</v>
      </c>
      <c r="AR36" s="247" t="e">
        <f t="shared" si="25"/>
        <v>#N/A</v>
      </c>
      <c r="AS36" s="247" t="e">
        <f t="shared" si="26"/>
        <v>#N/A</v>
      </c>
      <c r="AT36" s="196" t="e">
        <f t="shared" si="81"/>
        <v>#N/A</v>
      </c>
      <c r="AU36" s="196" t="e">
        <f>ROUND((VLOOKUP(A36,INPUT_RANGE,85,FALSE)/AS36)*('Team Info'!$H$25),2)</f>
        <v>#N/A</v>
      </c>
      <c r="AV36" s="8"/>
      <c r="AW36" s="197" t="e">
        <f t="shared" si="54"/>
        <v>#N/A</v>
      </c>
      <c r="AX36" s="197" t="e">
        <f t="shared" si="55"/>
        <v>#N/A</v>
      </c>
      <c r="AY36">
        <f t="shared" si="82"/>
        <v>0.44444444444444442</v>
      </c>
      <c r="AZ36" s="257" t="e">
        <f t="shared" si="56"/>
        <v>#N/A</v>
      </c>
      <c r="BA36" t="e">
        <f t="shared" si="57"/>
        <v>#N/A</v>
      </c>
      <c r="BB36" s="298" t="e">
        <f t="shared" si="83"/>
        <v>#N/A</v>
      </c>
      <c r="BC36" s="298" t="e">
        <f t="shared" si="84"/>
        <v>#N/A</v>
      </c>
      <c r="BD36" s="298" t="e">
        <f t="shared" si="85"/>
        <v>#N/A</v>
      </c>
      <c r="BE36" s="308" t="e">
        <f t="shared" si="59"/>
        <v>#N/A</v>
      </c>
      <c r="BF36" s="298" t="e">
        <f t="shared" si="58"/>
        <v>#N/A</v>
      </c>
      <c r="BG36" s="298" t="e">
        <f t="shared" si="86"/>
        <v>#N/A</v>
      </c>
      <c r="BH36" s="298" t="e">
        <f t="shared" si="87"/>
        <v>#N/A</v>
      </c>
      <c r="BI36" s="298" t="e">
        <f t="shared" si="88"/>
        <v>#N/A</v>
      </c>
      <c r="BJ36" s="297" t="e">
        <f t="shared" si="89"/>
        <v>#N/A</v>
      </c>
      <c r="BK36" s="297" t="e">
        <f t="shared" si="90"/>
        <v>#N/A</v>
      </c>
      <c r="BL36" s="297" t="e">
        <f t="shared" si="91"/>
        <v>#N/A</v>
      </c>
      <c r="BM36" s="297" t="e">
        <f t="shared" si="92"/>
        <v>#N/A</v>
      </c>
    </row>
    <row r="37" spans="1:65" x14ac:dyDescent="0.25">
      <c r="A37" s="30">
        <v>36</v>
      </c>
      <c r="B37" s="30">
        <v>36</v>
      </c>
      <c r="C37" s="58" t="str">
        <f>Roster!$X39</f>
        <v>- -</v>
      </c>
      <c r="D37" s="271" t="e">
        <f t="shared" si="42"/>
        <v>#N/A</v>
      </c>
      <c r="E37" s="245"/>
      <c r="F37" s="271" t="e">
        <f t="shared" si="43"/>
        <v>#N/A</v>
      </c>
      <c r="G37" s="245"/>
      <c r="H37" s="274" t="e">
        <f t="shared" si="44"/>
        <v>#N/A</v>
      </c>
      <c r="I37" s="245"/>
      <c r="J37" s="274" t="e">
        <f t="shared" si="45"/>
        <v>#N/A</v>
      </c>
      <c r="K37" s="62"/>
      <c r="L37" s="63"/>
      <c r="M37" s="194" t="e">
        <f t="shared" si="46"/>
        <v>#N/A</v>
      </c>
      <c r="N37" s="61" t="e">
        <f t="shared" si="60"/>
        <v>#N/A</v>
      </c>
      <c r="O37" s="61" t="e">
        <f t="shared" si="61"/>
        <v>#N/A</v>
      </c>
      <c r="P37" s="61" t="e">
        <f t="shared" si="62"/>
        <v>#N/A</v>
      </c>
      <c r="Q37" s="61" t="e">
        <f t="shared" si="63"/>
        <v>#N/A</v>
      </c>
      <c r="R37" s="61" t="e">
        <f t="shared" si="64"/>
        <v>#N/A</v>
      </c>
      <c r="S37" s="61" t="e">
        <f t="shared" si="65"/>
        <v>#N/A</v>
      </c>
      <c r="T37" s="61" t="e">
        <f t="shared" si="66"/>
        <v>#N/A</v>
      </c>
      <c r="U37" s="61" t="e">
        <f t="shared" si="67"/>
        <v>#N/A</v>
      </c>
      <c r="V37" s="61" t="e">
        <f t="shared" si="47"/>
        <v>#N/A</v>
      </c>
      <c r="X37" s="61" t="e">
        <f t="shared" si="48"/>
        <v>#N/A</v>
      </c>
      <c r="Y37" s="61" t="e">
        <f t="shared" si="49"/>
        <v>#N/A</v>
      </c>
      <c r="Z37" s="61" t="e">
        <f t="shared" si="68"/>
        <v>#N/A</v>
      </c>
      <c r="AA37" s="270" t="e">
        <f t="shared" si="50"/>
        <v>#N/A</v>
      </c>
      <c r="AB37" s="270" t="e">
        <f t="shared" si="51"/>
        <v>#N/A</v>
      </c>
      <c r="AC37" s="61" t="e">
        <f t="shared" si="69"/>
        <v>#N/A</v>
      </c>
      <c r="AD37" s="61" t="e">
        <f t="shared" si="70"/>
        <v>#N/A</v>
      </c>
      <c r="AE37" s="61" t="e">
        <f t="shared" si="71"/>
        <v>#N/A</v>
      </c>
      <c r="AF37" s="61" t="e">
        <f t="shared" si="72"/>
        <v>#N/A</v>
      </c>
      <c r="AG37" s="61" t="e">
        <f t="shared" si="73"/>
        <v>#N/A</v>
      </c>
      <c r="AH37" s="61" t="e">
        <f t="shared" si="74"/>
        <v>#N/A</v>
      </c>
      <c r="AI37" s="61" t="e">
        <f t="shared" si="75"/>
        <v>#N/A</v>
      </c>
      <c r="AJ37" s="61" t="e">
        <f t="shared" si="76"/>
        <v>#N/A</v>
      </c>
      <c r="AK37" s="61" t="e">
        <f t="shared" si="77"/>
        <v>#N/A</v>
      </c>
      <c r="AL37" s="61" t="e">
        <f t="shared" si="78"/>
        <v>#N/A</v>
      </c>
      <c r="AM37" s="61" t="e">
        <f t="shared" si="79"/>
        <v>#N/A</v>
      </c>
      <c r="AN37" s="61" t="e">
        <f t="shared" si="80"/>
        <v>#N/A</v>
      </c>
      <c r="AO37" s="61" t="e">
        <f t="shared" si="52"/>
        <v>#N/A</v>
      </c>
      <c r="AP37" s="61" t="e">
        <f t="shared" si="53"/>
        <v>#N/A</v>
      </c>
      <c r="AQ37" s="247" t="e">
        <f t="shared" si="24"/>
        <v>#N/A</v>
      </c>
      <c r="AR37" s="247" t="e">
        <f t="shared" si="25"/>
        <v>#N/A</v>
      </c>
      <c r="AS37" s="247" t="e">
        <f t="shared" si="26"/>
        <v>#N/A</v>
      </c>
      <c r="AT37" s="196" t="e">
        <f t="shared" si="81"/>
        <v>#N/A</v>
      </c>
      <c r="AU37" s="196" t="e">
        <f>ROUND((VLOOKUP(A37,INPUT_RANGE,85,FALSE)/AS37)*('Team Info'!$H$25),2)</f>
        <v>#N/A</v>
      </c>
      <c r="AV37" s="8"/>
      <c r="AW37" s="197" t="e">
        <f t="shared" si="54"/>
        <v>#N/A</v>
      </c>
      <c r="AX37" s="197" t="e">
        <f t="shared" si="55"/>
        <v>#N/A</v>
      </c>
      <c r="AY37">
        <f t="shared" si="82"/>
        <v>0.44444444444444442</v>
      </c>
      <c r="AZ37" s="257" t="e">
        <f t="shared" si="56"/>
        <v>#N/A</v>
      </c>
      <c r="BA37" t="e">
        <f t="shared" si="57"/>
        <v>#N/A</v>
      </c>
      <c r="BB37" s="298" t="e">
        <f t="shared" si="83"/>
        <v>#N/A</v>
      </c>
      <c r="BC37" s="298" t="e">
        <f t="shared" si="84"/>
        <v>#N/A</v>
      </c>
      <c r="BD37" s="298" t="e">
        <f t="shared" si="85"/>
        <v>#N/A</v>
      </c>
      <c r="BE37" s="308" t="e">
        <f t="shared" si="59"/>
        <v>#N/A</v>
      </c>
      <c r="BF37" s="298" t="e">
        <f t="shared" si="58"/>
        <v>#N/A</v>
      </c>
      <c r="BG37" s="298" t="e">
        <f t="shared" si="86"/>
        <v>#N/A</v>
      </c>
      <c r="BH37" s="298" t="e">
        <f t="shared" si="87"/>
        <v>#N/A</v>
      </c>
      <c r="BI37" s="298" t="e">
        <f t="shared" si="88"/>
        <v>#N/A</v>
      </c>
      <c r="BJ37" s="297" t="e">
        <f t="shared" si="89"/>
        <v>#N/A</v>
      </c>
      <c r="BK37" s="297" t="e">
        <f t="shared" si="90"/>
        <v>#N/A</v>
      </c>
      <c r="BL37" s="297" t="e">
        <f t="shared" si="91"/>
        <v>#N/A</v>
      </c>
      <c r="BM37" s="297" t="e">
        <f t="shared" si="92"/>
        <v>#N/A</v>
      </c>
    </row>
    <row r="38" spans="1:65" x14ac:dyDescent="0.25">
      <c r="A38" s="30">
        <v>37</v>
      </c>
      <c r="B38" s="30">
        <v>37</v>
      </c>
      <c r="C38" s="58" t="str">
        <f>Roster!$X40</f>
        <v>- -</v>
      </c>
      <c r="D38" s="271" t="e">
        <f t="shared" si="42"/>
        <v>#N/A</v>
      </c>
      <c r="E38" s="245"/>
      <c r="F38" s="271" t="e">
        <f t="shared" si="43"/>
        <v>#N/A</v>
      </c>
      <c r="G38" s="245"/>
      <c r="H38" s="274" t="e">
        <f t="shared" si="44"/>
        <v>#N/A</v>
      </c>
      <c r="I38" s="245"/>
      <c r="J38" s="274" t="e">
        <f t="shared" si="45"/>
        <v>#N/A</v>
      </c>
      <c r="K38" s="62"/>
      <c r="L38" s="63"/>
      <c r="M38" s="194" t="e">
        <f t="shared" si="46"/>
        <v>#N/A</v>
      </c>
      <c r="N38" s="61" t="e">
        <f t="shared" si="60"/>
        <v>#N/A</v>
      </c>
      <c r="O38" s="61" t="e">
        <f t="shared" si="61"/>
        <v>#N/A</v>
      </c>
      <c r="P38" s="61" t="e">
        <f t="shared" si="62"/>
        <v>#N/A</v>
      </c>
      <c r="Q38" s="61" t="e">
        <f t="shared" si="63"/>
        <v>#N/A</v>
      </c>
      <c r="R38" s="61" t="e">
        <f t="shared" si="64"/>
        <v>#N/A</v>
      </c>
      <c r="S38" s="61" t="e">
        <f t="shared" si="65"/>
        <v>#N/A</v>
      </c>
      <c r="T38" s="61" t="e">
        <f t="shared" si="66"/>
        <v>#N/A</v>
      </c>
      <c r="U38" s="61" t="e">
        <f t="shared" si="67"/>
        <v>#N/A</v>
      </c>
      <c r="V38" s="61" t="e">
        <f t="shared" si="47"/>
        <v>#N/A</v>
      </c>
      <c r="X38" s="61" t="e">
        <f t="shared" si="48"/>
        <v>#N/A</v>
      </c>
      <c r="Y38" s="61" t="e">
        <f t="shared" si="49"/>
        <v>#N/A</v>
      </c>
      <c r="Z38" s="61" t="e">
        <f t="shared" si="68"/>
        <v>#N/A</v>
      </c>
      <c r="AA38" s="270" t="e">
        <f t="shared" si="50"/>
        <v>#N/A</v>
      </c>
      <c r="AB38" s="270" t="e">
        <f t="shared" si="51"/>
        <v>#N/A</v>
      </c>
      <c r="AC38" s="61" t="e">
        <f t="shared" si="69"/>
        <v>#N/A</v>
      </c>
      <c r="AD38" s="61" t="e">
        <f t="shared" si="70"/>
        <v>#N/A</v>
      </c>
      <c r="AE38" s="61" t="e">
        <f t="shared" si="71"/>
        <v>#N/A</v>
      </c>
      <c r="AF38" s="61" t="e">
        <f t="shared" si="72"/>
        <v>#N/A</v>
      </c>
      <c r="AG38" s="61" t="e">
        <f t="shared" si="73"/>
        <v>#N/A</v>
      </c>
      <c r="AH38" s="61" t="e">
        <f t="shared" si="74"/>
        <v>#N/A</v>
      </c>
      <c r="AI38" s="61" t="e">
        <f t="shared" si="75"/>
        <v>#N/A</v>
      </c>
      <c r="AJ38" s="61" t="e">
        <f t="shared" si="76"/>
        <v>#N/A</v>
      </c>
      <c r="AK38" s="61" t="e">
        <f t="shared" si="77"/>
        <v>#N/A</v>
      </c>
      <c r="AL38" s="61" t="e">
        <f t="shared" si="78"/>
        <v>#N/A</v>
      </c>
      <c r="AM38" s="61" t="e">
        <f t="shared" si="79"/>
        <v>#N/A</v>
      </c>
      <c r="AN38" s="61" t="e">
        <f t="shared" si="80"/>
        <v>#N/A</v>
      </c>
      <c r="AO38" s="61" t="e">
        <f t="shared" si="52"/>
        <v>#N/A</v>
      </c>
      <c r="AP38" s="61" t="e">
        <f t="shared" si="53"/>
        <v>#N/A</v>
      </c>
      <c r="AQ38" s="247" t="e">
        <f t="shared" si="24"/>
        <v>#N/A</v>
      </c>
      <c r="AR38" s="247" t="e">
        <f t="shared" si="25"/>
        <v>#N/A</v>
      </c>
      <c r="AS38" s="247" t="e">
        <f t="shared" si="26"/>
        <v>#N/A</v>
      </c>
      <c r="AT38" s="196" t="e">
        <f t="shared" si="81"/>
        <v>#N/A</v>
      </c>
      <c r="AU38" s="196" t="e">
        <f>ROUND((VLOOKUP(A38,INPUT_RANGE,85,FALSE)/AS38)*('Team Info'!$H$25),2)</f>
        <v>#N/A</v>
      </c>
      <c r="AV38" s="8"/>
      <c r="AW38" s="197" t="e">
        <f t="shared" si="54"/>
        <v>#N/A</v>
      </c>
      <c r="AX38" s="197" t="e">
        <f t="shared" si="55"/>
        <v>#N/A</v>
      </c>
      <c r="AY38">
        <f t="shared" si="82"/>
        <v>0.44444444444444442</v>
      </c>
      <c r="AZ38" s="257" t="e">
        <f t="shared" si="56"/>
        <v>#N/A</v>
      </c>
      <c r="BA38" t="e">
        <f t="shared" si="57"/>
        <v>#N/A</v>
      </c>
      <c r="BB38" s="298" t="e">
        <f t="shared" si="83"/>
        <v>#N/A</v>
      </c>
      <c r="BC38" s="298" t="e">
        <f t="shared" si="84"/>
        <v>#N/A</v>
      </c>
      <c r="BD38" s="298" t="e">
        <f t="shared" si="85"/>
        <v>#N/A</v>
      </c>
      <c r="BE38" s="308" t="e">
        <f t="shared" si="59"/>
        <v>#N/A</v>
      </c>
      <c r="BF38" s="298" t="e">
        <f t="shared" si="58"/>
        <v>#N/A</v>
      </c>
      <c r="BG38" s="298" t="e">
        <f t="shared" si="86"/>
        <v>#N/A</v>
      </c>
      <c r="BH38" s="298" t="e">
        <f t="shared" si="87"/>
        <v>#N/A</v>
      </c>
      <c r="BI38" s="298" t="e">
        <f t="shared" si="88"/>
        <v>#N/A</v>
      </c>
      <c r="BJ38" s="297" t="e">
        <f t="shared" si="89"/>
        <v>#N/A</v>
      </c>
      <c r="BK38" s="297" t="e">
        <f t="shared" si="90"/>
        <v>#N/A</v>
      </c>
      <c r="BL38" s="297" t="e">
        <f t="shared" si="91"/>
        <v>#N/A</v>
      </c>
      <c r="BM38" s="297" t="e">
        <f t="shared" si="92"/>
        <v>#N/A</v>
      </c>
    </row>
    <row r="39" spans="1:65" x14ac:dyDescent="0.25">
      <c r="A39" s="30">
        <v>38</v>
      </c>
      <c r="B39" s="30">
        <v>38</v>
      </c>
      <c r="C39" s="58" t="str">
        <f>Roster!$X41</f>
        <v>- -</v>
      </c>
      <c r="D39" s="271" t="e">
        <f t="shared" si="42"/>
        <v>#N/A</v>
      </c>
      <c r="E39" s="245"/>
      <c r="F39" s="271" t="e">
        <f t="shared" si="43"/>
        <v>#N/A</v>
      </c>
      <c r="G39" s="245"/>
      <c r="H39" s="274" t="e">
        <f t="shared" si="44"/>
        <v>#N/A</v>
      </c>
      <c r="I39" s="245"/>
      <c r="J39" s="274" t="e">
        <f t="shared" si="45"/>
        <v>#N/A</v>
      </c>
      <c r="K39" s="62"/>
      <c r="L39" s="63"/>
      <c r="M39" s="194" t="e">
        <f t="shared" si="46"/>
        <v>#N/A</v>
      </c>
      <c r="N39" s="61" t="e">
        <f t="shared" si="60"/>
        <v>#N/A</v>
      </c>
      <c r="O39" s="61" t="e">
        <f t="shared" si="61"/>
        <v>#N/A</v>
      </c>
      <c r="P39" s="61" t="e">
        <f t="shared" si="62"/>
        <v>#N/A</v>
      </c>
      <c r="Q39" s="61" t="e">
        <f t="shared" si="63"/>
        <v>#N/A</v>
      </c>
      <c r="R39" s="61" t="e">
        <f t="shared" si="64"/>
        <v>#N/A</v>
      </c>
      <c r="S39" s="61" t="e">
        <f t="shared" si="65"/>
        <v>#N/A</v>
      </c>
      <c r="T39" s="61" t="e">
        <f t="shared" si="66"/>
        <v>#N/A</v>
      </c>
      <c r="U39" s="61" t="e">
        <f t="shared" si="67"/>
        <v>#N/A</v>
      </c>
      <c r="V39" s="61" t="e">
        <f t="shared" si="47"/>
        <v>#N/A</v>
      </c>
      <c r="X39" s="61" t="e">
        <f t="shared" si="48"/>
        <v>#N/A</v>
      </c>
      <c r="Y39" s="61" t="e">
        <f t="shared" si="49"/>
        <v>#N/A</v>
      </c>
      <c r="Z39" s="61" t="e">
        <f t="shared" si="68"/>
        <v>#N/A</v>
      </c>
      <c r="AA39" s="270" t="e">
        <f t="shared" si="50"/>
        <v>#N/A</v>
      </c>
      <c r="AB39" s="270" t="e">
        <f t="shared" si="51"/>
        <v>#N/A</v>
      </c>
      <c r="AC39" s="61" t="e">
        <f t="shared" si="69"/>
        <v>#N/A</v>
      </c>
      <c r="AD39" s="61" t="e">
        <f t="shared" si="70"/>
        <v>#N/A</v>
      </c>
      <c r="AE39" s="61" t="e">
        <f t="shared" si="71"/>
        <v>#N/A</v>
      </c>
      <c r="AF39" s="61" t="e">
        <f t="shared" si="72"/>
        <v>#N/A</v>
      </c>
      <c r="AG39" s="61" t="e">
        <f t="shared" si="73"/>
        <v>#N/A</v>
      </c>
      <c r="AH39" s="61" t="e">
        <f t="shared" si="74"/>
        <v>#N/A</v>
      </c>
      <c r="AI39" s="61" t="e">
        <f t="shared" si="75"/>
        <v>#N/A</v>
      </c>
      <c r="AJ39" s="61" t="e">
        <f t="shared" si="76"/>
        <v>#N/A</v>
      </c>
      <c r="AK39" s="61" t="e">
        <f t="shared" si="77"/>
        <v>#N/A</v>
      </c>
      <c r="AL39" s="61" t="e">
        <f t="shared" si="78"/>
        <v>#N/A</v>
      </c>
      <c r="AM39" s="61" t="e">
        <f t="shared" si="79"/>
        <v>#N/A</v>
      </c>
      <c r="AN39" s="61" t="e">
        <f t="shared" si="80"/>
        <v>#N/A</v>
      </c>
      <c r="AO39" s="61" t="e">
        <f t="shared" si="52"/>
        <v>#N/A</v>
      </c>
      <c r="AP39" s="61" t="e">
        <f t="shared" si="53"/>
        <v>#N/A</v>
      </c>
      <c r="AQ39" s="247" t="e">
        <f t="shared" si="24"/>
        <v>#N/A</v>
      </c>
      <c r="AR39" s="247" t="e">
        <f t="shared" si="25"/>
        <v>#N/A</v>
      </c>
      <c r="AS39" s="247" t="e">
        <f t="shared" si="26"/>
        <v>#N/A</v>
      </c>
      <c r="AT39" s="196" t="e">
        <f t="shared" si="81"/>
        <v>#N/A</v>
      </c>
      <c r="AU39" s="196" t="e">
        <f>ROUND((VLOOKUP(A39,INPUT_RANGE,85,FALSE)/AS39)*('Team Info'!$H$25),2)</f>
        <v>#N/A</v>
      </c>
      <c r="AV39" s="8"/>
      <c r="AW39" s="197" t="e">
        <f t="shared" si="54"/>
        <v>#N/A</v>
      </c>
      <c r="AX39" s="197" t="e">
        <f t="shared" si="55"/>
        <v>#N/A</v>
      </c>
      <c r="AY39">
        <f t="shared" si="82"/>
        <v>0.44444444444444442</v>
      </c>
      <c r="AZ39" s="257" t="e">
        <f t="shared" si="56"/>
        <v>#N/A</v>
      </c>
      <c r="BA39" t="e">
        <f t="shared" si="57"/>
        <v>#N/A</v>
      </c>
      <c r="BB39" s="298" t="e">
        <f t="shared" si="83"/>
        <v>#N/A</v>
      </c>
      <c r="BC39" s="298" t="e">
        <f t="shared" si="84"/>
        <v>#N/A</v>
      </c>
      <c r="BD39" s="298" t="e">
        <f t="shared" si="85"/>
        <v>#N/A</v>
      </c>
      <c r="BE39" s="308" t="e">
        <f t="shared" si="59"/>
        <v>#N/A</v>
      </c>
      <c r="BF39" s="298" t="e">
        <f t="shared" si="58"/>
        <v>#N/A</v>
      </c>
      <c r="BG39" s="298" t="e">
        <f t="shared" si="86"/>
        <v>#N/A</v>
      </c>
      <c r="BH39" s="298" t="e">
        <f t="shared" si="87"/>
        <v>#N/A</v>
      </c>
      <c r="BI39" s="298" t="e">
        <f t="shared" si="88"/>
        <v>#N/A</v>
      </c>
      <c r="BJ39" s="297" t="e">
        <f t="shared" si="89"/>
        <v>#N/A</v>
      </c>
      <c r="BK39" s="297" t="e">
        <f t="shared" si="90"/>
        <v>#N/A</v>
      </c>
      <c r="BL39" s="297" t="e">
        <f t="shared" si="91"/>
        <v>#N/A</v>
      </c>
      <c r="BM39" s="297" t="e">
        <f t="shared" si="92"/>
        <v>#N/A</v>
      </c>
    </row>
    <row r="40" spans="1:65" x14ac:dyDescent="0.25">
      <c r="A40" s="30">
        <v>39</v>
      </c>
      <c r="B40" s="30">
        <v>39</v>
      </c>
      <c r="C40" s="58" t="str">
        <f>Roster!$X42</f>
        <v>- -</v>
      </c>
      <c r="D40" s="271" t="e">
        <f t="shared" si="42"/>
        <v>#N/A</v>
      </c>
      <c r="E40" s="245"/>
      <c r="F40" s="271" t="e">
        <f t="shared" si="43"/>
        <v>#N/A</v>
      </c>
      <c r="G40" s="245"/>
      <c r="H40" s="274" t="e">
        <f t="shared" si="44"/>
        <v>#N/A</v>
      </c>
      <c r="I40" s="245"/>
      <c r="J40" s="274" t="e">
        <f t="shared" si="45"/>
        <v>#N/A</v>
      </c>
      <c r="K40" s="62"/>
      <c r="L40" s="63"/>
      <c r="M40" s="194" t="e">
        <f t="shared" si="46"/>
        <v>#N/A</v>
      </c>
      <c r="N40" s="61" t="e">
        <f t="shared" si="60"/>
        <v>#N/A</v>
      </c>
      <c r="O40" s="61" t="e">
        <f t="shared" si="61"/>
        <v>#N/A</v>
      </c>
      <c r="P40" s="61" t="e">
        <f t="shared" si="62"/>
        <v>#N/A</v>
      </c>
      <c r="Q40" s="61" t="e">
        <f t="shared" si="63"/>
        <v>#N/A</v>
      </c>
      <c r="R40" s="61" t="e">
        <f t="shared" si="64"/>
        <v>#N/A</v>
      </c>
      <c r="S40" s="61" t="e">
        <f t="shared" si="65"/>
        <v>#N/A</v>
      </c>
      <c r="T40" s="61" t="e">
        <f t="shared" si="66"/>
        <v>#N/A</v>
      </c>
      <c r="U40" s="61" t="e">
        <f t="shared" si="67"/>
        <v>#N/A</v>
      </c>
      <c r="V40" s="61" t="e">
        <f t="shared" si="47"/>
        <v>#N/A</v>
      </c>
      <c r="X40" s="61" t="e">
        <f t="shared" si="48"/>
        <v>#N/A</v>
      </c>
      <c r="Y40" s="61" t="e">
        <f t="shared" si="49"/>
        <v>#N/A</v>
      </c>
      <c r="Z40" s="61" t="e">
        <f t="shared" si="68"/>
        <v>#N/A</v>
      </c>
      <c r="AA40" s="270" t="e">
        <f t="shared" si="50"/>
        <v>#N/A</v>
      </c>
      <c r="AB40" s="270" t="e">
        <f t="shared" si="51"/>
        <v>#N/A</v>
      </c>
      <c r="AC40" s="61" t="e">
        <f t="shared" si="69"/>
        <v>#N/A</v>
      </c>
      <c r="AD40" s="61" t="e">
        <f t="shared" si="70"/>
        <v>#N/A</v>
      </c>
      <c r="AE40" s="61" t="e">
        <f t="shared" si="71"/>
        <v>#N/A</v>
      </c>
      <c r="AF40" s="61" t="e">
        <f t="shared" si="72"/>
        <v>#N/A</v>
      </c>
      <c r="AG40" s="61" t="e">
        <f t="shared" si="73"/>
        <v>#N/A</v>
      </c>
      <c r="AH40" s="61" t="e">
        <f t="shared" si="74"/>
        <v>#N/A</v>
      </c>
      <c r="AI40" s="61" t="e">
        <f t="shared" si="75"/>
        <v>#N/A</v>
      </c>
      <c r="AJ40" s="61" t="e">
        <f t="shared" si="76"/>
        <v>#N/A</v>
      </c>
      <c r="AK40" s="61" t="e">
        <f t="shared" si="77"/>
        <v>#N/A</v>
      </c>
      <c r="AL40" s="61" t="e">
        <f t="shared" si="78"/>
        <v>#N/A</v>
      </c>
      <c r="AM40" s="61" t="e">
        <f t="shared" si="79"/>
        <v>#N/A</v>
      </c>
      <c r="AN40" s="61" t="e">
        <f t="shared" si="80"/>
        <v>#N/A</v>
      </c>
      <c r="AO40" s="61" t="e">
        <f t="shared" si="52"/>
        <v>#N/A</v>
      </c>
      <c r="AP40" s="61" t="e">
        <f t="shared" si="53"/>
        <v>#N/A</v>
      </c>
      <c r="AQ40" s="247" t="e">
        <f t="shared" si="24"/>
        <v>#N/A</v>
      </c>
      <c r="AR40" s="247" t="e">
        <f t="shared" si="25"/>
        <v>#N/A</v>
      </c>
      <c r="AS40" s="247" t="e">
        <f t="shared" si="26"/>
        <v>#N/A</v>
      </c>
      <c r="AT40" s="196" t="e">
        <f t="shared" si="81"/>
        <v>#N/A</v>
      </c>
      <c r="AU40" s="196" t="e">
        <f>ROUND((VLOOKUP(A40,INPUT_RANGE,85,FALSE)/AS40)*('Team Info'!$H$25),2)</f>
        <v>#N/A</v>
      </c>
      <c r="AV40" s="8"/>
      <c r="AW40" s="197" t="e">
        <f t="shared" si="54"/>
        <v>#N/A</v>
      </c>
      <c r="AX40" s="197" t="e">
        <f t="shared" si="55"/>
        <v>#N/A</v>
      </c>
      <c r="AY40">
        <f t="shared" si="82"/>
        <v>0.44444444444444442</v>
      </c>
      <c r="AZ40" s="257" t="e">
        <f t="shared" si="56"/>
        <v>#N/A</v>
      </c>
      <c r="BA40" t="e">
        <f t="shared" si="57"/>
        <v>#N/A</v>
      </c>
      <c r="BB40" s="298" t="e">
        <f t="shared" si="83"/>
        <v>#N/A</v>
      </c>
      <c r="BC40" s="298" t="e">
        <f t="shared" si="84"/>
        <v>#N/A</v>
      </c>
      <c r="BD40" s="298" t="e">
        <f t="shared" si="85"/>
        <v>#N/A</v>
      </c>
      <c r="BE40" s="308" t="e">
        <f t="shared" si="59"/>
        <v>#N/A</v>
      </c>
      <c r="BF40" s="298" t="e">
        <f t="shared" si="58"/>
        <v>#N/A</v>
      </c>
      <c r="BG40" s="298" t="e">
        <f t="shared" si="86"/>
        <v>#N/A</v>
      </c>
      <c r="BH40" s="298" t="e">
        <f t="shared" si="87"/>
        <v>#N/A</v>
      </c>
      <c r="BI40" s="298" t="e">
        <f t="shared" si="88"/>
        <v>#N/A</v>
      </c>
      <c r="BJ40" s="297" t="e">
        <f t="shared" si="89"/>
        <v>#N/A</v>
      </c>
      <c r="BK40" s="297" t="e">
        <f t="shared" si="90"/>
        <v>#N/A</v>
      </c>
      <c r="BL40" s="297" t="e">
        <f t="shared" si="91"/>
        <v>#N/A</v>
      </c>
      <c r="BM40" s="297" t="e">
        <f t="shared" si="92"/>
        <v>#N/A</v>
      </c>
    </row>
    <row r="41" spans="1:65" x14ac:dyDescent="0.25">
      <c r="A41" s="30">
        <v>40</v>
      </c>
      <c r="B41" s="30">
        <v>40</v>
      </c>
      <c r="C41" s="58" t="str">
        <f>Roster!$X43</f>
        <v>- -</v>
      </c>
      <c r="D41" s="271" t="e">
        <f t="shared" si="42"/>
        <v>#N/A</v>
      </c>
      <c r="E41" s="245"/>
      <c r="F41" s="271" t="e">
        <f t="shared" si="43"/>
        <v>#N/A</v>
      </c>
      <c r="G41" s="245"/>
      <c r="H41" s="274" t="e">
        <f t="shared" si="44"/>
        <v>#N/A</v>
      </c>
      <c r="I41" s="245"/>
      <c r="J41" s="274" t="e">
        <f t="shared" si="45"/>
        <v>#N/A</v>
      </c>
      <c r="K41" s="62"/>
      <c r="L41" s="63"/>
      <c r="M41" s="194" t="e">
        <f t="shared" si="46"/>
        <v>#N/A</v>
      </c>
      <c r="N41" s="61" t="e">
        <f t="shared" si="60"/>
        <v>#N/A</v>
      </c>
      <c r="O41" s="61" t="e">
        <f t="shared" si="61"/>
        <v>#N/A</v>
      </c>
      <c r="P41" s="61" t="e">
        <f t="shared" si="62"/>
        <v>#N/A</v>
      </c>
      <c r="Q41" s="61" t="e">
        <f t="shared" si="63"/>
        <v>#N/A</v>
      </c>
      <c r="R41" s="61" t="e">
        <f t="shared" si="64"/>
        <v>#N/A</v>
      </c>
      <c r="S41" s="61" t="e">
        <f t="shared" si="65"/>
        <v>#N/A</v>
      </c>
      <c r="T41" s="61" t="e">
        <f t="shared" si="66"/>
        <v>#N/A</v>
      </c>
      <c r="U41" s="61" t="e">
        <f t="shared" si="67"/>
        <v>#N/A</v>
      </c>
      <c r="V41" s="61" t="e">
        <f t="shared" si="47"/>
        <v>#N/A</v>
      </c>
      <c r="X41" s="61" t="e">
        <f t="shared" si="48"/>
        <v>#N/A</v>
      </c>
      <c r="Y41" s="61" t="e">
        <f t="shared" si="49"/>
        <v>#N/A</v>
      </c>
      <c r="Z41" s="61" t="e">
        <f t="shared" si="68"/>
        <v>#N/A</v>
      </c>
      <c r="AA41" s="270" t="e">
        <f t="shared" si="50"/>
        <v>#N/A</v>
      </c>
      <c r="AB41" s="270" t="e">
        <f t="shared" si="51"/>
        <v>#N/A</v>
      </c>
      <c r="AC41" s="61" t="e">
        <f t="shared" si="69"/>
        <v>#N/A</v>
      </c>
      <c r="AD41" s="61" t="e">
        <f t="shared" si="70"/>
        <v>#N/A</v>
      </c>
      <c r="AE41" s="61" t="e">
        <f t="shared" si="71"/>
        <v>#N/A</v>
      </c>
      <c r="AF41" s="61" t="e">
        <f t="shared" si="72"/>
        <v>#N/A</v>
      </c>
      <c r="AG41" s="61" t="e">
        <f t="shared" si="73"/>
        <v>#N/A</v>
      </c>
      <c r="AH41" s="61" t="e">
        <f t="shared" si="74"/>
        <v>#N/A</v>
      </c>
      <c r="AI41" s="61" t="e">
        <f t="shared" si="75"/>
        <v>#N/A</v>
      </c>
      <c r="AJ41" s="61" t="e">
        <f t="shared" si="76"/>
        <v>#N/A</v>
      </c>
      <c r="AK41" s="61" t="e">
        <f t="shared" si="77"/>
        <v>#N/A</v>
      </c>
      <c r="AL41" s="61" t="e">
        <f t="shared" si="78"/>
        <v>#N/A</v>
      </c>
      <c r="AM41" s="61" t="e">
        <f t="shared" si="79"/>
        <v>#N/A</v>
      </c>
      <c r="AN41" s="61" t="e">
        <f t="shared" si="80"/>
        <v>#N/A</v>
      </c>
      <c r="AO41" s="61" t="e">
        <f t="shared" si="52"/>
        <v>#N/A</v>
      </c>
      <c r="AP41" s="61" t="e">
        <f t="shared" si="53"/>
        <v>#N/A</v>
      </c>
      <c r="AQ41" s="247" t="e">
        <f t="shared" si="24"/>
        <v>#N/A</v>
      </c>
      <c r="AR41" s="247" t="e">
        <f t="shared" si="25"/>
        <v>#N/A</v>
      </c>
      <c r="AS41" s="247" t="e">
        <f t="shared" si="26"/>
        <v>#N/A</v>
      </c>
      <c r="AT41" s="196" t="e">
        <f t="shared" si="81"/>
        <v>#N/A</v>
      </c>
      <c r="AU41" s="196" t="e">
        <f>ROUND((VLOOKUP(A41,INPUT_RANGE,85,FALSE)/AS41)*('Team Info'!$H$25),2)</f>
        <v>#N/A</v>
      </c>
      <c r="AV41" s="8"/>
      <c r="AW41" s="197" t="e">
        <f t="shared" si="54"/>
        <v>#N/A</v>
      </c>
      <c r="AX41" s="197" t="e">
        <f t="shared" si="55"/>
        <v>#N/A</v>
      </c>
      <c r="AY41">
        <f t="shared" si="82"/>
        <v>0.44444444444444442</v>
      </c>
      <c r="AZ41" s="257" t="e">
        <f t="shared" si="56"/>
        <v>#N/A</v>
      </c>
      <c r="BA41" t="e">
        <f t="shared" si="57"/>
        <v>#N/A</v>
      </c>
      <c r="BB41" s="298" t="e">
        <f t="shared" si="83"/>
        <v>#N/A</v>
      </c>
      <c r="BC41" s="298" t="e">
        <f t="shared" si="84"/>
        <v>#N/A</v>
      </c>
      <c r="BD41" s="298" t="e">
        <f t="shared" si="85"/>
        <v>#N/A</v>
      </c>
      <c r="BE41" s="308" t="e">
        <f t="shared" si="59"/>
        <v>#N/A</v>
      </c>
      <c r="BF41" s="298" t="e">
        <f t="shared" si="58"/>
        <v>#N/A</v>
      </c>
      <c r="BG41" s="298" t="e">
        <f t="shared" si="86"/>
        <v>#N/A</v>
      </c>
      <c r="BH41" s="298" t="e">
        <f t="shared" si="87"/>
        <v>#N/A</v>
      </c>
      <c r="BI41" s="298" t="e">
        <f t="shared" si="88"/>
        <v>#N/A</v>
      </c>
      <c r="BJ41" s="297" t="e">
        <f t="shared" si="89"/>
        <v>#N/A</v>
      </c>
      <c r="BK41" s="297" t="e">
        <f t="shared" si="90"/>
        <v>#N/A</v>
      </c>
      <c r="BL41" s="297" t="e">
        <f t="shared" si="91"/>
        <v>#N/A</v>
      </c>
      <c r="BM41" s="297" t="e">
        <f t="shared" si="92"/>
        <v>#N/A</v>
      </c>
    </row>
    <row r="42" spans="1:65" x14ac:dyDescent="0.25">
      <c r="A42" s="30">
        <v>41</v>
      </c>
      <c r="B42" s="30">
        <v>41</v>
      </c>
      <c r="C42" s="58" t="str">
        <f>Roster!$X44</f>
        <v>- -</v>
      </c>
      <c r="D42" s="271" t="e">
        <f t="shared" si="42"/>
        <v>#N/A</v>
      </c>
      <c r="E42" s="245"/>
      <c r="F42" s="271" t="e">
        <f t="shared" si="43"/>
        <v>#N/A</v>
      </c>
      <c r="G42" s="245"/>
      <c r="H42" s="274" t="e">
        <f t="shared" si="44"/>
        <v>#N/A</v>
      </c>
      <c r="I42" s="245"/>
      <c r="J42" s="274" t="e">
        <f t="shared" si="45"/>
        <v>#N/A</v>
      </c>
      <c r="K42" s="62"/>
      <c r="L42" s="63"/>
      <c r="M42" s="194" t="e">
        <f t="shared" si="46"/>
        <v>#N/A</v>
      </c>
      <c r="N42" s="61" t="e">
        <f t="shared" si="60"/>
        <v>#N/A</v>
      </c>
      <c r="O42" s="61" t="e">
        <f t="shared" si="61"/>
        <v>#N/A</v>
      </c>
      <c r="P42" s="61" t="e">
        <f t="shared" si="62"/>
        <v>#N/A</v>
      </c>
      <c r="Q42" s="61" t="e">
        <f t="shared" si="63"/>
        <v>#N/A</v>
      </c>
      <c r="R42" s="61" t="e">
        <f t="shared" si="64"/>
        <v>#N/A</v>
      </c>
      <c r="S42" s="61" t="e">
        <f t="shared" si="65"/>
        <v>#N/A</v>
      </c>
      <c r="T42" s="61" t="e">
        <f t="shared" si="66"/>
        <v>#N/A</v>
      </c>
      <c r="U42" s="61" t="e">
        <f t="shared" si="67"/>
        <v>#N/A</v>
      </c>
      <c r="V42" s="61" t="e">
        <f t="shared" si="47"/>
        <v>#N/A</v>
      </c>
      <c r="X42" s="61" t="e">
        <f t="shared" si="48"/>
        <v>#N/A</v>
      </c>
      <c r="Y42" s="61" t="e">
        <f t="shared" si="49"/>
        <v>#N/A</v>
      </c>
      <c r="Z42" s="61" t="e">
        <f t="shared" si="68"/>
        <v>#N/A</v>
      </c>
      <c r="AA42" s="270" t="e">
        <f t="shared" si="50"/>
        <v>#N/A</v>
      </c>
      <c r="AB42" s="270" t="e">
        <f t="shared" si="51"/>
        <v>#N/A</v>
      </c>
      <c r="AC42" s="61" t="e">
        <f t="shared" si="69"/>
        <v>#N/A</v>
      </c>
      <c r="AD42" s="61" t="e">
        <f t="shared" si="70"/>
        <v>#N/A</v>
      </c>
      <c r="AE42" s="61" t="e">
        <f t="shared" si="71"/>
        <v>#N/A</v>
      </c>
      <c r="AF42" s="61" t="e">
        <f t="shared" si="72"/>
        <v>#N/A</v>
      </c>
      <c r="AG42" s="61" t="e">
        <f t="shared" si="73"/>
        <v>#N/A</v>
      </c>
      <c r="AH42" s="61" t="e">
        <f t="shared" si="74"/>
        <v>#N/A</v>
      </c>
      <c r="AI42" s="61" t="e">
        <f t="shared" si="75"/>
        <v>#N/A</v>
      </c>
      <c r="AJ42" s="61" t="e">
        <f t="shared" si="76"/>
        <v>#N/A</v>
      </c>
      <c r="AK42" s="61" t="e">
        <f t="shared" si="77"/>
        <v>#N/A</v>
      </c>
      <c r="AL42" s="61" t="e">
        <f t="shared" si="78"/>
        <v>#N/A</v>
      </c>
      <c r="AM42" s="61" t="e">
        <f t="shared" si="79"/>
        <v>#N/A</v>
      </c>
      <c r="AN42" s="61" t="e">
        <f t="shared" si="80"/>
        <v>#N/A</v>
      </c>
      <c r="AO42" s="61" t="e">
        <f t="shared" si="52"/>
        <v>#N/A</v>
      </c>
      <c r="AP42" s="61" t="e">
        <f t="shared" si="53"/>
        <v>#N/A</v>
      </c>
      <c r="AQ42" s="247" t="e">
        <f t="shared" si="24"/>
        <v>#N/A</v>
      </c>
      <c r="AR42" s="247" t="e">
        <f t="shared" si="25"/>
        <v>#N/A</v>
      </c>
      <c r="AS42" s="247" t="e">
        <f t="shared" si="26"/>
        <v>#N/A</v>
      </c>
      <c r="AT42" s="196" t="e">
        <f t="shared" si="81"/>
        <v>#N/A</v>
      </c>
      <c r="AU42" s="196" t="e">
        <f>ROUND((VLOOKUP(A42,INPUT_RANGE,85,FALSE)/AS42)*('Team Info'!$H$25),2)</f>
        <v>#N/A</v>
      </c>
      <c r="AV42" s="8"/>
      <c r="AW42" s="197" t="e">
        <f t="shared" si="54"/>
        <v>#N/A</v>
      </c>
      <c r="AX42" s="197" t="e">
        <f t="shared" si="55"/>
        <v>#N/A</v>
      </c>
      <c r="AY42">
        <f t="shared" si="82"/>
        <v>0.44444444444444442</v>
      </c>
      <c r="AZ42" s="257" t="e">
        <f t="shared" si="56"/>
        <v>#N/A</v>
      </c>
      <c r="BA42" t="e">
        <f t="shared" si="57"/>
        <v>#N/A</v>
      </c>
      <c r="BB42" s="298" t="e">
        <f t="shared" si="83"/>
        <v>#N/A</v>
      </c>
      <c r="BC42" s="298" t="e">
        <f t="shared" si="84"/>
        <v>#N/A</v>
      </c>
      <c r="BD42" s="298" t="e">
        <f t="shared" si="85"/>
        <v>#N/A</v>
      </c>
      <c r="BE42" s="308" t="e">
        <f t="shared" si="59"/>
        <v>#N/A</v>
      </c>
      <c r="BF42" s="298" t="e">
        <f t="shared" si="58"/>
        <v>#N/A</v>
      </c>
      <c r="BG42" s="298" t="e">
        <f t="shared" si="86"/>
        <v>#N/A</v>
      </c>
      <c r="BH42" s="298" t="e">
        <f t="shared" si="87"/>
        <v>#N/A</v>
      </c>
      <c r="BI42" s="298" t="e">
        <f t="shared" si="88"/>
        <v>#N/A</v>
      </c>
      <c r="BJ42" s="297" t="e">
        <f t="shared" si="89"/>
        <v>#N/A</v>
      </c>
      <c r="BK42" s="297" t="e">
        <f t="shared" si="90"/>
        <v>#N/A</v>
      </c>
      <c r="BL42" s="297" t="e">
        <f t="shared" si="91"/>
        <v>#N/A</v>
      </c>
      <c r="BM42" s="297" t="e">
        <f t="shared" si="92"/>
        <v>#N/A</v>
      </c>
    </row>
    <row r="43" spans="1:65" x14ac:dyDescent="0.25">
      <c r="A43" s="30">
        <v>42</v>
      </c>
      <c r="B43" s="30">
        <v>42</v>
      </c>
      <c r="C43" s="58" t="str">
        <f>Roster!$X45</f>
        <v>- -</v>
      </c>
      <c r="D43" s="271" t="e">
        <f t="shared" si="42"/>
        <v>#N/A</v>
      </c>
      <c r="E43" s="245"/>
      <c r="F43" s="271" t="e">
        <f t="shared" si="43"/>
        <v>#N/A</v>
      </c>
      <c r="G43" s="245"/>
      <c r="H43" s="274" t="e">
        <f t="shared" si="44"/>
        <v>#N/A</v>
      </c>
      <c r="I43" s="245"/>
      <c r="J43" s="274" t="e">
        <f t="shared" si="45"/>
        <v>#N/A</v>
      </c>
      <c r="K43" s="62"/>
      <c r="L43" s="63"/>
      <c r="M43" s="194" t="e">
        <f t="shared" si="46"/>
        <v>#N/A</v>
      </c>
      <c r="N43" s="61" t="e">
        <f t="shared" si="60"/>
        <v>#N/A</v>
      </c>
      <c r="O43" s="61" t="e">
        <f t="shared" si="61"/>
        <v>#N/A</v>
      </c>
      <c r="P43" s="61" t="e">
        <f t="shared" si="62"/>
        <v>#N/A</v>
      </c>
      <c r="Q43" s="61" t="e">
        <f t="shared" si="63"/>
        <v>#N/A</v>
      </c>
      <c r="R43" s="61" t="e">
        <f t="shared" si="64"/>
        <v>#N/A</v>
      </c>
      <c r="S43" s="61" t="e">
        <f t="shared" si="65"/>
        <v>#N/A</v>
      </c>
      <c r="T43" s="61" t="e">
        <f t="shared" si="66"/>
        <v>#N/A</v>
      </c>
      <c r="U43" s="61" t="e">
        <f t="shared" si="67"/>
        <v>#N/A</v>
      </c>
      <c r="V43" s="61" t="e">
        <f t="shared" si="47"/>
        <v>#N/A</v>
      </c>
      <c r="X43" s="61" t="e">
        <f t="shared" si="48"/>
        <v>#N/A</v>
      </c>
      <c r="Y43" s="61" t="e">
        <f t="shared" si="49"/>
        <v>#N/A</v>
      </c>
      <c r="Z43" s="61" t="e">
        <f t="shared" si="68"/>
        <v>#N/A</v>
      </c>
      <c r="AA43" s="270" t="e">
        <f t="shared" si="50"/>
        <v>#N/A</v>
      </c>
      <c r="AB43" s="270" t="e">
        <f t="shared" si="51"/>
        <v>#N/A</v>
      </c>
      <c r="AC43" s="61" t="e">
        <f t="shared" si="69"/>
        <v>#N/A</v>
      </c>
      <c r="AD43" s="61" t="e">
        <f t="shared" si="70"/>
        <v>#N/A</v>
      </c>
      <c r="AE43" s="61" t="e">
        <f t="shared" si="71"/>
        <v>#N/A</v>
      </c>
      <c r="AF43" s="61" t="e">
        <f t="shared" si="72"/>
        <v>#N/A</v>
      </c>
      <c r="AG43" s="61" t="e">
        <f t="shared" si="73"/>
        <v>#N/A</v>
      </c>
      <c r="AH43" s="61" t="e">
        <f t="shared" si="74"/>
        <v>#N/A</v>
      </c>
      <c r="AI43" s="61" t="e">
        <f t="shared" si="75"/>
        <v>#N/A</v>
      </c>
      <c r="AJ43" s="61" t="e">
        <f t="shared" si="76"/>
        <v>#N/A</v>
      </c>
      <c r="AK43" s="61" t="e">
        <f t="shared" si="77"/>
        <v>#N/A</v>
      </c>
      <c r="AL43" s="61" t="e">
        <f t="shared" si="78"/>
        <v>#N/A</v>
      </c>
      <c r="AM43" s="61" t="e">
        <f t="shared" si="79"/>
        <v>#N/A</v>
      </c>
      <c r="AN43" s="61" t="e">
        <f t="shared" si="80"/>
        <v>#N/A</v>
      </c>
      <c r="AO43" s="61" t="e">
        <f t="shared" si="52"/>
        <v>#N/A</v>
      </c>
      <c r="AP43" s="61" t="e">
        <f t="shared" si="53"/>
        <v>#N/A</v>
      </c>
      <c r="AQ43" s="247" t="e">
        <f t="shared" si="24"/>
        <v>#N/A</v>
      </c>
      <c r="AR43" s="247" t="e">
        <f t="shared" si="25"/>
        <v>#N/A</v>
      </c>
      <c r="AS43" s="247" t="e">
        <f t="shared" si="26"/>
        <v>#N/A</v>
      </c>
      <c r="AT43" s="196" t="e">
        <f t="shared" si="81"/>
        <v>#N/A</v>
      </c>
      <c r="AU43" s="196" t="e">
        <f>ROUND((VLOOKUP(A43,INPUT_RANGE,85,FALSE)/AS43)*('Team Info'!$H$25),2)</f>
        <v>#N/A</v>
      </c>
      <c r="AV43" s="8"/>
      <c r="AW43" s="197" t="e">
        <f t="shared" si="54"/>
        <v>#N/A</v>
      </c>
      <c r="AX43" s="197" t="e">
        <f t="shared" si="55"/>
        <v>#N/A</v>
      </c>
      <c r="AY43">
        <f t="shared" si="82"/>
        <v>0.44444444444444442</v>
      </c>
      <c r="AZ43" s="257" t="e">
        <f t="shared" si="56"/>
        <v>#N/A</v>
      </c>
      <c r="BA43" t="e">
        <f t="shared" si="57"/>
        <v>#N/A</v>
      </c>
      <c r="BB43" s="298" t="e">
        <f t="shared" si="83"/>
        <v>#N/A</v>
      </c>
      <c r="BC43" s="298" t="e">
        <f t="shared" si="84"/>
        <v>#N/A</v>
      </c>
      <c r="BD43" s="298" t="e">
        <f t="shared" si="85"/>
        <v>#N/A</v>
      </c>
      <c r="BE43" s="308" t="e">
        <f t="shared" si="59"/>
        <v>#N/A</v>
      </c>
      <c r="BF43" s="298" t="e">
        <f t="shared" si="58"/>
        <v>#N/A</v>
      </c>
      <c r="BG43" s="298" t="e">
        <f t="shared" si="86"/>
        <v>#N/A</v>
      </c>
      <c r="BH43" s="298" t="e">
        <f t="shared" si="87"/>
        <v>#N/A</v>
      </c>
      <c r="BI43" s="298" t="e">
        <f t="shared" si="88"/>
        <v>#N/A</v>
      </c>
      <c r="BJ43" s="297" t="e">
        <f t="shared" si="89"/>
        <v>#N/A</v>
      </c>
      <c r="BK43" s="297" t="e">
        <f t="shared" si="90"/>
        <v>#N/A</v>
      </c>
      <c r="BL43" s="297" t="e">
        <f t="shared" si="91"/>
        <v>#N/A</v>
      </c>
      <c r="BM43" s="297" t="e">
        <f t="shared" si="92"/>
        <v>#N/A</v>
      </c>
    </row>
    <row r="44" spans="1:65" x14ac:dyDescent="0.25">
      <c r="A44" s="30">
        <v>43</v>
      </c>
      <c r="B44" s="30">
        <v>43</v>
      </c>
      <c r="C44" s="58" t="str">
        <f>Roster!$X46</f>
        <v>- -</v>
      </c>
      <c r="D44" s="271" t="e">
        <f t="shared" si="42"/>
        <v>#N/A</v>
      </c>
      <c r="E44" s="245"/>
      <c r="F44" s="271" t="e">
        <f t="shared" si="43"/>
        <v>#N/A</v>
      </c>
      <c r="G44" s="245"/>
      <c r="H44" s="274" t="e">
        <f t="shared" si="44"/>
        <v>#N/A</v>
      </c>
      <c r="I44" s="245"/>
      <c r="J44" s="274" t="e">
        <f t="shared" si="45"/>
        <v>#N/A</v>
      </c>
      <c r="K44" s="62"/>
      <c r="L44" s="63"/>
      <c r="M44" s="194" t="e">
        <f t="shared" si="46"/>
        <v>#N/A</v>
      </c>
      <c r="N44" s="61" t="e">
        <f t="shared" si="60"/>
        <v>#N/A</v>
      </c>
      <c r="O44" s="61" t="e">
        <f t="shared" si="61"/>
        <v>#N/A</v>
      </c>
      <c r="P44" s="61" t="e">
        <f t="shared" si="62"/>
        <v>#N/A</v>
      </c>
      <c r="Q44" s="61" t="e">
        <f t="shared" si="63"/>
        <v>#N/A</v>
      </c>
      <c r="R44" s="61" t="e">
        <f t="shared" si="64"/>
        <v>#N/A</v>
      </c>
      <c r="S44" s="61" t="e">
        <f t="shared" si="65"/>
        <v>#N/A</v>
      </c>
      <c r="T44" s="61" t="e">
        <f t="shared" si="66"/>
        <v>#N/A</v>
      </c>
      <c r="U44" s="61" t="e">
        <f t="shared" si="67"/>
        <v>#N/A</v>
      </c>
      <c r="V44" s="61" t="e">
        <f t="shared" si="47"/>
        <v>#N/A</v>
      </c>
      <c r="X44" s="61" t="e">
        <f t="shared" si="48"/>
        <v>#N/A</v>
      </c>
      <c r="Y44" s="61" t="e">
        <f t="shared" si="49"/>
        <v>#N/A</v>
      </c>
      <c r="Z44" s="61" t="e">
        <f t="shared" si="68"/>
        <v>#N/A</v>
      </c>
      <c r="AA44" s="270" t="e">
        <f t="shared" si="50"/>
        <v>#N/A</v>
      </c>
      <c r="AB44" s="270" t="e">
        <f t="shared" si="51"/>
        <v>#N/A</v>
      </c>
      <c r="AC44" s="61" t="e">
        <f t="shared" si="69"/>
        <v>#N/A</v>
      </c>
      <c r="AD44" s="61" t="e">
        <f t="shared" si="70"/>
        <v>#N/A</v>
      </c>
      <c r="AE44" s="61" t="e">
        <f t="shared" si="71"/>
        <v>#N/A</v>
      </c>
      <c r="AF44" s="61" t="e">
        <f t="shared" si="72"/>
        <v>#N/A</v>
      </c>
      <c r="AG44" s="61" t="e">
        <f t="shared" si="73"/>
        <v>#N/A</v>
      </c>
      <c r="AH44" s="61" t="e">
        <f t="shared" si="74"/>
        <v>#N/A</v>
      </c>
      <c r="AI44" s="61" t="e">
        <f t="shared" si="75"/>
        <v>#N/A</v>
      </c>
      <c r="AJ44" s="61" t="e">
        <f t="shared" si="76"/>
        <v>#N/A</v>
      </c>
      <c r="AK44" s="61" t="e">
        <f t="shared" si="77"/>
        <v>#N/A</v>
      </c>
      <c r="AL44" s="61" t="e">
        <f t="shared" si="78"/>
        <v>#N/A</v>
      </c>
      <c r="AM44" s="61" t="e">
        <f t="shared" si="79"/>
        <v>#N/A</v>
      </c>
      <c r="AN44" s="61" t="e">
        <f t="shared" si="80"/>
        <v>#N/A</v>
      </c>
      <c r="AO44" s="61" t="e">
        <f t="shared" si="52"/>
        <v>#N/A</v>
      </c>
      <c r="AP44" s="61" t="e">
        <f t="shared" si="53"/>
        <v>#N/A</v>
      </c>
      <c r="AQ44" s="247" t="e">
        <f t="shared" si="24"/>
        <v>#N/A</v>
      </c>
      <c r="AR44" s="247" t="e">
        <f t="shared" si="25"/>
        <v>#N/A</v>
      </c>
      <c r="AS44" s="247" t="e">
        <f t="shared" si="26"/>
        <v>#N/A</v>
      </c>
      <c r="AT44" s="196" t="e">
        <f t="shared" si="81"/>
        <v>#N/A</v>
      </c>
      <c r="AU44" s="196" t="e">
        <f>ROUND((VLOOKUP(A44,INPUT_RANGE,85,FALSE)/AS44)*('Team Info'!$H$25),2)</f>
        <v>#N/A</v>
      </c>
      <c r="AV44" s="8"/>
      <c r="AW44" s="197" t="e">
        <f t="shared" si="54"/>
        <v>#N/A</v>
      </c>
      <c r="AX44" s="197" t="e">
        <f t="shared" si="55"/>
        <v>#N/A</v>
      </c>
      <c r="AY44">
        <f t="shared" si="82"/>
        <v>0.44444444444444442</v>
      </c>
      <c r="AZ44" s="257" t="e">
        <f t="shared" si="56"/>
        <v>#N/A</v>
      </c>
      <c r="BA44" t="e">
        <f t="shared" si="57"/>
        <v>#N/A</v>
      </c>
      <c r="BB44" s="298" t="e">
        <f t="shared" si="83"/>
        <v>#N/A</v>
      </c>
      <c r="BC44" s="298" t="e">
        <f t="shared" si="84"/>
        <v>#N/A</v>
      </c>
      <c r="BD44" s="298" t="e">
        <f t="shared" si="85"/>
        <v>#N/A</v>
      </c>
      <c r="BE44" s="308" t="e">
        <f t="shared" si="59"/>
        <v>#N/A</v>
      </c>
      <c r="BF44" s="298" t="e">
        <f t="shared" si="58"/>
        <v>#N/A</v>
      </c>
      <c r="BG44" s="298" t="e">
        <f t="shared" si="86"/>
        <v>#N/A</v>
      </c>
      <c r="BH44" s="298" t="e">
        <f t="shared" si="87"/>
        <v>#N/A</v>
      </c>
      <c r="BI44" s="298" t="e">
        <f t="shared" si="88"/>
        <v>#N/A</v>
      </c>
      <c r="BJ44" s="297" t="e">
        <f t="shared" si="89"/>
        <v>#N/A</v>
      </c>
      <c r="BK44" s="297" t="e">
        <f t="shared" si="90"/>
        <v>#N/A</v>
      </c>
      <c r="BL44" s="297" t="e">
        <f t="shared" si="91"/>
        <v>#N/A</v>
      </c>
      <c r="BM44" s="297" t="e">
        <f t="shared" si="92"/>
        <v>#N/A</v>
      </c>
    </row>
    <row r="45" spans="1:65" x14ac:dyDescent="0.25">
      <c r="A45" s="30">
        <v>44</v>
      </c>
      <c r="B45" s="30">
        <v>44</v>
      </c>
      <c r="C45" s="58" t="str">
        <f>Roster!$X47</f>
        <v>- -</v>
      </c>
      <c r="D45" s="271" t="e">
        <f t="shared" si="42"/>
        <v>#N/A</v>
      </c>
      <c r="E45" s="245"/>
      <c r="F45" s="271" t="e">
        <f t="shared" si="43"/>
        <v>#N/A</v>
      </c>
      <c r="G45" s="245"/>
      <c r="H45" s="274" t="e">
        <f t="shared" si="44"/>
        <v>#N/A</v>
      </c>
      <c r="I45" s="245"/>
      <c r="J45" s="274" t="e">
        <f t="shared" si="45"/>
        <v>#N/A</v>
      </c>
      <c r="K45" s="62"/>
      <c r="L45" s="63"/>
      <c r="M45" s="194" t="e">
        <f t="shared" si="46"/>
        <v>#N/A</v>
      </c>
      <c r="N45" s="61" t="e">
        <f t="shared" si="60"/>
        <v>#N/A</v>
      </c>
      <c r="O45" s="61" t="e">
        <f t="shared" si="61"/>
        <v>#N/A</v>
      </c>
      <c r="P45" s="61" t="e">
        <f t="shared" si="62"/>
        <v>#N/A</v>
      </c>
      <c r="Q45" s="61" t="e">
        <f t="shared" si="63"/>
        <v>#N/A</v>
      </c>
      <c r="R45" s="61" t="e">
        <f t="shared" si="64"/>
        <v>#N/A</v>
      </c>
      <c r="S45" s="61" t="e">
        <f t="shared" si="65"/>
        <v>#N/A</v>
      </c>
      <c r="T45" s="61" t="e">
        <f t="shared" si="66"/>
        <v>#N/A</v>
      </c>
      <c r="U45" s="61" t="e">
        <f t="shared" si="67"/>
        <v>#N/A</v>
      </c>
      <c r="V45" s="61" t="e">
        <f t="shared" si="47"/>
        <v>#N/A</v>
      </c>
      <c r="X45" s="61" t="e">
        <f t="shared" si="48"/>
        <v>#N/A</v>
      </c>
      <c r="Y45" s="61" t="e">
        <f t="shared" si="49"/>
        <v>#N/A</v>
      </c>
      <c r="Z45" s="61" t="e">
        <f t="shared" si="68"/>
        <v>#N/A</v>
      </c>
      <c r="AA45" s="270" t="e">
        <f t="shared" si="50"/>
        <v>#N/A</v>
      </c>
      <c r="AB45" s="270" t="e">
        <f t="shared" si="51"/>
        <v>#N/A</v>
      </c>
      <c r="AC45" s="61" t="e">
        <f t="shared" si="69"/>
        <v>#N/A</v>
      </c>
      <c r="AD45" s="61" t="e">
        <f t="shared" si="70"/>
        <v>#N/A</v>
      </c>
      <c r="AE45" s="61" t="e">
        <f t="shared" si="71"/>
        <v>#N/A</v>
      </c>
      <c r="AF45" s="61" t="e">
        <f t="shared" si="72"/>
        <v>#N/A</v>
      </c>
      <c r="AG45" s="61" t="e">
        <f t="shared" si="73"/>
        <v>#N/A</v>
      </c>
      <c r="AH45" s="61" t="e">
        <f t="shared" si="74"/>
        <v>#N/A</v>
      </c>
      <c r="AI45" s="61" t="e">
        <f t="shared" si="75"/>
        <v>#N/A</v>
      </c>
      <c r="AJ45" s="61" t="e">
        <f t="shared" si="76"/>
        <v>#N/A</v>
      </c>
      <c r="AK45" s="61" t="e">
        <f t="shared" si="77"/>
        <v>#N/A</v>
      </c>
      <c r="AL45" s="61" t="e">
        <f t="shared" si="78"/>
        <v>#N/A</v>
      </c>
      <c r="AM45" s="61" t="e">
        <f t="shared" si="79"/>
        <v>#N/A</v>
      </c>
      <c r="AN45" s="61" t="e">
        <f t="shared" si="80"/>
        <v>#N/A</v>
      </c>
      <c r="AO45" s="61" t="e">
        <f t="shared" si="52"/>
        <v>#N/A</v>
      </c>
      <c r="AP45" s="61" t="e">
        <f t="shared" si="53"/>
        <v>#N/A</v>
      </c>
      <c r="AQ45" s="247" t="e">
        <f t="shared" ref="AQ45" si="93" xml:space="preserve"> IF(LEFT(RIGHT((VLOOKUP(A45,INPUT_RANGE,82,FALSE)),2),1)=".",RIGHT(VLOOKUP(A45,INPUT_RANGE,82,FALSE),1), "X")</f>
        <v>#N/A</v>
      </c>
      <c r="AR45" s="247" t="e">
        <f t="shared" si="25"/>
        <v>#N/A</v>
      </c>
      <c r="AS45" s="247" t="e">
        <f t="shared" ref="AS45" si="94">VLOOKUP(A45,INPUT_RANGE,82,FALSE)-(AQ45*0.1)+AR45</f>
        <v>#N/A</v>
      </c>
      <c r="AT45" s="196" t="e">
        <f t="shared" si="81"/>
        <v>#N/A</v>
      </c>
      <c r="AU45" s="196" t="e">
        <f>ROUND((VLOOKUP(A45,INPUT_RANGE,85,FALSE)/AS45)*('Team Info'!$H$25),2)</f>
        <v>#N/A</v>
      </c>
      <c r="AV45" s="8"/>
      <c r="AW45" s="197" t="e">
        <f t="shared" si="54"/>
        <v>#N/A</v>
      </c>
      <c r="AX45" s="197" t="e">
        <f t="shared" si="55"/>
        <v>#N/A</v>
      </c>
      <c r="AY45">
        <f t="shared" si="82"/>
        <v>0.44444444444444442</v>
      </c>
      <c r="AZ45" s="257" t="e">
        <f t="shared" si="56"/>
        <v>#N/A</v>
      </c>
      <c r="BA45" t="e">
        <f t="shared" si="57"/>
        <v>#N/A</v>
      </c>
      <c r="BB45" s="298" t="e">
        <f t="shared" si="83"/>
        <v>#N/A</v>
      </c>
      <c r="BC45" s="298" t="e">
        <f t="shared" si="84"/>
        <v>#N/A</v>
      </c>
      <c r="BD45" s="298" t="e">
        <f t="shared" si="85"/>
        <v>#N/A</v>
      </c>
      <c r="BE45" s="308" t="e">
        <f t="shared" si="59"/>
        <v>#N/A</v>
      </c>
      <c r="BF45" s="298" t="e">
        <f t="shared" si="58"/>
        <v>#N/A</v>
      </c>
      <c r="BG45" s="298" t="e">
        <f t="shared" si="86"/>
        <v>#N/A</v>
      </c>
      <c r="BH45" s="298" t="e">
        <f t="shared" si="87"/>
        <v>#N/A</v>
      </c>
      <c r="BI45" s="298" t="e">
        <f t="shared" si="88"/>
        <v>#N/A</v>
      </c>
      <c r="BJ45" s="297" t="e">
        <f t="shared" si="89"/>
        <v>#N/A</v>
      </c>
      <c r="BK45" s="297" t="e">
        <f t="shared" si="90"/>
        <v>#N/A</v>
      </c>
      <c r="BL45" s="297" t="e">
        <f t="shared" si="91"/>
        <v>#N/A</v>
      </c>
      <c r="BM45" s="297" t="e">
        <f t="shared" si="92"/>
        <v>#N/A</v>
      </c>
    </row>
    <row r="46" spans="1:65" x14ac:dyDescent="0.25">
      <c r="A46" s="30">
        <v>45</v>
      </c>
      <c r="B46" s="30">
        <v>45</v>
      </c>
      <c r="C46" s="58" t="str">
        <f>Roster!$X48</f>
        <v>- -</v>
      </c>
      <c r="D46" s="271" t="e">
        <f t="shared" si="42"/>
        <v>#N/A</v>
      </c>
      <c r="E46" s="245"/>
      <c r="F46" s="271" t="e">
        <f t="shared" si="43"/>
        <v>#N/A</v>
      </c>
      <c r="G46" s="245"/>
      <c r="H46" s="274" t="e">
        <f t="shared" si="44"/>
        <v>#N/A</v>
      </c>
      <c r="I46" s="245"/>
      <c r="J46" s="274" t="e">
        <f t="shared" si="45"/>
        <v>#N/A</v>
      </c>
      <c r="K46" s="62"/>
      <c r="L46" s="63"/>
      <c r="M46" s="194" t="e">
        <f t="shared" si="46"/>
        <v>#N/A</v>
      </c>
      <c r="N46" s="61" t="e">
        <f t="shared" si="60"/>
        <v>#N/A</v>
      </c>
      <c r="O46" s="61" t="e">
        <f t="shared" si="61"/>
        <v>#N/A</v>
      </c>
      <c r="P46" s="61" t="e">
        <f t="shared" si="62"/>
        <v>#N/A</v>
      </c>
      <c r="Q46" s="61" t="e">
        <f t="shared" si="63"/>
        <v>#N/A</v>
      </c>
      <c r="R46" s="61" t="e">
        <f t="shared" si="64"/>
        <v>#N/A</v>
      </c>
      <c r="S46" s="61" t="e">
        <f t="shared" si="65"/>
        <v>#N/A</v>
      </c>
      <c r="T46" s="61" t="e">
        <f t="shared" si="66"/>
        <v>#N/A</v>
      </c>
      <c r="U46" s="61" t="e">
        <f t="shared" si="67"/>
        <v>#N/A</v>
      </c>
      <c r="V46" s="61" t="e">
        <f t="shared" si="47"/>
        <v>#N/A</v>
      </c>
      <c r="X46" s="61" t="e">
        <f t="shared" si="48"/>
        <v>#N/A</v>
      </c>
      <c r="Y46" s="61" t="e">
        <f t="shared" si="49"/>
        <v>#N/A</v>
      </c>
      <c r="Z46" s="61" t="e">
        <f t="shared" si="68"/>
        <v>#N/A</v>
      </c>
      <c r="AA46" s="270" t="e">
        <f t="shared" si="50"/>
        <v>#N/A</v>
      </c>
      <c r="AB46" s="270" t="e">
        <f t="shared" si="51"/>
        <v>#N/A</v>
      </c>
      <c r="AC46" s="61" t="e">
        <f t="shared" si="69"/>
        <v>#N/A</v>
      </c>
      <c r="AD46" s="61" t="e">
        <f t="shared" si="70"/>
        <v>#N/A</v>
      </c>
      <c r="AE46" s="61" t="e">
        <f t="shared" si="71"/>
        <v>#N/A</v>
      </c>
      <c r="AF46" s="61" t="e">
        <f t="shared" si="72"/>
        <v>#N/A</v>
      </c>
      <c r="AG46" s="61" t="e">
        <f t="shared" si="73"/>
        <v>#N/A</v>
      </c>
      <c r="AH46" s="61" t="e">
        <f t="shared" si="74"/>
        <v>#N/A</v>
      </c>
      <c r="AI46" s="61" t="e">
        <f t="shared" si="75"/>
        <v>#N/A</v>
      </c>
      <c r="AJ46" s="61" t="e">
        <f t="shared" si="76"/>
        <v>#N/A</v>
      </c>
      <c r="AK46" s="61" t="e">
        <f t="shared" si="77"/>
        <v>#N/A</v>
      </c>
      <c r="AL46" s="61" t="e">
        <f t="shared" si="78"/>
        <v>#N/A</v>
      </c>
      <c r="AM46" s="61" t="e">
        <f t="shared" si="79"/>
        <v>#N/A</v>
      </c>
      <c r="AN46" s="61" t="e">
        <f t="shared" si="80"/>
        <v>#N/A</v>
      </c>
      <c r="AO46" s="61" t="e">
        <f t="shared" si="52"/>
        <v>#N/A</v>
      </c>
      <c r="AP46" s="61" t="e">
        <f t="shared" si="53"/>
        <v>#N/A</v>
      </c>
      <c r="AQ46" s="247" t="e">
        <f t="shared" ref="AQ46:AQ90" si="95" xml:space="preserve"> IF(LEFT(RIGHT((VLOOKUP(A46,INPUT_RANGE,82,FALSE)),2),1)=".",RIGHT(VLOOKUP(A46,INPUT_RANGE,82,FALSE),1), "X")</f>
        <v>#N/A</v>
      </c>
      <c r="AR46" s="247" t="e">
        <f t="shared" si="25"/>
        <v>#N/A</v>
      </c>
      <c r="AS46" s="247" t="e">
        <f t="shared" ref="AS46:AS90" si="96">VLOOKUP(A46,INPUT_RANGE,82,FALSE)-(AQ46*0.1)+AR46</f>
        <v>#N/A</v>
      </c>
      <c r="AT46" s="196" t="e">
        <f t="shared" si="81"/>
        <v>#N/A</v>
      </c>
      <c r="AU46" s="196" t="e">
        <f>ROUND((VLOOKUP(A46,INPUT_RANGE,85,FALSE)/AS46)*('Team Info'!$H$25),2)</f>
        <v>#N/A</v>
      </c>
      <c r="AV46" s="8"/>
      <c r="AW46" s="197" t="e">
        <f t="shared" si="54"/>
        <v>#N/A</v>
      </c>
      <c r="AX46" s="197" t="e">
        <f t="shared" si="55"/>
        <v>#N/A</v>
      </c>
      <c r="AY46">
        <f t="shared" si="82"/>
        <v>0.44444444444444442</v>
      </c>
      <c r="AZ46" s="257" t="e">
        <f t="shared" si="56"/>
        <v>#N/A</v>
      </c>
      <c r="BA46" t="e">
        <f t="shared" si="57"/>
        <v>#N/A</v>
      </c>
      <c r="BB46" s="298" t="e">
        <f t="shared" si="83"/>
        <v>#N/A</v>
      </c>
      <c r="BC46" s="298" t="e">
        <f t="shared" si="84"/>
        <v>#N/A</v>
      </c>
      <c r="BD46" s="298" t="e">
        <f t="shared" si="85"/>
        <v>#N/A</v>
      </c>
      <c r="BE46" s="308" t="e">
        <f t="shared" si="59"/>
        <v>#N/A</v>
      </c>
      <c r="BF46" s="298" t="e">
        <f t="shared" si="58"/>
        <v>#N/A</v>
      </c>
      <c r="BG46" s="298" t="e">
        <f t="shared" si="86"/>
        <v>#N/A</v>
      </c>
      <c r="BH46" s="298" t="e">
        <f t="shared" si="87"/>
        <v>#N/A</v>
      </c>
      <c r="BI46" s="298" t="e">
        <f t="shared" si="88"/>
        <v>#N/A</v>
      </c>
      <c r="BJ46" s="297" t="e">
        <f t="shared" si="89"/>
        <v>#N/A</v>
      </c>
      <c r="BK46" s="297" t="e">
        <f t="shared" si="90"/>
        <v>#N/A</v>
      </c>
      <c r="BL46" s="297" t="e">
        <f t="shared" si="91"/>
        <v>#N/A</v>
      </c>
      <c r="BM46" s="297" t="e">
        <f t="shared" si="92"/>
        <v>#N/A</v>
      </c>
    </row>
    <row r="47" spans="1:65" x14ac:dyDescent="0.25">
      <c r="A47" s="30">
        <v>46</v>
      </c>
      <c r="B47" s="30">
        <v>46</v>
      </c>
      <c r="C47" s="58" t="str">
        <f>Roster!$X49</f>
        <v>- -</v>
      </c>
      <c r="D47" s="271" t="e">
        <f t="shared" si="42"/>
        <v>#N/A</v>
      </c>
      <c r="E47" s="245"/>
      <c r="F47" s="271" t="e">
        <f t="shared" si="43"/>
        <v>#N/A</v>
      </c>
      <c r="G47" s="245"/>
      <c r="H47" s="274" t="e">
        <f t="shared" si="44"/>
        <v>#N/A</v>
      </c>
      <c r="I47" s="245"/>
      <c r="J47" s="274" t="e">
        <f t="shared" si="45"/>
        <v>#N/A</v>
      </c>
      <c r="K47" s="62"/>
      <c r="L47" s="63"/>
      <c r="M47" s="194" t="e">
        <f t="shared" si="46"/>
        <v>#N/A</v>
      </c>
      <c r="N47" s="61" t="e">
        <f t="shared" si="60"/>
        <v>#N/A</v>
      </c>
      <c r="O47" s="61" t="e">
        <f t="shared" si="61"/>
        <v>#N/A</v>
      </c>
      <c r="P47" s="61" t="e">
        <f t="shared" si="62"/>
        <v>#N/A</v>
      </c>
      <c r="Q47" s="61" t="e">
        <f t="shared" si="63"/>
        <v>#N/A</v>
      </c>
      <c r="R47" s="61" t="e">
        <f t="shared" si="64"/>
        <v>#N/A</v>
      </c>
      <c r="S47" s="61" t="e">
        <f t="shared" si="65"/>
        <v>#N/A</v>
      </c>
      <c r="T47" s="61" t="e">
        <f t="shared" si="66"/>
        <v>#N/A</v>
      </c>
      <c r="U47" s="61" t="e">
        <f t="shared" si="67"/>
        <v>#N/A</v>
      </c>
      <c r="V47" s="61" t="e">
        <f t="shared" si="47"/>
        <v>#N/A</v>
      </c>
      <c r="X47" s="61" t="e">
        <f t="shared" si="48"/>
        <v>#N/A</v>
      </c>
      <c r="Y47" s="61" t="e">
        <f t="shared" si="49"/>
        <v>#N/A</v>
      </c>
      <c r="Z47" s="61" t="e">
        <f t="shared" si="68"/>
        <v>#N/A</v>
      </c>
      <c r="AA47" s="270" t="e">
        <f t="shared" si="50"/>
        <v>#N/A</v>
      </c>
      <c r="AB47" s="270" t="e">
        <f t="shared" si="51"/>
        <v>#N/A</v>
      </c>
      <c r="AC47" s="61" t="e">
        <f t="shared" si="69"/>
        <v>#N/A</v>
      </c>
      <c r="AD47" s="61" t="e">
        <f t="shared" si="70"/>
        <v>#N/A</v>
      </c>
      <c r="AE47" s="61" t="e">
        <f t="shared" si="71"/>
        <v>#N/A</v>
      </c>
      <c r="AF47" s="61" t="e">
        <f t="shared" si="72"/>
        <v>#N/A</v>
      </c>
      <c r="AG47" s="61" t="e">
        <f t="shared" si="73"/>
        <v>#N/A</v>
      </c>
      <c r="AH47" s="61" t="e">
        <f t="shared" si="74"/>
        <v>#N/A</v>
      </c>
      <c r="AI47" s="61" t="e">
        <f t="shared" si="75"/>
        <v>#N/A</v>
      </c>
      <c r="AJ47" s="61" t="e">
        <f t="shared" si="76"/>
        <v>#N/A</v>
      </c>
      <c r="AK47" s="61" t="e">
        <f t="shared" si="77"/>
        <v>#N/A</v>
      </c>
      <c r="AL47" s="61" t="e">
        <f t="shared" si="78"/>
        <v>#N/A</v>
      </c>
      <c r="AM47" s="61" t="e">
        <f t="shared" si="79"/>
        <v>#N/A</v>
      </c>
      <c r="AN47" s="61" t="e">
        <f t="shared" si="80"/>
        <v>#N/A</v>
      </c>
      <c r="AO47" s="61" t="e">
        <f t="shared" si="52"/>
        <v>#N/A</v>
      </c>
      <c r="AP47" s="61" t="e">
        <f t="shared" si="53"/>
        <v>#N/A</v>
      </c>
      <c r="AQ47" s="247" t="e">
        <f t="shared" si="95"/>
        <v>#N/A</v>
      </c>
      <c r="AR47" s="247" t="e">
        <f t="shared" si="25"/>
        <v>#N/A</v>
      </c>
      <c r="AS47" s="247" t="e">
        <f t="shared" si="96"/>
        <v>#N/A</v>
      </c>
      <c r="AT47" s="196" t="e">
        <f t="shared" si="81"/>
        <v>#N/A</v>
      </c>
      <c r="AU47" s="196" t="e">
        <f>ROUND((VLOOKUP(A47,INPUT_RANGE,85,FALSE)/AS47)*('Team Info'!$H$25),2)</f>
        <v>#N/A</v>
      </c>
      <c r="AV47" s="8"/>
      <c r="AW47" s="197" t="e">
        <f t="shared" si="54"/>
        <v>#N/A</v>
      </c>
      <c r="AX47" s="197" t="e">
        <f t="shared" si="55"/>
        <v>#N/A</v>
      </c>
      <c r="AY47">
        <f t="shared" si="82"/>
        <v>0.44444444444444442</v>
      </c>
      <c r="AZ47" s="257" t="e">
        <f t="shared" si="56"/>
        <v>#N/A</v>
      </c>
      <c r="BA47" t="e">
        <f t="shared" si="57"/>
        <v>#N/A</v>
      </c>
      <c r="BB47" s="298" t="e">
        <f t="shared" si="83"/>
        <v>#N/A</v>
      </c>
      <c r="BC47" s="298" t="e">
        <f t="shared" si="84"/>
        <v>#N/A</v>
      </c>
      <c r="BD47" s="298" t="e">
        <f t="shared" si="85"/>
        <v>#N/A</v>
      </c>
      <c r="BE47" s="308" t="e">
        <f t="shared" si="59"/>
        <v>#N/A</v>
      </c>
      <c r="BF47" s="298" t="e">
        <f t="shared" si="58"/>
        <v>#N/A</v>
      </c>
      <c r="BG47" s="298" t="e">
        <f t="shared" si="86"/>
        <v>#N/A</v>
      </c>
      <c r="BH47" s="298" t="e">
        <f t="shared" si="87"/>
        <v>#N/A</v>
      </c>
      <c r="BI47" s="298" t="e">
        <f t="shared" si="88"/>
        <v>#N/A</v>
      </c>
      <c r="BJ47" s="297" t="e">
        <f t="shared" si="89"/>
        <v>#N/A</v>
      </c>
      <c r="BK47" s="297" t="e">
        <f t="shared" si="90"/>
        <v>#N/A</v>
      </c>
      <c r="BL47" s="297" t="e">
        <f t="shared" si="91"/>
        <v>#N/A</v>
      </c>
      <c r="BM47" s="297" t="e">
        <f t="shared" si="92"/>
        <v>#N/A</v>
      </c>
    </row>
    <row r="48" spans="1:65" x14ac:dyDescent="0.25">
      <c r="A48" s="30">
        <v>47</v>
      </c>
      <c r="B48" s="30">
        <v>47</v>
      </c>
      <c r="C48" s="58" t="str">
        <f>Roster!$X50</f>
        <v>- -</v>
      </c>
      <c r="D48" s="271" t="e">
        <f t="shared" si="42"/>
        <v>#N/A</v>
      </c>
      <c r="E48" s="245"/>
      <c r="F48" s="271" t="e">
        <f t="shared" si="43"/>
        <v>#N/A</v>
      </c>
      <c r="G48" s="245"/>
      <c r="H48" s="274" t="e">
        <f t="shared" si="44"/>
        <v>#N/A</v>
      </c>
      <c r="I48" s="245"/>
      <c r="J48" s="274" t="e">
        <f t="shared" si="45"/>
        <v>#N/A</v>
      </c>
      <c r="K48" s="62"/>
      <c r="L48" s="63"/>
      <c r="M48" s="194" t="e">
        <f t="shared" si="46"/>
        <v>#N/A</v>
      </c>
      <c r="N48" s="61" t="e">
        <f t="shared" si="60"/>
        <v>#N/A</v>
      </c>
      <c r="O48" s="61" t="e">
        <f t="shared" si="61"/>
        <v>#N/A</v>
      </c>
      <c r="P48" s="61" t="e">
        <f t="shared" si="62"/>
        <v>#N/A</v>
      </c>
      <c r="Q48" s="61" t="e">
        <f t="shared" si="63"/>
        <v>#N/A</v>
      </c>
      <c r="R48" s="61" t="e">
        <f t="shared" si="64"/>
        <v>#N/A</v>
      </c>
      <c r="S48" s="61" t="e">
        <f t="shared" si="65"/>
        <v>#N/A</v>
      </c>
      <c r="T48" s="61" t="e">
        <f t="shared" si="66"/>
        <v>#N/A</v>
      </c>
      <c r="U48" s="61" t="e">
        <f t="shared" si="67"/>
        <v>#N/A</v>
      </c>
      <c r="V48" s="61" t="e">
        <f t="shared" si="47"/>
        <v>#N/A</v>
      </c>
      <c r="X48" s="61" t="e">
        <f t="shared" si="48"/>
        <v>#N/A</v>
      </c>
      <c r="Y48" s="61" t="e">
        <f t="shared" si="49"/>
        <v>#N/A</v>
      </c>
      <c r="Z48" s="61" t="e">
        <f t="shared" si="68"/>
        <v>#N/A</v>
      </c>
      <c r="AA48" s="270" t="e">
        <f t="shared" si="50"/>
        <v>#N/A</v>
      </c>
      <c r="AB48" s="270" t="e">
        <f t="shared" si="51"/>
        <v>#N/A</v>
      </c>
      <c r="AC48" s="61" t="e">
        <f t="shared" si="69"/>
        <v>#N/A</v>
      </c>
      <c r="AD48" s="61" t="e">
        <f t="shared" si="70"/>
        <v>#N/A</v>
      </c>
      <c r="AE48" s="61" t="e">
        <f t="shared" si="71"/>
        <v>#N/A</v>
      </c>
      <c r="AF48" s="61" t="e">
        <f t="shared" si="72"/>
        <v>#N/A</v>
      </c>
      <c r="AG48" s="61" t="e">
        <f t="shared" si="73"/>
        <v>#N/A</v>
      </c>
      <c r="AH48" s="61" t="e">
        <f t="shared" si="74"/>
        <v>#N/A</v>
      </c>
      <c r="AI48" s="61" t="e">
        <f t="shared" si="75"/>
        <v>#N/A</v>
      </c>
      <c r="AJ48" s="61" t="e">
        <f t="shared" si="76"/>
        <v>#N/A</v>
      </c>
      <c r="AK48" s="61" t="e">
        <f t="shared" si="77"/>
        <v>#N/A</v>
      </c>
      <c r="AL48" s="61" t="e">
        <f t="shared" si="78"/>
        <v>#N/A</v>
      </c>
      <c r="AM48" s="61" t="e">
        <f t="shared" si="79"/>
        <v>#N/A</v>
      </c>
      <c r="AN48" s="61" t="e">
        <f t="shared" si="80"/>
        <v>#N/A</v>
      </c>
      <c r="AO48" s="61" t="e">
        <f t="shared" si="52"/>
        <v>#N/A</v>
      </c>
      <c r="AP48" s="61" t="e">
        <f t="shared" si="53"/>
        <v>#N/A</v>
      </c>
      <c r="AQ48" s="247" t="e">
        <f t="shared" si="95"/>
        <v>#N/A</v>
      </c>
      <c r="AR48" s="247" t="e">
        <f t="shared" si="25"/>
        <v>#N/A</v>
      </c>
      <c r="AS48" s="247" t="e">
        <f t="shared" si="96"/>
        <v>#N/A</v>
      </c>
      <c r="AT48" s="196" t="e">
        <f t="shared" si="81"/>
        <v>#N/A</v>
      </c>
      <c r="AU48" s="196" t="e">
        <f>ROUND((VLOOKUP(A48,INPUT_RANGE,85,FALSE)/AS48)*('Team Info'!$H$25),2)</f>
        <v>#N/A</v>
      </c>
      <c r="AV48" s="8"/>
      <c r="AW48" s="197" t="e">
        <f t="shared" si="54"/>
        <v>#N/A</v>
      </c>
      <c r="AX48" s="197" t="e">
        <f t="shared" si="55"/>
        <v>#N/A</v>
      </c>
      <c r="AY48">
        <f t="shared" si="82"/>
        <v>0.44444444444444442</v>
      </c>
      <c r="AZ48" s="257" t="e">
        <f t="shared" si="56"/>
        <v>#N/A</v>
      </c>
      <c r="BA48" t="e">
        <f t="shared" si="57"/>
        <v>#N/A</v>
      </c>
      <c r="BB48" s="298" t="e">
        <f t="shared" si="83"/>
        <v>#N/A</v>
      </c>
      <c r="BC48" s="298" t="e">
        <f t="shared" si="84"/>
        <v>#N/A</v>
      </c>
      <c r="BD48" s="298" t="e">
        <f t="shared" si="85"/>
        <v>#N/A</v>
      </c>
      <c r="BE48" s="308" t="e">
        <f t="shared" si="59"/>
        <v>#N/A</v>
      </c>
      <c r="BF48" s="298" t="e">
        <f t="shared" si="58"/>
        <v>#N/A</v>
      </c>
      <c r="BG48" s="298" t="e">
        <f t="shared" si="86"/>
        <v>#N/A</v>
      </c>
      <c r="BH48" s="298" t="e">
        <f t="shared" si="87"/>
        <v>#N/A</v>
      </c>
      <c r="BI48" s="298" t="e">
        <f t="shared" si="88"/>
        <v>#N/A</v>
      </c>
      <c r="BJ48" s="297" t="e">
        <f t="shared" si="89"/>
        <v>#N/A</v>
      </c>
      <c r="BK48" s="297" t="e">
        <f t="shared" si="90"/>
        <v>#N/A</v>
      </c>
      <c r="BL48" s="297" t="e">
        <f t="shared" si="91"/>
        <v>#N/A</v>
      </c>
      <c r="BM48" s="297" t="e">
        <f t="shared" si="92"/>
        <v>#N/A</v>
      </c>
    </row>
    <row r="49" spans="1:65" x14ac:dyDescent="0.25">
      <c r="A49" s="30">
        <v>48</v>
      </c>
      <c r="B49" s="30">
        <v>48</v>
      </c>
      <c r="C49" s="58" t="str">
        <f>Roster!$X51</f>
        <v>- -</v>
      </c>
      <c r="D49" s="271" t="e">
        <f t="shared" si="42"/>
        <v>#N/A</v>
      </c>
      <c r="E49" s="245"/>
      <c r="F49" s="271" t="e">
        <f t="shared" si="43"/>
        <v>#N/A</v>
      </c>
      <c r="G49" s="245"/>
      <c r="H49" s="274" t="e">
        <f t="shared" si="44"/>
        <v>#N/A</v>
      </c>
      <c r="I49" s="245"/>
      <c r="J49" s="274" t="e">
        <f t="shared" si="45"/>
        <v>#N/A</v>
      </c>
      <c r="K49" s="62"/>
      <c r="L49" s="63"/>
      <c r="M49" s="194" t="e">
        <f t="shared" si="46"/>
        <v>#N/A</v>
      </c>
      <c r="N49" s="61" t="e">
        <f t="shared" si="60"/>
        <v>#N/A</v>
      </c>
      <c r="O49" s="61" t="e">
        <f t="shared" si="61"/>
        <v>#N/A</v>
      </c>
      <c r="P49" s="61" t="e">
        <f t="shared" si="62"/>
        <v>#N/A</v>
      </c>
      <c r="Q49" s="61" t="e">
        <f t="shared" si="63"/>
        <v>#N/A</v>
      </c>
      <c r="R49" s="61" t="e">
        <f t="shared" si="64"/>
        <v>#N/A</v>
      </c>
      <c r="S49" s="61" t="e">
        <f t="shared" si="65"/>
        <v>#N/A</v>
      </c>
      <c r="T49" s="61" t="e">
        <f t="shared" si="66"/>
        <v>#N/A</v>
      </c>
      <c r="U49" s="61" t="e">
        <f t="shared" si="67"/>
        <v>#N/A</v>
      </c>
      <c r="V49" s="61" t="e">
        <f t="shared" si="47"/>
        <v>#N/A</v>
      </c>
      <c r="X49" s="61" t="e">
        <f t="shared" si="48"/>
        <v>#N/A</v>
      </c>
      <c r="Y49" s="61" t="e">
        <f t="shared" si="49"/>
        <v>#N/A</v>
      </c>
      <c r="Z49" s="61" t="e">
        <f t="shared" si="68"/>
        <v>#N/A</v>
      </c>
      <c r="AA49" s="270" t="e">
        <f t="shared" si="50"/>
        <v>#N/A</v>
      </c>
      <c r="AB49" s="270" t="e">
        <f t="shared" si="51"/>
        <v>#N/A</v>
      </c>
      <c r="AC49" s="61" t="e">
        <f t="shared" si="69"/>
        <v>#N/A</v>
      </c>
      <c r="AD49" s="61" t="e">
        <f t="shared" si="70"/>
        <v>#N/A</v>
      </c>
      <c r="AE49" s="61" t="e">
        <f t="shared" si="71"/>
        <v>#N/A</v>
      </c>
      <c r="AF49" s="61" t="e">
        <f t="shared" si="72"/>
        <v>#N/A</v>
      </c>
      <c r="AG49" s="61" t="e">
        <f t="shared" si="73"/>
        <v>#N/A</v>
      </c>
      <c r="AH49" s="61" t="e">
        <f t="shared" si="74"/>
        <v>#N/A</v>
      </c>
      <c r="AI49" s="61" t="e">
        <f t="shared" si="75"/>
        <v>#N/A</v>
      </c>
      <c r="AJ49" s="61" t="e">
        <f t="shared" si="76"/>
        <v>#N/A</v>
      </c>
      <c r="AK49" s="61" t="e">
        <f t="shared" si="77"/>
        <v>#N/A</v>
      </c>
      <c r="AL49" s="61" t="e">
        <f t="shared" si="78"/>
        <v>#N/A</v>
      </c>
      <c r="AM49" s="61" t="e">
        <f t="shared" si="79"/>
        <v>#N/A</v>
      </c>
      <c r="AN49" s="61" t="e">
        <f t="shared" si="80"/>
        <v>#N/A</v>
      </c>
      <c r="AO49" s="61" t="e">
        <f t="shared" si="52"/>
        <v>#N/A</v>
      </c>
      <c r="AP49" s="61" t="e">
        <f t="shared" si="53"/>
        <v>#N/A</v>
      </c>
      <c r="AQ49" s="247" t="e">
        <f t="shared" si="95"/>
        <v>#N/A</v>
      </c>
      <c r="AR49" s="247" t="e">
        <f t="shared" si="25"/>
        <v>#N/A</v>
      </c>
      <c r="AS49" s="247" t="e">
        <f t="shared" si="96"/>
        <v>#N/A</v>
      </c>
      <c r="AT49" s="196" t="e">
        <f t="shared" si="81"/>
        <v>#N/A</v>
      </c>
      <c r="AU49" s="196" t="e">
        <f>ROUND((VLOOKUP(A49,INPUT_RANGE,85,FALSE)/AS49)*('Team Info'!$H$25),2)</f>
        <v>#N/A</v>
      </c>
      <c r="AV49" s="8"/>
      <c r="AW49" s="197" t="e">
        <f t="shared" si="54"/>
        <v>#N/A</v>
      </c>
      <c r="AX49" s="197" t="e">
        <f t="shared" si="55"/>
        <v>#N/A</v>
      </c>
      <c r="AY49">
        <f t="shared" si="82"/>
        <v>0.44444444444444442</v>
      </c>
      <c r="AZ49" s="257" t="e">
        <f t="shared" si="56"/>
        <v>#N/A</v>
      </c>
      <c r="BA49" t="e">
        <f t="shared" si="57"/>
        <v>#N/A</v>
      </c>
      <c r="BB49" s="298" t="e">
        <f t="shared" si="83"/>
        <v>#N/A</v>
      </c>
      <c r="BC49" s="298" t="e">
        <f t="shared" si="84"/>
        <v>#N/A</v>
      </c>
      <c r="BD49" s="298" t="e">
        <f t="shared" si="85"/>
        <v>#N/A</v>
      </c>
      <c r="BE49" s="308" t="e">
        <f t="shared" si="59"/>
        <v>#N/A</v>
      </c>
      <c r="BF49" s="298" t="e">
        <f t="shared" si="58"/>
        <v>#N/A</v>
      </c>
      <c r="BG49" s="298" t="e">
        <f t="shared" si="86"/>
        <v>#N/A</v>
      </c>
      <c r="BH49" s="298" t="e">
        <f t="shared" si="87"/>
        <v>#N/A</v>
      </c>
      <c r="BI49" s="298" t="e">
        <f t="shared" si="88"/>
        <v>#N/A</v>
      </c>
      <c r="BJ49" s="297" t="e">
        <f t="shared" si="89"/>
        <v>#N/A</v>
      </c>
      <c r="BK49" s="297" t="e">
        <f t="shared" si="90"/>
        <v>#N/A</v>
      </c>
      <c r="BL49" s="297" t="e">
        <f t="shared" si="91"/>
        <v>#N/A</v>
      </c>
      <c r="BM49" s="297" t="e">
        <f t="shared" si="92"/>
        <v>#N/A</v>
      </c>
    </row>
    <row r="50" spans="1:65" x14ac:dyDescent="0.25">
      <c r="A50" s="30">
        <v>49</v>
      </c>
      <c r="B50" s="30">
        <v>49</v>
      </c>
      <c r="C50" s="58" t="str">
        <f>Roster!$X52</f>
        <v>- -</v>
      </c>
      <c r="D50" s="271" t="e">
        <f t="shared" si="42"/>
        <v>#N/A</v>
      </c>
      <c r="E50" s="245"/>
      <c r="F50" s="271" t="e">
        <f t="shared" si="43"/>
        <v>#N/A</v>
      </c>
      <c r="G50" s="245"/>
      <c r="H50" s="274" t="e">
        <f t="shared" si="44"/>
        <v>#N/A</v>
      </c>
      <c r="I50" s="245"/>
      <c r="J50" s="274" t="e">
        <f t="shared" si="45"/>
        <v>#N/A</v>
      </c>
      <c r="K50" s="62"/>
      <c r="L50" s="63"/>
      <c r="M50" s="194" t="e">
        <f t="shared" si="46"/>
        <v>#N/A</v>
      </c>
      <c r="N50" s="61" t="e">
        <f t="shared" si="60"/>
        <v>#N/A</v>
      </c>
      <c r="O50" s="61" t="e">
        <f t="shared" si="61"/>
        <v>#N/A</v>
      </c>
      <c r="P50" s="61" t="e">
        <f t="shared" si="62"/>
        <v>#N/A</v>
      </c>
      <c r="Q50" s="61" t="e">
        <f t="shared" si="63"/>
        <v>#N/A</v>
      </c>
      <c r="R50" s="61" t="e">
        <f t="shared" si="64"/>
        <v>#N/A</v>
      </c>
      <c r="S50" s="61" t="e">
        <f t="shared" si="65"/>
        <v>#N/A</v>
      </c>
      <c r="T50" s="61" t="e">
        <f t="shared" si="66"/>
        <v>#N/A</v>
      </c>
      <c r="U50" s="61" t="e">
        <f t="shared" si="67"/>
        <v>#N/A</v>
      </c>
      <c r="V50" s="61" t="e">
        <f t="shared" si="47"/>
        <v>#N/A</v>
      </c>
      <c r="X50" s="61" t="e">
        <f t="shared" si="48"/>
        <v>#N/A</v>
      </c>
      <c r="Y50" s="61" t="e">
        <f t="shared" si="49"/>
        <v>#N/A</v>
      </c>
      <c r="Z50" s="61" t="e">
        <f t="shared" si="68"/>
        <v>#N/A</v>
      </c>
      <c r="AA50" s="270" t="e">
        <f t="shared" si="50"/>
        <v>#N/A</v>
      </c>
      <c r="AB50" s="270" t="e">
        <f t="shared" si="51"/>
        <v>#N/A</v>
      </c>
      <c r="AC50" s="61" t="e">
        <f t="shared" si="69"/>
        <v>#N/A</v>
      </c>
      <c r="AD50" s="61" t="e">
        <f t="shared" si="70"/>
        <v>#N/A</v>
      </c>
      <c r="AE50" s="61" t="e">
        <f t="shared" si="71"/>
        <v>#N/A</v>
      </c>
      <c r="AF50" s="61" t="e">
        <f t="shared" si="72"/>
        <v>#N/A</v>
      </c>
      <c r="AG50" s="61" t="e">
        <f t="shared" si="73"/>
        <v>#N/A</v>
      </c>
      <c r="AH50" s="61" t="e">
        <f t="shared" si="74"/>
        <v>#N/A</v>
      </c>
      <c r="AI50" s="61" t="e">
        <f t="shared" si="75"/>
        <v>#N/A</v>
      </c>
      <c r="AJ50" s="61" t="e">
        <f t="shared" si="76"/>
        <v>#N/A</v>
      </c>
      <c r="AK50" s="61" t="e">
        <f t="shared" si="77"/>
        <v>#N/A</v>
      </c>
      <c r="AL50" s="61" t="e">
        <f t="shared" si="78"/>
        <v>#N/A</v>
      </c>
      <c r="AM50" s="61" t="e">
        <f t="shared" si="79"/>
        <v>#N/A</v>
      </c>
      <c r="AN50" s="61" t="e">
        <f t="shared" si="80"/>
        <v>#N/A</v>
      </c>
      <c r="AO50" s="61" t="e">
        <f t="shared" si="52"/>
        <v>#N/A</v>
      </c>
      <c r="AP50" s="61" t="e">
        <f t="shared" si="53"/>
        <v>#N/A</v>
      </c>
      <c r="AQ50" s="247" t="e">
        <f t="shared" si="95"/>
        <v>#N/A</v>
      </c>
      <c r="AR50" s="247" t="e">
        <f t="shared" si="25"/>
        <v>#N/A</v>
      </c>
      <c r="AS50" s="247" t="e">
        <f t="shared" si="96"/>
        <v>#N/A</v>
      </c>
      <c r="AT50" s="196" t="e">
        <f t="shared" si="81"/>
        <v>#N/A</v>
      </c>
      <c r="AU50" s="196" t="e">
        <f>ROUND((VLOOKUP(A50,INPUT_RANGE,85,FALSE)/AS50)*('Team Info'!$H$25),2)</f>
        <v>#N/A</v>
      </c>
      <c r="AV50" s="8"/>
      <c r="AW50" s="197" t="e">
        <f t="shared" si="54"/>
        <v>#N/A</v>
      </c>
      <c r="AX50" s="197" t="e">
        <f t="shared" si="55"/>
        <v>#N/A</v>
      </c>
      <c r="AY50">
        <f t="shared" si="82"/>
        <v>0.44444444444444442</v>
      </c>
      <c r="AZ50" s="257" t="e">
        <f t="shared" si="56"/>
        <v>#N/A</v>
      </c>
      <c r="BA50" t="e">
        <f t="shared" si="57"/>
        <v>#N/A</v>
      </c>
      <c r="BB50" s="298" t="e">
        <f t="shared" si="83"/>
        <v>#N/A</v>
      </c>
      <c r="BC50" s="298" t="e">
        <f t="shared" si="84"/>
        <v>#N/A</v>
      </c>
      <c r="BD50" s="298" t="e">
        <f t="shared" si="85"/>
        <v>#N/A</v>
      </c>
      <c r="BE50" s="308" t="e">
        <f t="shared" si="59"/>
        <v>#N/A</v>
      </c>
      <c r="BF50" s="298" t="e">
        <f t="shared" si="58"/>
        <v>#N/A</v>
      </c>
      <c r="BG50" s="298" t="e">
        <f t="shared" si="86"/>
        <v>#N/A</v>
      </c>
      <c r="BH50" s="298" t="e">
        <f t="shared" si="87"/>
        <v>#N/A</v>
      </c>
      <c r="BI50" s="298" t="e">
        <f t="shared" si="88"/>
        <v>#N/A</v>
      </c>
      <c r="BJ50" s="297" t="e">
        <f t="shared" si="89"/>
        <v>#N/A</v>
      </c>
      <c r="BK50" s="297" t="e">
        <f t="shared" si="90"/>
        <v>#N/A</v>
      </c>
      <c r="BL50" s="297" t="e">
        <f t="shared" si="91"/>
        <v>#N/A</v>
      </c>
      <c r="BM50" s="297" t="e">
        <f t="shared" si="92"/>
        <v>#N/A</v>
      </c>
    </row>
    <row r="51" spans="1:65" x14ac:dyDescent="0.25">
      <c r="A51" s="30">
        <v>50</v>
      </c>
      <c r="B51" s="30">
        <v>50</v>
      </c>
      <c r="C51" s="58" t="str">
        <f>Roster!$X53</f>
        <v>- -</v>
      </c>
      <c r="D51" s="271" t="e">
        <f t="shared" si="42"/>
        <v>#N/A</v>
      </c>
      <c r="E51" s="245"/>
      <c r="F51" s="271" t="e">
        <f t="shared" si="43"/>
        <v>#N/A</v>
      </c>
      <c r="G51" s="245"/>
      <c r="H51" s="274" t="e">
        <f t="shared" si="44"/>
        <v>#N/A</v>
      </c>
      <c r="I51" s="245"/>
      <c r="J51" s="274" t="e">
        <f t="shared" si="45"/>
        <v>#N/A</v>
      </c>
      <c r="K51" s="62"/>
      <c r="L51" s="63"/>
      <c r="M51" s="194" t="e">
        <f t="shared" si="46"/>
        <v>#N/A</v>
      </c>
      <c r="N51" s="61" t="e">
        <f t="shared" si="60"/>
        <v>#N/A</v>
      </c>
      <c r="O51" s="61" t="e">
        <f t="shared" si="61"/>
        <v>#N/A</v>
      </c>
      <c r="P51" s="61" t="e">
        <f t="shared" si="62"/>
        <v>#N/A</v>
      </c>
      <c r="Q51" s="61" t="e">
        <f t="shared" si="63"/>
        <v>#N/A</v>
      </c>
      <c r="R51" s="61" t="e">
        <f t="shared" si="64"/>
        <v>#N/A</v>
      </c>
      <c r="S51" s="61" t="e">
        <f t="shared" si="65"/>
        <v>#N/A</v>
      </c>
      <c r="T51" s="61" t="e">
        <f t="shared" si="66"/>
        <v>#N/A</v>
      </c>
      <c r="U51" s="61" t="e">
        <f t="shared" si="67"/>
        <v>#N/A</v>
      </c>
      <c r="V51" s="61" t="e">
        <f t="shared" si="47"/>
        <v>#N/A</v>
      </c>
      <c r="X51" s="61" t="e">
        <f t="shared" si="48"/>
        <v>#N/A</v>
      </c>
      <c r="Y51" s="61" t="e">
        <f t="shared" si="49"/>
        <v>#N/A</v>
      </c>
      <c r="Z51" s="61" t="e">
        <f t="shared" si="68"/>
        <v>#N/A</v>
      </c>
      <c r="AA51" s="270" t="e">
        <f t="shared" si="50"/>
        <v>#N/A</v>
      </c>
      <c r="AB51" s="270" t="e">
        <f t="shared" si="51"/>
        <v>#N/A</v>
      </c>
      <c r="AC51" s="61" t="e">
        <f t="shared" si="69"/>
        <v>#N/A</v>
      </c>
      <c r="AD51" s="61" t="e">
        <f t="shared" si="70"/>
        <v>#N/A</v>
      </c>
      <c r="AE51" s="61" t="e">
        <f t="shared" si="71"/>
        <v>#N/A</v>
      </c>
      <c r="AF51" s="61" t="e">
        <f t="shared" si="72"/>
        <v>#N/A</v>
      </c>
      <c r="AG51" s="61" t="e">
        <f t="shared" si="73"/>
        <v>#N/A</v>
      </c>
      <c r="AH51" s="61" t="e">
        <f t="shared" si="74"/>
        <v>#N/A</v>
      </c>
      <c r="AI51" s="61" t="e">
        <f t="shared" si="75"/>
        <v>#N/A</v>
      </c>
      <c r="AJ51" s="61" t="e">
        <f t="shared" si="76"/>
        <v>#N/A</v>
      </c>
      <c r="AK51" s="61" t="e">
        <f t="shared" si="77"/>
        <v>#N/A</v>
      </c>
      <c r="AL51" s="61" t="e">
        <f t="shared" si="78"/>
        <v>#N/A</v>
      </c>
      <c r="AM51" s="61" t="e">
        <f t="shared" si="79"/>
        <v>#N/A</v>
      </c>
      <c r="AN51" s="61" t="e">
        <f t="shared" si="80"/>
        <v>#N/A</v>
      </c>
      <c r="AO51" s="61" t="e">
        <f t="shared" si="52"/>
        <v>#N/A</v>
      </c>
      <c r="AP51" s="61" t="e">
        <f t="shared" si="53"/>
        <v>#N/A</v>
      </c>
      <c r="AQ51" s="247" t="e">
        <f t="shared" si="95"/>
        <v>#N/A</v>
      </c>
      <c r="AR51" s="247" t="e">
        <f t="shared" si="25"/>
        <v>#N/A</v>
      </c>
      <c r="AS51" s="247" t="e">
        <f t="shared" si="96"/>
        <v>#N/A</v>
      </c>
      <c r="AT51" s="196" t="e">
        <f t="shared" si="81"/>
        <v>#N/A</v>
      </c>
      <c r="AU51" s="196" t="e">
        <f>ROUND((VLOOKUP(A51,INPUT_RANGE,85,FALSE)/AS51)*('Team Info'!$H$25),2)</f>
        <v>#N/A</v>
      </c>
      <c r="AV51" s="8"/>
      <c r="AW51" s="197" t="e">
        <f t="shared" si="54"/>
        <v>#N/A</v>
      </c>
      <c r="AX51" s="197" t="e">
        <f t="shared" si="55"/>
        <v>#N/A</v>
      </c>
      <c r="AY51">
        <f t="shared" si="82"/>
        <v>0.44444444444444442</v>
      </c>
      <c r="AZ51" s="257" t="e">
        <f t="shared" si="56"/>
        <v>#N/A</v>
      </c>
      <c r="BA51" t="e">
        <f t="shared" si="57"/>
        <v>#N/A</v>
      </c>
      <c r="BB51" s="298" t="e">
        <f t="shared" si="83"/>
        <v>#N/A</v>
      </c>
      <c r="BC51" s="298" t="e">
        <f t="shared" si="84"/>
        <v>#N/A</v>
      </c>
      <c r="BD51" s="298" t="e">
        <f t="shared" si="85"/>
        <v>#N/A</v>
      </c>
      <c r="BE51" s="308" t="e">
        <f t="shared" si="59"/>
        <v>#N/A</v>
      </c>
      <c r="BF51" s="298" t="e">
        <f t="shared" si="58"/>
        <v>#N/A</v>
      </c>
      <c r="BG51" s="298" t="e">
        <f t="shared" si="86"/>
        <v>#N/A</v>
      </c>
      <c r="BH51" s="298" t="e">
        <f t="shared" si="87"/>
        <v>#N/A</v>
      </c>
      <c r="BI51" s="298" t="e">
        <f t="shared" si="88"/>
        <v>#N/A</v>
      </c>
      <c r="BJ51" s="297" t="e">
        <f t="shared" si="89"/>
        <v>#N/A</v>
      </c>
      <c r="BK51" s="297" t="e">
        <f t="shared" si="90"/>
        <v>#N/A</v>
      </c>
      <c r="BL51" s="297" t="e">
        <f t="shared" si="91"/>
        <v>#N/A</v>
      </c>
      <c r="BM51" s="297" t="e">
        <f t="shared" si="92"/>
        <v>#N/A</v>
      </c>
    </row>
    <row r="52" spans="1:65" x14ac:dyDescent="0.25">
      <c r="A52" s="30">
        <v>51</v>
      </c>
      <c r="B52" s="30">
        <v>51</v>
      </c>
      <c r="C52" s="58" t="str">
        <f>Roster!$X54</f>
        <v>- -</v>
      </c>
      <c r="D52" s="271" t="e">
        <f t="shared" si="42"/>
        <v>#N/A</v>
      </c>
      <c r="E52" s="245"/>
      <c r="F52" s="271" t="e">
        <f t="shared" si="43"/>
        <v>#N/A</v>
      </c>
      <c r="G52" s="245"/>
      <c r="H52" s="274" t="e">
        <f t="shared" si="44"/>
        <v>#N/A</v>
      </c>
      <c r="I52" s="245"/>
      <c r="J52" s="274" t="e">
        <f t="shared" si="45"/>
        <v>#N/A</v>
      </c>
      <c r="K52" s="62"/>
      <c r="L52" s="63"/>
      <c r="M52" s="194" t="e">
        <f t="shared" si="46"/>
        <v>#N/A</v>
      </c>
      <c r="N52" s="61" t="e">
        <f t="shared" si="60"/>
        <v>#N/A</v>
      </c>
      <c r="O52" s="61" t="e">
        <f t="shared" si="61"/>
        <v>#N/A</v>
      </c>
      <c r="P52" s="61" t="e">
        <f t="shared" si="62"/>
        <v>#N/A</v>
      </c>
      <c r="Q52" s="61" t="e">
        <f t="shared" si="63"/>
        <v>#N/A</v>
      </c>
      <c r="R52" s="61" t="e">
        <f t="shared" si="64"/>
        <v>#N/A</v>
      </c>
      <c r="S52" s="61" t="e">
        <f t="shared" si="65"/>
        <v>#N/A</v>
      </c>
      <c r="T52" s="61" t="e">
        <f t="shared" si="66"/>
        <v>#N/A</v>
      </c>
      <c r="U52" s="61" t="e">
        <f t="shared" si="67"/>
        <v>#N/A</v>
      </c>
      <c r="V52" s="61" t="e">
        <f t="shared" si="47"/>
        <v>#N/A</v>
      </c>
      <c r="X52" s="61" t="e">
        <f t="shared" si="48"/>
        <v>#N/A</v>
      </c>
      <c r="Y52" s="61" t="e">
        <f t="shared" si="49"/>
        <v>#N/A</v>
      </c>
      <c r="Z52" s="61" t="e">
        <f t="shared" si="68"/>
        <v>#N/A</v>
      </c>
      <c r="AA52" s="270" t="e">
        <f t="shared" si="50"/>
        <v>#N/A</v>
      </c>
      <c r="AB52" s="270" t="e">
        <f t="shared" si="51"/>
        <v>#N/A</v>
      </c>
      <c r="AC52" s="61" t="e">
        <f t="shared" si="69"/>
        <v>#N/A</v>
      </c>
      <c r="AD52" s="61" t="e">
        <f t="shared" si="70"/>
        <v>#N/A</v>
      </c>
      <c r="AE52" s="61" t="e">
        <f t="shared" si="71"/>
        <v>#N/A</v>
      </c>
      <c r="AF52" s="61" t="e">
        <f t="shared" si="72"/>
        <v>#N/A</v>
      </c>
      <c r="AG52" s="61" t="e">
        <f t="shared" si="73"/>
        <v>#N/A</v>
      </c>
      <c r="AH52" s="61" t="e">
        <f t="shared" si="74"/>
        <v>#N/A</v>
      </c>
      <c r="AI52" s="61" t="e">
        <f t="shared" si="75"/>
        <v>#N/A</v>
      </c>
      <c r="AJ52" s="61" t="e">
        <f t="shared" si="76"/>
        <v>#N/A</v>
      </c>
      <c r="AK52" s="61" t="e">
        <f t="shared" si="77"/>
        <v>#N/A</v>
      </c>
      <c r="AL52" s="61" t="e">
        <f t="shared" si="78"/>
        <v>#N/A</v>
      </c>
      <c r="AM52" s="61" t="e">
        <f t="shared" si="79"/>
        <v>#N/A</v>
      </c>
      <c r="AN52" s="61" t="e">
        <f t="shared" si="80"/>
        <v>#N/A</v>
      </c>
      <c r="AO52" s="61" t="e">
        <f t="shared" si="52"/>
        <v>#N/A</v>
      </c>
      <c r="AP52" s="61" t="e">
        <f t="shared" si="53"/>
        <v>#N/A</v>
      </c>
      <c r="AQ52" s="247" t="e">
        <f t="shared" si="95"/>
        <v>#N/A</v>
      </c>
      <c r="AR52" s="247" t="e">
        <f t="shared" si="25"/>
        <v>#N/A</v>
      </c>
      <c r="AS52" s="247" t="e">
        <f t="shared" si="96"/>
        <v>#N/A</v>
      </c>
      <c r="AT52" s="196" t="e">
        <f t="shared" si="81"/>
        <v>#N/A</v>
      </c>
      <c r="AU52" s="196" t="e">
        <f>ROUND((VLOOKUP(A52,INPUT_RANGE,85,FALSE)/AS52)*('Team Info'!$H$25),2)</f>
        <v>#N/A</v>
      </c>
      <c r="AV52" s="8"/>
      <c r="AW52" s="197" t="e">
        <f t="shared" si="54"/>
        <v>#N/A</v>
      </c>
      <c r="AX52" s="197" t="e">
        <f t="shared" si="55"/>
        <v>#N/A</v>
      </c>
      <c r="AY52">
        <f t="shared" si="82"/>
        <v>0.44444444444444442</v>
      </c>
      <c r="AZ52" s="257" t="e">
        <f t="shared" si="56"/>
        <v>#N/A</v>
      </c>
      <c r="BA52" t="e">
        <f t="shared" si="57"/>
        <v>#N/A</v>
      </c>
      <c r="BB52" s="298" t="e">
        <f t="shared" si="83"/>
        <v>#N/A</v>
      </c>
      <c r="BC52" s="298" t="e">
        <f t="shared" si="84"/>
        <v>#N/A</v>
      </c>
      <c r="BD52" s="298" t="e">
        <f t="shared" si="85"/>
        <v>#N/A</v>
      </c>
      <c r="BE52" s="308" t="e">
        <f t="shared" si="59"/>
        <v>#N/A</v>
      </c>
      <c r="BF52" s="298" t="e">
        <f t="shared" si="58"/>
        <v>#N/A</v>
      </c>
      <c r="BG52" s="298" t="e">
        <f t="shared" si="86"/>
        <v>#N/A</v>
      </c>
      <c r="BH52" s="298" t="e">
        <f t="shared" si="87"/>
        <v>#N/A</v>
      </c>
      <c r="BI52" s="298" t="e">
        <f t="shared" si="88"/>
        <v>#N/A</v>
      </c>
      <c r="BJ52" s="297" t="e">
        <f t="shared" si="89"/>
        <v>#N/A</v>
      </c>
      <c r="BK52" s="297" t="e">
        <f t="shared" si="90"/>
        <v>#N/A</v>
      </c>
      <c r="BL52" s="297" t="e">
        <f t="shared" si="91"/>
        <v>#N/A</v>
      </c>
      <c r="BM52" s="297" t="e">
        <f t="shared" si="92"/>
        <v>#N/A</v>
      </c>
    </row>
    <row r="53" spans="1:65" x14ac:dyDescent="0.25">
      <c r="A53" s="30">
        <v>52</v>
      </c>
      <c r="B53" s="30">
        <v>52</v>
      </c>
      <c r="C53" s="58" t="str">
        <f>Roster!$X55</f>
        <v>- -</v>
      </c>
      <c r="D53" s="271" t="e">
        <f t="shared" si="42"/>
        <v>#N/A</v>
      </c>
      <c r="E53" s="245"/>
      <c r="F53" s="271" t="e">
        <f t="shared" si="43"/>
        <v>#N/A</v>
      </c>
      <c r="G53" s="245"/>
      <c r="H53" s="274" t="e">
        <f t="shared" si="44"/>
        <v>#N/A</v>
      </c>
      <c r="I53" s="245"/>
      <c r="J53" s="274" t="e">
        <f t="shared" si="45"/>
        <v>#N/A</v>
      </c>
      <c r="K53" s="62"/>
      <c r="L53" s="63"/>
      <c r="M53" s="194" t="e">
        <f t="shared" si="46"/>
        <v>#N/A</v>
      </c>
      <c r="N53" s="61" t="e">
        <f t="shared" si="60"/>
        <v>#N/A</v>
      </c>
      <c r="O53" s="61" t="e">
        <f t="shared" si="61"/>
        <v>#N/A</v>
      </c>
      <c r="P53" s="61" t="e">
        <f t="shared" si="62"/>
        <v>#N/A</v>
      </c>
      <c r="Q53" s="61" t="e">
        <f t="shared" si="63"/>
        <v>#N/A</v>
      </c>
      <c r="R53" s="61" t="e">
        <f t="shared" si="64"/>
        <v>#N/A</v>
      </c>
      <c r="S53" s="61" t="e">
        <f t="shared" si="65"/>
        <v>#N/A</v>
      </c>
      <c r="T53" s="61" t="e">
        <f t="shared" si="66"/>
        <v>#N/A</v>
      </c>
      <c r="U53" s="61" t="e">
        <f t="shared" si="67"/>
        <v>#N/A</v>
      </c>
      <c r="V53" s="61" t="e">
        <f t="shared" si="47"/>
        <v>#N/A</v>
      </c>
      <c r="X53" s="61" t="e">
        <f t="shared" si="48"/>
        <v>#N/A</v>
      </c>
      <c r="Y53" s="61" t="e">
        <f t="shared" si="49"/>
        <v>#N/A</v>
      </c>
      <c r="Z53" s="61" t="e">
        <f t="shared" si="68"/>
        <v>#N/A</v>
      </c>
      <c r="AA53" s="270" t="e">
        <f t="shared" si="50"/>
        <v>#N/A</v>
      </c>
      <c r="AB53" s="270" t="e">
        <f t="shared" si="51"/>
        <v>#N/A</v>
      </c>
      <c r="AC53" s="61" t="e">
        <f t="shared" si="69"/>
        <v>#N/A</v>
      </c>
      <c r="AD53" s="61" t="e">
        <f t="shared" si="70"/>
        <v>#N/A</v>
      </c>
      <c r="AE53" s="61" t="e">
        <f t="shared" si="71"/>
        <v>#N/A</v>
      </c>
      <c r="AF53" s="61" t="e">
        <f t="shared" si="72"/>
        <v>#N/A</v>
      </c>
      <c r="AG53" s="61" t="e">
        <f t="shared" si="73"/>
        <v>#N/A</v>
      </c>
      <c r="AH53" s="61" t="e">
        <f t="shared" si="74"/>
        <v>#N/A</v>
      </c>
      <c r="AI53" s="61" t="e">
        <f t="shared" si="75"/>
        <v>#N/A</v>
      </c>
      <c r="AJ53" s="61" t="e">
        <f t="shared" si="76"/>
        <v>#N/A</v>
      </c>
      <c r="AK53" s="61" t="e">
        <f t="shared" si="77"/>
        <v>#N/A</v>
      </c>
      <c r="AL53" s="61" t="e">
        <f t="shared" si="78"/>
        <v>#N/A</v>
      </c>
      <c r="AM53" s="61" t="e">
        <f t="shared" si="79"/>
        <v>#N/A</v>
      </c>
      <c r="AN53" s="61" t="e">
        <f t="shared" si="80"/>
        <v>#N/A</v>
      </c>
      <c r="AO53" s="61" t="e">
        <f t="shared" si="52"/>
        <v>#N/A</v>
      </c>
      <c r="AP53" s="61" t="e">
        <f t="shared" si="53"/>
        <v>#N/A</v>
      </c>
      <c r="AQ53" s="247" t="e">
        <f t="shared" si="95"/>
        <v>#N/A</v>
      </c>
      <c r="AR53" s="247" t="e">
        <f t="shared" si="25"/>
        <v>#N/A</v>
      </c>
      <c r="AS53" s="247" t="e">
        <f t="shared" si="96"/>
        <v>#N/A</v>
      </c>
      <c r="AT53" s="196" t="e">
        <f t="shared" si="81"/>
        <v>#N/A</v>
      </c>
      <c r="AU53" s="196" t="e">
        <f>ROUND((VLOOKUP(A53,INPUT_RANGE,85,FALSE)/AS53)*('Team Info'!$H$25),2)</f>
        <v>#N/A</v>
      </c>
      <c r="AV53" s="8"/>
      <c r="AW53" s="197" t="e">
        <f t="shared" si="54"/>
        <v>#N/A</v>
      </c>
      <c r="AX53" s="197" t="e">
        <f t="shared" si="55"/>
        <v>#N/A</v>
      </c>
      <c r="AY53">
        <f t="shared" si="82"/>
        <v>0.44444444444444442</v>
      </c>
      <c r="AZ53" s="257" t="e">
        <f t="shared" si="56"/>
        <v>#N/A</v>
      </c>
      <c r="BA53" t="e">
        <f t="shared" si="57"/>
        <v>#N/A</v>
      </c>
      <c r="BB53" s="298" t="e">
        <f t="shared" si="83"/>
        <v>#N/A</v>
      </c>
      <c r="BC53" s="298" t="e">
        <f t="shared" si="84"/>
        <v>#N/A</v>
      </c>
      <c r="BD53" s="298" t="e">
        <f t="shared" si="85"/>
        <v>#N/A</v>
      </c>
      <c r="BE53" s="308" t="e">
        <f t="shared" si="59"/>
        <v>#N/A</v>
      </c>
      <c r="BF53" s="298" t="e">
        <f t="shared" si="58"/>
        <v>#N/A</v>
      </c>
      <c r="BG53" s="298" t="e">
        <f t="shared" si="86"/>
        <v>#N/A</v>
      </c>
      <c r="BH53" s="298" t="e">
        <f t="shared" si="87"/>
        <v>#N/A</v>
      </c>
      <c r="BI53" s="298" t="e">
        <f t="shared" si="88"/>
        <v>#N/A</v>
      </c>
      <c r="BJ53" s="297" t="e">
        <f t="shared" si="89"/>
        <v>#N/A</v>
      </c>
      <c r="BK53" s="297" t="e">
        <f t="shared" si="90"/>
        <v>#N/A</v>
      </c>
      <c r="BL53" s="297" t="e">
        <f t="shared" si="91"/>
        <v>#N/A</v>
      </c>
      <c r="BM53" s="297" t="e">
        <f t="shared" si="92"/>
        <v>#N/A</v>
      </c>
    </row>
    <row r="54" spans="1:65" x14ac:dyDescent="0.25">
      <c r="A54" s="30">
        <v>53</v>
      </c>
      <c r="B54" s="30">
        <v>53</v>
      </c>
      <c r="C54" s="58" t="str">
        <f>Roster!$X56</f>
        <v>- -</v>
      </c>
      <c r="D54" s="271" t="e">
        <f t="shared" si="42"/>
        <v>#N/A</v>
      </c>
      <c r="E54" s="245"/>
      <c r="F54" s="271" t="e">
        <f t="shared" si="43"/>
        <v>#N/A</v>
      </c>
      <c r="G54" s="245"/>
      <c r="H54" s="274" t="e">
        <f t="shared" si="44"/>
        <v>#N/A</v>
      </c>
      <c r="I54" s="245"/>
      <c r="J54" s="274" t="e">
        <f t="shared" si="45"/>
        <v>#N/A</v>
      </c>
      <c r="K54" s="62"/>
      <c r="L54" s="63"/>
      <c r="M54" s="194" t="e">
        <f t="shared" si="46"/>
        <v>#N/A</v>
      </c>
      <c r="N54" s="61" t="e">
        <f t="shared" si="60"/>
        <v>#N/A</v>
      </c>
      <c r="O54" s="61" t="e">
        <f t="shared" si="61"/>
        <v>#N/A</v>
      </c>
      <c r="P54" s="61" t="e">
        <f t="shared" si="62"/>
        <v>#N/A</v>
      </c>
      <c r="Q54" s="61" t="e">
        <f t="shared" si="63"/>
        <v>#N/A</v>
      </c>
      <c r="R54" s="61" t="e">
        <f t="shared" si="64"/>
        <v>#N/A</v>
      </c>
      <c r="S54" s="61" t="e">
        <f t="shared" si="65"/>
        <v>#N/A</v>
      </c>
      <c r="T54" s="61" t="e">
        <f t="shared" si="66"/>
        <v>#N/A</v>
      </c>
      <c r="U54" s="61" t="e">
        <f t="shared" si="67"/>
        <v>#N/A</v>
      </c>
      <c r="V54" s="61" t="e">
        <f t="shared" si="47"/>
        <v>#N/A</v>
      </c>
      <c r="X54" s="61" t="e">
        <f t="shared" si="48"/>
        <v>#N/A</v>
      </c>
      <c r="Y54" s="61" t="e">
        <f t="shared" si="49"/>
        <v>#N/A</v>
      </c>
      <c r="Z54" s="61" t="e">
        <f t="shared" si="68"/>
        <v>#N/A</v>
      </c>
      <c r="AA54" s="270" t="e">
        <f t="shared" si="50"/>
        <v>#N/A</v>
      </c>
      <c r="AB54" s="270" t="e">
        <f t="shared" si="51"/>
        <v>#N/A</v>
      </c>
      <c r="AC54" s="61" t="e">
        <f t="shared" si="69"/>
        <v>#N/A</v>
      </c>
      <c r="AD54" s="61" t="e">
        <f t="shared" si="70"/>
        <v>#N/A</v>
      </c>
      <c r="AE54" s="61" t="e">
        <f t="shared" si="71"/>
        <v>#N/A</v>
      </c>
      <c r="AF54" s="61" t="e">
        <f t="shared" si="72"/>
        <v>#N/A</v>
      </c>
      <c r="AG54" s="61" t="e">
        <f t="shared" si="73"/>
        <v>#N/A</v>
      </c>
      <c r="AH54" s="61" t="e">
        <f t="shared" si="74"/>
        <v>#N/A</v>
      </c>
      <c r="AI54" s="61" t="e">
        <f t="shared" si="75"/>
        <v>#N/A</v>
      </c>
      <c r="AJ54" s="61" t="e">
        <f t="shared" si="76"/>
        <v>#N/A</v>
      </c>
      <c r="AK54" s="61" t="e">
        <f t="shared" si="77"/>
        <v>#N/A</v>
      </c>
      <c r="AL54" s="61" t="e">
        <f t="shared" si="78"/>
        <v>#N/A</v>
      </c>
      <c r="AM54" s="61" t="e">
        <f t="shared" si="79"/>
        <v>#N/A</v>
      </c>
      <c r="AN54" s="61" t="e">
        <f t="shared" si="80"/>
        <v>#N/A</v>
      </c>
      <c r="AO54" s="61" t="e">
        <f t="shared" si="52"/>
        <v>#N/A</v>
      </c>
      <c r="AP54" s="61" t="e">
        <f t="shared" si="53"/>
        <v>#N/A</v>
      </c>
      <c r="AQ54" s="247" t="e">
        <f t="shared" si="95"/>
        <v>#N/A</v>
      </c>
      <c r="AR54" s="247" t="e">
        <f t="shared" si="25"/>
        <v>#N/A</v>
      </c>
      <c r="AS54" s="247" t="e">
        <f t="shared" si="96"/>
        <v>#N/A</v>
      </c>
      <c r="AT54" s="196" t="e">
        <f t="shared" si="81"/>
        <v>#N/A</v>
      </c>
      <c r="AU54" s="196" t="e">
        <f>ROUND((VLOOKUP(A54,INPUT_RANGE,85,FALSE)/AS54)*('Team Info'!$H$25),2)</f>
        <v>#N/A</v>
      </c>
      <c r="AV54" s="8"/>
      <c r="AW54" s="197" t="e">
        <f t="shared" si="54"/>
        <v>#N/A</v>
      </c>
      <c r="AX54" s="197" t="e">
        <f t="shared" si="55"/>
        <v>#N/A</v>
      </c>
      <c r="AY54">
        <f t="shared" si="82"/>
        <v>0.44444444444444442</v>
      </c>
      <c r="AZ54" s="257" t="e">
        <f t="shared" si="56"/>
        <v>#N/A</v>
      </c>
      <c r="BA54" t="e">
        <f t="shared" si="57"/>
        <v>#N/A</v>
      </c>
      <c r="BB54" s="298" t="e">
        <f t="shared" si="83"/>
        <v>#N/A</v>
      </c>
      <c r="BC54" s="298" t="e">
        <f t="shared" si="84"/>
        <v>#N/A</v>
      </c>
      <c r="BD54" s="298" t="e">
        <f t="shared" si="85"/>
        <v>#N/A</v>
      </c>
      <c r="BE54" s="308" t="e">
        <f t="shared" si="59"/>
        <v>#N/A</v>
      </c>
      <c r="BF54" s="298" t="e">
        <f t="shared" si="58"/>
        <v>#N/A</v>
      </c>
      <c r="BG54" s="298" t="e">
        <f t="shared" si="86"/>
        <v>#N/A</v>
      </c>
      <c r="BH54" s="298" t="e">
        <f t="shared" si="87"/>
        <v>#N/A</v>
      </c>
      <c r="BI54" s="298" t="e">
        <f t="shared" si="88"/>
        <v>#N/A</v>
      </c>
      <c r="BJ54" s="297" t="e">
        <f t="shared" si="89"/>
        <v>#N/A</v>
      </c>
      <c r="BK54" s="297" t="e">
        <f t="shared" si="90"/>
        <v>#N/A</v>
      </c>
      <c r="BL54" s="297" t="e">
        <f t="shared" si="91"/>
        <v>#N/A</v>
      </c>
      <c r="BM54" s="297" t="e">
        <f t="shared" si="92"/>
        <v>#N/A</v>
      </c>
    </row>
    <row r="55" spans="1:65" x14ac:dyDescent="0.25">
      <c r="A55" s="30">
        <v>54</v>
      </c>
      <c r="B55" s="30">
        <v>54</v>
      </c>
      <c r="C55" s="58" t="str">
        <f>Roster!$X57</f>
        <v>- -</v>
      </c>
      <c r="D55" s="271" t="e">
        <f t="shared" si="42"/>
        <v>#N/A</v>
      </c>
      <c r="E55" s="245"/>
      <c r="F55" s="271" t="e">
        <f t="shared" si="43"/>
        <v>#N/A</v>
      </c>
      <c r="G55" s="245"/>
      <c r="H55" s="274" t="e">
        <f t="shared" si="44"/>
        <v>#N/A</v>
      </c>
      <c r="I55" s="245"/>
      <c r="J55" s="274" t="e">
        <f t="shared" si="45"/>
        <v>#N/A</v>
      </c>
      <c r="K55" s="62"/>
      <c r="L55" s="63"/>
      <c r="M55" s="194" t="e">
        <f t="shared" si="46"/>
        <v>#N/A</v>
      </c>
      <c r="N55" s="61" t="e">
        <f t="shared" si="60"/>
        <v>#N/A</v>
      </c>
      <c r="O55" s="61" t="e">
        <f t="shared" si="61"/>
        <v>#N/A</v>
      </c>
      <c r="P55" s="61" t="e">
        <f t="shared" si="62"/>
        <v>#N/A</v>
      </c>
      <c r="Q55" s="61" t="e">
        <f t="shared" si="63"/>
        <v>#N/A</v>
      </c>
      <c r="R55" s="61" t="e">
        <f t="shared" si="64"/>
        <v>#N/A</v>
      </c>
      <c r="S55" s="61" t="e">
        <f t="shared" si="65"/>
        <v>#N/A</v>
      </c>
      <c r="T55" s="61" t="e">
        <f t="shared" si="66"/>
        <v>#N/A</v>
      </c>
      <c r="U55" s="61" t="e">
        <f t="shared" si="67"/>
        <v>#N/A</v>
      </c>
      <c r="V55" s="61" t="e">
        <f t="shared" si="47"/>
        <v>#N/A</v>
      </c>
      <c r="X55" s="61" t="e">
        <f t="shared" si="48"/>
        <v>#N/A</v>
      </c>
      <c r="Y55" s="61" t="e">
        <f t="shared" si="49"/>
        <v>#N/A</v>
      </c>
      <c r="Z55" s="61" t="e">
        <f t="shared" si="68"/>
        <v>#N/A</v>
      </c>
      <c r="AA55" s="270" t="e">
        <f t="shared" si="50"/>
        <v>#N/A</v>
      </c>
      <c r="AB55" s="270" t="e">
        <f t="shared" si="51"/>
        <v>#N/A</v>
      </c>
      <c r="AC55" s="61" t="e">
        <f t="shared" si="69"/>
        <v>#N/A</v>
      </c>
      <c r="AD55" s="61" t="e">
        <f t="shared" si="70"/>
        <v>#N/A</v>
      </c>
      <c r="AE55" s="61" t="e">
        <f t="shared" si="71"/>
        <v>#N/A</v>
      </c>
      <c r="AF55" s="61" t="e">
        <f t="shared" si="72"/>
        <v>#N/A</v>
      </c>
      <c r="AG55" s="61" t="e">
        <f t="shared" si="73"/>
        <v>#N/A</v>
      </c>
      <c r="AH55" s="61" t="e">
        <f t="shared" si="74"/>
        <v>#N/A</v>
      </c>
      <c r="AI55" s="61" t="e">
        <f t="shared" si="75"/>
        <v>#N/A</v>
      </c>
      <c r="AJ55" s="61" t="e">
        <f t="shared" si="76"/>
        <v>#N/A</v>
      </c>
      <c r="AK55" s="61" t="e">
        <f t="shared" si="77"/>
        <v>#N/A</v>
      </c>
      <c r="AL55" s="61" t="e">
        <f t="shared" si="78"/>
        <v>#N/A</v>
      </c>
      <c r="AM55" s="61" t="e">
        <f t="shared" si="79"/>
        <v>#N/A</v>
      </c>
      <c r="AN55" s="61" t="e">
        <f t="shared" si="80"/>
        <v>#N/A</v>
      </c>
      <c r="AO55" s="61" t="e">
        <f t="shared" si="52"/>
        <v>#N/A</v>
      </c>
      <c r="AP55" s="61" t="e">
        <f t="shared" si="53"/>
        <v>#N/A</v>
      </c>
      <c r="AQ55" s="247" t="e">
        <f t="shared" si="95"/>
        <v>#N/A</v>
      </c>
      <c r="AR55" s="247" t="e">
        <f t="shared" si="25"/>
        <v>#N/A</v>
      </c>
      <c r="AS55" s="247" t="e">
        <f t="shared" si="96"/>
        <v>#N/A</v>
      </c>
      <c r="AT55" s="196" t="e">
        <f t="shared" si="81"/>
        <v>#N/A</v>
      </c>
      <c r="AU55" s="196" t="e">
        <f>ROUND((VLOOKUP(A55,INPUT_RANGE,85,FALSE)/AS55)*('Team Info'!$H$25),2)</f>
        <v>#N/A</v>
      </c>
      <c r="AV55" s="8"/>
      <c r="AW55" s="197" t="e">
        <f t="shared" si="54"/>
        <v>#N/A</v>
      </c>
      <c r="AX55" s="197" t="e">
        <f t="shared" si="55"/>
        <v>#N/A</v>
      </c>
      <c r="AY55">
        <f t="shared" si="82"/>
        <v>0.44444444444444442</v>
      </c>
      <c r="AZ55" s="257" t="e">
        <f t="shared" si="56"/>
        <v>#N/A</v>
      </c>
      <c r="BA55" t="e">
        <f t="shared" si="57"/>
        <v>#N/A</v>
      </c>
      <c r="BB55" s="298" t="e">
        <f t="shared" si="83"/>
        <v>#N/A</v>
      </c>
      <c r="BC55" s="298" t="e">
        <f t="shared" si="84"/>
        <v>#N/A</v>
      </c>
      <c r="BD55" s="298" t="e">
        <f t="shared" si="85"/>
        <v>#N/A</v>
      </c>
      <c r="BE55" s="308" t="e">
        <f t="shared" si="59"/>
        <v>#N/A</v>
      </c>
      <c r="BF55" s="298" t="e">
        <f t="shared" si="58"/>
        <v>#N/A</v>
      </c>
      <c r="BG55" s="298" t="e">
        <f t="shared" si="86"/>
        <v>#N/A</v>
      </c>
      <c r="BH55" s="298" t="e">
        <f t="shared" si="87"/>
        <v>#N/A</v>
      </c>
      <c r="BI55" s="298" t="e">
        <f t="shared" si="88"/>
        <v>#N/A</v>
      </c>
      <c r="BJ55" s="297" t="e">
        <f t="shared" si="89"/>
        <v>#N/A</v>
      </c>
      <c r="BK55" s="297" t="e">
        <f t="shared" si="90"/>
        <v>#N/A</v>
      </c>
      <c r="BL55" s="297" t="e">
        <f t="shared" si="91"/>
        <v>#N/A</v>
      </c>
      <c r="BM55" s="297" t="e">
        <f t="shared" si="92"/>
        <v>#N/A</v>
      </c>
    </row>
    <row r="56" spans="1:65" x14ac:dyDescent="0.25">
      <c r="A56" s="30">
        <v>55</v>
      </c>
      <c r="B56" s="30">
        <v>55</v>
      </c>
      <c r="C56" s="58" t="str">
        <f>Roster!$X58</f>
        <v>- -</v>
      </c>
      <c r="D56" s="271" t="e">
        <f t="shared" si="42"/>
        <v>#N/A</v>
      </c>
      <c r="E56" s="245"/>
      <c r="F56" s="271" t="e">
        <f t="shared" si="43"/>
        <v>#N/A</v>
      </c>
      <c r="G56" s="245"/>
      <c r="H56" s="274" t="e">
        <f t="shared" si="44"/>
        <v>#N/A</v>
      </c>
      <c r="I56" s="245"/>
      <c r="J56" s="274" t="e">
        <f t="shared" si="45"/>
        <v>#N/A</v>
      </c>
      <c r="K56" s="62"/>
      <c r="L56" s="63"/>
      <c r="M56" s="194" t="e">
        <f t="shared" si="46"/>
        <v>#N/A</v>
      </c>
      <c r="N56" s="61" t="e">
        <f t="shared" si="60"/>
        <v>#N/A</v>
      </c>
      <c r="O56" s="61" t="e">
        <f t="shared" si="61"/>
        <v>#N/A</v>
      </c>
      <c r="P56" s="61" t="e">
        <f t="shared" si="62"/>
        <v>#N/A</v>
      </c>
      <c r="Q56" s="61" t="e">
        <f t="shared" si="63"/>
        <v>#N/A</v>
      </c>
      <c r="R56" s="61" t="e">
        <f t="shared" si="64"/>
        <v>#N/A</v>
      </c>
      <c r="S56" s="61" t="e">
        <f t="shared" si="65"/>
        <v>#N/A</v>
      </c>
      <c r="T56" s="61" t="e">
        <f t="shared" si="66"/>
        <v>#N/A</v>
      </c>
      <c r="U56" s="61" t="e">
        <f t="shared" si="67"/>
        <v>#N/A</v>
      </c>
      <c r="V56" s="61" t="e">
        <f t="shared" si="47"/>
        <v>#N/A</v>
      </c>
      <c r="X56" s="61" t="e">
        <f t="shared" si="48"/>
        <v>#N/A</v>
      </c>
      <c r="Y56" s="61" t="e">
        <f t="shared" si="49"/>
        <v>#N/A</v>
      </c>
      <c r="Z56" s="61" t="e">
        <f t="shared" si="68"/>
        <v>#N/A</v>
      </c>
      <c r="AA56" s="270" t="e">
        <f t="shared" si="50"/>
        <v>#N/A</v>
      </c>
      <c r="AB56" s="270" t="e">
        <f t="shared" si="51"/>
        <v>#N/A</v>
      </c>
      <c r="AC56" s="61" t="e">
        <f t="shared" si="69"/>
        <v>#N/A</v>
      </c>
      <c r="AD56" s="61" t="e">
        <f t="shared" si="70"/>
        <v>#N/A</v>
      </c>
      <c r="AE56" s="61" t="e">
        <f t="shared" si="71"/>
        <v>#N/A</v>
      </c>
      <c r="AF56" s="61" t="e">
        <f t="shared" si="72"/>
        <v>#N/A</v>
      </c>
      <c r="AG56" s="61" t="e">
        <f t="shared" si="73"/>
        <v>#N/A</v>
      </c>
      <c r="AH56" s="61" t="e">
        <f t="shared" si="74"/>
        <v>#N/A</v>
      </c>
      <c r="AI56" s="61" t="e">
        <f t="shared" si="75"/>
        <v>#N/A</v>
      </c>
      <c r="AJ56" s="61" t="e">
        <f t="shared" si="76"/>
        <v>#N/A</v>
      </c>
      <c r="AK56" s="61" t="e">
        <f t="shared" si="77"/>
        <v>#N/A</v>
      </c>
      <c r="AL56" s="61" t="e">
        <f t="shared" si="78"/>
        <v>#N/A</v>
      </c>
      <c r="AM56" s="61" t="e">
        <f t="shared" si="79"/>
        <v>#N/A</v>
      </c>
      <c r="AN56" s="61" t="e">
        <f t="shared" si="80"/>
        <v>#N/A</v>
      </c>
      <c r="AO56" s="61" t="e">
        <f t="shared" si="52"/>
        <v>#N/A</v>
      </c>
      <c r="AP56" s="61" t="e">
        <f t="shared" si="53"/>
        <v>#N/A</v>
      </c>
      <c r="AQ56" s="247" t="e">
        <f t="shared" si="95"/>
        <v>#N/A</v>
      </c>
      <c r="AR56" s="247" t="e">
        <f t="shared" si="25"/>
        <v>#N/A</v>
      </c>
      <c r="AS56" s="247" t="e">
        <f t="shared" si="96"/>
        <v>#N/A</v>
      </c>
      <c r="AT56" s="196" t="e">
        <f t="shared" si="81"/>
        <v>#N/A</v>
      </c>
      <c r="AU56" s="196" t="e">
        <f>ROUND((VLOOKUP(A56,INPUT_RANGE,85,FALSE)/AS56)*('Team Info'!$H$25),2)</f>
        <v>#N/A</v>
      </c>
      <c r="AV56" s="8"/>
      <c r="AW56" s="197" t="e">
        <f t="shared" si="54"/>
        <v>#N/A</v>
      </c>
      <c r="AX56" s="197" t="e">
        <f t="shared" si="55"/>
        <v>#N/A</v>
      </c>
      <c r="AY56">
        <f t="shared" si="82"/>
        <v>0.44444444444444442</v>
      </c>
      <c r="AZ56" s="257" t="e">
        <f t="shared" si="56"/>
        <v>#N/A</v>
      </c>
      <c r="BA56" t="e">
        <f t="shared" si="57"/>
        <v>#N/A</v>
      </c>
      <c r="BB56" s="298" t="e">
        <f t="shared" si="83"/>
        <v>#N/A</v>
      </c>
      <c r="BC56" s="298" t="e">
        <f t="shared" si="84"/>
        <v>#N/A</v>
      </c>
      <c r="BD56" s="298" t="e">
        <f t="shared" si="85"/>
        <v>#N/A</v>
      </c>
      <c r="BE56" s="308" t="e">
        <f t="shared" si="59"/>
        <v>#N/A</v>
      </c>
      <c r="BF56" s="298" t="e">
        <f t="shared" si="58"/>
        <v>#N/A</v>
      </c>
      <c r="BG56" s="298" t="e">
        <f t="shared" si="86"/>
        <v>#N/A</v>
      </c>
      <c r="BH56" s="298" t="e">
        <f t="shared" si="87"/>
        <v>#N/A</v>
      </c>
      <c r="BI56" s="298" t="e">
        <f t="shared" si="88"/>
        <v>#N/A</v>
      </c>
      <c r="BJ56" s="297" t="e">
        <f t="shared" si="89"/>
        <v>#N/A</v>
      </c>
      <c r="BK56" s="297" t="e">
        <f t="shared" si="90"/>
        <v>#N/A</v>
      </c>
      <c r="BL56" s="297" t="e">
        <f t="shared" si="91"/>
        <v>#N/A</v>
      </c>
      <c r="BM56" s="297" t="e">
        <f t="shared" si="92"/>
        <v>#N/A</v>
      </c>
    </row>
    <row r="57" spans="1:65" x14ac:dyDescent="0.25">
      <c r="A57" s="30">
        <v>56</v>
      </c>
      <c r="B57" s="30">
        <v>56</v>
      </c>
      <c r="C57" s="58" t="str">
        <f>Roster!$X59</f>
        <v>- -</v>
      </c>
      <c r="D57" s="271" t="e">
        <f t="shared" si="42"/>
        <v>#N/A</v>
      </c>
      <c r="E57" s="245"/>
      <c r="F57" s="271" t="e">
        <f t="shared" si="43"/>
        <v>#N/A</v>
      </c>
      <c r="G57" s="245"/>
      <c r="H57" s="274" t="e">
        <f t="shared" si="44"/>
        <v>#N/A</v>
      </c>
      <c r="I57" s="245"/>
      <c r="J57" s="274" t="e">
        <f t="shared" si="45"/>
        <v>#N/A</v>
      </c>
      <c r="K57" s="62"/>
      <c r="L57" s="63"/>
      <c r="M57" s="194" t="e">
        <f t="shared" si="46"/>
        <v>#N/A</v>
      </c>
      <c r="N57" s="61" t="e">
        <f t="shared" si="60"/>
        <v>#N/A</v>
      </c>
      <c r="O57" s="61" t="e">
        <f t="shared" si="61"/>
        <v>#N/A</v>
      </c>
      <c r="P57" s="61" t="e">
        <f t="shared" si="62"/>
        <v>#N/A</v>
      </c>
      <c r="Q57" s="61" t="e">
        <f t="shared" si="63"/>
        <v>#N/A</v>
      </c>
      <c r="R57" s="61" t="e">
        <f t="shared" si="64"/>
        <v>#N/A</v>
      </c>
      <c r="S57" s="61" t="e">
        <f t="shared" si="65"/>
        <v>#N/A</v>
      </c>
      <c r="T57" s="61" t="e">
        <f t="shared" si="66"/>
        <v>#N/A</v>
      </c>
      <c r="U57" s="61" t="e">
        <f t="shared" si="67"/>
        <v>#N/A</v>
      </c>
      <c r="V57" s="61" t="e">
        <f t="shared" si="47"/>
        <v>#N/A</v>
      </c>
      <c r="X57" s="61" t="e">
        <f t="shared" si="48"/>
        <v>#N/A</v>
      </c>
      <c r="Y57" s="61" t="e">
        <f t="shared" si="49"/>
        <v>#N/A</v>
      </c>
      <c r="Z57" s="61" t="e">
        <f t="shared" si="68"/>
        <v>#N/A</v>
      </c>
      <c r="AA57" s="270" t="e">
        <f t="shared" si="50"/>
        <v>#N/A</v>
      </c>
      <c r="AB57" s="270" t="e">
        <f t="shared" si="51"/>
        <v>#N/A</v>
      </c>
      <c r="AC57" s="61" t="e">
        <f t="shared" si="69"/>
        <v>#N/A</v>
      </c>
      <c r="AD57" s="61" t="e">
        <f t="shared" si="70"/>
        <v>#N/A</v>
      </c>
      <c r="AE57" s="61" t="e">
        <f t="shared" si="71"/>
        <v>#N/A</v>
      </c>
      <c r="AF57" s="61" t="e">
        <f t="shared" si="72"/>
        <v>#N/A</v>
      </c>
      <c r="AG57" s="61" t="e">
        <f t="shared" si="73"/>
        <v>#N/A</v>
      </c>
      <c r="AH57" s="61" t="e">
        <f t="shared" si="74"/>
        <v>#N/A</v>
      </c>
      <c r="AI57" s="61" t="e">
        <f t="shared" si="75"/>
        <v>#N/A</v>
      </c>
      <c r="AJ57" s="61" t="e">
        <f t="shared" si="76"/>
        <v>#N/A</v>
      </c>
      <c r="AK57" s="61" t="e">
        <f t="shared" si="77"/>
        <v>#N/A</v>
      </c>
      <c r="AL57" s="61" t="e">
        <f t="shared" si="78"/>
        <v>#N/A</v>
      </c>
      <c r="AM57" s="61" t="e">
        <f t="shared" si="79"/>
        <v>#N/A</v>
      </c>
      <c r="AN57" s="61" t="e">
        <f t="shared" si="80"/>
        <v>#N/A</v>
      </c>
      <c r="AO57" s="61" t="e">
        <f t="shared" si="52"/>
        <v>#N/A</v>
      </c>
      <c r="AP57" s="61" t="e">
        <f t="shared" si="53"/>
        <v>#N/A</v>
      </c>
      <c r="AQ57" s="247" t="e">
        <f t="shared" si="95"/>
        <v>#N/A</v>
      </c>
      <c r="AR57" s="247" t="e">
        <f t="shared" si="25"/>
        <v>#N/A</v>
      </c>
      <c r="AS57" s="247" t="e">
        <f t="shared" si="96"/>
        <v>#N/A</v>
      </c>
      <c r="AT57" s="196" t="e">
        <f t="shared" si="81"/>
        <v>#N/A</v>
      </c>
      <c r="AU57" s="196" t="e">
        <f>ROUND((VLOOKUP(A57,INPUT_RANGE,85,FALSE)/AS57)*('Team Info'!$H$25),2)</f>
        <v>#N/A</v>
      </c>
      <c r="AV57" s="8"/>
      <c r="AW57" s="197" t="e">
        <f t="shared" si="54"/>
        <v>#N/A</v>
      </c>
      <c r="AX57" s="197" t="e">
        <f t="shared" si="55"/>
        <v>#N/A</v>
      </c>
      <c r="AY57">
        <f t="shared" si="82"/>
        <v>0.44444444444444442</v>
      </c>
      <c r="AZ57" s="257" t="e">
        <f t="shared" si="56"/>
        <v>#N/A</v>
      </c>
      <c r="BA57" t="e">
        <f t="shared" si="57"/>
        <v>#N/A</v>
      </c>
      <c r="BB57" s="298" t="e">
        <f t="shared" si="83"/>
        <v>#N/A</v>
      </c>
      <c r="BC57" s="298" t="e">
        <f t="shared" si="84"/>
        <v>#N/A</v>
      </c>
      <c r="BD57" s="298" t="e">
        <f t="shared" si="85"/>
        <v>#N/A</v>
      </c>
      <c r="BE57" s="308" t="e">
        <f t="shared" si="59"/>
        <v>#N/A</v>
      </c>
      <c r="BF57" s="298" t="e">
        <f t="shared" si="58"/>
        <v>#N/A</v>
      </c>
      <c r="BG57" s="298" t="e">
        <f t="shared" si="86"/>
        <v>#N/A</v>
      </c>
      <c r="BH57" s="298" t="e">
        <f t="shared" si="87"/>
        <v>#N/A</v>
      </c>
      <c r="BI57" s="298" t="e">
        <f t="shared" si="88"/>
        <v>#N/A</v>
      </c>
      <c r="BJ57" s="297" t="e">
        <f t="shared" si="89"/>
        <v>#N/A</v>
      </c>
      <c r="BK57" s="297" t="e">
        <f t="shared" si="90"/>
        <v>#N/A</v>
      </c>
      <c r="BL57" s="297" t="e">
        <f t="shared" si="91"/>
        <v>#N/A</v>
      </c>
      <c r="BM57" s="297" t="e">
        <f t="shared" si="92"/>
        <v>#N/A</v>
      </c>
    </row>
    <row r="58" spans="1:65" x14ac:dyDescent="0.25">
      <c r="A58" s="30">
        <v>57</v>
      </c>
      <c r="B58" s="30">
        <v>57</v>
      </c>
      <c r="C58" s="58" t="str">
        <f>Roster!$X60</f>
        <v>- -</v>
      </c>
      <c r="D58" s="271" t="e">
        <f t="shared" si="42"/>
        <v>#N/A</v>
      </c>
      <c r="E58" s="245"/>
      <c r="F58" s="271" t="e">
        <f t="shared" si="43"/>
        <v>#N/A</v>
      </c>
      <c r="G58" s="245"/>
      <c r="H58" s="274" t="e">
        <f t="shared" si="44"/>
        <v>#N/A</v>
      </c>
      <c r="I58" s="245"/>
      <c r="J58" s="274" t="e">
        <f t="shared" si="45"/>
        <v>#N/A</v>
      </c>
      <c r="K58" s="62"/>
      <c r="L58" s="63"/>
      <c r="M58" s="194" t="e">
        <f t="shared" si="46"/>
        <v>#N/A</v>
      </c>
      <c r="N58" s="61" t="e">
        <f t="shared" si="60"/>
        <v>#N/A</v>
      </c>
      <c r="O58" s="61" t="e">
        <f t="shared" si="61"/>
        <v>#N/A</v>
      </c>
      <c r="P58" s="61" t="e">
        <f t="shared" si="62"/>
        <v>#N/A</v>
      </c>
      <c r="Q58" s="61" t="e">
        <f t="shared" si="63"/>
        <v>#N/A</v>
      </c>
      <c r="R58" s="61" t="e">
        <f t="shared" si="64"/>
        <v>#N/A</v>
      </c>
      <c r="S58" s="61" t="e">
        <f t="shared" si="65"/>
        <v>#N/A</v>
      </c>
      <c r="T58" s="61" t="e">
        <f t="shared" si="66"/>
        <v>#N/A</v>
      </c>
      <c r="U58" s="61" t="e">
        <f t="shared" si="67"/>
        <v>#N/A</v>
      </c>
      <c r="V58" s="61" t="e">
        <f t="shared" si="47"/>
        <v>#N/A</v>
      </c>
      <c r="X58" s="61" t="e">
        <f t="shared" si="48"/>
        <v>#N/A</v>
      </c>
      <c r="Y58" s="61" t="e">
        <f t="shared" si="49"/>
        <v>#N/A</v>
      </c>
      <c r="Z58" s="61" t="e">
        <f t="shared" si="68"/>
        <v>#N/A</v>
      </c>
      <c r="AA58" s="270" t="e">
        <f t="shared" si="50"/>
        <v>#N/A</v>
      </c>
      <c r="AB58" s="270" t="e">
        <f t="shared" si="51"/>
        <v>#N/A</v>
      </c>
      <c r="AC58" s="61" t="e">
        <f t="shared" si="69"/>
        <v>#N/A</v>
      </c>
      <c r="AD58" s="61" t="e">
        <f t="shared" si="70"/>
        <v>#N/A</v>
      </c>
      <c r="AE58" s="61" t="e">
        <f t="shared" si="71"/>
        <v>#N/A</v>
      </c>
      <c r="AF58" s="61" t="e">
        <f t="shared" si="72"/>
        <v>#N/A</v>
      </c>
      <c r="AG58" s="61" t="e">
        <f t="shared" si="73"/>
        <v>#N/A</v>
      </c>
      <c r="AH58" s="61" t="e">
        <f t="shared" si="74"/>
        <v>#N/A</v>
      </c>
      <c r="AI58" s="61" t="e">
        <f t="shared" si="75"/>
        <v>#N/A</v>
      </c>
      <c r="AJ58" s="61" t="e">
        <f t="shared" si="76"/>
        <v>#N/A</v>
      </c>
      <c r="AK58" s="61" t="e">
        <f t="shared" si="77"/>
        <v>#N/A</v>
      </c>
      <c r="AL58" s="61" t="e">
        <f t="shared" si="78"/>
        <v>#N/A</v>
      </c>
      <c r="AM58" s="61" t="e">
        <f t="shared" si="79"/>
        <v>#N/A</v>
      </c>
      <c r="AN58" s="61" t="e">
        <f t="shared" si="80"/>
        <v>#N/A</v>
      </c>
      <c r="AO58" s="61" t="e">
        <f t="shared" si="52"/>
        <v>#N/A</v>
      </c>
      <c r="AP58" s="61" t="e">
        <f t="shared" si="53"/>
        <v>#N/A</v>
      </c>
      <c r="AQ58" s="247" t="e">
        <f t="shared" si="95"/>
        <v>#N/A</v>
      </c>
      <c r="AR58" s="247" t="e">
        <f t="shared" si="25"/>
        <v>#N/A</v>
      </c>
      <c r="AS58" s="247" t="e">
        <f t="shared" si="96"/>
        <v>#N/A</v>
      </c>
      <c r="AT58" s="196" t="e">
        <f t="shared" si="81"/>
        <v>#N/A</v>
      </c>
      <c r="AU58" s="196" t="e">
        <f>ROUND((VLOOKUP(A58,INPUT_RANGE,85,FALSE)/AS58)*('Team Info'!$H$25),2)</f>
        <v>#N/A</v>
      </c>
      <c r="AV58" s="8"/>
      <c r="AW58" s="197" t="e">
        <f t="shared" si="54"/>
        <v>#N/A</v>
      </c>
      <c r="AX58" s="197" t="e">
        <f t="shared" si="55"/>
        <v>#N/A</v>
      </c>
      <c r="AY58">
        <f t="shared" si="82"/>
        <v>0.44444444444444442</v>
      </c>
      <c r="AZ58" s="257" t="e">
        <f t="shared" si="56"/>
        <v>#N/A</v>
      </c>
      <c r="BA58" t="e">
        <f t="shared" si="57"/>
        <v>#N/A</v>
      </c>
      <c r="BB58" s="298" t="e">
        <f t="shared" si="83"/>
        <v>#N/A</v>
      </c>
      <c r="BC58" s="298" t="e">
        <f t="shared" si="84"/>
        <v>#N/A</v>
      </c>
      <c r="BD58" s="298" t="e">
        <f t="shared" si="85"/>
        <v>#N/A</v>
      </c>
      <c r="BE58" s="308" t="e">
        <f t="shared" si="59"/>
        <v>#N/A</v>
      </c>
      <c r="BF58" s="298" t="e">
        <f t="shared" si="58"/>
        <v>#N/A</v>
      </c>
      <c r="BG58" s="298" t="e">
        <f t="shared" si="86"/>
        <v>#N/A</v>
      </c>
      <c r="BH58" s="298" t="e">
        <f t="shared" si="87"/>
        <v>#N/A</v>
      </c>
      <c r="BI58" s="298" t="e">
        <f t="shared" si="88"/>
        <v>#N/A</v>
      </c>
      <c r="BJ58" s="297" t="e">
        <f t="shared" si="89"/>
        <v>#N/A</v>
      </c>
      <c r="BK58" s="297" t="e">
        <f t="shared" si="90"/>
        <v>#N/A</v>
      </c>
      <c r="BL58" s="297" t="e">
        <f t="shared" si="91"/>
        <v>#N/A</v>
      </c>
      <c r="BM58" s="297" t="e">
        <f t="shared" si="92"/>
        <v>#N/A</v>
      </c>
    </row>
    <row r="59" spans="1:65" x14ac:dyDescent="0.25">
      <c r="A59" s="30">
        <v>58</v>
      </c>
      <c r="B59" s="30">
        <v>58</v>
      </c>
      <c r="C59" s="58" t="str">
        <f>Roster!$X61</f>
        <v>- -</v>
      </c>
      <c r="D59" s="271" t="e">
        <f t="shared" si="42"/>
        <v>#N/A</v>
      </c>
      <c r="E59" s="245"/>
      <c r="F59" s="271" t="e">
        <f t="shared" si="43"/>
        <v>#N/A</v>
      </c>
      <c r="G59" s="245"/>
      <c r="H59" s="274" t="e">
        <f t="shared" si="44"/>
        <v>#N/A</v>
      </c>
      <c r="I59" s="245"/>
      <c r="J59" s="274" t="e">
        <f t="shared" si="45"/>
        <v>#N/A</v>
      </c>
      <c r="K59" s="62"/>
      <c r="L59" s="63"/>
      <c r="M59" s="194" t="e">
        <f t="shared" si="46"/>
        <v>#N/A</v>
      </c>
      <c r="N59" s="61" t="e">
        <f t="shared" si="60"/>
        <v>#N/A</v>
      </c>
      <c r="O59" s="61" t="e">
        <f t="shared" si="61"/>
        <v>#N/A</v>
      </c>
      <c r="P59" s="61" t="e">
        <f t="shared" si="62"/>
        <v>#N/A</v>
      </c>
      <c r="Q59" s="61" t="e">
        <f t="shared" si="63"/>
        <v>#N/A</v>
      </c>
      <c r="R59" s="61" t="e">
        <f t="shared" si="64"/>
        <v>#N/A</v>
      </c>
      <c r="S59" s="61" t="e">
        <f t="shared" si="65"/>
        <v>#N/A</v>
      </c>
      <c r="T59" s="61" t="e">
        <f t="shared" si="66"/>
        <v>#N/A</v>
      </c>
      <c r="U59" s="61" t="e">
        <f t="shared" si="67"/>
        <v>#N/A</v>
      </c>
      <c r="V59" s="61" t="e">
        <f t="shared" si="47"/>
        <v>#N/A</v>
      </c>
      <c r="X59" s="61" t="e">
        <f t="shared" si="48"/>
        <v>#N/A</v>
      </c>
      <c r="Y59" s="61" t="e">
        <f t="shared" si="49"/>
        <v>#N/A</v>
      </c>
      <c r="Z59" s="61" t="e">
        <f t="shared" si="68"/>
        <v>#N/A</v>
      </c>
      <c r="AA59" s="270" t="e">
        <f t="shared" si="50"/>
        <v>#N/A</v>
      </c>
      <c r="AB59" s="270" t="e">
        <f t="shared" si="51"/>
        <v>#N/A</v>
      </c>
      <c r="AC59" s="61" t="e">
        <f t="shared" si="69"/>
        <v>#N/A</v>
      </c>
      <c r="AD59" s="61" t="e">
        <f t="shared" si="70"/>
        <v>#N/A</v>
      </c>
      <c r="AE59" s="61" t="e">
        <f t="shared" si="71"/>
        <v>#N/A</v>
      </c>
      <c r="AF59" s="61" t="e">
        <f t="shared" si="72"/>
        <v>#N/A</v>
      </c>
      <c r="AG59" s="61" t="e">
        <f t="shared" si="73"/>
        <v>#N/A</v>
      </c>
      <c r="AH59" s="61" t="e">
        <f t="shared" si="74"/>
        <v>#N/A</v>
      </c>
      <c r="AI59" s="61" t="e">
        <f t="shared" si="75"/>
        <v>#N/A</v>
      </c>
      <c r="AJ59" s="61" t="e">
        <f t="shared" si="76"/>
        <v>#N/A</v>
      </c>
      <c r="AK59" s="61" t="e">
        <f t="shared" si="77"/>
        <v>#N/A</v>
      </c>
      <c r="AL59" s="61" t="e">
        <f t="shared" si="78"/>
        <v>#N/A</v>
      </c>
      <c r="AM59" s="61" t="e">
        <f t="shared" si="79"/>
        <v>#N/A</v>
      </c>
      <c r="AN59" s="61" t="e">
        <f t="shared" si="80"/>
        <v>#N/A</v>
      </c>
      <c r="AO59" s="61" t="e">
        <f t="shared" si="52"/>
        <v>#N/A</v>
      </c>
      <c r="AP59" s="61" t="e">
        <f t="shared" si="53"/>
        <v>#N/A</v>
      </c>
      <c r="AQ59" s="247" t="e">
        <f t="shared" si="95"/>
        <v>#N/A</v>
      </c>
      <c r="AR59" s="247" t="e">
        <f t="shared" si="25"/>
        <v>#N/A</v>
      </c>
      <c r="AS59" s="247" t="e">
        <f t="shared" si="96"/>
        <v>#N/A</v>
      </c>
      <c r="AT59" s="196" t="e">
        <f t="shared" si="81"/>
        <v>#N/A</v>
      </c>
      <c r="AU59" s="196" t="e">
        <f>ROUND((VLOOKUP(A59,INPUT_RANGE,85,FALSE)/AS59)*('Team Info'!$H$25),2)</f>
        <v>#N/A</v>
      </c>
      <c r="AV59" s="8"/>
      <c r="AW59" s="197" t="e">
        <f t="shared" si="54"/>
        <v>#N/A</v>
      </c>
      <c r="AX59" s="197" t="e">
        <f t="shared" si="55"/>
        <v>#N/A</v>
      </c>
      <c r="AY59">
        <f t="shared" si="82"/>
        <v>0.44444444444444442</v>
      </c>
      <c r="AZ59" s="257" t="e">
        <f t="shared" si="56"/>
        <v>#N/A</v>
      </c>
      <c r="BA59" t="e">
        <f t="shared" si="57"/>
        <v>#N/A</v>
      </c>
      <c r="BB59" s="298" t="e">
        <f t="shared" si="83"/>
        <v>#N/A</v>
      </c>
      <c r="BC59" s="298" t="e">
        <f t="shared" si="84"/>
        <v>#N/A</v>
      </c>
      <c r="BD59" s="298" t="e">
        <f t="shared" si="85"/>
        <v>#N/A</v>
      </c>
      <c r="BE59" s="308" t="e">
        <f t="shared" si="59"/>
        <v>#N/A</v>
      </c>
      <c r="BF59" s="298" t="e">
        <f t="shared" si="58"/>
        <v>#N/A</v>
      </c>
      <c r="BG59" s="298" t="e">
        <f t="shared" si="86"/>
        <v>#N/A</v>
      </c>
      <c r="BH59" s="298" t="e">
        <f t="shared" si="87"/>
        <v>#N/A</v>
      </c>
      <c r="BI59" s="298" t="e">
        <f t="shared" si="88"/>
        <v>#N/A</v>
      </c>
      <c r="BJ59" s="297" t="e">
        <f t="shared" si="89"/>
        <v>#N/A</v>
      </c>
      <c r="BK59" s="297" t="e">
        <f t="shared" si="90"/>
        <v>#N/A</v>
      </c>
      <c r="BL59" s="297" t="e">
        <f t="shared" si="91"/>
        <v>#N/A</v>
      </c>
      <c r="BM59" s="297" t="e">
        <f t="shared" si="92"/>
        <v>#N/A</v>
      </c>
    </row>
    <row r="60" spans="1:65" x14ac:dyDescent="0.25">
      <c r="A60" s="30">
        <v>59</v>
      </c>
      <c r="B60" s="30">
        <v>59</v>
      </c>
      <c r="C60" s="58" t="str">
        <f>Roster!$X62</f>
        <v>- -</v>
      </c>
      <c r="D60" s="271" t="e">
        <f t="shared" si="42"/>
        <v>#N/A</v>
      </c>
      <c r="E60" s="245"/>
      <c r="F60" s="271" t="e">
        <f t="shared" si="43"/>
        <v>#N/A</v>
      </c>
      <c r="G60" s="245"/>
      <c r="H60" s="274" t="e">
        <f t="shared" si="44"/>
        <v>#N/A</v>
      </c>
      <c r="I60" s="245"/>
      <c r="J60" s="274" t="e">
        <f t="shared" si="45"/>
        <v>#N/A</v>
      </c>
      <c r="K60" s="62"/>
      <c r="L60" s="63"/>
      <c r="M60" s="194" t="e">
        <f t="shared" si="46"/>
        <v>#N/A</v>
      </c>
      <c r="N60" s="61" t="e">
        <f t="shared" si="60"/>
        <v>#N/A</v>
      </c>
      <c r="O60" s="61" t="e">
        <f t="shared" si="61"/>
        <v>#N/A</v>
      </c>
      <c r="P60" s="61" t="e">
        <f t="shared" si="62"/>
        <v>#N/A</v>
      </c>
      <c r="Q60" s="61" t="e">
        <f t="shared" si="63"/>
        <v>#N/A</v>
      </c>
      <c r="R60" s="61" t="e">
        <f t="shared" si="64"/>
        <v>#N/A</v>
      </c>
      <c r="S60" s="61" t="e">
        <f t="shared" si="65"/>
        <v>#N/A</v>
      </c>
      <c r="T60" s="61" t="e">
        <f t="shared" si="66"/>
        <v>#N/A</v>
      </c>
      <c r="U60" s="61" t="e">
        <f t="shared" si="67"/>
        <v>#N/A</v>
      </c>
      <c r="V60" s="61" t="e">
        <f t="shared" si="47"/>
        <v>#N/A</v>
      </c>
      <c r="X60" s="61" t="e">
        <f t="shared" si="48"/>
        <v>#N/A</v>
      </c>
      <c r="Y60" s="61" t="e">
        <f t="shared" si="49"/>
        <v>#N/A</v>
      </c>
      <c r="Z60" s="61" t="e">
        <f t="shared" si="68"/>
        <v>#N/A</v>
      </c>
      <c r="AA60" s="270" t="e">
        <f t="shared" si="50"/>
        <v>#N/A</v>
      </c>
      <c r="AB60" s="270" t="e">
        <f t="shared" si="51"/>
        <v>#N/A</v>
      </c>
      <c r="AC60" s="61" t="e">
        <f t="shared" si="69"/>
        <v>#N/A</v>
      </c>
      <c r="AD60" s="61" t="e">
        <f t="shared" si="70"/>
        <v>#N/A</v>
      </c>
      <c r="AE60" s="61" t="e">
        <f t="shared" si="71"/>
        <v>#N/A</v>
      </c>
      <c r="AF60" s="61" t="e">
        <f t="shared" si="72"/>
        <v>#N/A</v>
      </c>
      <c r="AG60" s="61" t="e">
        <f t="shared" si="73"/>
        <v>#N/A</v>
      </c>
      <c r="AH60" s="61" t="e">
        <f t="shared" si="74"/>
        <v>#N/A</v>
      </c>
      <c r="AI60" s="61" t="e">
        <f t="shared" si="75"/>
        <v>#N/A</v>
      </c>
      <c r="AJ60" s="61" t="e">
        <f t="shared" si="76"/>
        <v>#N/A</v>
      </c>
      <c r="AK60" s="61" t="e">
        <f t="shared" si="77"/>
        <v>#N/A</v>
      </c>
      <c r="AL60" s="61" t="e">
        <f t="shared" si="78"/>
        <v>#N/A</v>
      </c>
      <c r="AM60" s="61" t="e">
        <f t="shared" si="79"/>
        <v>#N/A</v>
      </c>
      <c r="AN60" s="61" t="e">
        <f t="shared" si="80"/>
        <v>#N/A</v>
      </c>
      <c r="AO60" s="61" t="e">
        <f t="shared" si="52"/>
        <v>#N/A</v>
      </c>
      <c r="AP60" s="61" t="e">
        <f t="shared" si="53"/>
        <v>#N/A</v>
      </c>
      <c r="AQ60" s="247" t="e">
        <f t="shared" si="95"/>
        <v>#N/A</v>
      </c>
      <c r="AR60" s="247" t="e">
        <f t="shared" si="25"/>
        <v>#N/A</v>
      </c>
      <c r="AS60" s="247" t="e">
        <f t="shared" si="96"/>
        <v>#N/A</v>
      </c>
      <c r="AT60" s="196" t="e">
        <f t="shared" si="81"/>
        <v>#N/A</v>
      </c>
      <c r="AU60" s="196" t="e">
        <f>ROUND((VLOOKUP(A60,INPUT_RANGE,85,FALSE)/AS60)*('Team Info'!$H$25),2)</f>
        <v>#N/A</v>
      </c>
      <c r="AV60" s="8"/>
      <c r="AW60" s="197" t="e">
        <f t="shared" si="54"/>
        <v>#N/A</v>
      </c>
      <c r="AX60" s="197" t="e">
        <f t="shared" si="55"/>
        <v>#N/A</v>
      </c>
      <c r="AY60">
        <f t="shared" si="82"/>
        <v>0.44444444444444442</v>
      </c>
      <c r="AZ60" s="257" t="e">
        <f t="shared" si="56"/>
        <v>#N/A</v>
      </c>
      <c r="BA60" t="e">
        <f t="shared" si="57"/>
        <v>#N/A</v>
      </c>
      <c r="BB60" s="298" t="e">
        <f t="shared" si="83"/>
        <v>#N/A</v>
      </c>
      <c r="BC60" s="298" t="e">
        <f t="shared" si="84"/>
        <v>#N/A</v>
      </c>
      <c r="BD60" s="298" t="e">
        <f t="shared" si="85"/>
        <v>#N/A</v>
      </c>
      <c r="BE60" s="308" t="e">
        <f t="shared" si="59"/>
        <v>#N/A</v>
      </c>
      <c r="BF60" s="298" t="e">
        <f t="shared" si="58"/>
        <v>#N/A</v>
      </c>
      <c r="BG60" s="298" t="e">
        <f t="shared" si="86"/>
        <v>#N/A</v>
      </c>
      <c r="BH60" s="298" t="e">
        <f t="shared" si="87"/>
        <v>#N/A</v>
      </c>
      <c r="BI60" s="298" t="e">
        <f t="shared" si="88"/>
        <v>#N/A</v>
      </c>
      <c r="BJ60" s="297" t="e">
        <f t="shared" si="89"/>
        <v>#N/A</v>
      </c>
      <c r="BK60" s="297" t="e">
        <f t="shared" si="90"/>
        <v>#N/A</v>
      </c>
      <c r="BL60" s="297" t="e">
        <f t="shared" si="91"/>
        <v>#N/A</v>
      </c>
      <c r="BM60" s="297" t="e">
        <f t="shared" si="92"/>
        <v>#N/A</v>
      </c>
    </row>
    <row r="61" spans="1:65" x14ac:dyDescent="0.25">
      <c r="A61" s="30">
        <v>60</v>
      </c>
      <c r="B61" s="30">
        <v>60</v>
      </c>
      <c r="C61" s="58" t="str">
        <f>Roster!$X63</f>
        <v>- -</v>
      </c>
      <c r="D61" s="271" t="e">
        <f t="shared" si="42"/>
        <v>#N/A</v>
      </c>
      <c r="E61" s="245"/>
      <c r="F61" s="271" t="e">
        <f t="shared" si="43"/>
        <v>#N/A</v>
      </c>
      <c r="G61" s="245"/>
      <c r="H61" s="274" t="e">
        <f t="shared" si="44"/>
        <v>#N/A</v>
      </c>
      <c r="I61" s="245"/>
      <c r="J61" s="274" t="e">
        <f t="shared" si="45"/>
        <v>#N/A</v>
      </c>
      <c r="K61" s="62"/>
      <c r="L61" s="63"/>
      <c r="M61" s="194" t="e">
        <f t="shared" si="46"/>
        <v>#N/A</v>
      </c>
      <c r="N61" s="61" t="e">
        <f t="shared" si="60"/>
        <v>#N/A</v>
      </c>
      <c r="O61" s="61" t="e">
        <f t="shared" si="61"/>
        <v>#N/A</v>
      </c>
      <c r="P61" s="61" t="e">
        <f t="shared" si="62"/>
        <v>#N/A</v>
      </c>
      <c r="Q61" s="61" t="e">
        <f t="shared" si="63"/>
        <v>#N/A</v>
      </c>
      <c r="R61" s="61" t="e">
        <f t="shared" si="64"/>
        <v>#N/A</v>
      </c>
      <c r="S61" s="61" t="e">
        <f t="shared" si="65"/>
        <v>#N/A</v>
      </c>
      <c r="T61" s="61" t="e">
        <f t="shared" si="66"/>
        <v>#N/A</v>
      </c>
      <c r="U61" s="61" t="e">
        <f t="shared" si="67"/>
        <v>#N/A</v>
      </c>
      <c r="V61" s="61" t="e">
        <f t="shared" si="47"/>
        <v>#N/A</v>
      </c>
      <c r="X61" s="61" t="e">
        <f t="shared" si="48"/>
        <v>#N/A</v>
      </c>
      <c r="Y61" s="61" t="e">
        <f t="shared" si="49"/>
        <v>#N/A</v>
      </c>
      <c r="Z61" s="61" t="e">
        <f t="shared" si="68"/>
        <v>#N/A</v>
      </c>
      <c r="AA61" s="270" t="e">
        <f t="shared" si="50"/>
        <v>#N/A</v>
      </c>
      <c r="AB61" s="270" t="e">
        <f t="shared" si="51"/>
        <v>#N/A</v>
      </c>
      <c r="AC61" s="61" t="e">
        <f t="shared" si="69"/>
        <v>#N/A</v>
      </c>
      <c r="AD61" s="61" t="e">
        <f t="shared" si="70"/>
        <v>#N/A</v>
      </c>
      <c r="AE61" s="61" t="e">
        <f t="shared" si="71"/>
        <v>#N/A</v>
      </c>
      <c r="AF61" s="61" t="e">
        <f t="shared" si="72"/>
        <v>#N/A</v>
      </c>
      <c r="AG61" s="61" t="e">
        <f t="shared" si="73"/>
        <v>#N/A</v>
      </c>
      <c r="AH61" s="61" t="e">
        <f t="shared" si="74"/>
        <v>#N/A</v>
      </c>
      <c r="AI61" s="61" t="e">
        <f t="shared" si="75"/>
        <v>#N/A</v>
      </c>
      <c r="AJ61" s="61" t="e">
        <f t="shared" si="76"/>
        <v>#N/A</v>
      </c>
      <c r="AK61" s="61" t="e">
        <f t="shared" si="77"/>
        <v>#N/A</v>
      </c>
      <c r="AL61" s="61" t="e">
        <f t="shared" si="78"/>
        <v>#N/A</v>
      </c>
      <c r="AM61" s="61" t="e">
        <f t="shared" si="79"/>
        <v>#N/A</v>
      </c>
      <c r="AN61" s="61" t="e">
        <f t="shared" si="80"/>
        <v>#N/A</v>
      </c>
      <c r="AO61" s="61" t="e">
        <f t="shared" si="52"/>
        <v>#N/A</v>
      </c>
      <c r="AP61" s="61" t="e">
        <f t="shared" si="53"/>
        <v>#N/A</v>
      </c>
      <c r="AQ61" s="247" t="e">
        <f t="shared" si="95"/>
        <v>#N/A</v>
      </c>
      <c r="AR61" s="247" t="e">
        <f t="shared" si="25"/>
        <v>#N/A</v>
      </c>
      <c r="AS61" s="247" t="e">
        <f t="shared" si="96"/>
        <v>#N/A</v>
      </c>
      <c r="AT61" s="196" t="e">
        <f t="shared" si="81"/>
        <v>#N/A</v>
      </c>
      <c r="AU61" s="196" t="e">
        <f>ROUND((VLOOKUP(A61,INPUT_RANGE,85,FALSE)/AS61)*('Team Info'!$H$25),2)</f>
        <v>#N/A</v>
      </c>
      <c r="AV61" s="8"/>
      <c r="AW61" s="197" t="e">
        <f t="shared" si="54"/>
        <v>#N/A</v>
      </c>
      <c r="AX61" s="197" t="e">
        <f t="shared" si="55"/>
        <v>#N/A</v>
      </c>
      <c r="AY61">
        <f t="shared" si="82"/>
        <v>0.44444444444444442</v>
      </c>
      <c r="AZ61" s="257" t="e">
        <f t="shared" si="56"/>
        <v>#N/A</v>
      </c>
      <c r="BA61" t="e">
        <f t="shared" si="57"/>
        <v>#N/A</v>
      </c>
      <c r="BB61" s="298" t="e">
        <f t="shared" si="83"/>
        <v>#N/A</v>
      </c>
      <c r="BC61" s="298" t="e">
        <f t="shared" si="84"/>
        <v>#N/A</v>
      </c>
      <c r="BD61" s="298" t="e">
        <f t="shared" si="85"/>
        <v>#N/A</v>
      </c>
      <c r="BE61" s="308" t="e">
        <f t="shared" si="59"/>
        <v>#N/A</v>
      </c>
      <c r="BF61" s="298" t="e">
        <f t="shared" si="58"/>
        <v>#N/A</v>
      </c>
      <c r="BG61" s="298" t="e">
        <f t="shared" si="86"/>
        <v>#N/A</v>
      </c>
      <c r="BH61" s="298" t="e">
        <f t="shared" si="87"/>
        <v>#N/A</v>
      </c>
      <c r="BI61" s="298" t="e">
        <f t="shared" si="88"/>
        <v>#N/A</v>
      </c>
      <c r="BJ61" s="297" t="e">
        <f t="shared" si="89"/>
        <v>#N/A</v>
      </c>
      <c r="BK61" s="297" t="e">
        <f t="shared" si="90"/>
        <v>#N/A</v>
      </c>
      <c r="BL61" s="297" t="e">
        <f t="shared" si="91"/>
        <v>#N/A</v>
      </c>
      <c r="BM61" s="297" t="e">
        <f t="shared" si="92"/>
        <v>#N/A</v>
      </c>
    </row>
    <row r="62" spans="1:65" x14ac:dyDescent="0.25">
      <c r="A62" s="30">
        <v>61</v>
      </c>
      <c r="B62" s="30">
        <v>61</v>
      </c>
      <c r="C62" s="58" t="str">
        <f>Roster!$X64</f>
        <v>- -</v>
      </c>
      <c r="D62" s="271" t="e">
        <f t="shared" si="42"/>
        <v>#N/A</v>
      </c>
      <c r="E62" s="245"/>
      <c r="F62" s="271" t="e">
        <f t="shared" si="43"/>
        <v>#N/A</v>
      </c>
      <c r="G62" s="245"/>
      <c r="H62" s="274" t="e">
        <f t="shared" si="44"/>
        <v>#N/A</v>
      </c>
      <c r="I62" s="245"/>
      <c r="J62" s="274" t="e">
        <f t="shared" si="45"/>
        <v>#N/A</v>
      </c>
      <c r="K62" s="62"/>
      <c r="L62" s="63"/>
      <c r="M62" s="194" t="e">
        <f t="shared" si="46"/>
        <v>#N/A</v>
      </c>
      <c r="N62" s="61" t="e">
        <f t="shared" si="60"/>
        <v>#N/A</v>
      </c>
      <c r="O62" s="61" t="e">
        <f t="shared" si="61"/>
        <v>#N/A</v>
      </c>
      <c r="P62" s="61" t="e">
        <f t="shared" si="62"/>
        <v>#N/A</v>
      </c>
      <c r="Q62" s="61" t="e">
        <f t="shared" si="63"/>
        <v>#N/A</v>
      </c>
      <c r="R62" s="61" t="e">
        <f t="shared" si="64"/>
        <v>#N/A</v>
      </c>
      <c r="S62" s="61" t="e">
        <f t="shared" si="65"/>
        <v>#N/A</v>
      </c>
      <c r="T62" s="61" t="e">
        <f t="shared" si="66"/>
        <v>#N/A</v>
      </c>
      <c r="U62" s="61" t="e">
        <f t="shared" si="67"/>
        <v>#N/A</v>
      </c>
      <c r="V62" s="61" t="e">
        <f t="shared" si="47"/>
        <v>#N/A</v>
      </c>
      <c r="X62" s="61" t="e">
        <f t="shared" si="48"/>
        <v>#N/A</v>
      </c>
      <c r="Y62" s="61" t="e">
        <f t="shared" si="49"/>
        <v>#N/A</v>
      </c>
      <c r="Z62" s="61" t="e">
        <f t="shared" si="68"/>
        <v>#N/A</v>
      </c>
      <c r="AA62" s="270" t="e">
        <f t="shared" si="50"/>
        <v>#N/A</v>
      </c>
      <c r="AB62" s="270" t="e">
        <f t="shared" si="51"/>
        <v>#N/A</v>
      </c>
      <c r="AC62" s="61" t="e">
        <f t="shared" si="69"/>
        <v>#N/A</v>
      </c>
      <c r="AD62" s="61" t="e">
        <f t="shared" si="70"/>
        <v>#N/A</v>
      </c>
      <c r="AE62" s="61" t="e">
        <f t="shared" si="71"/>
        <v>#N/A</v>
      </c>
      <c r="AF62" s="61" t="e">
        <f t="shared" si="72"/>
        <v>#N/A</v>
      </c>
      <c r="AG62" s="61" t="e">
        <f t="shared" si="73"/>
        <v>#N/A</v>
      </c>
      <c r="AH62" s="61" t="e">
        <f t="shared" si="74"/>
        <v>#N/A</v>
      </c>
      <c r="AI62" s="61" t="e">
        <f t="shared" si="75"/>
        <v>#N/A</v>
      </c>
      <c r="AJ62" s="61" t="e">
        <f t="shared" si="76"/>
        <v>#N/A</v>
      </c>
      <c r="AK62" s="61" t="e">
        <f t="shared" si="77"/>
        <v>#N/A</v>
      </c>
      <c r="AL62" s="61" t="e">
        <f t="shared" si="78"/>
        <v>#N/A</v>
      </c>
      <c r="AM62" s="61" t="e">
        <f t="shared" si="79"/>
        <v>#N/A</v>
      </c>
      <c r="AN62" s="61" t="e">
        <f t="shared" si="80"/>
        <v>#N/A</v>
      </c>
      <c r="AO62" s="61" t="e">
        <f t="shared" si="52"/>
        <v>#N/A</v>
      </c>
      <c r="AP62" s="61" t="e">
        <f t="shared" si="53"/>
        <v>#N/A</v>
      </c>
      <c r="AQ62" s="247" t="e">
        <f t="shared" si="95"/>
        <v>#N/A</v>
      </c>
      <c r="AR62" s="247" t="e">
        <f t="shared" si="25"/>
        <v>#N/A</v>
      </c>
      <c r="AS62" s="247" t="e">
        <f t="shared" si="96"/>
        <v>#N/A</v>
      </c>
      <c r="AT62" s="196" t="e">
        <f t="shared" si="81"/>
        <v>#N/A</v>
      </c>
      <c r="AU62" s="196" t="e">
        <f>ROUND((VLOOKUP(A62,INPUT_RANGE,85,FALSE)/AS62)*('Team Info'!$H$25),2)</f>
        <v>#N/A</v>
      </c>
      <c r="AV62" s="8"/>
      <c r="AW62" s="197" t="e">
        <f t="shared" si="54"/>
        <v>#N/A</v>
      </c>
      <c r="AX62" s="197" t="e">
        <f t="shared" si="55"/>
        <v>#N/A</v>
      </c>
      <c r="AY62">
        <f t="shared" si="82"/>
        <v>0.44444444444444442</v>
      </c>
      <c r="AZ62" s="257" t="e">
        <f t="shared" si="56"/>
        <v>#N/A</v>
      </c>
      <c r="BA62" t="e">
        <f t="shared" si="57"/>
        <v>#N/A</v>
      </c>
      <c r="BB62" s="298" t="e">
        <f t="shared" si="83"/>
        <v>#N/A</v>
      </c>
      <c r="BC62" s="298" t="e">
        <f t="shared" si="84"/>
        <v>#N/A</v>
      </c>
      <c r="BD62" s="298" t="e">
        <f t="shared" si="85"/>
        <v>#N/A</v>
      </c>
      <c r="BE62" s="308" t="e">
        <f t="shared" si="59"/>
        <v>#N/A</v>
      </c>
      <c r="BF62" s="298" t="e">
        <f t="shared" si="58"/>
        <v>#N/A</v>
      </c>
      <c r="BG62" s="298" t="e">
        <f t="shared" si="86"/>
        <v>#N/A</v>
      </c>
      <c r="BH62" s="298" t="e">
        <f t="shared" si="87"/>
        <v>#N/A</v>
      </c>
      <c r="BI62" s="298" t="e">
        <f t="shared" si="88"/>
        <v>#N/A</v>
      </c>
      <c r="BJ62" s="297" t="e">
        <f t="shared" si="89"/>
        <v>#N/A</v>
      </c>
      <c r="BK62" s="297" t="e">
        <f t="shared" si="90"/>
        <v>#N/A</v>
      </c>
      <c r="BL62" s="297" t="e">
        <f t="shared" si="91"/>
        <v>#N/A</v>
      </c>
      <c r="BM62" s="297" t="e">
        <f t="shared" si="92"/>
        <v>#N/A</v>
      </c>
    </row>
    <row r="63" spans="1:65" x14ac:dyDescent="0.25">
      <c r="A63" s="30">
        <v>62</v>
      </c>
      <c r="B63" s="30">
        <v>62</v>
      </c>
      <c r="C63" s="58" t="str">
        <f>Roster!$X65</f>
        <v>- -</v>
      </c>
      <c r="D63" s="271" t="e">
        <f t="shared" si="42"/>
        <v>#N/A</v>
      </c>
      <c r="E63" s="245"/>
      <c r="F63" s="271" t="e">
        <f t="shared" si="43"/>
        <v>#N/A</v>
      </c>
      <c r="G63" s="245"/>
      <c r="H63" s="274" t="e">
        <f t="shared" si="44"/>
        <v>#N/A</v>
      </c>
      <c r="I63" s="245"/>
      <c r="J63" s="274" t="e">
        <f t="shared" si="45"/>
        <v>#N/A</v>
      </c>
      <c r="K63" s="62"/>
      <c r="L63" s="63"/>
      <c r="M63" s="194" t="e">
        <f t="shared" si="46"/>
        <v>#N/A</v>
      </c>
      <c r="N63" s="61" t="e">
        <f t="shared" si="60"/>
        <v>#N/A</v>
      </c>
      <c r="O63" s="61" t="e">
        <f t="shared" si="61"/>
        <v>#N/A</v>
      </c>
      <c r="P63" s="61" t="e">
        <f t="shared" si="62"/>
        <v>#N/A</v>
      </c>
      <c r="Q63" s="61" t="e">
        <f t="shared" si="63"/>
        <v>#N/A</v>
      </c>
      <c r="R63" s="61" t="e">
        <f t="shared" si="64"/>
        <v>#N/A</v>
      </c>
      <c r="S63" s="61" t="e">
        <f t="shared" si="65"/>
        <v>#N/A</v>
      </c>
      <c r="T63" s="61" t="e">
        <f t="shared" si="66"/>
        <v>#N/A</v>
      </c>
      <c r="U63" s="61" t="e">
        <f t="shared" si="67"/>
        <v>#N/A</v>
      </c>
      <c r="V63" s="61" t="e">
        <f t="shared" si="47"/>
        <v>#N/A</v>
      </c>
      <c r="X63" s="61" t="e">
        <f t="shared" si="48"/>
        <v>#N/A</v>
      </c>
      <c r="Y63" s="61" t="e">
        <f t="shared" si="49"/>
        <v>#N/A</v>
      </c>
      <c r="Z63" s="61" t="e">
        <f t="shared" si="68"/>
        <v>#N/A</v>
      </c>
      <c r="AA63" s="270" t="e">
        <f t="shared" si="50"/>
        <v>#N/A</v>
      </c>
      <c r="AB63" s="270" t="e">
        <f t="shared" si="51"/>
        <v>#N/A</v>
      </c>
      <c r="AC63" s="61" t="e">
        <f t="shared" si="69"/>
        <v>#N/A</v>
      </c>
      <c r="AD63" s="61" t="e">
        <f t="shared" si="70"/>
        <v>#N/A</v>
      </c>
      <c r="AE63" s="61" t="e">
        <f t="shared" si="71"/>
        <v>#N/A</v>
      </c>
      <c r="AF63" s="61" t="e">
        <f t="shared" si="72"/>
        <v>#N/A</v>
      </c>
      <c r="AG63" s="61" t="e">
        <f t="shared" si="73"/>
        <v>#N/A</v>
      </c>
      <c r="AH63" s="61" t="e">
        <f t="shared" si="74"/>
        <v>#N/A</v>
      </c>
      <c r="AI63" s="61" t="e">
        <f t="shared" si="75"/>
        <v>#N/A</v>
      </c>
      <c r="AJ63" s="61" t="e">
        <f t="shared" si="76"/>
        <v>#N/A</v>
      </c>
      <c r="AK63" s="61" t="e">
        <f t="shared" si="77"/>
        <v>#N/A</v>
      </c>
      <c r="AL63" s="61" t="e">
        <f t="shared" si="78"/>
        <v>#N/A</v>
      </c>
      <c r="AM63" s="61" t="e">
        <f t="shared" si="79"/>
        <v>#N/A</v>
      </c>
      <c r="AN63" s="61" t="e">
        <f t="shared" si="80"/>
        <v>#N/A</v>
      </c>
      <c r="AO63" s="61" t="e">
        <f t="shared" si="52"/>
        <v>#N/A</v>
      </c>
      <c r="AP63" s="61" t="e">
        <f t="shared" si="53"/>
        <v>#N/A</v>
      </c>
      <c r="AQ63" s="247" t="e">
        <f t="shared" si="95"/>
        <v>#N/A</v>
      </c>
      <c r="AR63" s="247" t="e">
        <f t="shared" si="25"/>
        <v>#N/A</v>
      </c>
      <c r="AS63" s="247" t="e">
        <f t="shared" si="96"/>
        <v>#N/A</v>
      </c>
      <c r="AT63" s="196" t="e">
        <f t="shared" si="81"/>
        <v>#N/A</v>
      </c>
      <c r="AU63" s="196" t="e">
        <f>ROUND((VLOOKUP(A63,INPUT_RANGE,85,FALSE)/AS63)*('Team Info'!$H$25),2)</f>
        <v>#N/A</v>
      </c>
      <c r="AV63" s="8"/>
      <c r="AW63" s="197" t="e">
        <f t="shared" si="54"/>
        <v>#N/A</v>
      </c>
      <c r="AX63" s="197" t="e">
        <f t="shared" si="55"/>
        <v>#N/A</v>
      </c>
      <c r="AY63">
        <f t="shared" si="82"/>
        <v>0.44444444444444442</v>
      </c>
      <c r="AZ63" s="257" t="e">
        <f t="shared" si="56"/>
        <v>#N/A</v>
      </c>
      <c r="BA63" t="e">
        <f t="shared" si="57"/>
        <v>#N/A</v>
      </c>
      <c r="BB63" s="298" t="e">
        <f t="shared" si="83"/>
        <v>#N/A</v>
      </c>
      <c r="BC63" s="298" t="e">
        <f t="shared" si="84"/>
        <v>#N/A</v>
      </c>
      <c r="BD63" s="298" t="e">
        <f t="shared" si="85"/>
        <v>#N/A</v>
      </c>
      <c r="BE63" s="308" t="e">
        <f t="shared" si="59"/>
        <v>#N/A</v>
      </c>
      <c r="BF63" s="298" t="e">
        <f t="shared" si="58"/>
        <v>#N/A</v>
      </c>
      <c r="BG63" s="298" t="e">
        <f t="shared" si="86"/>
        <v>#N/A</v>
      </c>
      <c r="BH63" s="298" t="e">
        <f t="shared" si="87"/>
        <v>#N/A</v>
      </c>
      <c r="BI63" s="298" t="e">
        <f t="shared" si="88"/>
        <v>#N/A</v>
      </c>
      <c r="BJ63" s="297" t="e">
        <f t="shared" si="89"/>
        <v>#N/A</v>
      </c>
      <c r="BK63" s="297" t="e">
        <f t="shared" si="90"/>
        <v>#N/A</v>
      </c>
      <c r="BL63" s="297" t="e">
        <f t="shared" si="91"/>
        <v>#N/A</v>
      </c>
      <c r="BM63" s="297" t="e">
        <f t="shared" si="92"/>
        <v>#N/A</v>
      </c>
    </row>
    <row r="64" spans="1:65" x14ac:dyDescent="0.25">
      <c r="A64" s="30">
        <v>63</v>
      </c>
      <c r="B64" s="30">
        <v>63</v>
      </c>
      <c r="C64" s="58" t="str">
        <f>Roster!$X66</f>
        <v>- -</v>
      </c>
      <c r="D64" s="271" t="e">
        <f t="shared" si="42"/>
        <v>#N/A</v>
      </c>
      <c r="E64" s="245"/>
      <c r="F64" s="271" t="e">
        <f t="shared" si="43"/>
        <v>#N/A</v>
      </c>
      <c r="G64" s="245"/>
      <c r="H64" s="274" t="e">
        <f t="shared" si="44"/>
        <v>#N/A</v>
      </c>
      <c r="I64" s="245"/>
      <c r="J64" s="274" t="e">
        <f t="shared" si="45"/>
        <v>#N/A</v>
      </c>
      <c r="K64" s="62"/>
      <c r="L64" s="63"/>
      <c r="M64" s="194" t="e">
        <f t="shared" si="46"/>
        <v>#N/A</v>
      </c>
      <c r="N64" s="61" t="e">
        <f t="shared" si="60"/>
        <v>#N/A</v>
      </c>
      <c r="O64" s="61" t="e">
        <f t="shared" si="61"/>
        <v>#N/A</v>
      </c>
      <c r="P64" s="61" t="e">
        <f t="shared" si="62"/>
        <v>#N/A</v>
      </c>
      <c r="Q64" s="61" t="e">
        <f t="shared" si="63"/>
        <v>#N/A</v>
      </c>
      <c r="R64" s="61" t="e">
        <f t="shared" si="64"/>
        <v>#N/A</v>
      </c>
      <c r="S64" s="61" t="e">
        <f t="shared" si="65"/>
        <v>#N/A</v>
      </c>
      <c r="T64" s="61" t="e">
        <f t="shared" si="66"/>
        <v>#N/A</v>
      </c>
      <c r="U64" s="61" t="e">
        <f t="shared" si="67"/>
        <v>#N/A</v>
      </c>
      <c r="V64" s="61" t="e">
        <f t="shared" si="47"/>
        <v>#N/A</v>
      </c>
      <c r="X64" s="61" t="e">
        <f t="shared" si="48"/>
        <v>#N/A</v>
      </c>
      <c r="Y64" s="61" t="e">
        <f t="shared" si="49"/>
        <v>#N/A</v>
      </c>
      <c r="Z64" s="61" t="e">
        <f t="shared" si="68"/>
        <v>#N/A</v>
      </c>
      <c r="AA64" s="270" t="e">
        <f t="shared" si="50"/>
        <v>#N/A</v>
      </c>
      <c r="AB64" s="270" t="e">
        <f t="shared" si="51"/>
        <v>#N/A</v>
      </c>
      <c r="AC64" s="61" t="e">
        <f t="shared" si="69"/>
        <v>#N/A</v>
      </c>
      <c r="AD64" s="61" t="e">
        <f t="shared" si="70"/>
        <v>#N/A</v>
      </c>
      <c r="AE64" s="61" t="e">
        <f t="shared" si="71"/>
        <v>#N/A</v>
      </c>
      <c r="AF64" s="61" t="e">
        <f t="shared" si="72"/>
        <v>#N/A</v>
      </c>
      <c r="AG64" s="61" t="e">
        <f t="shared" si="73"/>
        <v>#N/A</v>
      </c>
      <c r="AH64" s="61" t="e">
        <f t="shared" si="74"/>
        <v>#N/A</v>
      </c>
      <c r="AI64" s="61" t="e">
        <f t="shared" si="75"/>
        <v>#N/A</v>
      </c>
      <c r="AJ64" s="61" t="e">
        <f t="shared" si="76"/>
        <v>#N/A</v>
      </c>
      <c r="AK64" s="61" t="e">
        <f t="shared" si="77"/>
        <v>#N/A</v>
      </c>
      <c r="AL64" s="61" t="e">
        <f t="shared" si="78"/>
        <v>#N/A</v>
      </c>
      <c r="AM64" s="61" t="e">
        <f t="shared" si="79"/>
        <v>#N/A</v>
      </c>
      <c r="AN64" s="61" t="e">
        <f t="shared" si="80"/>
        <v>#N/A</v>
      </c>
      <c r="AO64" s="61" t="e">
        <f t="shared" si="52"/>
        <v>#N/A</v>
      </c>
      <c r="AP64" s="61" t="e">
        <f t="shared" si="53"/>
        <v>#N/A</v>
      </c>
      <c r="AQ64" s="247" t="e">
        <f t="shared" si="95"/>
        <v>#N/A</v>
      </c>
      <c r="AR64" s="247" t="e">
        <f t="shared" si="25"/>
        <v>#N/A</v>
      </c>
      <c r="AS64" s="247" t="e">
        <f t="shared" si="96"/>
        <v>#N/A</v>
      </c>
      <c r="AT64" s="196" t="e">
        <f t="shared" si="81"/>
        <v>#N/A</v>
      </c>
      <c r="AU64" s="196" t="e">
        <f>ROUND((VLOOKUP(A64,INPUT_RANGE,85,FALSE)/AS64)*('Team Info'!$H$25),2)</f>
        <v>#N/A</v>
      </c>
      <c r="AV64" s="8"/>
      <c r="AW64" s="197" t="e">
        <f t="shared" si="54"/>
        <v>#N/A</v>
      </c>
      <c r="AX64" s="197" t="e">
        <f t="shared" si="55"/>
        <v>#N/A</v>
      </c>
      <c r="AY64">
        <f t="shared" si="82"/>
        <v>0.44444444444444442</v>
      </c>
      <c r="AZ64" s="257" t="e">
        <f t="shared" si="56"/>
        <v>#N/A</v>
      </c>
      <c r="BA64" t="e">
        <f t="shared" si="57"/>
        <v>#N/A</v>
      </c>
      <c r="BB64" s="298" t="e">
        <f t="shared" si="83"/>
        <v>#N/A</v>
      </c>
      <c r="BC64" s="298" t="e">
        <f t="shared" si="84"/>
        <v>#N/A</v>
      </c>
      <c r="BD64" s="298" t="e">
        <f t="shared" si="85"/>
        <v>#N/A</v>
      </c>
      <c r="BE64" s="308" t="e">
        <f t="shared" si="59"/>
        <v>#N/A</v>
      </c>
      <c r="BF64" s="298" t="e">
        <f t="shared" si="58"/>
        <v>#N/A</v>
      </c>
      <c r="BG64" s="298" t="e">
        <f t="shared" si="86"/>
        <v>#N/A</v>
      </c>
      <c r="BH64" s="298" t="e">
        <f t="shared" si="87"/>
        <v>#N/A</v>
      </c>
      <c r="BI64" s="298" t="e">
        <f t="shared" si="88"/>
        <v>#N/A</v>
      </c>
      <c r="BJ64" s="297" t="e">
        <f t="shared" si="89"/>
        <v>#N/A</v>
      </c>
      <c r="BK64" s="297" t="e">
        <f t="shared" si="90"/>
        <v>#N/A</v>
      </c>
      <c r="BL64" s="297" t="e">
        <f t="shared" si="91"/>
        <v>#N/A</v>
      </c>
      <c r="BM64" s="297" t="e">
        <f t="shared" si="92"/>
        <v>#N/A</v>
      </c>
    </row>
    <row r="65" spans="1:65" x14ac:dyDescent="0.25">
      <c r="A65" s="30">
        <v>64</v>
      </c>
      <c r="B65" s="30">
        <v>64</v>
      </c>
      <c r="C65" s="58" t="str">
        <f>Roster!$X67</f>
        <v>- -</v>
      </c>
      <c r="D65" s="271" t="e">
        <f t="shared" si="42"/>
        <v>#N/A</v>
      </c>
      <c r="E65" s="245"/>
      <c r="F65" s="271" t="e">
        <f t="shared" si="43"/>
        <v>#N/A</v>
      </c>
      <c r="G65" s="245"/>
      <c r="H65" s="274" t="e">
        <f t="shared" si="44"/>
        <v>#N/A</v>
      </c>
      <c r="I65" s="245"/>
      <c r="J65" s="274" t="e">
        <f t="shared" si="45"/>
        <v>#N/A</v>
      </c>
      <c r="K65" s="62"/>
      <c r="L65" s="63"/>
      <c r="M65" s="194" t="e">
        <f t="shared" si="46"/>
        <v>#N/A</v>
      </c>
      <c r="N65" s="61" t="e">
        <f t="shared" si="60"/>
        <v>#N/A</v>
      </c>
      <c r="O65" s="61" t="e">
        <f t="shared" si="61"/>
        <v>#N/A</v>
      </c>
      <c r="P65" s="61" t="e">
        <f t="shared" si="62"/>
        <v>#N/A</v>
      </c>
      <c r="Q65" s="61" t="e">
        <f t="shared" si="63"/>
        <v>#N/A</v>
      </c>
      <c r="R65" s="61" t="e">
        <f t="shared" si="64"/>
        <v>#N/A</v>
      </c>
      <c r="S65" s="61" t="e">
        <f t="shared" si="65"/>
        <v>#N/A</v>
      </c>
      <c r="T65" s="61" t="e">
        <f t="shared" si="66"/>
        <v>#N/A</v>
      </c>
      <c r="U65" s="61" t="e">
        <f t="shared" si="67"/>
        <v>#N/A</v>
      </c>
      <c r="V65" s="61" t="e">
        <f t="shared" si="47"/>
        <v>#N/A</v>
      </c>
      <c r="X65" s="61" t="e">
        <f t="shared" si="48"/>
        <v>#N/A</v>
      </c>
      <c r="Y65" s="61" t="e">
        <f t="shared" si="49"/>
        <v>#N/A</v>
      </c>
      <c r="Z65" s="61" t="e">
        <f t="shared" si="68"/>
        <v>#N/A</v>
      </c>
      <c r="AA65" s="270" t="e">
        <f t="shared" si="50"/>
        <v>#N/A</v>
      </c>
      <c r="AB65" s="270" t="e">
        <f t="shared" si="51"/>
        <v>#N/A</v>
      </c>
      <c r="AC65" s="61" t="e">
        <f t="shared" si="69"/>
        <v>#N/A</v>
      </c>
      <c r="AD65" s="61" t="e">
        <f t="shared" si="70"/>
        <v>#N/A</v>
      </c>
      <c r="AE65" s="61" t="e">
        <f t="shared" si="71"/>
        <v>#N/A</v>
      </c>
      <c r="AF65" s="61" t="e">
        <f t="shared" si="72"/>
        <v>#N/A</v>
      </c>
      <c r="AG65" s="61" t="e">
        <f t="shared" si="73"/>
        <v>#N/A</v>
      </c>
      <c r="AH65" s="61" t="e">
        <f t="shared" si="74"/>
        <v>#N/A</v>
      </c>
      <c r="AI65" s="61" t="e">
        <f t="shared" si="75"/>
        <v>#N/A</v>
      </c>
      <c r="AJ65" s="61" t="e">
        <f t="shared" si="76"/>
        <v>#N/A</v>
      </c>
      <c r="AK65" s="61" t="e">
        <f t="shared" si="77"/>
        <v>#N/A</v>
      </c>
      <c r="AL65" s="61" t="e">
        <f t="shared" si="78"/>
        <v>#N/A</v>
      </c>
      <c r="AM65" s="61" t="e">
        <f t="shared" si="79"/>
        <v>#N/A</v>
      </c>
      <c r="AN65" s="61" t="e">
        <f t="shared" si="80"/>
        <v>#N/A</v>
      </c>
      <c r="AO65" s="61" t="e">
        <f t="shared" si="52"/>
        <v>#N/A</v>
      </c>
      <c r="AP65" s="61" t="e">
        <f t="shared" si="53"/>
        <v>#N/A</v>
      </c>
      <c r="AQ65" s="247" t="e">
        <f t="shared" si="95"/>
        <v>#N/A</v>
      </c>
      <c r="AR65" s="247" t="e">
        <f t="shared" si="25"/>
        <v>#N/A</v>
      </c>
      <c r="AS65" s="247" t="e">
        <f t="shared" si="96"/>
        <v>#N/A</v>
      </c>
      <c r="AT65" s="196" t="e">
        <f t="shared" si="81"/>
        <v>#N/A</v>
      </c>
      <c r="AU65" s="196" t="e">
        <f>ROUND((VLOOKUP(A65,INPUT_RANGE,85,FALSE)/AS65)*('Team Info'!$H$25),2)</f>
        <v>#N/A</v>
      </c>
      <c r="AV65" s="8"/>
      <c r="AW65" s="197" t="e">
        <f t="shared" si="54"/>
        <v>#N/A</v>
      </c>
      <c r="AX65" s="197" t="e">
        <f t="shared" si="55"/>
        <v>#N/A</v>
      </c>
      <c r="AY65">
        <f t="shared" si="82"/>
        <v>0.44444444444444442</v>
      </c>
      <c r="AZ65" s="257" t="e">
        <f t="shared" si="56"/>
        <v>#N/A</v>
      </c>
      <c r="BA65" t="e">
        <f t="shared" si="57"/>
        <v>#N/A</v>
      </c>
      <c r="BB65" s="298" t="e">
        <f t="shared" si="83"/>
        <v>#N/A</v>
      </c>
      <c r="BC65" s="298" t="e">
        <f t="shared" si="84"/>
        <v>#N/A</v>
      </c>
      <c r="BD65" s="298" t="e">
        <f t="shared" si="85"/>
        <v>#N/A</v>
      </c>
      <c r="BE65" s="308" t="e">
        <f t="shared" si="59"/>
        <v>#N/A</v>
      </c>
      <c r="BF65" s="298" t="e">
        <f t="shared" si="58"/>
        <v>#N/A</v>
      </c>
      <c r="BG65" s="298" t="e">
        <f t="shared" si="86"/>
        <v>#N/A</v>
      </c>
      <c r="BH65" s="298" t="e">
        <f t="shared" si="87"/>
        <v>#N/A</v>
      </c>
      <c r="BI65" s="298" t="e">
        <f t="shared" si="88"/>
        <v>#N/A</v>
      </c>
      <c r="BJ65" s="297" t="e">
        <f t="shared" si="89"/>
        <v>#N/A</v>
      </c>
      <c r="BK65" s="297" t="e">
        <f t="shared" si="90"/>
        <v>#N/A</v>
      </c>
      <c r="BL65" s="297" t="e">
        <f t="shared" si="91"/>
        <v>#N/A</v>
      </c>
      <c r="BM65" s="297" t="e">
        <f t="shared" si="92"/>
        <v>#N/A</v>
      </c>
    </row>
    <row r="66" spans="1:65" x14ac:dyDescent="0.25">
      <c r="A66" s="30">
        <v>65</v>
      </c>
      <c r="B66" s="30">
        <v>65</v>
      </c>
      <c r="C66" s="58" t="str">
        <f>Roster!$X68</f>
        <v>- -</v>
      </c>
      <c r="D66" s="271" t="e">
        <f t="shared" si="42"/>
        <v>#N/A</v>
      </c>
      <c r="E66" s="245"/>
      <c r="F66" s="271" t="e">
        <f t="shared" si="43"/>
        <v>#N/A</v>
      </c>
      <c r="G66" s="245"/>
      <c r="H66" s="274" t="e">
        <f t="shared" si="44"/>
        <v>#N/A</v>
      </c>
      <c r="I66" s="245"/>
      <c r="J66" s="274" t="e">
        <f t="shared" si="45"/>
        <v>#N/A</v>
      </c>
      <c r="K66" s="62"/>
      <c r="L66" s="63"/>
      <c r="M66" s="194" t="e">
        <f t="shared" si="46"/>
        <v>#N/A</v>
      </c>
      <c r="N66" s="61" t="e">
        <f t="shared" ref="N66:N100" si="97">VLOOKUP(A66,INPUT_RANGE,58,FALSE) &amp; " RBI"</f>
        <v>#N/A</v>
      </c>
      <c r="O66" s="61" t="e">
        <f t="shared" ref="O66:O100" si="98">VLOOKUP(A66,INPUT_RANGE,60,FALSE) &amp; " BB"</f>
        <v>#N/A</v>
      </c>
      <c r="P66" s="61" t="e">
        <f t="shared" ref="P66:P100" si="99">VLOOKUP(A66,INPUT_RANGE,61,FALSE) &amp; " K"</f>
        <v>#N/A</v>
      </c>
      <c r="Q66" s="61" t="e">
        <f t="shared" ref="Q66:Q100" si="100">VLOOKUP(A66,INPUT_RANGE,64,FALSE) &amp; " SB"</f>
        <v>#N/A</v>
      </c>
      <c r="R66" s="61" t="e">
        <f t="shared" ref="R66:R100" si="101">VLOOKUP(A66,INPUT_RANGE,55,FALSE) &amp; " 2B"</f>
        <v>#N/A</v>
      </c>
      <c r="S66" s="61" t="e">
        <f t="shared" ref="S66:S100" si="102">VLOOKUP(A66,INPUT_RANGE,56,FALSE) &amp; " 3B"</f>
        <v>#N/A</v>
      </c>
      <c r="T66" s="61" t="e">
        <f t="shared" ref="T66:T100" si="103">VLOOKUP(A66,INPUT_RANGE,57,FALSE) &amp; " HR"</f>
        <v>#N/A</v>
      </c>
      <c r="U66" s="61" t="e">
        <f t="shared" ref="U66:U100" si="104">VLOOKUP(A66,INPUT_RANGE,53,FALSE) &amp; " R"</f>
        <v>#N/A</v>
      </c>
      <c r="V66" s="61" t="e">
        <f t="shared" si="47"/>
        <v>#N/A</v>
      </c>
      <c r="X66" s="61" t="e">
        <f t="shared" si="48"/>
        <v>#N/A</v>
      </c>
      <c r="Y66" s="61" t="e">
        <f t="shared" si="49"/>
        <v>#N/A</v>
      </c>
      <c r="Z66" s="61" t="e">
        <f t="shared" ref="Z66:Z100" si="105">VLOOKUP(A66,INPUT_RANGE,82,FALSE) &amp; " IP"</f>
        <v>#N/A</v>
      </c>
      <c r="AA66" s="270" t="e">
        <f t="shared" si="50"/>
        <v>#N/A</v>
      </c>
      <c r="AB66" s="270" t="e">
        <f t="shared" si="51"/>
        <v>#N/A</v>
      </c>
      <c r="AC66" s="61" t="e">
        <f t="shared" ref="AC66:AC100" si="106">VLOOKUP(A66,INPUT_RANGE,79,FALSE) &amp; " CG"</f>
        <v>#N/A</v>
      </c>
      <c r="AD66" s="61" t="e">
        <f t="shared" ref="AD66:AD100" si="107">VLOOKUP(A66,INPUT_RANGE,80,FALSE) &amp; " SHO"</f>
        <v>#N/A</v>
      </c>
      <c r="AE66" s="61" t="e">
        <f t="shared" ref="AE66:AE100" si="108">VLOOKUP(A66,INPUT_RANGE,75,FALSE) &amp; " Win"</f>
        <v>#N/A</v>
      </c>
      <c r="AF66" s="61" t="e">
        <f t="shared" ref="AF66:AF100" si="109">VLOOKUP(A66,INPUT_RANGE,76,FALSE) &amp; " Loss"</f>
        <v>#N/A</v>
      </c>
      <c r="AG66" s="61" t="e">
        <f t="shared" ref="AG66:AG100" si="110">VLOOKUP(A66,INPUT_RANGE,75,FALSE) &amp; "-" &amp; VLOOKUP(A66,INPUT_RANGE,76,FALSE) &amp; " W-L"</f>
        <v>#N/A</v>
      </c>
      <c r="AH66" s="61" t="e">
        <f t="shared" ref="AH66:AH100" si="111">VLOOKUP(A66,INPUT_RANGE,81,FALSE)&amp; " Saves"</f>
        <v>#N/A</v>
      </c>
      <c r="AI66" s="61" t="e">
        <f t="shared" ref="AI66:AI100" si="112">VLOOKUP(A66,INPUT_RANGE,83,FALSE) &amp; " H"</f>
        <v>#N/A</v>
      </c>
      <c r="AJ66" s="61" t="e">
        <f t="shared" ref="AJ66:AJ100" si="113">VLOOKUP(A66,INPUT_RANGE,84,FALSE) &amp; " R"</f>
        <v>#N/A</v>
      </c>
      <c r="AK66" s="61" t="e">
        <f t="shared" ref="AK66:AK100" si="114">VLOOKUP(A66,INPUT_RANGE,85,FALSE) &amp;" ER"</f>
        <v>#N/A</v>
      </c>
      <c r="AL66" s="61" t="e">
        <f t="shared" ref="AL66:AL100" si="115">VLOOKUP(A66,INPUT_RANGE,88,FALSE) &amp;" HR"</f>
        <v>#N/A</v>
      </c>
      <c r="AM66" s="61" t="e">
        <f t="shared" ref="AM66:AM100" si="116">VLOOKUP(A66,INPUT_RANGE,87,FALSE) &amp; " K"</f>
        <v>#N/A</v>
      </c>
      <c r="AN66" s="61" t="e">
        <f t="shared" ref="AN66:AN100" si="117">VLOOKUP(A66,INPUT_RANGE,86,FALSE) &amp; " BB"</f>
        <v>#N/A</v>
      </c>
      <c r="AO66" s="61" t="e">
        <f t="shared" si="52"/>
        <v>#N/A</v>
      </c>
      <c r="AP66" s="61" t="e">
        <f t="shared" si="53"/>
        <v>#N/A</v>
      </c>
      <c r="AQ66" s="247" t="e">
        <f t="shared" si="95"/>
        <v>#N/A</v>
      </c>
      <c r="AR66" s="247" t="e">
        <f t="shared" ref="AR66:AR90" si="118">IF(AQ66 ="1",0.333,IF(AQ66="2",0.666,0))</f>
        <v>#N/A</v>
      </c>
      <c r="AS66" s="247" t="e">
        <f t="shared" si="96"/>
        <v>#N/A</v>
      </c>
      <c r="AT66" s="196" t="e">
        <f t="shared" ref="AT66:AT97" si="119">ROUND((VLOOKUP(A66,INPUT_RANGE,86,FALSE)+VLOOKUP(A66,INPUT_RANGE,83,FALSE))/AS66,2)</f>
        <v>#N/A</v>
      </c>
      <c r="AU66" s="196" t="e">
        <f>ROUND((VLOOKUP(A66,INPUT_RANGE,85,FALSE)/AS66)*('Team Info'!$H$25),2)</f>
        <v>#N/A</v>
      </c>
      <c r="AV66" s="8"/>
      <c r="AW66" s="197" t="e">
        <f t="shared" si="54"/>
        <v>#N/A</v>
      </c>
      <c r="AX66" s="197" t="e">
        <f t="shared" si="55"/>
        <v>#N/A</v>
      </c>
      <c r="AY66">
        <f t="shared" ref="AY66:AY97" si="120">(VLOOKUP(A66,INPUT_RANGE,54)+VLOOKUP(A66,INPUT_RANGE,55)+(VLOOKUP(A66,INPUT_RANGE,56)*2)+(VLOOKUP(A66,INPUT_RANGE,57)*3))/(VLOOKUP(A66,INPUT_RANGE,52))</f>
        <v>0.44444444444444442</v>
      </c>
      <c r="AZ66" s="257" t="e">
        <f t="shared" si="56"/>
        <v>#N/A</v>
      </c>
      <c r="BA66" t="e">
        <f t="shared" si="57"/>
        <v>#N/A</v>
      </c>
      <c r="BB66" s="298" t="e">
        <f t="shared" ref="BB66:BB99" si="121">VLOOKUP(A66,INPUT_RANGE,78,FALSE)</f>
        <v>#N/A</v>
      </c>
      <c r="BC66" s="298" t="e">
        <f t="shared" ref="BC66:BC99" si="122">VLOOKUP(A66,INPUT_RANGE,77,FALSE)</f>
        <v>#N/A</v>
      </c>
      <c r="BD66" s="298" t="e">
        <f t="shared" ref="BD66:BD99" si="123">VLOOKUP(A66,INPUT_RANGE,75,FALSE) &amp; "-" &amp; VLOOKUP(A66,INPUT_RANGE,76,FALSE)</f>
        <v>#N/A</v>
      </c>
      <c r="BE66" s="308" t="e">
        <f t="shared" si="59"/>
        <v>#N/A</v>
      </c>
      <c r="BF66" s="298" t="e">
        <f t="shared" si="58"/>
        <v>#N/A</v>
      </c>
      <c r="BG66" s="298" t="e">
        <f t="shared" ref="BG66:BG99" si="124">VLOOKUP(A66,INPUT_RANGE,86,FALSE)</f>
        <v>#N/A</v>
      </c>
      <c r="BH66" s="298" t="e">
        <f t="shared" ref="BH66:BH99" si="125">VLOOKUP(A66,INPUT_RANGE,87,FALSE)</f>
        <v>#N/A</v>
      </c>
      <c r="BI66" s="298" t="e">
        <f t="shared" ref="BI66:BI99" si="126">VLOOKUP(A66,INPUT_RANGE,81,FALSE) &amp; " SAVES"</f>
        <v>#N/A</v>
      </c>
      <c r="BJ66" s="297" t="e">
        <f t="shared" ref="BJ66:BJ99" si="127">VLOOKUP(A66,INPUT_RANGE,81,FALSE)</f>
        <v>#N/A</v>
      </c>
      <c r="BK66" s="297" t="e">
        <f t="shared" ref="BK66:BK99" si="128">VLOOKUP(A66,INPUT_RANGE,83,FALSE)</f>
        <v>#N/A</v>
      </c>
      <c r="BL66" s="297" t="e">
        <f t="shared" ref="BL66:BL99" si="129">VLOOKUP(A66,INPUT_RANGE,87,FALSE) &amp; "/" &amp; VLOOKUP(A66,INPUT_RANGE,86,FALSE)</f>
        <v>#N/A</v>
      </c>
      <c r="BM66" s="297" t="e">
        <f t="shared" ref="BM66:BM100" si="130">ROUND((VLOOKUP(A66,INPUT_RANGE,86,FALSE)+VLOOKUP(A66,INPUT_RANGE,83,FALSE))/AS66,2)</f>
        <v>#N/A</v>
      </c>
    </row>
    <row r="67" spans="1:65" x14ac:dyDescent="0.25">
      <c r="A67" s="30">
        <v>66</v>
      </c>
      <c r="B67" s="30">
        <v>66</v>
      </c>
      <c r="C67" s="58" t="str">
        <f>Roster!$X69</f>
        <v>- -</v>
      </c>
      <c r="D67" s="271" t="e">
        <f t="shared" ref="D67:D90" si="131">BA67</f>
        <v>#N/A</v>
      </c>
      <c r="E67" s="245"/>
      <c r="F67" s="271" t="e">
        <f t="shared" ref="F67:F90" si="132">M67</f>
        <v>#N/A</v>
      </c>
      <c r="G67" s="245"/>
      <c r="H67" s="274" t="e">
        <f t="shared" ref="H67:H90" si="133">T67</f>
        <v>#N/A</v>
      </c>
      <c r="I67" s="245"/>
      <c r="J67" s="274" t="e">
        <f t="shared" ref="J67:J90" si="134">N67</f>
        <v>#N/A</v>
      </c>
      <c r="K67" s="62"/>
      <c r="L67" s="63"/>
      <c r="M67" s="194" t="e">
        <f t="shared" ref="M67:M104" si="135" xml:space="preserve"> TEXT(AW67,".000") &amp; " BA"</f>
        <v>#N/A</v>
      </c>
      <c r="N67" s="61" t="e">
        <f t="shared" si="97"/>
        <v>#N/A</v>
      </c>
      <c r="O67" s="61" t="e">
        <f t="shared" si="98"/>
        <v>#N/A</v>
      </c>
      <c r="P67" s="61" t="e">
        <f t="shared" si="99"/>
        <v>#N/A</v>
      </c>
      <c r="Q67" s="61" t="e">
        <f t="shared" si="100"/>
        <v>#N/A</v>
      </c>
      <c r="R67" s="61" t="e">
        <f t="shared" si="101"/>
        <v>#N/A</v>
      </c>
      <c r="S67" s="61" t="e">
        <f t="shared" si="102"/>
        <v>#N/A</v>
      </c>
      <c r="T67" s="61" t="e">
        <f t="shared" si="103"/>
        <v>#N/A</v>
      </c>
      <c r="U67" s="61" t="e">
        <f t="shared" si="104"/>
        <v>#N/A</v>
      </c>
      <c r="V67" s="61" t="e">
        <f t="shared" ref="V67:V104" si="136">TEXT(AX67, ".000") &amp; " OBP"</f>
        <v>#N/A</v>
      </c>
      <c r="X67" s="61" t="e">
        <f t="shared" ref="X67:X100" si="137">VLOOKUP(A67,INPUT_RANGE,77,FALSE)&amp;" games"</f>
        <v>#N/A</v>
      </c>
      <c r="Y67" s="61" t="e">
        <f t="shared" ref="Y67:Y100" si="138">VLOOKUP(A67,INPUT_RANGE,78,FALSE) &amp; " starts"</f>
        <v>#N/A</v>
      </c>
      <c r="Z67" s="61" t="e">
        <f t="shared" si="105"/>
        <v>#N/A</v>
      </c>
      <c r="AA67" s="270" t="e">
        <f t="shared" ref="AA67:AA100" si="139">TRUNC(VLOOKUP(A67,INPUT_RANGE,82,FALSE)) &amp;  IF(AR67=0.333,"º",IF(AR67=0.666,"»",""))</f>
        <v>#N/A</v>
      </c>
      <c r="AB67" s="270" t="e">
        <f t="shared" ref="AB67:AB104" si="140">AA67&amp; " IP"</f>
        <v>#N/A</v>
      </c>
      <c r="AC67" s="61" t="e">
        <f t="shared" si="106"/>
        <v>#N/A</v>
      </c>
      <c r="AD67" s="61" t="e">
        <f t="shared" si="107"/>
        <v>#N/A</v>
      </c>
      <c r="AE67" s="61" t="e">
        <f t="shared" si="108"/>
        <v>#N/A</v>
      </c>
      <c r="AF67" s="61" t="e">
        <f t="shared" si="109"/>
        <v>#N/A</v>
      </c>
      <c r="AG67" s="61" t="e">
        <f t="shared" si="110"/>
        <v>#N/A</v>
      </c>
      <c r="AH67" s="61" t="e">
        <f t="shared" si="111"/>
        <v>#N/A</v>
      </c>
      <c r="AI67" s="61" t="e">
        <f t="shared" si="112"/>
        <v>#N/A</v>
      </c>
      <c r="AJ67" s="61" t="e">
        <f t="shared" si="113"/>
        <v>#N/A</v>
      </c>
      <c r="AK67" s="61" t="e">
        <f t="shared" si="114"/>
        <v>#N/A</v>
      </c>
      <c r="AL67" s="61" t="e">
        <f t="shared" si="115"/>
        <v>#N/A</v>
      </c>
      <c r="AM67" s="61" t="e">
        <f t="shared" si="116"/>
        <v>#N/A</v>
      </c>
      <c r="AN67" s="61" t="e">
        <f t="shared" si="117"/>
        <v>#N/A</v>
      </c>
      <c r="AO67" s="61" t="e">
        <f t="shared" ref="AO67:AO104" si="141">TEXT(AU67,"0.00") &amp; " ERA"</f>
        <v>#N/A</v>
      </c>
      <c r="AP67" s="61" t="e">
        <f t="shared" ref="AP67:AP104" si="142">TEXT(AT67,"0.00") &amp; " WHIP"</f>
        <v>#N/A</v>
      </c>
      <c r="AQ67" s="247" t="e">
        <f t="shared" si="95"/>
        <v>#N/A</v>
      </c>
      <c r="AR67" s="247" t="e">
        <f t="shared" si="118"/>
        <v>#N/A</v>
      </c>
      <c r="AS67" s="247" t="e">
        <f t="shared" si="96"/>
        <v>#N/A</v>
      </c>
      <c r="AT67" s="196" t="e">
        <f t="shared" si="119"/>
        <v>#N/A</v>
      </c>
      <c r="AU67" s="196" t="e">
        <f>ROUND((VLOOKUP(A67,INPUT_RANGE,85,FALSE)/AS67)*('Team Info'!$H$25),2)</f>
        <v>#N/A</v>
      </c>
      <c r="AV67" s="8"/>
      <c r="AW67" s="197" t="e">
        <f t="shared" ref="AW67:AW99" si="143">(VLOOKUP(A67,INPUT_RANGE,54,FALSE)/VLOOKUP(A67,INPUT_RANGE,52,FALSE))</f>
        <v>#N/A</v>
      </c>
      <c r="AX67" s="197" t="e">
        <f t="shared" ref="AX67:AX99" si="144">((VLOOKUP(A67,INPUT_RANGE,54,FALSE)+VLOOKUP(A67,INPUT_RANGE,60,FALSE)+VLOOKUP(A67,INPUT_RANGE,59,FALSE))/(VLOOKUP(A67,INPUT_RANGE,52,FALSE)+VLOOKUP(A67,INPUT_RANGE,60,FALSE)+VLOOKUP(A67,INPUT_RANGE,59,FALSE)+VLOOKUP(A67,INPUT_RANGE,63,FALSE)))</f>
        <v>#N/A</v>
      </c>
      <c r="AY67">
        <f t="shared" si="120"/>
        <v>0.44444444444444442</v>
      </c>
      <c r="AZ67" s="257" t="e">
        <f t="shared" ref="AZ67:AZ104" si="145">AX67+AY67</f>
        <v>#N/A</v>
      </c>
      <c r="BA67" t="e">
        <f t="shared" ref="BA67:BA104" si="146" xml:space="preserve"> TEXT(AZ67,".000") &amp; " OPS"</f>
        <v>#N/A</v>
      </c>
      <c r="BB67" s="298" t="e">
        <f t="shared" si="121"/>
        <v>#N/A</v>
      </c>
      <c r="BC67" s="298" t="e">
        <f t="shared" si="122"/>
        <v>#N/A</v>
      </c>
      <c r="BD67" s="298" t="e">
        <f t="shared" si="123"/>
        <v>#N/A</v>
      </c>
      <c r="BE67" s="308" t="e">
        <f t="shared" si="59"/>
        <v>#N/A</v>
      </c>
      <c r="BF67" s="298" t="e">
        <f t="shared" ref="BF67:BF104" si="147">AA67</f>
        <v>#N/A</v>
      </c>
      <c r="BG67" s="298" t="e">
        <f t="shared" si="124"/>
        <v>#N/A</v>
      </c>
      <c r="BH67" s="298" t="e">
        <f t="shared" si="125"/>
        <v>#N/A</v>
      </c>
      <c r="BI67" s="298" t="e">
        <f t="shared" si="126"/>
        <v>#N/A</v>
      </c>
      <c r="BJ67" s="297" t="e">
        <f t="shared" si="127"/>
        <v>#N/A</v>
      </c>
      <c r="BK67" s="297" t="e">
        <f t="shared" si="128"/>
        <v>#N/A</v>
      </c>
      <c r="BL67" s="297" t="e">
        <f t="shared" si="129"/>
        <v>#N/A</v>
      </c>
      <c r="BM67" s="297" t="e">
        <f t="shared" si="130"/>
        <v>#N/A</v>
      </c>
    </row>
    <row r="68" spans="1:65" x14ac:dyDescent="0.25">
      <c r="A68" s="30">
        <v>67</v>
      </c>
      <c r="B68" s="30">
        <v>67</v>
      </c>
      <c r="C68" s="58" t="str">
        <f>Roster!$X70</f>
        <v>- -</v>
      </c>
      <c r="D68" s="271" t="e">
        <f t="shared" si="131"/>
        <v>#N/A</v>
      </c>
      <c r="E68" s="245"/>
      <c r="F68" s="271" t="e">
        <f t="shared" si="132"/>
        <v>#N/A</v>
      </c>
      <c r="G68" s="245"/>
      <c r="H68" s="274" t="e">
        <f t="shared" si="133"/>
        <v>#N/A</v>
      </c>
      <c r="I68" s="245"/>
      <c r="J68" s="274" t="e">
        <f t="shared" si="134"/>
        <v>#N/A</v>
      </c>
      <c r="K68" s="62"/>
      <c r="L68" s="63"/>
      <c r="M68" s="194" t="e">
        <f t="shared" si="135"/>
        <v>#N/A</v>
      </c>
      <c r="N68" s="61" t="e">
        <f t="shared" si="97"/>
        <v>#N/A</v>
      </c>
      <c r="O68" s="61" t="e">
        <f t="shared" si="98"/>
        <v>#N/A</v>
      </c>
      <c r="P68" s="61" t="e">
        <f t="shared" si="99"/>
        <v>#N/A</v>
      </c>
      <c r="Q68" s="61" t="e">
        <f t="shared" si="100"/>
        <v>#N/A</v>
      </c>
      <c r="R68" s="61" t="e">
        <f t="shared" si="101"/>
        <v>#N/A</v>
      </c>
      <c r="S68" s="61" t="e">
        <f t="shared" si="102"/>
        <v>#N/A</v>
      </c>
      <c r="T68" s="61" t="e">
        <f t="shared" si="103"/>
        <v>#N/A</v>
      </c>
      <c r="U68" s="61" t="e">
        <f t="shared" si="104"/>
        <v>#N/A</v>
      </c>
      <c r="V68" s="61" t="e">
        <f t="shared" si="136"/>
        <v>#N/A</v>
      </c>
      <c r="X68" s="61" t="e">
        <f t="shared" si="137"/>
        <v>#N/A</v>
      </c>
      <c r="Y68" s="61" t="e">
        <f t="shared" si="138"/>
        <v>#N/A</v>
      </c>
      <c r="Z68" s="61" t="e">
        <f t="shared" si="105"/>
        <v>#N/A</v>
      </c>
      <c r="AA68" s="270" t="e">
        <f t="shared" si="139"/>
        <v>#N/A</v>
      </c>
      <c r="AB68" s="270" t="e">
        <f t="shared" si="140"/>
        <v>#N/A</v>
      </c>
      <c r="AC68" s="61" t="e">
        <f t="shared" si="106"/>
        <v>#N/A</v>
      </c>
      <c r="AD68" s="61" t="e">
        <f t="shared" si="107"/>
        <v>#N/A</v>
      </c>
      <c r="AE68" s="61" t="e">
        <f t="shared" si="108"/>
        <v>#N/A</v>
      </c>
      <c r="AF68" s="61" t="e">
        <f t="shared" si="109"/>
        <v>#N/A</v>
      </c>
      <c r="AG68" s="61" t="e">
        <f t="shared" si="110"/>
        <v>#N/A</v>
      </c>
      <c r="AH68" s="61" t="e">
        <f t="shared" si="111"/>
        <v>#N/A</v>
      </c>
      <c r="AI68" s="61" t="e">
        <f t="shared" si="112"/>
        <v>#N/A</v>
      </c>
      <c r="AJ68" s="61" t="e">
        <f t="shared" si="113"/>
        <v>#N/A</v>
      </c>
      <c r="AK68" s="61" t="e">
        <f t="shared" si="114"/>
        <v>#N/A</v>
      </c>
      <c r="AL68" s="61" t="e">
        <f t="shared" si="115"/>
        <v>#N/A</v>
      </c>
      <c r="AM68" s="61" t="e">
        <f t="shared" si="116"/>
        <v>#N/A</v>
      </c>
      <c r="AN68" s="61" t="e">
        <f t="shared" si="117"/>
        <v>#N/A</v>
      </c>
      <c r="AO68" s="61" t="e">
        <f t="shared" si="141"/>
        <v>#N/A</v>
      </c>
      <c r="AP68" s="61" t="e">
        <f t="shared" si="142"/>
        <v>#N/A</v>
      </c>
      <c r="AQ68" s="247" t="e">
        <f t="shared" si="95"/>
        <v>#N/A</v>
      </c>
      <c r="AR68" s="247" t="e">
        <f t="shared" si="118"/>
        <v>#N/A</v>
      </c>
      <c r="AS68" s="247" t="e">
        <f t="shared" si="96"/>
        <v>#N/A</v>
      </c>
      <c r="AT68" s="196" t="e">
        <f t="shared" si="119"/>
        <v>#N/A</v>
      </c>
      <c r="AU68" s="196" t="e">
        <f>ROUND((VLOOKUP(A68,INPUT_RANGE,85,FALSE)/AS68)*('Team Info'!$H$25),2)</f>
        <v>#N/A</v>
      </c>
      <c r="AV68" s="8"/>
      <c r="AW68" s="197" t="e">
        <f t="shared" si="143"/>
        <v>#N/A</v>
      </c>
      <c r="AX68" s="197" t="e">
        <f t="shared" si="144"/>
        <v>#N/A</v>
      </c>
      <c r="AY68">
        <f t="shared" si="120"/>
        <v>0.44444444444444442</v>
      </c>
      <c r="AZ68" s="257" t="e">
        <f t="shared" si="145"/>
        <v>#N/A</v>
      </c>
      <c r="BA68" t="e">
        <f t="shared" si="146"/>
        <v>#N/A</v>
      </c>
      <c r="BB68" s="298" t="e">
        <f t="shared" si="121"/>
        <v>#N/A</v>
      </c>
      <c r="BC68" s="298" t="e">
        <f t="shared" si="122"/>
        <v>#N/A</v>
      </c>
      <c r="BD68" s="298" t="e">
        <f t="shared" si="123"/>
        <v>#N/A</v>
      </c>
      <c r="BE68" s="308" t="e">
        <f t="shared" si="59"/>
        <v>#N/A</v>
      </c>
      <c r="BF68" s="298" t="e">
        <f t="shared" si="147"/>
        <v>#N/A</v>
      </c>
      <c r="BG68" s="298" t="e">
        <f t="shared" si="124"/>
        <v>#N/A</v>
      </c>
      <c r="BH68" s="298" t="e">
        <f t="shared" si="125"/>
        <v>#N/A</v>
      </c>
      <c r="BI68" s="298" t="e">
        <f t="shared" si="126"/>
        <v>#N/A</v>
      </c>
      <c r="BJ68" s="297" t="e">
        <f t="shared" si="127"/>
        <v>#N/A</v>
      </c>
      <c r="BK68" s="297" t="e">
        <f t="shared" si="128"/>
        <v>#N/A</v>
      </c>
      <c r="BL68" s="297" t="e">
        <f t="shared" si="129"/>
        <v>#N/A</v>
      </c>
      <c r="BM68" s="297" t="e">
        <f t="shared" si="130"/>
        <v>#N/A</v>
      </c>
    </row>
    <row r="69" spans="1:65" x14ac:dyDescent="0.25">
      <c r="A69" s="30">
        <v>68</v>
      </c>
      <c r="B69" s="30">
        <v>68</v>
      </c>
      <c r="C69" s="58" t="str">
        <f>Roster!$X71</f>
        <v>- -</v>
      </c>
      <c r="D69" s="271" t="e">
        <f t="shared" si="131"/>
        <v>#N/A</v>
      </c>
      <c r="E69" s="245"/>
      <c r="F69" s="271" t="e">
        <f t="shared" si="132"/>
        <v>#N/A</v>
      </c>
      <c r="G69" s="245"/>
      <c r="H69" s="274" t="e">
        <f t="shared" si="133"/>
        <v>#N/A</v>
      </c>
      <c r="I69" s="245"/>
      <c r="J69" s="274" t="e">
        <f t="shared" si="134"/>
        <v>#N/A</v>
      </c>
      <c r="K69" s="62"/>
      <c r="L69" s="63"/>
      <c r="M69" s="194" t="e">
        <f t="shared" si="135"/>
        <v>#N/A</v>
      </c>
      <c r="N69" s="61" t="e">
        <f t="shared" si="97"/>
        <v>#N/A</v>
      </c>
      <c r="O69" s="61" t="e">
        <f t="shared" si="98"/>
        <v>#N/A</v>
      </c>
      <c r="P69" s="61" t="e">
        <f t="shared" si="99"/>
        <v>#N/A</v>
      </c>
      <c r="Q69" s="61" t="e">
        <f t="shared" si="100"/>
        <v>#N/A</v>
      </c>
      <c r="R69" s="61" t="e">
        <f t="shared" si="101"/>
        <v>#N/A</v>
      </c>
      <c r="S69" s="61" t="e">
        <f t="shared" si="102"/>
        <v>#N/A</v>
      </c>
      <c r="T69" s="61" t="e">
        <f t="shared" si="103"/>
        <v>#N/A</v>
      </c>
      <c r="U69" s="61" t="e">
        <f t="shared" si="104"/>
        <v>#N/A</v>
      </c>
      <c r="V69" s="61" t="e">
        <f t="shared" si="136"/>
        <v>#N/A</v>
      </c>
      <c r="X69" s="61" t="e">
        <f t="shared" si="137"/>
        <v>#N/A</v>
      </c>
      <c r="Y69" s="61" t="e">
        <f t="shared" si="138"/>
        <v>#N/A</v>
      </c>
      <c r="Z69" s="61" t="e">
        <f t="shared" si="105"/>
        <v>#N/A</v>
      </c>
      <c r="AA69" s="270" t="e">
        <f t="shared" si="139"/>
        <v>#N/A</v>
      </c>
      <c r="AB69" s="270" t="e">
        <f t="shared" si="140"/>
        <v>#N/A</v>
      </c>
      <c r="AC69" s="61" t="e">
        <f t="shared" si="106"/>
        <v>#N/A</v>
      </c>
      <c r="AD69" s="61" t="e">
        <f t="shared" si="107"/>
        <v>#N/A</v>
      </c>
      <c r="AE69" s="61" t="e">
        <f t="shared" si="108"/>
        <v>#N/A</v>
      </c>
      <c r="AF69" s="61" t="e">
        <f t="shared" si="109"/>
        <v>#N/A</v>
      </c>
      <c r="AG69" s="61" t="e">
        <f t="shared" si="110"/>
        <v>#N/A</v>
      </c>
      <c r="AH69" s="61" t="e">
        <f t="shared" si="111"/>
        <v>#N/A</v>
      </c>
      <c r="AI69" s="61" t="e">
        <f t="shared" si="112"/>
        <v>#N/A</v>
      </c>
      <c r="AJ69" s="61" t="e">
        <f t="shared" si="113"/>
        <v>#N/A</v>
      </c>
      <c r="AK69" s="61" t="e">
        <f t="shared" si="114"/>
        <v>#N/A</v>
      </c>
      <c r="AL69" s="61" t="e">
        <f t="shared" si="115"/>
        <v>#N/A</v>
      </c>
      <c r="AM69" s="61" t="e">
        <f t="shared" si="116"/>
        <v>#N/A</v>
      </c>
      <c r="AN69" s="61" t="e">
        <f t="shared" si="117"/>
        <v>#N/A</v>
      </c>
      <c r="AO69" s="61" t="e">
        <f t="shared" si="141"/>
        <v>#N/A</v>
      </c>
      <c r="AP69" s="61" t="e">
        <f t="shared" si="142"/>
        <v>#N/A</v>
      </c>
      <c r="AQ69" s="247" t="e">
        <f t="shared" si="95"/>
        <v>#N/A</v>
      </c>
      <c r="AR69" s="247" t="e">
        <f t="shared" si="118"/>
        <v>#N/A</v>
      </c>
      <c r="AS69" s="247" t="e">
        <f t="shared" si="96"/>
        <v>#N/A</v>
      </c>
      <c r="AT69" s="196" t="e">
        <f t="shared" si="119"/>
        <v>#N/A</v>
      </c>
      <c r="AU69" s="196" t="e">
        <f>ROUND((VLOOKUP(A69,INPUT_RANGE,85,FALSE)/AS69)*('Team Info'!$H$25),2)</f>
        <v>#N/A</v>
      </c>
      <c r="AV69" s="8"/>
      <c r="AW69" s="197" t="e">
        <f t="shared" si="143"/>
        <v>#N/A</v>
      </c>
      <c r="AX69" s="197" t="e">
        <f t="shared" si="144"/>
        <v>#N/A</v>
      </c>
      <c r="AY69">
        <f t="shared" si="120"/>
        <v>0.44444444444444442</v>
      </c>
      <c r="AZ69" s="257" t="e">
        <f t="shared" si="145"/>
        <v>#N/A</v>
      </c>
      <c r="BA69" t="e">
        <f t="shared" si="146"/>
        <v>#N/A</v>
      </c>
      <c r="BB69" s="298" t="e">
        <f t="shared" si="121"/>
        <v>#N/A</v>
      </c>
      <c r="BC69" s="298" t="e">
        <f t="shared" si="122"/>
        <v>#N/A</v>
      </c>
      <c r="BD69" s="298" t="e">
        <f t="shared" si="123"/>
        <v>#N/A</v>
      </c>
      <c r="BE69" s="308" t="e">
        <f t="shared" si="59"/>
        <v>#N/A</v>
      </c>
      <c r="BF69" s="298" t="e">
        <f t="shared" si="147"/>
        <v>#N/A</v>
      </c>
      <c r="BG69" s="298" t="e">
        <f t="shared" si="124"/>
        <v>#N/A</v>
      </c>
      <c r="BH69" s="298" t="e">
        <f t="shared" si="125"/>
        <v>#N/A</v>
      </c>
      <c r="BI69" s="298" t="e">
        <f t="shared" si="126"/>
        <v>#N/A</v>
      </c>
      <c r="BJ69" s="297" t="e">
        <f t="shared" si="127"/>
        <v>#N/A</v>
      </c>
      <c r="BK69" s="297" t="e">
        <f t="shared" si="128"/>
        <v>#N/A</v>
      </c>
      <c r="BL69" s="297" t="e">
        <f t="shared" si="129"/>
        <v>#N/A</v>
      </c>
      <c r="BM69" s="297" t="e">
        <f t="shared" si="130"/>
        <v>#N/A</v>
      </c>
    </row>
    <row r="70" spans="1:65" x14ac:dyDescent="0.25">
      <c r="A70" s="30">
        <v>69</v>
      </c>
      <c r="B70" s="30">
        <v>69</v>
      </c>
      <c r="C70" s="58" t="str">
        <f>Roster!$X72</f>
        <v>- -</v>
      </c>
      <c r="D70" s="271" t="e">
        <f t="shared" si="131"/>
        <v>#N/A</v>
      </c>
      <c r="E70" s="245"/>
      <c r="F70" s="271" t="e">
        <f t="shared" si="132"/>
        <v>#N/A</v>
      </c>
      <c r="G70" s="245"/>
      <c r="H70" s="274" t="e">
        <f t="shared" si="133"/>
        <v>#N/A</v>
      </c>
      <c r="I70" s="245"/>
      <c r="J70" s="274" t="e">
        <f t="shared" si="134"/>
        <v>#N/A</v>
      </c>
      <c r="K70" s="62"/>
      <c r="L70" s="63"/>
      <c r="M70" s="194" t="e">
        <f t="shared" si="135"/>
        <v>#N/A</v>
      </c>
      <c r="N70" s="61" t="e">
        <f t="shared" si="97"/>
        <v>#N/A</v>
      </c>
      <c r="O70" s="61" t="e">
        <f t="shared" si="98"/>
        <v>#N/A</v>
      </c>
      <c r="P70" s="61" t="e">
        <f t="shared" si="99"/>
        <v>#N/A</v>
      </c>
      <c r="Q70" s="61" t="e">
        <f t="shared" si="100"/>
        <v>#N/A</v>
      </c>
      <c r="R70" s="61" t="e">
        <f t="shared" si="101"/>
        <v>#N/A</v>
      </c>
      <c r="S70" s="61" t="e">
        <f t="shared" si="102"/>
        <v>#N/A</v>
      </c>
      <c r="T70" s="61" t="e">
        <f t="shared" si="103"/>
        <v>#N/A</v>
      </c>
      <c r="U70" s="61" t="e">
        <f t="shared" si="104"/>
        <v>#N/A</v>
      </c>
      <c r="V70" s="61" t="e">
        <f t="shared" si="136"/>
        <v>#N/A</v>
      </c>
      <c r="X70" s="61" t="e">
        <f t="shared" si="137"/>
        <v>#N/A</v>
      </c>
      <c r="Y70" s="61" t="e">
        <f t="shared" si="138"/>
        <v>#N/A</v>
      </c>
      <c r="Z70" s="61" t="e">
        <f t="shared" si="105"/>
        <v>#N/A</v>
      </c>
      <c r="AA70" s="270" t="e">
        <f t="shared" si="139"/>
        <v>#N/A</v>
      </c>
      <c r="AB70" s="270" t="e">
        <f t="shared" si="140"/>
        <v>#N/A</v>
      </c>
      <c r="AC70" s="61" t="e">
        <f t="shared" si="106"/>
        <v>#N/A</v>
      </c>
      <c r="AD70" s="61" t="e">
        <f t="shared" si="107"/>
        <v>#N/A</v>
      </c>
      <c r="AE70" s="61" t="e">
        <f t="shared" si="108"/>
        <v>#N/A</v>
      </c>
      <c r="AF70" s="61" t="e">
        <f t="shared" si="109"/>
        <v>#N/A</v>
      </c>
      <c r="AG70" s="61" t="e">
        <f t="shared" si="110"/>
        <v>#N/A</v>
      </c>
      <c r="AH70" s="61" t="e">
        <f t="shared" si="111"/>
        <v>#N/A</v>
      </c>
      <c r="AI70" s="61" t="e">
        <f t="shared" si="112"/>
        <v>#N/A</v>
      </c>
      <c r="AJ70" s="61" t="e">
        <f t="shared" si="113"/>
        <v>#N/A</v>
      </c>
      <c r="AK70" s="61" t="e">
        <f t="shared" si="114"/>
        <v>#N/A</v>
      </c>
      <c r="AL70" s="61" t="e">
        <f t="shared" si="115"/>
        <v>#N/A</v>
      </c>
      <c r="AM70" s="61" t="e">
        <f t="shared" si="116"/>
        <v>#N/A</v>
      </c>
      <c r="AN70" s="61" t="e">
        <f t="shared" si="117"/>
        <v>#N/A</v>
      </c>
      <c r="AO70" s="61" t="e">
        <f t="shared" si="141"/>
        <v>#N/A</v>
      </c>
      <c r="AP70" s="61" t="e">
        <f t="shared" si="142"/>
        <v>#N/A</v>
      </c>
      <c r="AQ70" s="247" t="e">
        <f t="shared" si="95"/>
        <v>#N/A</v>
      </c>
      <c r="AR70" s="247" t="e">
        <f t="shared" si="118"/>
        <v>#N/A</v>
      </c>
      <c r="AS70" s="247" t="e">
        <f t="shared" si="96"/>
        <v>#N/A</v>
      </c>
      <c r="AT70" s="196" t="e">
        <f t="shared" si="119"/>
        <v>#N/A</v>
      </c>
      <c r="AU70" s="196" t="e">
        <f>ROUND((VLOOKUP(A70,INPUT_RANGE,85,FALSE)/AS70)*('Team Info'!$H$25),2)</f>
        <v>#N/A</v>
      </c>
      <c r="AV70" s="8"/>
      <c r="AW70" s="197" t="e">
        <f t="shared" si="143"/>
        <v>#N/A</v>
      </c>
      <c r="AX70" s="197" t="e">
        <f t="shared" si="144"/>
        <v>#N/A</v>
      </c>
      <c r="AY70">
        <f t="shared" si="120"/>
        <v>0.44444444444444442</v>
      </c>
      <c r="AZ70" s="257" t="e">
        <f t="shared" si="145"/>
        <v>#N/A</v>
      </c>
      <c r="BA70" t="e">
        <f t="shared" si="146"/>
        <v>#N/A</v>
      </c>
      <c r="BB70" s="298" t="e">
        <f t="shared" si="121"/>
        <v>#N/A</v>
      </c>
      <c r="BC70" s="298" t="e">
        <f t="shared" si="122"/>
        <v>#N/A</v>
      </c>
      <c r="BD70" s="298" t="e">
        <f t="shared" si="123"/>
        <v>#N/A</v>
      </c>
      <c r="BE70" s="308" t="e">
        <f t="shared" si="59"/>
        <v>#N/A</v>
      </c>
      <c r="BF70" s="298" t="e">
        <f t="shared" si="147"/>
        <v>#N/A</v>
      </c>
      <c r="BG70" s="298" t="e">
        <f t="shared" si="124"/>
        <v>#N/A</v>
      </c>
      <c r="BH70" s="298" t="e">
        <f t="shared" si="125"/>
        <v>#N/A</v>
      </c>
      <c r="BI70" s="298" t="e">
        <f t="shared" si="126"/>
        <v>#N/A</v>
      </c>
      <c r="BJ70" s="297" t="e">
        <f t="shared" si="127"/>
        <v>#N/A</v>
      </c>
      <c r="BK70" s="297" t="e">
        <f t="shared" si="128"/>
        <v>#N/A</v>
      </c>
      <c r="BL70" s="297" t="e">
        <f t="shared" si="129"/>
        <v>#N/A</v>
      </c>
      <c r="BM70" s="297" t="e">
        <f t="shared" si="130"/>
        <v>#N/A</v>
      </c>
    </row>
    <row r="71" spans="1:65" x14ac:dyDescent="0.25">
      <c r="A71" s="30">
        <v>70</v>
      </c>
      <c r="B71" s="30">
        <v>70</v>
      </c>
      <c r="C71" s="58" t="str">
        <f>Roster!$X73</f>
        <v>- -</v>
      </c>
      <c r="D71" s="271" t="e">
        <f t="shared" si="131"/>
        <v>#N/A</v>
      </c>
      <c r="E71" s="245"/>
      <c r="F71" s="271" t="e">
        <f t="shared" si="132"/>
        <v>#N/A</v>
      </c>
      <c r="G71" s="245"/>
      <c r="H71" s="274" t="e">
        <f t="shared" si="133"/>
        <v>#N/A</v>
      </c>
      <c r="I71" s="245"/>
      <c r="J71" s="274" t="e">
        <f t="shared" si="134"/>
        <v>#N/A</v>
      </c>
      <c r="K71" s="62"/>
      <c r="L71" s="63"/>
      <c r="M71" s="194" t="e">
        <f t="shared" si="135"/>
        <v>#N/A</v>
      </c>
      <c r="N71" s="61" t="e">
        <f t="shared" si="97"/>
        <v>#N/A</v>
      </c>
      <c r="O71" s="61" t="e">
        <f t="shared" si="98"/>
        <v>#N/A</v>
      </c>
      <c r="P71" s="61" t="e">
        <f t="shared" si="99"/>
        <v>#N/A</v>
      </c>
      <c r="Q71" s="61" t="e">
        <f t="shared" si="100"/>
        <v>#N/A</v>
      </c>
      <c r="R71" s="61" t="e">
        <f t="shared" si="101"/>
        <v>#N/A</v>
      </c>
      <c r="S71" s="61" t="e">
        <f t="shared" si="102"/>
        <v>#N/A</v>
      </c>
      <c r="T71" s="61" t="e">
        <f t="shared" si="103"/>
        <v>#N/A</v>
      </c>
      <c r="U71" s="61" t="e">
        <f t="shared" si="104"/>
        <v>#N/A</v>
      </c>
      <c r="V71" s="61" t="e">
        <f t="shared" si="136"/>
        <v>#N/A</v>
      </c>
      <c r="X71" s="61" t="e">
        <f t="shared" si="137"/>
        <v>#N/A</v>
      </c>
      <c r="Y71" s="61" t="e">
        <f t="shared" si="138"/>
        <v>#N/A</v>
      </c>
      <c r="Z71" s="61" t="e">
        <f t="shared" si="105"/>
        <v>#N/A</v>
      </c>
      <c r="AA71" s="270" t="e">
        <f t="shared" si="139"/>
        <v>#N/A</v>
      </c>
      <c r="AB71" s="270" t="e">
        <f t="shared" si="140"/>
        <v>#N/A</v>
      </c>
      <c r="AC71" s="61" t="e">
        <f t="shared" si="106"/>
        <v>#N/A</v>
      </c>
      <c r="AD71" s="61" t="e">
        <f t="shared" si="107"/>
        <v>#N/A</v>
      </c>
      <c r="AE71" s="61" t="e">
        <f t="shared" si="108"/>
        <v>#N/A</v>
      </c>
      <c r="AF71" s="61" t="e">
        <f t="shared" si="109"/>
        <v>#N/A</v>
      </c>
      <c r="AG71" s="61" t="e">
        <f t="shared" si="110"/>
        <v>#N/A</v>
      </c>
      <c r="AH71" s="61" t="e">
        <f t="shared" si="111"/>
        <v>#N/A</v>
      </c>
      <c r="AI71" s="61" t="e">
        <f t="shared" si="112"/>
        <v>#N/A</v>
      </c>
      <c r="AJ71" s="61" t="e">
        <f t="shared" si="113"/>
        <v>#N/A</v>
      </c>
      <c r="AK71" s="61" t="e">
        <f t="shared" si="114"/>
        <v>#N/A</v>
      </c>
      <c r="AL71" s="61" t="e">
        <f t="shared" si="115"/>
        <v>#N/A</v>
      </c>
      <c r="AM71" s="61" t="e">
        <f t="shared" si="116"/>
        <v>#N/A</v>
      </c>
      <c r="AN71" s="61" t="e">
        <f t="shared" si="117"/>
        <v>#N/A</v>
      </c>
      <c r="AO71" s="61" t="e">
        <f t="shared" si="141"/>
        <v>#N/A</v>
      </c>
      <c r="AP71" s="61" t="e">
        <f t="shared" si="142"/>
        <v>#N/A</v>
      </c>
      <c r="AQ71" s="247" t="e">
        <f t="shared" si="95"/>
        <v>#N/A</v>
      </c>
      <c r="AR71" s="247" t="e">
        <f t="shared" si="118"/>
        <v>#N/A</v>
      </c>
      <c r="AS71" s="247" t="e">
        <f t="shared" si="96"/>
        <v>#N/A</v>
      </c>
      <c r="AT71" s="196" t="e">
        <f t="shared" si="119"/>
        <v>#N/A</v>
      </c>
      <c r="AU71" s="196" t="e">
        <f>ROUND((VLOOKUP(A71,INPUT_RANGE,85,FALSE)/AS71)*('Team Info'!$H$25),2)</f>
        <v>#N/A</v>
      </c>
      <c r="AV71" s="8"/>
      <c r="AW71" s="197" t="e">
        <f t="shared" si="143"/>
        <v>#N/A</v>
      </c>
      <c r="AX71" s="197" t="e">
        <f t="shared" si="144"/>
        <v>#N/A</v>
      </c>
      <c r="AY71">
        <f t="shared" si="120"/>
        <v>0.44444444444444442</v>
      </c>
      <c r="AZ71" s="257" t="e">
        <f t="shared" si="145"/>
        <v>#N/A</v>
      </c>
      <c r="BA71" t="e">
        <f t="shared" si="146"/>
        <v>#N/A</v>
      </c>
      <c r="BB71" s="298" t="e">
        <f t="shared" si="121"/>
        <v>#N/A</v>
      </c>
      <c r="BC71" s="298" t="e">
        <f t="shared" si="122"/>
        <v>#N/A</v>
      </c>
      <c r="BD71" s="298" t="e">
        <f t="shared" si="123"/>
        <v>#N/A</v>
      </c>
      <c r="BE71" s="308" t="e">
        <f t="shared" si="59"/>
        <v>#N/A</v>
      </c>
      <c r="BF71" s="298" t="e">
        <f t="shared" si="147"/>
        <v>#N/A</v>
      </c>
      <c r="BG71" s="298" t="e">
        <f t="shared" si="124"/>
        <v>#N/A</v>
      </c>
      <c r="BH71" s="298" t="e">
        <f t="shared" si="125"/>
        <v>#N/A</v>
      </c>
      <c r="BI71" s="298" t="e">
        <f t="shared" si="126"/>
        <v>#N/A</v>
      </c>
      <c r="BJ71" s="297" t="e">
        <f t="shared" si="127"/>
        <v>#N/A</v>
      </c>
      <c r="BK71" s="297" t="e">
        <f t="shared" si="128"/>
        <v>#N/A</v>
      </c>
      <c r="BL71" s="297" t="e">
        <f t="shared" si="129"/>
        <v>#N/A</v>
      </c>
      <c r="BM71" s="297" t="e">
        <f t="shared" si="130"/>
        <v>#N/A</v>
      </c>
    </row>
    <row r="72" spans="1:65" x14ac:dyDescent="0.25">
      <c r="A72" s="30">
        <v>71</v>
      </c>
      <c r="B72" s="30">
        <v>71</v>
      </c>
      <c r="C72" s="58" t="str">
        <f>Roster!$X74</f>
        <v>- -</v>
      </c>
      <c r="D72" s="271" t="e">
        <f t="shared" si="131"/>
        <v>#N/A</v>
      </c>
      <c r="E72" s="245"/>
      <c r="F72" s="271" t="e">
        <f t="shared" si="132"/>
        <v>#N/A</v>
      </c>
      <c r="G72" s="245"/>
      <c r="H72" s="274" t="e">
        <f t="shared" si="133"/>
        <v>#N/A</v>
      </c>
      <c r="I72" s="245"/>
      <c r="J72" s="274" t="e">
        <f t="shared" si="134"/>
        <v>#N/A</v>
      </c>
      <c r="K72" s="62"/>
      <c r="L72" s="63"/>
      <c r="M72" s="194" t="e">
        <f t="shared" si="135"/>
        <v>#N/A</v>
      </c>
      <c r="N72" s="61" t="e">
        <f t="shared" si="97"/>
        <v>#N/A</v>
      </c>
      <c r="O72" s="61" t="e">
        <f t="shared" si="98"/>
        <v>#N/A</v>
      </c>
      <c r="P72" s="61" t="e">
        <f t="shared" si="99"/>
        <v>#N/A</v>
      </c>
      <c r="Q72" s="61" t="e">
        <f t="shared" si="100"/>
        <v>#N/A</v>
      </c>
      <c r="R72" s="61" t="e">
        <f t="shared" si="101"/>
        <v>#N/A</v>
      </c>
      <c r="S72" s="61" t="e">
        <f t="shared" si="102"/>
        <v>#N/A</v>
      </c>
      <c r="T72" s="61" t="e">
        <f t="shared" si="103"/>
        <v>#N/A</v>
      </c>
      <c r="U72" s="61" t="e">
        <f t="shared" si="104"/>
        <v>#N/A</v>
      </c>
      <c r="V72" s="61" t="e">
        <f t="shared" si="136"/>
        <v>#N/A</v>
      </c>
      <c r="X72" s="61" t="e">
        <f t="shared" si="137"/>
        <v>#N/A</v>
      </c>
      <c r="Y72" s="61" t="e">
        <f t="shared" si="138"/>
        <v>#N/A</v>
      </c>
      <c r="Z72" s="61" t="e">
        <f t="shared" si="105"/>
        <v>#N/A</v>
      </c>
      <c r="AA72" s="270" t="e">
        <f t="shared" si="139"/>
        <v>#N/A</v>
      </c>
      <c r="AB72" s="270" t="e">
        <f t="shared" si="140"/>
        <v>#N/A</v>
      </c>
      <c r="AC72" s="61" t="e">
        <f t="shared" si="106"/>
        <v>#N/A</v>
      </c>
      <c r="AD72" s="61" t="e">
        <f t="shared" si="107"/>
        <v>#N/A</v>
      </c>
      <c r="AE72" s="61" t="e">
        <f t="shared" si="108"/>
        <v>#N/A</v>
      </c>
      <c r="AF72" s="61" t="e">
        <f t="shared" si="109"/>
        <v>#N/A</v>
      </c>
      <c r="AG72" s="61" t="e">
        <f t="shared" si="110"/>
        <v>#N/A</v>
      </c>
      <c r="AH72" s="61" t="e">
        <f t="shared" si="111"/>
        <v>#N/A</v>
      </c>
      <c r="AI72" s="61" t="e">
        <f t="shared" si="112"/>
        <v>#N/A</v>
      </c>
      <c r="AJ72" s="61" t="e">
        <f t="shared" si="113"/>
        <v>#N/A</v>
      </c>
      <c r="AK72" s="61" t="e">
        <f t="shared" si="114"/>
        <v>#N/A</v>
      </c>
      <c r="AL72" s="61" t="e">
        <f t="shared" si="115"/>
        <v>#N/A</v>
      </c>
      <c r="AM72" s="61" t="e">
        <f t="shared" si="116"/>
        <v>#N/A</v>
      </c>
      <c r="AN72" s="61" t="e">
        <f t="shared" si="117"/>
        <v>#N/A</v>
      </c>
      <c r="AO72" s="61" t="e">
        <f t="shared" si="141"/>
        <v>#N/A</v>
      </c>
      <c r="AP72" s="61" t="e">
        <f t="shared" si="142"/>
        <v>#N/A</v>
      </c>
      <c r="AQ72" s="247" t="e">
        <f t="shared" si="95"/>
        <v>#N/A</v>
      </c>
      <c r="AR72" s="247" t="e">
        <f t="shared" si="118"/>
        <v>#N/A</v>
      </c>
      <c r="AS72" s="247" t="e">
        <f t="shared" si="96"/>
        <v>#N/A</v>
      </c>
      <c r="AT72" s="196" t="e">
        <f t="shared" si="119"/>
        <v>#N/A</v>
      </c>
      <c r="AU72" s="196" t="e">
        <f>ROUND((VLOOKUP(A72,INPUT_RANGE,85,FALSE)/AS72)*('Team Info'!$H$25),2)</f>
        <v>#N/A</v>
      </c>
      <c r="AV72" s="8"/>
      <c r="AW72" s="197" t="e">
        <f t="shared" si="143"/>
        <v>#N/A</v>
      </c>
      <c r="AX72" s="197" t="e">
        <f t="shared" si="144"/>
        <v>#N/A</v>
      </c>
      <c r="AY72">
        <f t="shared" si="120"/>
        <v>0.44444444444444442</v>
      </c>
      <c r="AZ72" s="257" t="e">
        <f t="shared" si="145"/>
        <v>#N/A</v>
      </c>
      <c r="BA72" t="e">
        <f t="shared" si="146"/>
        <v>#N/A</v>
      </c>
      <c r="BB72" s="298" t="e">
        <f t="shared" si="121"/>
        <v>#N/A</v>
      </c>
      <c r="BC72" s="298" t="e">
        <f t="shared" si="122"/>
        <v>#N/A</v>
      </c>
      <c r="BD72" s="298" t="e">
        <f t="shared" si="123"/>
        <v>#N/A</v>
      </c>
      <c r="BE72" s="308" t="e">
        <f t="shared" si="59"/>
        <v>#N/A</v>
      </c>
      <c r="BF72" s="298" t="e">
        <f t="shared" si="147"/>
        <v>#N/A</v>
      </c>
      <c r="BG72" s="298" t="e">
        <f t="shared" si="124"/>
        <v>#N/A</v>
      </c>
      <c r="BH72" s="298" t="e">
        <f t="shared" si="125"/>
        <v>#N/A</v>
      </c>
      <c r="BI72" s="298" t="e">
        <f t="shared" si="126"/>
        <v>#N/A</v>
      </c>
      <c r="BJ72" s="297" t="e">
        <f t="shared" si="127"/>
        <v>#N/A</v>
      </c>
      <c r="BK72" s="297" t="e">
        <f t="shared" si="128"/>
        <v>#N/A</v>
      </c>
      <c r="BL72" s="297" t="e">
        <f t="shared" si="129"/>
        <v>#N/A</v>
      </c>
      <c r="BM72" s="297" t="e">
        <f t="shared" si="130"/>
        <v>#N/A</v>
      </c>
    </row>
    <row r="73" spans="1:65" x14ac:dyDescent="0.25">
      <c r="A73" s="30">
        <v>72</v>
      </c>
      <c r="B73" s="30">
        <v>72</v>
      </c>
      <c r="C73" s="58" t="str">
        <f>Roster!$X75</f>
        <v>- -</v>
      </c>
      <c r="D73" s="271" t="e">
        <f t="shared" si="131"/>
        <v>#N/A</v>
      </c>
      <c r="E73" s="245"/>
      <c r="F73" s="271" t="e">
        <f t="shared" si="132"/>
        <v>#N/A</v>
      </c>
      <c r="G73" s="245"/>
      <c r="H73" s="274" t="e">
        <f t="shared" si="133"/>
        <v>#N/A</v>
      </c>
      <c r="I73" s="245"/>
      <c r="J73" s="274" t="e">
        <f t="shared" si="134"/>
        <v>#N/A</v>
      </c>
      <c r="K73" s="62"/>
      <c r="L73" s="63"/>
      <c r="M73" s="194" t="e">
        <f t="shared" si="135"/>
        <v>#N/A</v>
      </c>
      <c r="N73" s="61" t="e">
        <f t="shared" si="97"/>
        <v>#N/A</v>
      </c>
      <c r="O73" s="61" t="e">
        <f t="shared" si="98"/>
        <v>#N/A</v>
      </c>
      <c r="P73" s="61" t="e">
        <f t="shared" si="99"/>
        <v>#N/A</v>
      </c>
      <c r="Q73" s="61" t="e">
        <f t="shared" si="100"/>
        <v>#N/A</v>
      </c>
      <c r="R73" s="61" t="e">
        <f t="shared" si="101"/>
        <v>#N/A</v>
      </c>
      <c r="S73" s="61" t="e">
        <f t="shared" si="102"/>
        <v>#N/A</v>
      </c>
      <c r="T73" s="61" t="e">
        <f t="shared" si="103"/>
        <v>#N/A</v>
      </c>
      <c r="U73" s="61" t="e">
        <f t="shared" si="104"/>
        <v>#N/A</v>
      </c>
      <c r="V73" s="61" t="e">
        <f t="shared" si="136"/>
        <v>#N/A</v>
      </c>
      <c r="X73" s="61" t="e">
        <f t="shared" si="137"/>
        <v>#N/A</v>
      </c>
      <c r="Y73" s="61" t="e">
        <f t="shared" si="138"/>
        <v>#N/A</v>
      </c>
      <c r="Z73" s="61" t="e">
        <f t="shared" si="105"/>
        <v>#N/A</v>
      </c>
      <c r="AA73" s="270" t="e">
        <f t="shared" si="139"/>
        <v>#N/A</v>
      </c>
      <c r="AB73" s="270" t="e">
        <f t="shared" si="140"/>
        <v>#N/A</v>
      </c>
      <c r="AC73" s="61" t="e">
        <f t="shared" si="106"/>
        <v>#N/A</v>
      </c>
      <c r="AD73" s="61" t="e">
        <f t="shared" si="107"/>
        <v>#N/A</v>
      </c>
      <c r="AE73" s="61" t="e">
        <f t="shared" si="108"/>
        <v>#N/A</v>
      </c>
      <c r="AF73" s="61" t="e">
        <f t="shared" si="109"/>
        <v>#N/A</v>
      </c>
      <c r="AG73" s="61" t="e">
        <f t="shared" si="110"/>
        <v>#N/A</v>
      </c>
      <c r="AH73" s="61" t="e">
        <f t="shared" si="111"/>
        <v>#N/A</v>
      </c>
      <c r="AI73" s="61" t="e">
        <f t="shared" si="112"/>
        <v>#N/A</v>
      </c>
      <c r="AJ73" s="61" t="e">
        <f t="shared" si="113"/>
        <v>#N/A</v>
      </c>
      <c r="AK73" s="61" t="e">
        <f t="shared" si="114"/>
        <v>#N/A</v>
      </c>
      <c r="AL73" s="61" t="e">
        <f t="shared" si="115"/>
        <v>#N/A</v>
      </c>
      <c r="AM73" s="61" t="e">
        <f t="shared" si="116"/>
        <v>#N/A</v>
      </c>
      <c r="AN73" s="61" t="e">
        <f t="shared" si="117"/>
        <v>#N/A</v>
      </c>
      <c r="AO73" s="61" t="e">
        <f t="shared" si="141"/>
        <v>#N/A</v>
      </c>
      <c r="AP73" s="61" t="e">
        <f t="shared" si="142"/>
        <v>#N/A</v>
      </c>
      <c r="AQ73" s="247" t="e">
        <f t="shared" si="95"/>
        <v>#N/A</v>
      </c>
      <c r="AR73" s="247" t="e">
        <f t="shared" si="118"/>
        <v>#N/A</v>
      </c>
      <c r="AS73" s="247" t="e">
        <f t="shared" si="96"/>
        <v>#N/A</v>
      </c>
      <c r="AT73" s="196" t="e">
        <f t="shared" si="119"/>
        <v>#N/A</v>
      </c>
      <c r="AU73" s="196" t="e">
        <f>ROUND((VLOOKUP(A73,INPUT_RANGE,85,FALSE)/AS73)*('Team Info'!$H$25),2)</f>
        <v>#N/A</v>
      </c>
      <c r="AV73" s="8"/>
      <c r="AW73" s="197" t="e">
        <f t="shared" si="143"/>
        <v>#N/A</v>
      </c>
      <c r="AX73" s="197" t="e">
        <f t="shared" si="144"/>
        <v>#N/A</v>
      </c>
      <c r="AY73">
        <f t="shared" si="120"/>
        <v>0.44444444444444442</v>
      </c>
      <c r="AZ73" s="257" t="e">
        <f t="shared" si="145"/>
        <v>#N/A</v>
      </c>
      <c r="BA73" t="e">
        <f t="shared" si="146"/>
        <v>#N/A</v>
      </c>
      <c r="BB73" s="298" t="e">
        <f t="shared" si="121"/>
        <v>#N/A</v>
      </c>
      <c r="BC73" s="298" t="e">
        <f t="shared" si="122"/>
        <v>#N/A</v>
      </c>
      <c r="BD73" s="298" t="e">
        <f t="shared" si="123"/>
        <v>#N/A</v>
      </c>
      <c r="BE73" s="308" t="e">
        <f t="shared" si="59"/>
        <v>#N/A</v>
      </c>
      <c r="BF73" s="298" t="e">
        <f t="shared" si="147"/>
        <v>#N/A</v>
      </c>
      <c r="BG73" s="298" t="e">
        <f t="shared" si="124"/>
        <v>#N/A</v>
      </c>
      <c r="BH73" s="298" t="e">
        <f t="shared" si="125"/>
        <v>#N/A</v>
      </c>
      <c r="BI73" s="298" t="e">
        <f t="shared" si="126"/>
        <v>#N/A</v>
      </c>
      <c r="BJ73" s="297" t="e">
        <f t="shared" si="127"/>
        <v>#N/A</v>
      </c>
      <c r="BK73" s="297" t="e">
        <f t="shared" si="128"/>
        <v>#N/A</v>
      </c>
      <c r="BL73" s="297" t="e">
        <f t="shared" si="129"/>
        <v>#N/A</v>
      </c>
      <c r="BM73" s="297" t="e">
        <f t="shared" si="130"/>
        <v>#N/A</v>
      </c>
    </row>
    <row r="74" spans="1:65" x14ac:dyDescent="0.25">
      <c r="A74" s="30">
        <v>73</v>
      </c>
      <c r="B74" s="30">
        <v>73</v>
      </c>
      <c r="C74" s="58" t="str">
        <f>Roster!$X76</f>
        <v>- -</v>
      </c>
      <c r="D74" s="271" t="e">
        <f t="shared" si="131"/>
        <v>#N/A</v>
      </c>
      <c r="E74" s="245"/>
      <c r="F74" s="271" t="e">
        <f t="shared" si="132"/>
        <v>#N/A</v>
      </c>
      <c r="G74" s="245"/>
      <c r="H74" s="274" t="e">
        <f t="shared" si="133"/>
        <v>#N/A</v>
      </c>
      <c r="I74" s="245"/>
      <c r="J74" s="274" t="e">
        <f t="shared" si="134"/>
        <v>#N/A</v>
      </c>
      <c r="K74" s="62"/>
      <c r="L74" s="63"/>
      <c r="M74" s="194" t="e">
        <f t="shared" si="135"/>
        <v>#N/A</v>
      </c>
      <c r="N74" s="61" t="e">
        <f t="shared" si="97"/>
        <v>#N/A</v>
      </c>
      <c r="O74" s="61" t="e">
        <f t="shared" si="98"/>
        <v>#N/A</v>
      </c>
      <c r="P74" s="61" t="e">
        <f t="shared" si="99"/>
        <v>#N/A</v>
      </c>
      <c r="Q74" s="61" t="e">
        <f t="shared" si="100"/>
        <v>#N/A</v>
      </c>
      <c r="R74" s="61" t="e">
        <f t="shared" si="101"/>
        <v>#N/A</v>
      </c>
      <c r="S74" s="61" t="e">
        <f t="shared" si="102"/>
        <v>#N/A</v>
      </c>
      <c r="T74" s="61" t="e">
        <f t="shared" si="103"/>
        <v>#N/A</v>
      </c>
      <c r="U74" s="61" t="e">
        <f t="shared" si="104"/>
        <v>#N/A</v>
      </c>
      <c r="V74" s="61" t="e">
        <f t="shared" si="136"/>
        <v>#N/A</v>
      </c>
      <c r="X74" s="61" t="e">
        <f t="shared" si="137"/>
        <v>#N/A</v>
      </c>
      <c r="Y74" s="61" t="e">
        <f t="shared" si="138"/>
        <v>#N/A</v>
      </c>
      <c r="Z74" s="61" t="e">
        <f t="shared" si="105"/>
        <v>#N/A</v>
      </c>
      <c r="AA74" s="270" t="e">
        <f t="shared" si="139"/>
        <v>#N/A</v>
      </c>
      <c r="AB74" s="270" t="e">
        <f t="shared" si="140"/>
        <v>#N/A</v>
      </c>
      <c r="AC74" s="61" t="e">
        <f t="shared" si="106"/>
        <v>#N/A</v>
      </c>
      <c r="AD74" s="61" t="e">
        <f t="shared" si="107"/>
        <v>#N/A</v>
      </c>
      <c r="AE74" s="61" t="e">
        <f t="shared" si="108"/>
        <v>#N/A</v>
      </c>
      <c r="AF74" s="61" t="e">
        <f t="shared" si="109"/>
        <v>#N/A</v>
      </c>
      <c r="AG74" s="61" t="e">
        <f t="shared" si="110"/>
        <v>#N/A</v>
      </c>
      <c r="AH74" s="61" t="e">
        <f t="shared" si="111"/>
        <v>#N/A</v>
      </c>
      <c r="AI74" s="61" t="e">
        <f t="shared" si="112"/>
        <v>#N/A</v>
      </c>
      <c r="AJ74" s="61" t="e">
        <f t="shared" si="113"/>
        <v>#N/A</v>
      </c>
      <c r="AK74" s="61" t="e">
        <f t="shared" si="114"/>
        <v>#N/A</v>
      </c>
      <c r="AL74" s="61" t="e">
        <f t="shared" si="115"/>
        <v>#N/A</v>
      </c>
      <c r="AM74" s="61" t="e">
        <f t="shared" si="116"/>
        <v>#N/A</v>
      </c>
      <c r="AN74" s="61" t="e">
        <f t="shared" si="117"/>
        <v>#N/A</v>
      </c>
      <c r="AO74" s="61" t="e">
        <f t="shared" si="141"/>
        <v>#N/A</v>
      </c>
      <c r="AP74" s="61" t="e">
        <f t="shared" si="142"/>
        <v>#N/A</v>
      </c>
      <c r="AQ74" s="247" t="e">
        <f t="shared" si="95"/>
        <v>#N/A</v>
      </c>
      <c r="AR74" s="247" t="e">
        <f t="shared" si="118"/>
        <v>#N/A</v>
      </c>
      <c r="AS74" s="247" t="e">
        <f t="shared" si="96"/>
        <v>#N/A</v>
      </c>
      <c r="AT74" s="196" t="e">
        <f t="shared" si="119"/>
        <v>#N/A</v>
      </c>
      <c r="AU74" s="196" t="e">
        <f>ROUND((VLOOKUP(A74,INPUT_RANGE,85,FALSE)/AS74)*('Team Info'!$H$25),2)</f>
        <v>#N/A</v>
      </c>
      <c r="AV74" s="8"/>
      <c r="AW74" s="197" t="e">
        <f t="shared" si="143"/>
        <v>#N/A</v>
      </c>
      <c r="AX74" s="197" t="e">
        <f t="shared" si="144"/>
        <v>#N/A</v>
      </c>
      <c r="AY74">
        <f t="shared" si="120"/>
        <v>0.44444444444444442</v>
      </c>
      <c r="AZ74" s="257" t="e">
        <f t="shared" si="145"/>
        <v>#N/A</v>
      </c>
      <c r="BA74" t="e">
        <f t="shared" si="146"/>
        <v>#N/A</v>
      </c>
      <c r="BB74" s="298" t="e">
        <f t="shared" si="121"/>
        <v>#N/A</v>
      </c>
      <c r="BC74" s="298" t="e">
        <f t="shared" si="122"/>
        <v>#N/A</v>
      </c>
      <c r="BD74" s="298" t="e">
        <f t="shared" si="123"/>
        <v>#N/A</v>
      </c>
      <c r="BE74" s="308" t="e">
        <f t="shared" si="59"/>
        <v>#N/A</v>
      </c>
      <c r="BF74" s="298" t="e">
        <f t="shared" si="147"/>
        <v>#N/A</v>
      </c>
      <c r="BG74" s="298" t="e">
        <f t="shared" si="124"/>
        <v>#N/A</v>
      </c>
      <c r="BH74" s="298" t="e">
        <f t="shared" si="125"/>
        <v>#N/A</v>
      </c>
      <c r="BI74" s="298" t="e">
        <f t="shared" si="126"/>
        <v>#N/A</v>
      </c>
      <c r="BJ74" s="297" t="e">
        <f t="shared" si="127"/>
        <v>#N/A</v>
      </c>
      <c r="BK74" s="297" t="e">
        <f t="shared" si="128"/>
        <v>#N/A</v>
      </c>
      <c r="BL74" s="297" t="e">
        <f t="shared" si="129"/>
        <v>#N/A</v>
      </c>
      <c r="BM74" s="297" t="e">
        <f t="shared" si="130"/>
        <v>#N/A</v>
      </c>
    </row>
    <row r="75" spans="1:65" x14ac:dyDescent="0.25">
      <c r="A75" s="30">
        <v>74</v>
      </c>
      <c r="B75" s="30">
        <v>74</v>
      </c>
      <c r="C75" s="58" t="str">
        <f>Roster!$X77</f>
        <v>- -</v>
      </c>
      <c r="D75" s="271" t="e">
        <f t="shared" si="131"/>
        <v>#N/A</v>
      </c>
      <c r="E75" s="245"/>
      <c r="F75" s="271" t="e">
        <f t="shared" si="132"/>
        <v>#N/A</v>
      </c>
      <c r="G75" s="245"/>
      <c r="H75" s="274" t="e">
        <f t="shared" si="133"/>
        <v>#N/A</v>
      </c>
      <c r="I75" s="245"/>
      <c r="J75" s="274" t="e">
        <f t="shared" si="134"/>
        <v>#N/A</v>
      </c>
      <c r="K75" s="62"/>
      <c r="L75" s="63"/>
      <c r="M75" s="194" t="e">
        <f t="shared" si="135"/>
        <v>#N/A</v>
      </c>
      <c r="N75" s="61" t="e">
        <f t="shared" si="97"/>
        <v>#N/A</v>
      </c>
      <c r="O75" s="61" t="e">
        <f t="shared" si="98"/>
        <v>#N/A</v>
      </c>
      <c r="P75" s="61" t="e">
        <f t="shared" si="99"/>
        <v>#N/A</v>
      </c>
      <c r="Q75" s="61" t="e">
        <f t="shared" si="100"/>
        <v>#N/A</v>
      </c>
      <c r="R75" s="61" t="e">
        <f t="shared" si="101"/>
        <v>#N/A</v>
      </c>
      <c r="S75" s="61" t="e">
        <f t="shared" si="102"/>
        <v>#N/A</v>
      </c>
      <c r="T75" s="61" t="e">
        <f t="shared" si="103"/>
        <v>#N/A</v>
      </c>
      <c r="U75" s="61" t="e">
        <f t="shared" si="104"/>
        <v>#N/A</v>
      </c>
      <c r="V75" s="61" t="e">
        <f t="shared" si="136"/>
        <v>#N/A</v>
      </c>
      <c r="X75" s="61" t="e">
        <f t="shared" si="137"/>
        <v>#N/A</v>
      </c>
      <c r="Y75" s="61" t="e">
        <f t="shared" si="138"/>
        <v>#N/A</v>
      </c>
      <c r="Z75" s="61" t="e">
        <f t="shared" si="105"/>
        <v>#N/A</v>
      </c>
      <c r="AA75" s="270" t="e">
        <f t="shared" si="139"/>
        <v>#N/A</v>
      </c>
      <c r="AB75" s="270" t="e">
        <f t="shared" si="140"/>
        <v>#N/A</v>
      </c>
      <c r="AC75" s="61" t="e">
        <f t="shared" si="106"/>
        <v>#N/A</v>
      </c>
      <c r="AD75" s="61" t="e">
        <f t="shared" si="107"/>
        <v>#N/A</v>
      </c>
      <c r="AE75" s="61" t="e">
        <f t="shared" si="108"/>
        <v>#N/A</v>
      </c>
      <c r="AF75" s="61" t="e">
        <f t="shared" si="109"/>
        <v>#N/A</v>
      </c>
      <c r="AG75" s="61" t="e">
        <f t="shared" si="110"/>
        <v>#N/A</v>
      </c>
      <c r="AH75" s="61" t="e">
        <f t="shared" si="111"/>
        <v>#N/A</v>
      </c>
      <c r="AI75" s="61" t="e">
        <f t="shared" si="112"/>
        <v>#N/A</v>
      </c>
      <c r="AJ75" s="61" t="e">
        <f t="shared" si="113"/>
        <v>#N/A</v>
      </c>
      <c r="AK75" s="61" t="e">
        <f t="shared" si="114"/>
        <v>#N/A</v>
      </c>
      <c r="AL75" s="61" t="e">
        <f t="shared" si="115"/>
        <v>#N/A</v>
      </c>
      <c r="AM75" s="61" t="e">
        <f t="shared" si="116"/>
        <v>#N/A</v>
      </c>
      <c r="AN75" s="61" t="e">
        <f t="shared" si="117"/>
        <v>#N/A</v>
      </c>
      <c r="AO75" s="61" t="e">
        <f t="shared" si="141"/>
        <v>#N/A</v>
      </c>
      <c r="AP75" s="61" t="e">
        <f t="shared" si="142"/>
        <v>#N/A</v>
      </c>
      <c r="AQ75" s="247" t="e">
        <f t="shared" si="95"/>
        <v>#N/A</v>
      </c>
      <c r="AR75" s="247" t="e">
        <f t="shared" si="118"/>
        <v>#N/A</v>
      </c>
      <c r="AS75" s="247" t="e">
        <f t="shared" si="96"/>
        <v>#N/A</v>
      </c>
      <c r="AT75" s="196" t="e">
        <f t="shared" si="119"/>
        <v>#N/A</v>
      </c>
      <c r="AU75" s="196" t="e">
        <f>ROUND((VLOOKUP(A75,INPUT_RANGE,85,FALSE)/AS75)*('Team Info'!$H$25),2)</f>
        <v>#N/A</v>
      </c>
      <c r="AV75" s="8"/>
      <c r="AW75" s="197" t="e">
        <f t="shared" si="143"/>
        <v>#N/A</v>
      </c>
      <c r="AX75" s="197" t="e">
        <f t="shared" si="144"/>
        <v>#N/A</v>
      </c>
      <c r="AY75">
        <f t="shared" si="120"/>
        <v>0.44444444444444442</v>
      </c>
      <c r="AZ75" s="257" t="e">
        <f t="shared" si="145"/>
        <v>#N/A</v>
      </c>
      <c r="BA75" t="e">
        <f t="shared" si="146"/>
        <v>#N/A</v>
      </c>
      <c r="BB75" s="298" t="e">
        <f t="shared" si="121"/>
        <v>#N/A</v>
      </c>
      <c r="BC75" s="298" t="e">
        <f t="shared" si="122"/>
        <v>#N/A</v>
      </c>
      <c r="BD75" s="298" t="e">
        <f t="shared" si="123"/>
        <v>#N/A</v>
      </c>
      <c r="BE75" s="308" t="e">
        <f t="shared" si="59"/>
        <v>#N/A</v>
      </c>
      <c r="BF75" s="298" t="e">
        <f t="shared" si="147"/>
        <v>#N/A</v>
      </c>
      <c r="BG75" s="298" t="e">
        <f t="shared" si="124"/>
        <v>#N/A</v>
      </c>
      <c r="BH75" s="298" t="e">
        <f t="shared" si="125"/>
        <v>#N/A</v>
      </c>
      <c r="BI75" s="298" t="e">
        <f t="shared" si="126"/>
        <v>#N/A</v>
      </c>
      <c r="BJ75" s="297" t="e">
        <f t="shared" si="127"/>
        <v>#N/A</v>
      </c>
      <c r="BK75" s="297" t="e">
        <f t="shared" si="128"/>
        <v>#N/A</v>
      </c>
      <c r="BL75" s="297" t="e">
        <f t="shared" si="129"/>
        <v>#N/A</v>
      </c>
      <c r="BM75" s="297" t="e">
        <f t="shared" si="130"/>
        <v>#N/A</v>
      </c>
    </row>
    <row r="76" spans="1:65" x14ac:dyDescent="0.25">
      <c r="A76" s="30">
        <v>75</v>
      </c>
      <c r="B76" s="30">
        <v>75</v>
      </c>
      <c r="C76" s="58" t="str">
        <f>Roster!$X78</f>
        <v>- -</v>
      </c>
      <c r="D76" s="271" t="e">
        <f t="shared" si="131"/>
        <v>#N/A</v>
      </c>
      <c r="E76" s="245"/>
      <c r="F76" s="271" t="e">
        <f t="shared" si="132"/>
        <v>#N/A</v>
      </c>
      <c r="G76" s="245"/>
      <c r="H76" s="274" t="e">
        <f t="shared" si="133"/>
        <v>#N/A</v>
      </c>
      <c r="I76" s="245"/>
      <c r="J76" s="274" t="e">
        <f t="shared" si="134"/>
        <v>#N/A</v>
      </c>
      <c r="K76" s="62"/>
      <c r="L76" s="63"/>
      <c r="M76" s="194" t="e">
        <f t="shared" si="135"/>
        <v>#N/A</v>
      </c>
      <c r="N76" s="61" t="e">
        <f t="shared" si="97"/>
        <v>#N/A</v>
      </c>
      <c r="O76" s="61" t="e">
        <f t="shared" si="98"/>
        <v>#N/A</v>
      </c>
      <c r="P76" s="61" t="e">
        <f t="shared" si="99"/>
        <v>#N/A</v>
      </c>
      <c r="Q76" s="61" t="e">
        <f t="shared" si="100"/>
        <v>#N/A</v>
      </c>
      <c r="R76" s="61" t="e">
        <f t="shared" si="101"/>
        <v>#N/A</v>
      </c>
      <c r="S76" s="61" t="e">
        <f t="shared" si="102"/>
        <v>#N/A</v>
      </c>
      <c r="T76" s="61" t="e">
        <f t="shared" si="103"/>
        <v>#N/A</v>
      </c>
      <c r="U76" s="61" t="e">
        <f t="shared" si="104"/>
        <v>#N/A</v>
      </c>
      <c r="V76" s="61" t="e">
        <f t="shared" si="136"/>
        <v>#N/A</v>
      </c>
      <c r="X76" s="61" t="e">
        <f t="shared" si="137"/>
        <v>#N/A</v>
      </c>
      <c r="Y76" s="61" t="e">
        <f t="shared" si="138"/>
        <v>#N/A</v>
      </c>
      <c r="Z76" s="61" t="e">
        <f t="shared" si="105"/>
        <v>#N/A</v>
      </c>
      <c r="AA76" s="270" t="e">
        <f t="shared" si="139"/>
        <v>#N/A</v>
      </c>
      <c r="AB76" s="270" t="e">
        <f t="shared" si="140"/>
        <v>#N/A</v>
      </c>
      <c r="AC76" s="61" t="e">
        <f t="shared" si="106"/>
        <v>#N/A</v>
      </c>
      <c r="AD76" s="61" t="e">
        <f t="shared" si="107"/>
        <v>#N/A</v>
      </c>
      <c r="AE76" s="61" t="e">
        <f t="shared" si="108"/>
        <v>#N/A</v>
      </c>
      <c r="AF76" s="61" t="e">
        <f t="shared" si="109"/>
        <v>#N/A</v>
      </c>
      <c r="AG76" s="61" t="e">
        <f t="shared" si="110"/>
        <v>#N/A</v>
      </c>
      <c r="AH76" s="61" t="e">
        <f t="shared" si="111"/>
        <v>#N/A</v>
      </c>
      <c r="AI76" s="61" t="e">
        <f t="shared" si="112"/>
        <v>#N/A</v>
      </c>
      <c r="AJ76" s="61" t="e">
        <f t="shared" si="113"/>
        <v>#N/A</v>
      </c>
      <c r="AK76" s="61" t="e">
        <f t="shared" si="114"/>
        <v>#N/A</v>
      </c>
      <c r="AL76" s="61" t="e">
        <f t="shared" si="115"/>
        <v>#N/A</v>
      </c>
      <c r="AM76" s="61" t="e">
        <f t="shared" si="116"/>
        <v>#N/A</v>
      </c>
      <c r="AN76" s="61" t="e">
        <f t="shared" si="117"/>
        <v>#N/A</v>
      </c>
      <c r="AO76" s="61" t="e">
        <f t="shared" si="141"/>
        <v>#N/A</v>
      </c>
      <c r="AP76" s="61" t="e">
        <f t="shared" si="142"/>
        <v>#N/A</v>
      </c>
      <c r="AQ76" s="247" t="e">
        <f t="shared" si="95"/>
        <v>#N/A</v>
      </c>
      <c r="AR76" s="247" t="e">
        <f t="shared" si="118"/>
        <v>#N/A</v>
      </c>
      <c r="AS76" s="247" t="e">
        <f t="shared" si="96"/>
        <v>#N/A</v>
      </c>
      <c r="AT76" s="196" t="e">
        <f t="shared" si="119"/>
        <v>#N/A</v>
      </c>
      <c r="AU76" s="196" t="e">
        <f>ROUND((VLOOKUP(A76,INPUT_RANGE,85,FALSE)/AS76)*('Team Info'!$H$25),2)</f>
        <v>#N/A</v>
      </c>
      <c r="AV76" s="8"/>
      <c r="AW76" s="197" t="e">
        <f t="shared" si="143"/>
        <v>#N/A</v>
      </c>
      <c r="AX76" s="197" t="e">
        <f t="shared" si="144"/>
        <v>#N/A</v>
      </c>
      <c r="AY76">
        <f t="shared" si="120"/>
        <v>0.44444444444444442</v>
      </c>
      <c r="AZ76" s="257" t="e">
        <f t="shared" si="145"/>
        <v>#N/A</v>
      </c>
      <c r="BA76" t="e">
        <f t="shared" si="146"/>
        <v>#N/A</v>
      </c>
      <c r="BB76" s="298" t="e">
        <f t="shared" si="121"/>
        <v>#N/A</v>
      </c>
      <c r="BC76" s="298" t="e">
        <f t="shared" si="122"/>
        <v>#N/A</v>
      </c>
      <c r="BD76" s="298" t="e">
        <f t="shared" si="123"/>
        <v>#N/A</v>
      </c>
      <c r="BE76" s="308" t="e">
        <f t="shared" si="59"/>
        <v>#N/A</v>
      </c>
      <c r="BF76" s="298" t="e">
        <f t="shared" si="147"/>
        <v>#N/A</v>
      </c>
      <c r="BG76" s="298" t="e">
        <f t="shared" si="124"/>
        <v>#N/A</v>
      </c>
      <c r="BH76" s="298" t="e">
        <f t="shared" si="125"/>
        <v>#N/A</v>
      </c>
      <c r="BI76" s="298" t="e">
        <f t="shared" si="126"/>
        <v>#N/A</v>
      </c>
      <c r="BJ76" s="297" t="e">
        <f t="shared" si="127"/>
        <v>#N/A</v>
      </c>
      <c r="BK76" s="297" t="e">
        <f t="shared" si="128"/>
        <v>#N/A</v>
      </c>
      <c r="BL76" s="297" t="e">
        <f t="shared" si="129"/>
        <v>#N/A</v>
      </c>
      <c r="BM76" s="297" t="e">
        <f t="shared" si="130"/>
        <v>#N/A</v>
      </c>
    </row>
    <row r="77" spans="1:65" x14ac:dyDescent="0.25">
      <c r="A77" s="30">
        <v>76</v>
      </c>
      <c r="B77" s="30">
        <v>76</v>
      </c>
      <c r="C77" s="58" t="str">
        <f>Roster!$X79</f>
        <v>- -</v>
      </c>
      <c r="D77" s="271" t="e">
        <f t="shared" si="131"/>
        <v>#N/A</v>
      </c>
      <c r="E77" s="245"/>
      <c r="F77" s="271" t="e">
        <f t="shared" si="132"/>
        <v>#N/A</v>
      </c>
      <c r="G77" s="245"/>
      <c r="H77" s="274" t="e">
        <f t="shared" si="133"/>
        <v>#N/A</v>
      </c>
      <c r="I77" s="245"/>
      <c r="J77" s="274" t="e">
        <f t="shared" si="134"/>
        <v>#N/A</v>
      </c>
      <c r="K77" s="62"/>
      <c r="L77" s="63"/>
      <c r="M77" s="194" t="e">
        <f t="shared" si="135"/>
        <v>#N/A</v>
      </c>
      <c r="N77" s="61" t="e">
        <f t="shared" si="97"/>
        <v>#N/A</v>
      </c>
      <c r="O77" s="61" t="e">
        <f t="shared" si="98"/>
        <v>#N/A</v>
      </c>
      <c r="P77" s="61" t="e">
        <f t="shared" si="99"/>
        <v>#N/A</v>
      </c>
      <c r="Q77" s="61" t="e">
        <f t="shared" si="100"/>
        <v>#N/A</v>
      </c>
      <c r="R77" s="61" t="e">
        <f t="shared" si="101"/>
        <v>#N/A</v>
      </c>
      <c r="S77" s="61" t="e">
        <f t="shared" si="102"/>
        <v>#N/A</v>
      </c>
      <c r="T77" s="61" t="e">
        <f t="shared" si="103"/>
        <v>#N/A</v>
      </c>
      <c r="U77" s="61" t="e">
        <f t="shared" si="104"/>
        <v>#N/A</v>
      </c>
      <c r="V77" s="61" t="e">
        <f t="shared" si="136"/>
        <v>#N/A</v>
      </c>
      <c r="X77" s="61" t="e">
        <f t="shared" si="137"/>
        <v>#N/A</v>
      </c>
      <c r="Y77" s="61" t="e">
        <f t="shared" si="138"/>
        <v>#N/A</v>
      </c>
      <c r="Z77" s="61" t="e">
        <f t="shared" si="105"/>
        <v>#N/A</v>
      </c>
      <c r="AA77" s="270" t="e">
        <f t="shared" si="139"/>
        <v>#N/A</v>
      </c>
      <c r="AB77" s="270" t="e">
        <f t="shared" si="140"/>
        <v>#N/A</v>
      </c>
      <c r="AC77" s="61" t="e">
        <f t="shared" si="106"/>
        <v>#N/A</v>
      </c>
      <c r="AD77" s="61" t="e">
        <f t="shared" si="107"/>
        <v>#N/A</v>
      </c>
      <c r="AE77" s="61" t="e">
        <f t="shared" si="108"/>
        <v>#N/A</v>
      </c>
      <c r="AF77" s="61" t="e">
        <f t="shared" si="109"/>
        <v>#N/A</v>
      </c>
      <c r="AG77" s="61" t="e">
        <f t="shared" si="110"/>
        <v>#N/A</v>
      </c>
      <c r="AH77" s="61" t="e">
        <f t="shared" si="111"/>
        <v>#N/A</v>
      </c>
      <c r="AI77" s="61" t="e">
        <f t="shared" si="112"/>
        <v>#N/A</v>
      </c>
      <c r="AJ77" s="61" t="e">
        <f t="shared" si="113"/>
        <v>#N/A</v>
      </c>
      <c r="AK77" s="61" t="e">
        <f t="shared" si="114"/>
        <v>#N/A</v>
      </c>
      <c r="AL77" s="61" t="e">
        <f t="shared" si="115"/>
        <v>#N/A</v>
      </c>
      <c r="AM77" s="61" t="e">
        <f t="shared" si="116"/>
        <v>#N/A</v>
      </c>
      <c r="AN77" s="61" t="e">
        <f t="shared" si="117"/>
        <v>#N/A</v>
      </c>
      <c r="AO77" s="61" t="e">
        <f t="shared" si="141"/>
        <v>#N/A</v>
      </c>
      <c r="AP77" s="61" t="e">
        <f t="shared" si="142"/>
        <v>#N/A</v>
      </c>
      <c r="AQ77" s="247" t="e">
        <f t="shared" si="95"/>
        <v>#N/A</v>
      </c>
      <c r="AR77" s="247" t="e">
        <f t="shared" si="118"/>
        <v>#N/A</v>
      </c>
      <c r="AS77" s="247" t="e">
        <f t="shared" si="96"/>
        <v>#N/A</v>
      </c>
      <c r="AT77" s="196" t="e">
        <f t="shared" si="119"/>
        <v>#N/A</v>
      </c>
      <c r="AU77" s="196" t="e">
        <f>ROUND((VLOOKUP(A77,INPUT_RANGE,85,FALSE)/AS77)*('Team Info'!$H$25),2)</f>
        <v>#N/A</v>
      </c>
      <c r="AV77" s="8"/>
      <c r="AW77" s="197" t="e">
        <f t="shared" si="143"/>
        <v>#N/A</v>
      </c>
      <c r="AX77" s="197" t="e">
        <f t="shared" si="144"/>
        <v>#N/A</v>
      </c>
      <c r="AY77">
        <f t="shared" si="120"/>
        <v>0.44444444444444442</v>
      </c>
      <c r="AZ77" s="257" t="e">
        <f t="shared" si="145"/>
        <v>#N/A</v>
      </c>
      <c r="BA77" t="e">
        <f t="shared" si="146"/>
        <v>#N/A</v>
      </c>
      <c r="BB77" s="298" t="e">
        <f t="shared" si="121"/>
        <v>#N/A</v>
      </c>
      <c r="BC77" s="298" t="e">
        <f t="shared" si="122"/>
        <v>#N/A</v>
      </c>
      <c r="BD77" s="298" t="e">
        <f t="shared" si="123"/>
        <v>#N/A</v>
      </c>
      <c r="BE77" s="308" t="e">
        <f t="shared" si="59"/>
        <v>#N/A</v>
      </c>
      <c r="BF77" s="298" t="e">
        <f t="shared" si="147"/>
        <v>#N/A</v>
      </c>
      <c r="BG77" s="298" t="e">
        <f t="shared" si="124"/>
        <v>#N/A</v>
      </c>
      <c r="BH77" s="298" t="e">
        <f t="shared" si="125"/>
        <v>#N/A</v>
      </c>
      <c r="BI77" s="298" t="e">
        <f t="shared" si="126"/>
        <v>#N/A</v>
      </c>
      <c r="BJ77" s="297" t="e">
        <f t="shared" si="127"/>
        <v>#N/A</v>
      </c>
      <c r="BK77" s="297" t="e">
        <f t="shared" si="128"/>
        <v>#N/A</v>
      </c>
      <c r="BL77" s="297" t="e">
        <f t="shared" si="129"/>
        <v>#N/A</v>
      </c>
      <c r="BM77" s="297" t="e">
        <f t="shared" si="130"/>
        <v>#N/A</v>
      </c>
    </row>
    <row r="78" spans="1:65" x14ac:dyDescent="0.25">
      <c r="A78" s="30">
        <v>77</v>
      </c>
      <c r="B78" s="30">
        <v>77</v>
      </c>
      <c r="C78" s="58" t="str">
        <f>Roster!$X80</f>
        <v>- -</v>
      </c>
      <c r="D78" s="271" t="e">
        <f t="shared" si="131"/>
        <v>#N/A</v>
      </c>
      <c r="E78" s="245"/>
      <c r="F78" s="271" t="e">
        <f t="shared" si="132"/>
        <v>#N/A</v>
      </c>
      <c r="G78" s="245"/>
      <c r="H78" s="274" t="e">
        <f t="shared" si="133"/>
        <v>#N/A</v>
      </c>
      <c r="I78" s="245"/>
      <c r="J78" s="274" t="e">
        <f t="shared" si="134"/>
        <v>#N/A</v>
      </c>
      <c r="K78" s="62"/>
      <c r="L78" s="63"/>
      <c r="M78" s="194" t="e">
        <f t="shared" si="135"/>
        <v>#N/A</v>
      </c>
      <c r="N78" s="61" t="e">
        <f t="shared" si="97"/>
        <v>#N/A</v>
      </c>
      <c r="O78" s="61" t="e">
        <f t="shared" si="98"/>
        <v>#N/A</v>
      </c>
      <c r="P78" s="61" t="e">
        <f t="shared" si="99"/>
        <v>#N/A</v>
      </c>
      <c r="Q78" s="61" t="e">
        <f t="shared" si="100"/>
        <v>#N/A</v>
      </c>
      <c r="R78" s="61" t="e">
        <f t="shared" si="101"/>
        <v>#N/A</v>
      </c>
      <c r="S78" s="61" t="e">
        <f t="shared" si="102"/>
        <v>#N/A</v>
      </c>
      <c r="T78" s="61" t="e">
        <f t="shared" si="103"/>
        <v>#N/A</v>
      </c>
      <c r="U78" s="61" t="e">
        <f t="shared" si="104"/>
        <v>#N/A</v>
      </c>
      <c r="V78" s="61" t="e">
        <f t="shared" si="136"/>
        <v>#N/A</v>
      </c>
      <c r="X78" s="61" t="e">
        <f t="shared" si="137"/>
        <v>#N/A</v>
      </c>
      <c r="Y78" s="61" t="e">
        <f t="shared" si="138"/>
        <v>#N/A</v>
      </c>
      <c r="Z78" s="61" t="e">
        <f t="shared" si="105"/>
        <v>#N/A</v>
      </c>
      <c r="AA78" s="270" t="e">
        <f t="shared" si="139"/>
        <v>#N/A</v>
      </c>
      <c r="AB78" s="270" t="e">
        <f t="shared" si="140"/>
        <v>#N/A</v>
      </c>
      <c r="AC78" s="61" t="e">
        <f t="shared" si="106"/>
        <v>#N/A</v>
      </c>
      <c r="AD78" s="61" t="e">
        <f t="shared" si="107"/>
        <v>#N/A</v>
      </c>
      <c r="AE78" s="61" t="e">
        <f t="shared" si="108"/>
        <v>#N/A</v>
      </c>
      <c r="AF78" s="61" t="e">
        <f t="shared" si="109"/>
        <v>#N/A</v>
      </c>
      <c r="AG78" s="61" t="e">
        <f t="shared" si="110"/>
        <v>#N/A</v>
      </c>
      <c r="AH78" s="61" t="e">
        <f t="shared" si="111"/>
        <v>#N/A</v>
      </c>
      <c r="AI78" s="61" t="e">
        <f t="shared" si="112"/>
        <v>#N/A</v>
      </c>
      <c r="AJ78" s="61" t="e">
        <f t="shared" si="113"/>
        <v>#N/A</v>
      </c>
      <c r="AK78" s="61" t="e">
        <f t="shared" si="114"/>
        <v>#N/A</v>
      </c>
      <c r="AL78" s="61" t="e">
        <f t="shared" si="115"/>
        <v>#N/A</v>
      </c>
      <c r="AM78" s="61" t="e">
        <f t="shared" si="116"/>
        <v>#N/A</v>
      </c>
      <c r="AN78" s="61" t="e">
        <f t="shared" si="117"/>
        <v>#N/A</v>
      </c>
      <c r="AO78" s="61" t="e">
        <f t="shared" si="141"/>
        <v>#N/A</v>
      </c>
      <c r="AP78" s="61" t="e">
        <f t="shared" si="142"/>
        <v>#N/A</v>
      </c>
      <c r="AQ78" s="247" t="e">
        <f t="shared" si="95"/>
        <v>#N/A</v>
      </c>
      <c r="AR78" s="247" t="e">
        <f t="shared" si="118"/>
        <v>#N/A</v>
      </c>
      <c r="AS78" s="247" t="e">
        <f t="shared" si="96"/>
        <v>#N/A</v>
      </c>
      <c r="AT78" s="196" t="e">
        <f t="shared" si="119"/>
        <v>#N/A</v>
      </c>
      <c r="AU78" s="196" t="e">
        <f>ROUND((VLOOKUP(A78,INPUT_RANGE,85,FALSE)/AS78)*('Team Info'!$H$25),2)</f>
        <v>#N/A</v>
      </c>
      <c r="AV78" s="8"/>
      <c r="AW78" s="197" t="e">
        <f t="shared" si="143"/>
        <v>#N/A</v>
      </c>
      <c r="AX78" s="197" t="e">
        <f t="shared" si="144"/>
        <v>#N/A</v>
      </c>
      <c r="AY78">
        <f t="shared" si="120"/>
        <v>0.44444444444444442</v>
      </c>
      <c r="AZ78" s="257" t="e">
        <f t="shared" si="145"/>
        <v>#N/A</v>
      </c>
      <c r="BA78" t="e">
        <f t="shared" si="146"/>
        <v>#N/A</v>
      </c>
      <c r="BB78" s="298" t="e">
        <f t="shared" si="121"/>
        <v>#N/A</v>
      </c>
      <c r="BC78" s="298" t="e">
        <f t="shared" si="122"/>
        <v>#N/A</v>
      </c>
      <c r="BD78" s="298" t="e">
        <f t="shared" si="123"/>
        <v>#N/A</v>
      </c>
      <c r="BE78" s="308" t="e">
        <f t="shared" si="59"/>
        <v>#N/A</v>
      </c>
      <c r="BF78" s="298" t="e">
        <f t="shared" si="147"/>
        <v>#N/A</v>
      </c>
      <c r="BG78" s="298" t="e">
        <f t="shared" si="124"/>
        <v>#N/A</v>
      </c>
      <c r="BH78" s="298" t="e">
        <f t="shared" si="125"/>
        <v>#N/A</v>
      </c>
      <c r="BI78" s="298" t="e">
        <f t="shared" si="126"/>
        <v>#N/A</v>
      </c>
      <c r="BJ78" s="297" t="e">
        <f t="shared" si="127"/>
        <v>#N/A</v>
      </c>
      <c r="BK78" s="297" t="e">
        <f t="shared" si="128"/>
        <v>#N/A</v>
      </c>
      <c r="BL78" s="297" t="e">
        <f t="shared" si="129"/>
        <v>#N/A</v>
      </c>
      <c r="BM78" s="297" t="e">
        <f t="shared" si="130"/>
        <v>#N/A</v>
      </c>
    </row>
    <row r="79" spans="1:65" x14ac:dyDescent="0.25">
      <c r="A79" s="30">
        <v>78</v>
      </c>
      <c r="B79" s="30">
        <v>78</v>
      </c>
      <c r="C79" s="58" t="str">
        <f>Roster!$X81</f>
        <v>- -</v>
      </c>
      <c r="D79" s="271" t="e">
        <f t="shared" si="131"/>
        <v>#N/A</v>
      </c>
      <c r="E79" s="245"/>
      <c r="F79" s="271" t="e">
        <f t="shared" si="132"/>
        <v>#N/A</v>
      </c>
      <c r="G79" s="245"/>
      <c r="H79" s="274" t="e">
        <f t="shared" si="133"/>
        <v>#N/A</v>
      </c>
      <c r="I79" s="245"/>
      <c r="J79" s="274" t="e">
        <f t="shared" si="134"/>
        <v>#N/A</v>
      </c>
      <c r="K79" s="62"/>
      <c r="L79" s="63"/>
      <c r="M79" s="194" t="e">
        <f t="shared" si="135"/>
        <v>#N/A</v>
      </c>
      <c r="N79" s="61" t="e">
        <f t="shared" si="97"/>
        <v>#N/A</v>
      </c>
      <c r="O79" s="61" t="e">
        <f t="shared" si="98"/>
        <v>#N/A</v>
      </c>
      <c r="P79" s="61" t="e">
        <f t="shared" si="99"/>
        <v>#N/A</v>
      </c>
      <c r="Q79" s="61" t="e">
        <f t="shared" si="100"/>
        <v>#N/A</v>
      </c>
      <c r="R79" s="61" t="e">
        <f t="shared" si="101"/>
        <v>#N/A</v>
      </c>
      <c r="S79" s="61" t="e">
        <f t="shared" si="102"/>
        <v>#N/A</v>
      </c>
      <c r="T79" s="61" t="e">
        <f t="shared" si="103"/>
        <v>#N/A</v>
      </c>
      <c r="U79" s="61" t="e">
        <f t="shared" si="104"/>
        <v>#N/A</v>
      </c>
      <c r="V79" s="61" t="e">
        <f t="shared" si="136"/>
        <v>#N/A</v>
      </c>
      <c r="X79" s="61" t="e">
        <f t="shared" si="137"/>
        <v>#N/A</v>
      </c>
      <c r="Y79" s="61" t="e">
        <f t="shared" si="138"/>
        <v>#N/A</v>
      </c>
      <c r="Z79" s="61" t="e">
        <f t="shared" si="105"/>
        <v>#N/A</v>
      </c>
      <c r="AA79" s="270" t="e">
        <f t="shared" si="139"/>
        <v>#N/A</v>
      </c>
      <c r="AB79" s="270" t="e">
        <f t="shared" si="140"/>
        <v>#N/A</v>
      </c>
      <c r="AC79" s="61" t="e">
        <f t="shared" si="106"/>
        <v>#N/A</v>
      </c>
      <c r="AD79" s="61" t="e">
        <f t="shared" si="107"/>
        <v>#N/A</v>
      </c>
      <c r="AE79" s="61" t="e">
        <f t="shared" si="108"/>
        <v>#N/A</v>
      </c>
      <c r="AF79" s="61" t="e">
        <f t="shared" si="109"/>
        <v>#N/A</v>
      </c>
      <c r="AG79" s="61" t="e">
        <f t="shared" si="110"/>
        <v>#N/A</v>
      </c>
      <c r="AH79" s="61" t="e">
        <f t="shared" si="111"/>
        <v>#N/A</v>
      </c>
      <c r="AI79" s="61" t="e">
        <f t="shared" si="112"/>
        <v>#N/A</v>
      </c>
      <c r="AJ79" s="61" t="e">
        <f t="shared" si="113"/>
        <v>#N/A</v>
      </c>
      <c r="AK79" s="61" t="e">
        <f t="shared" si="114"/>
        <v>#N/A</v>
      </c>
      <c r="AL79" s="61" t="e">
        <f t="shared" si="115"/>
        <v>#N/A</v>
      </c>
      <c r="AM79" s="61" t="e">
        <f t="shared" si="116"/>
        <v>#N/A</v>
      </c>
      <c r="AN79" s="61" t="e">
        <f t="shared" si="117"/>
        <v>#N/A</v>
      </c>
      <c r="AO79" s="61" t="e">
        <f t="shared" si="141"/>
        <v>#N/A</v>
      </c>
      <c r="AP79" s="61" t="e">
        <f t="shared" si="142"/>
        <v>#N/A</v>
      </c>
      <c r="AQ79" s="247" t="e">
        <f t="shared" si="95"/>
        <v>#N/A</v>
      </c>
      <c r="AR79" s="247" t="e">
        <f t="shared" si="118"/>
        <v>#N/A</v>
      </c>
      <c r="AS79" s="247" t="e">
        <f t="shared" si="96"/>
        <v>#N/A</v>
      </c>
      <c r="AT79" s="196" t="e">
        <f t="shared" si="119"/>
        <v>#N/A</v>
      </c>
      <c r="AU79" s="196" t="e">
        <f>ROUND((VLOOKUP(A79,INPUT_RANGE,85,FALSE)/AS79)*('Team Info'!$H$25),2)</f>
        <v>#N/A</v>
      </c>
      <c r="AV79" s="8"/>
      <c r="AW79" s="197" t="e">
        <f t="shared" si="143"/>
        <v>#N/A</v>
      </c>
      <c r="AX79" s="197" t="e">
        <f t="shared" si="144"/>
        <v>#N/A</v>
      </c>
      <c r="AY79">
        <f t="shared" si="120"/>
        <v>0.44444444444444442</v>
      </c>
      <c r="AZ79" s="257" t="e">
        <f t="shared" si="145"/>
        <v>#N/A</v>
      </c>
      <c r="BA79" t="e">
        <f t="shared" si="146"/>
        <v>#N/A</v>
      </c>
      <c r="BB79" s="298" t="e">
        <f t="shared" si="121"/>
        <v>#N/A</v>
      </c>
      <c r="BC79" s="298" t="e">
        <f t="shared" si="122"/>
        <v>#N/A</v>
      </c>
      <c r="BD79" s="298" t="e">
        <f t="shared" si="123"/>
        <v>#N/A</v>
      </c>
      <c r="BE79" s="308" t="e">
        <f t="shared" si="59"/>
        <v>#N/A</v>
      </c>
      <c r="BF79" s="298" t="e">
        <f t="shared" si="147"/>
        <v>#N/A</v>
      </c>
      <c r="BG79" s="298" t="e">
        <f t="shared" si="124"/>
        <v>#N/A</v>
      </c>
      <c r="BH79" s="298" t="e">
        <f t="shared" si="125"/>
        <v>#N/A</v>
      </c>
      <c r="BI79" s="298" t="e">
        <f t="shared" si="126"/>
        <v>#N/A</v>
      </c>
      <c r="BJ79" s="297" t="e">
        <f t="shared" si="127"/>
        <v>#N/A</v>
      </c>
      <c r="BK79" s="297" t="e">
        <f t="shared" si="128"/>
        <v>#N/A</v>
      </c>
      <c r="BL79" s="297" t="e">
        <f t="shared" si="129"/>
        <v>#N/A</v>
      </c>
      <c r="BM79" s="297" t="e">
        <f t="shared" si="130"/>
        <v>#N/A</v>
      </c>
    </row>
    <row r="80" spans="1:65" x14ac:dyDescent="0.25">
      <c r="A80" s="30">
        <v>79</v>
      </c>
      <c r="B80" s="30">
        <v>79</v>
      </c>
      <c r="C80" s="58" t="str">
        <f>Roster!$X82</f>
        <v>- -</v>
      </c>
      <c r="D80" s="271" t="e">
        <f t="shared" si="131"/>
        <v>#N/A</v>
      </c>
      <c r="E80" s="245"/>
      <c r="F80" s="271" t="e">
        <f t="shared" si="132"/>
        <v>#N/A</v>
      </c>
      <c r="G80" s="245"/>
      <c r="H80" s="274" t="e">
        <f t="shared" si="133"/>
        <v>#N/A</v>
      </c>
      <c r="I80" s="245"/>
      <c r="J80" s="274" t="e">
        <f t="shared" si="134"/>
        <v>#N/A</v>
      </c>
      <c r="K80" s="62"/>
      <c r="L80" s="63"/>
      <c r="M80" s="194" t="e">
        <f t="shared" si="135"/>
        <v>#N/A</v>
      </c>
      <c r="N80" s="61" t="e">
        <f t="shared" si="97"/>
        <v>#N/A</v>
      </c>
      <c r="O80" s="61" t="e">
        <f t="shared" si="98"/>
        <v>#N/A</v>
      </c>
      <c r="P80" s="61" t="e">
        <f t="shared" si="99"/>
        <v>#N/A</v>
      </c>
      <c r="Q80" s="61" t="e">
        <f t="shared" si="100"/>
        <v>#N/A</v>
      </c>
      <c r="R80" s="61" t="e">
        <f t="shared" si="101"/>
        <v>#N/A</v>
      </c>
      <c r="S80" s="61" t="e">
        <f t="shared" si="102"/>
        <v>#N/A</v>
      </c>
      <c r="T80" s="61" t="e">
        <f t="shared" si="103"/>
        <v>#N/A</v>
      </c>
      <c r="U80" s="61" t="e">
        <f t="shared" si="104"/>
        <v>#N/A</v>
      </c>
      <c r="V80" s="61" t="e">
        <f t="shared" si="136"/>
        <v>#N/A</v>
      </c>
      <c r="X80" s="61" t="e">
        <f t="shared" si="137"/>
        <v>#N/A</v>
      </c>
      <c r="Y80" s="61" t="e">
        <f t="shared" si="138"/>
        <v>#N/A</v>
      </c>
      <c r="Z80" s="61" t="e">
        <f t="shared" si="105"/>
        <v>#N/A</v>
      </c>
      <c r="AA80" s="270" t="e">
        <f t="shared" si="139"/>
        <v>#N/A</v>
      </c>
      <c r="AB80" s="270" t="e">
        <f t="shared" si="140"/>
        <v>#N/A</v>
      </c>
      <c r="AC80" s="61" t="e">
        <f t="shared" si="106"/>
        <v>#N/A</v>
      </c>
      <c r="AD80" s="61" t="e">
        <f t="shared" si="107"/>
        <v>#N/A</v>
      </c>
      <c r="AE80" s="61" t="e">
        <f t="shared" si="108"/>
        <v>#N/A</v>
      </c>
      <c r="AF80" s="61" t="e">
        <f t="shared" si="109"/>
        <v>#N/A</v>
      </c>
      <c r="AG80" s="61" t="e">
        <f t="shared" si="110"/>
        <v>#N/A</v>
      </c>
      <c r="AH80" s="61" t="e">
        <f t="shared" si="111"/>
        <v>#N/A</v>
      </c>
      <c r="AI80" s="61" t="e">
        <f t="shared" si="112"/>
        <v>#N/A</v>
      </c>
      <c r="AJ80" s="61" t="e">
        <f t="shared" si="113"/>
        <v>#N/A</v>
      </c>
      <c r="AK80" s="61" t="e">
        <f t="shared" si="114"/>
        <v>#N/A</v>
      </c>
      <c r="AL80" s="61" t="e">
        <f t="shared" si="115"/>
        <v>#N/A</v>
      </c>
      <c r="AM80" s="61" t="e">
        <f t="shared" si="116"/>
        <v>#N/A</v>
      </c>
      <c r="AN80" s="61" t="e">
        <f t="shared" si="117"/>
        <v>#N/A</v>
      </c>
      <c r="AO80" s="61" t="e">
        <f t="shared" si="141"/>
        <v>#N/A</v>
      </c>
      <c r="AP80" s="61" t="e">
        <f t="shared" si="142"/>
        <v>#N/A</v>
      </c>
      <c r="AQ80" s="247" t="e">
        <f t="shared" si="95"/>
        <v>#N/A</v>
      </c>
      <c r="AR80" s="247" t="e">
        <f t="shared" si="118"/>
        <v>#N/A</v>
      </c>
      <c r="AS80" s="247" t="e">
        <f t="shared" si="96"/>
        <v>#N/A</v>
      </c>
      <c r="AT80" s="196" t="e">
        <f t="shared" si="119"/>
        <v>#N/A</v>
      </c>
      <c r="AU80" s="196" t="e">
        <f>ROUND((VLOOKUP(A80,INPUT_RANGE,85,FALSE)/AS80)*('Team Info'!$H$25),2)</f>
        <v>#N/A</v>
      </c>
      <c r="AV80" s="8"/>
      <c r="AW80" s="197" t="e">
        <f t="shared" si="143"/>
        <v>#N/A</v>
      </c>
      <c r="AX80" s="197" t="e">
        <f t="shared" si="144"/>
        <v>#N/A</v>
      </c>
      <c r="AY80">
        <f t="shared" si="120"/>
        <v>0.44444444444444442</v>
      </c>
      <c r="AZ80" s="257" t="e">
        <f t="shared" si="145"/>
        <v>#N/A</v>
      </c>
      <c r="BA80" t="e">
        <f t="shared" si="146"/>
        <v>#N/A</v>
      </c>
      <c r="BB80" s="298" t="e">
        <f t="shared" si="121"/>
        <v>#N/A</v>
      </c>
      <c r="BC80" s="298" t="e">
        <f t="shared" si="122"/>
        <v>#N/A</v>
      </c>
      <c r="BD80" s="298" t="e">
        <f t="shared" si="123"/>
        <v>#N/A</v>
      </c>
      <c r="BE80" s="308" t="e">
        <f t="shared" si="59"/>
        <v>#N/A</v>
      </c>
      <c r="BF80" s="298" t="e">
        <f t="shared" si="147"/>
        <v>#N/A</v>
      </c>
      <c r="BG80" s="298" t="e">
        <f t="shared" si="124"/>
        <v>#N/A</v>
      </c>
      <c r="BH80" s="298" t="e">
        <f t="shared" si="125"/>
        <v>#N/A</v>
      </c>
      <c r="BI80" s="298" t="e">
        <f t="shared" si="126"/>
        <v>#N/A</v>
      </c>
      <c r="BJ80" s="297" t="e">
        <f t="shared" si="127"/>
        <v>#N/A</v>
      </c>
      <c r="BK80" s="297" t="e">
        <f t="shared" si="128"/>
        <v>#N/A</v>
      </c>
      <c r="BL80" s="297" t="e">
        <f t="shared" si="129"/>
        <v>#N/A</v>
      </c>
      <c r="BM80" s="297" t="e">
        <f t="shared" si="130"/>
        <v>#N/A</v>
      </c>
    </row>
    <row r="81" spans="1:65" x14ac:dyDescent="0.25">
      <c r="A81" s="30">
        <v>80</v>
      </c>
      <c r="B81" s="30">
        <v>80</v>
      </c>
      <c r="C81" s="58" t="str">
        <f>Roster!$X83</f>
        <v>- -</v>
      </c>
      <c r="D81" s="271" t="e">
        <f t="shared" si="131"/>
        <v>#N/A</v>
      </c>
      <c r="E81" s="245"/>
      <c r="F81" s="271" t="e">
        <f t="shared" si="132"/>
        <v>#N/A</v>
      </c>
      <c r="G81" s="245"/>
      <c r="H81" s="274" t="e">
        <f t="shared" si="133"/>
        <v>#N/A</v>
      </c>
      <c r="I81" s="245"/>
      <c r="J81" s="274" t="e">
        <f t="shared" si="134"/>
        <v>#N/A</v>
      </c>
      <c r="K81" s="62"/>
      <c r="L81" s="63"/>
      <c r="M81" s="194" t="e">
        <f t="shared" si="135"/>
        <v>#N/A</v>
      </c>
      <c r="N81" s="61" t="e">
        <f t="shared" si="97"/>
        <v>#N/A</v>
      </c>
      <c r="O81" s="61" t="e">
        <f t="shared" si="98"/>
        <v>#N/A</v>
      </c>
      <c r="P81" s="61" t="e">
        <f t="shared" si="99"/>
        <v>#N/A</v>
      </c>
      <c r="Q81" s="61" t="e">
        <f t="shared" si="100"/>
        <v>#N/A</v>
      </c>
      <c r="R81" s="61" t="e">
        <f t="shared" si="101"/>
        <v>#N/A</v>
      </c>
      <c r="S81" s="61" t="e">
        <f t="shared" si="102"/>
        <v>#N/A</v>
      </c>
      <c r="T81" s="61" t="e">
        <f t="shared" si="103"/>
        <v>#N/A</v>
      </c>
      <c r="U81" s="61" t="e">
        <f t="shared" si="104"/>
        <v>#N/A</v>
      </c>
      <c r="V81" s="61" t="e">
        <f t="shared" si="136"/>
        <v>#N/A</v>
      </c>
      <c r="X81" s="61" t="e">
        <f t="shared" si="137"/>
        <v>#N/A</v>
      </c>
      <c r="Y81" s="61" t="e">
        <f t="shared" si="138"/>
        <v>#N/A</v>
      </c>
      <c r="Z81" s="61" t="e">
        <f t="shared" si="105"/>
        <v>#N/A</v>
      </c>
      <c r="AA81" s="270" t="e">
        <f t="shared" si="139"/>
        <v>#N/A</v>
      </c>
      <c r="AB81" s="270" t="e">
        <f t="shared" si="140"/>
        <v>#N/A</v>
      </c>
      <c r="AC81" s="61" t="e">
        <f t="shared" si="106"/>
        <v>#N/A</v>
      </c>
      <c r="AD81" s="61" t="e">
        <f t="shared" si="107"/>
        <v>#N/A</v>
      </c>
      <c r="AE81" s="61" t="e">
        <f t="shared" si="108"/>
        <v>#N/A</v>
      </c>
      <c r="AF81" s="61" t="e">
        <f t="shared" si="109"/>
        <v>#N/A</v>
      </c>
      <c r="AG81" s="61" t="e">
        <f t="shared" si="110"/>
        <v>#N/A</v>
      </c>
      <c r="AH81" s="61" t="e">
        <f t="shared" si="111"/>
        <v>#N/A</v>
      </c>
      <c r="AI81" s="61" t="e">
        <f t="shared" si="112"/>
        <v>#N/A</v>
      </c>
      <c r="AJ81" s="61" t="e">
        <f t="shared" si="113"/>
        <v>#N/A</v>
      </c>
      <c r="AK81" s="61" t="e">
        <f t="shared" si="114"/>
        <v>#N/A</v>
      </c>
      <c r="AL81" s="61" t="e">
        <f t="shared" si="115"/>
        <v>#N/A</v>
      </c>
      <c r="AM81" s="61" t="e">
        <f t="shared" si="116"/>
        <v>#N/A</v>
      </c>
      <c r="AN81" s="61" t="e">
        <f t="shared" si="117"/>
        <v>#N/A</v>
      </c>
      <c r="AO81" s="61" t="e">
        <f t="shared" si="141"/>
        <v>#N/A</v>
      </c>
      <c r="AP81" s="61" t="e">
        <f t="shared" si="142"/>
        <v>#N/A</v>
      </c>
      <c r="AQ81" s="247" t="e">
        <f t="shared" si="95"/>
        <v>#N/A</v>
      </c>
      <c r="AR81" s="247" t="e">
        <f t="shared" si="118"/>
        <v>#N/A</v>
      </c>
      <c r="AS81" s="247" t="e">
        <f t="shared" si="96"/>
        <v>#N/A</v>
      </c>
      <c r="AT81" s="196" t="e">
        <f t="shared" si="119"/>
        <v>#N/A</v>
      </c>
      <c r="AU81" s="196" t="e">
        <f>ROUND((VLOOKUP(A81,INPUT_RANGE,85,FALSE)/AS81)*('Team Info'!$H$25),2)</f>
        <v>#N/A</v>
      </c>
      <c r="AV81" s="8"/>
      <c r="AW81" s="197" t="e">
        <f t="shared" si="143"/>
        <v>#N/A</v>
      </c>
      <c r="AX81" s="197" t="e">
        <f t="shared" si="144"/>
        <v>#N/A</v>
      </c>
      <c r="AY81">
        <f t="shared" si="120"/>
        <v>0.44444444444444442</v>
      </c>
      <c r="AZ81" s="257" t="e">
        <f t="shared" si="145"/>
        <v>#N/A</v>
      </c>
      <c r="BA81" t="e">
        <f t="shared" si="146"/>
        <v>#N/A</v>
      </c>
      <c r="BB81" s="298" t="e">
        <f t="shared" si="121"/>
        <v>#N/A</v>
      </c>
      <c r="BC81" s="298" t="e">
        <f t="shared" si="122"/>
        <v>#N/A</v>
      </c>
      <c r="BD81" s="298" t="e">
        <f t="shared" si="123"/>
        <v>#N/A</v>
      </c>
      <c r="BE81" s="308" t="e">
        <f t="shared" si="59"/>
        <v>#N/A</v>
      </c>
      <c r="BF81" s="298" t="e">
        <f t="shared" si="147"/>
        <v>#N/A</v>
      </c>
      <c r="BG81" s="298" t="e">
        <f t="shared" si="124"/>
        <v>#N/A</v>
      </c>
      <c r="BH81" s="298" t="e">
        <f t="shared" si="125"/>
        <v>#N/A</v>
      </c>
      <c r="BI81" s="298" t="e">
        <f t="shared" si="126"/>
        <v>#N/A</v>
      </c>
      <c r="BJ81" s="297" t="e">
        <f t="shared" si="127"/>
        <v>#N/A</v>
      </c>
      <c r="BK81" s="297" t="e">
        <f t="shared" si="128"/>
        <v>#N/A</v>
      </c>
      <c r="BL81" s="297" t="e">
        <f t="shared" si="129"/>
        <v>#N/A</v>
      </c>
      <c r="BM81" s="297" t="e">
        <f t="shared" si="130"/>
        <v>#N/A</v>
      </c>
    </row>
    <row r="82" spans="1:65" x14ac:dyDescent="0.25">
      <c r="A82" s="30">
        <v>81</v>
      </c>
      <c r="B82" s="30">
        <v>81</v>
      </c>
      <c r="C82" s="58" t="str">
        <f>Roster!$X84</f>
        <v>- -</v>
      </c>
      <c r="D82" s="271" t="e">
        <f t="shared" si="131"/>
        <v>#N/A</v>
      </c>
      <c r="E82" s="245"/>
      <c r="F82" s="271" t="e">
        <f t="shared" si="132"/>
        <v>#N/A</v>
      </c>
      <c r="G82" s="245"/>
      <c r="H82" s="274" t="e">
        <f t="shared" si="133"/>
        <v>#N/A</v>
      </c>
      <c r="I82" s="245"/>
      <c r="J82" s="274" t="e">
        <f t="shared" si="134"/>
        <v>#N/A</v>
      </c>
      <c r="K82" s="62"/>
      <c r="L82" s="63"/>
      <c r="M82" s="194" t="e">
        <f t="shared" si="135"/>
        <v>#N/A</v>
      </c>
      <c r="N82" s="61" t="e">
        <f t="shared" si="97"/>
        <v>#N/A</v>
      </c>
      <c r="O82" s="61" t="e">
        <f t="shared" si="98"/>
        <v>#N/A</v>
      </c>
      <c r="P82" s="61" t="e">
        <f t="shared" si="99"/>
        <v>#N/A</v>
      </c>
      <c r="Q82" s="61" t="e">
        <f t="shared" si="100"/>
        <v>#N/A</v>
      </c>
      <c r="R82" s="61" t="e">
        <f t="shared" si="101"/>
        <v>#N/A</v>
      </c>
      <c r="S82" s="61" t="e">
        <f t="shared" si="102"/>
        <v>#N/A</v>
      </c>
      <c r="T82" s="61" t="e">
        <f t="shared" si="103"/>
        <v>#N/A</v>
      </c>
      <c r="U82" s="61" t="e">
        <f t="shared" si="104"/>
        <v>#N/A</v>
      </c>
      <c r="V82" s="61" t="e">
        <f t="shared" si="136"/>
        <v>#N/A</v>
      </c>
      <c r="X82" s="61" t="e">
        <f t="shared" si="137"/>
        <v>#N/A</v>
      </c>
      <c r="Y82" s="61" t="e">
        <f t="shared" si="138"/>
        <v>#N/A</v>
      </c>
      <c r="Z82" s="61" t="e">
        <f t="shared" si="105"/>
        <v>#N/A</v>
      </c>
      <c r="AA82" s="270" t="e">
        <f t="shared" si="139"/>
        <v>#N/A</v>
      </c>
      <c r="AB82" s="270" t="e">
        <f t="shared" si="140"/>
        <v>#N/A</v>
      </c>
      <c r="AC82" s="61" t="e">
        <f t="shared" si="106"/>
        <v>#N/A</v>
      </c>
      <c r="AD82" s="61" t="e">
        <f t="shared" si="107"/>
        <v>#N/A</v>
      </c>
      <c r="AE82" s="61" t="e">
        <f t="shared" si="108"/>
        <v>#N/A</v>
      </c>
      <c r="AF82" s="61" t="e">
        <f t="shared" si="109"/>
        <v>#N/A</v>
      </c>
      <c r="AG82" s="61" t="e">
        <f t="shared" si="110"/>
        <v>#N/A</v>
      </c>
      <c r="AH82" s="61" t="e">
        <f t="shared" si="111"/>
        <v>#N/A</v>
      </c>
      <c r="AI82" s="61" t="e">
        <f t="shared" si="112"/>
        <v>#N/A</v>
      </c>
      <c r="AJ82" s="61" t="e">
        <f t="shared" si="113"/>
        <v>#N/A</v>
      </c>
      <c r="AK82" s="61" t="e">
        <f t="shared" si="114"/>
        <v>#N/A</v>
      </c>
      <c r="AL82" s="61" t="e">
        <f t="shared" si="115"/>
        <v>#N/A</v>
      </c>
      <c r="AM82" s="61" t="e">
        <f t="shared" si="116"/>
        <v>#N/A</v>
      </c>
      <c r="AN82" s="61" t="e">
        <f t="shared" si="117"/>
        <v>#N/A</v>
      </c>
      <c r="AO82" s="61" t="e">
        <f t="shared" si="141"/>
        <v>#N/A</v>
      </c>
      <c r="AP82" s="61" t="e">
        <f t="shared" si="142"/>
        <v>#N/A</v>
      </c>
      <c r="AQ82" s="247" t="e">
        <f t="shared" si="95"/>
        <v>#N/A</v>
      </c>
      <c r="AR82" s="247" t="e">
        <f t="shared" si="118"/>
        <v>#N/A</v>
      </c>
      <c r="AS82" s="247" t="e">
        <f t="shared" si="96"/>
        <v>#N/A</v>
      </c>
      <c r="AT82" s="196" t="e">
        <f t="shared" si="119"/>
        <v>#N/A</v>
      </c>
      <c r="AU82" s="196" t="e">
        <f>ROUND((VLOOKUP(A82,INPUT_RANGE,85,FALSE)/AS82)*('Team Info'!$H$25),2)</f>
        <v>#N/A</v>
      </c>
      <c r="AV82" s="8"/>
      <c r="AW82" s="197" t="e">
        <f t="shared" si="143"/>
        <v>#N/A</v>
      </c>
      <c r="AX82" s="197" t="e">
        <f t="shared" si="144"/>
        <v>#N/A</v>
      </c>
      <c r="AY82">
        <f t="shared" si="120"/>
        <v>0.44444444444444442</v>
      </c>
      <c r="AZ82" s="257" t="e">
        <f t="shared" si="145"/>
        <v>#N/A</v>
      </c>
      <c r="BA82" t="e">
        <f t="shared" si="146"/>
        <v>#N/A</v>
      </c>
      <c r="BB82" s="298" t="e">
        <f t="shared" si="121"/>
        <v>#N/A</v>
      </c>
      <c r="BC82" s="298" t="e">
        <f t="shared" si="122"/>
        <v>#N/A</v>
      </c>
      <c r="BD82" s="298" t="e">
        <f t="shared" si="123"/>
        <v>#N/A</v>
      </c>
      <c r="BE82" s="308" t="e">
        <f t="shared" si="59"/>
        <v>#N/A</v>
      </c>
      <c r="BF82" s="298" t="e">
        <f t="shared" si="147"/>
        <v>#N/A</v>
      </c>
      <c r="BG82" s="298" t="e">
        <f t="shared" si="124"/>
        <v>#N/A</v>
      </c>
      <c r="BH82" s="298" t="e">
        <f t="shared" si="125"/>
        <v>#N/A</v>
      </c>
      <c r="BI82" s="298" t="e">
        <f t="shared" si="126"/>
        <v>#N/A</v>
      </c>
      <c r="BJ82" s="297" t="e">
        <f t="shared" si="127"/>
        <v>#N/A</v>
      </c>
      <c r="BK82" s="297" t="e">
        <f t="shared" si="128"/>
        <v>#N/A</v>
      </c>
      <c r="BL82" s="297" t="e">
        <f t="shared" si="129"/>
        <v>#N/A</v>
      </c>
      <c r="BM82" s="297" t="e">
        <f t="shared" si="130"/>
        <v>#N/A</v>
      </c>
    </row>
    <row r="83" spans="1:65" x14ac:dyDescent="0.25">
      <c r="A83" s="30">
        <v>82</v>
      </c>
      <c r="B83" s="30">
        <v>82</v>
      </c>
      <c r="C83" s="58" t="str">
        <f>Roster!$X85</f>
        <v>- -</v>
      </c>
      <c r="D83" s="271" t="e">
        <f t="shared" si="131"/>
        <v>#N/A</v>
      </c>
      <c r="E83" s="245"/>
      <c r="F83" s="271" t="e">
        <f t="shared" si="132"/>
        <v>#N/A</v>
      </c>
      <c r="G83" s="245"/>
      <c r="H83" s="274" t="e">
        <f t="shared" si="133"/>
        <v>#N/A</v>
      </c>
      <c r="I83" s="245"/>
      <c r="J83" s="274" t="e">
        <f t="shared" si="134"/>
        <v>#N/A</v>
      </c>
      <c r="K83" s="62"/>
      <c r="L83" s="63"/>
      <c r="M83" s="194" t="e">
        <f t="shared" si="135"/>
        <v>#N/A</v>
      </c>
      <c r="N83" s="61" t="e">
        <f t="shared" si="97"/>
        <v>#N/A</v>
      </c>
      <c r="O83" s="61" t="e">
        <f t="shared" si="98"/>
        <v>#N/A</v>
      </c>
      <c r="P83" s="61" t="e">
        <f t="shared" si="99"/>
        <v>#N/A</v>
      </c>
      <c r="Q83" s="61" t="e">
        <f t="shared" si="100"/>
        <v>#N/A</v>
      </c>
      <c r="R83" s="61" t="e">
        <f t="shared" si="101"/>
        <v>#N/A</v>
      </c>
      <c r="S83" s="61" t="e">
        <f t="shared" si="102"/>
        <v>#N/A</v>
      </c>
      <c r="T83" s="61" t="e">
        <f t="shared" si="103"/>
        <v>#N/A</v>
      </c>
      <c r="U83" s="61" t="e">
        <f t="shared" si="104"/>
        <v>#N/A</v>
      </c>
      <c r="V83" s="61" t="e">
        <f t="shared" si="136"/>
        <v>#N/A</v>
      </c>
      <c r="X83" s="61" t="e">
        <f t="shared" si="137"/>
        <v>#N/A</v>
      </c>
      <c r="Y83" s="61" t="e">
        <f t="shared" si="138"/>
        <v>#N/A</v>
      </c>
      <c r="Z83" s="61" t="e">
        <f t="shared" si="105"/>
        <v>#N/A</v>
      </c>
      <c r="AA83" s="270" t="e">
        <f t="shared" si="139"/>
        <v>#N/A</v>
      </c>
      <c r="AB83" s="270" t="e">
        <f t="shared" si="140"/>
        <v>#N/A</v>
      </c>
      <c r="AC83" s="61" t="e">
        <f t="shared" si="106"/>
        <v>#N/A</v>
      </c>
      <c r="AD83" s="61" t="e">
        <f t="shared" si="107"/>
        <v>#N/A</v>
      </c>
      <c r="AE83" s="61" t="e">
        <f t="shared" si="108"/>
        <v>#N/A</v>
      </c>
      <c r="AF83" s="61" t="e">
        <f t="shared" si="109"/>
        <v>#N/A</v>
      </c>
      <c r="AG83" s="61" t="e">
        <f t="shared" si="110"/>
        <v>#N/A</v>
      </c>
      <c r="AH83" s="61" t="e">
        <f t="shared" si="111"/>
        <v>#N/A</v>
      </c>
      <c r="AI83" s="61" t="e">
        <f t="shared" si="112"/>
        <v>#N/A</v>
      </c>
      <c r="AJ83" s="61" t="e">
        <f t="shared" si="113"/>
        <v>#N/A</v>
      </c>
      <c r="AK83" s="61" t="e">
        <f t="shared" si="114"/>
        <v>#N/A</v>
      </c>
      <c r="AL83" s="61" t="e">
        <f t="shared" si="115"/>
        <v>#N/A</v>
      </c>
      <c r="AM83" s="61" t="e">
        <f t="shared" si="116"/>
        <v>#N/A</v>
      </c>
      <c r="AN83" s="61" t="e">
        <f t="shared" si="117"/>
        <v>#N/A</v>
      </c>
      <c r="AO83" s="61" t="e">
        <f t="shared" si="141"/>
        <v>#N/A</v>
      </c>
      <c r="AP83" s="61" t="e">
        <f t="shared" si="142"/>
        <v>#N/A</v>
      </c>
      <c r="AQ83" s="247" t="e">
        <f t="shared" si="95"/>
        <v>#N/A</v>
      </c>
      <c r="AR83" s="247" t="e">
        <f t="shared" si="118"/>
        <v>#N/A</v>
      </c>
      <c r="AS83" s="247" t="e">
        <f t="shared" si="96"/>
        <v>#N/A</v>
      </c>
      <c r="AT83" s="196" t="e">
        <f t="shared" si="119"/>
        <v>#N/A</v>
      </c>
      <c r="AU83" s="196" t="e">
        <f>ROUND((VLOOKUP(A83,INPUT_RANGE,85,FALSE)/AS83)*('Team Info'!$H$25),2)</f>
        <v>#N/A</v>
      </c>
      <c r="AV83" s="8"/>
      <c r="AW83" s="197" t="e">
        <f t="shared" si="143"/>
        <v>#N/A</v>
      </c>
      <c r="AX83" s="197" t="e">
        <f t="shared" si="144"/>
        <v>#N/A</v>
      </c>
      <c r="AY83">
        <f t="shared" si="120"/>
        <v>0.44444444444444442</v>
      </c>
      <c r="AZ83" s="257" t="e">
        <f t="shared" si="145"/>
        <v>#N/A</v>
      </c>
      <c r="BA83" t="e">
        <f t="shared" si="146"/>
        <v>#N/A</v>
      </c>
      <c r="BB83" s="298" t="e">
        <f t="shared" si="121"/>
        <v>#N/A</v>
      </c>
      <c r="BC83" s="298" t="e">
        <f t="shared" si="122"/>
        <v>#N/A</v>
      </c>
      <c r="BD83" s="298" t="e">
        <f t="shared" si="123"/>
        <v>#N/A</v>
      </c>
      <c r="BE83" s="308" t="e">
        <f t="shared" si="59"/>
        <v>#N/A</v>
      </c>
      <c r="BF83" s="298" t="e">
        <f t="shared" si="147"/>
        <v>#N/A</v>
      </c>
      <c r="BG83" s="298" t="e">
        <f t="shared" si="124"/>
        <v>#N/A</v>
      </c>
      <c r="BH83" s="298" t="e">
        <f t="shared" si="125"/>
        <v>#N/A</v>
      </c>
      <c r="BI83" s="298" t="e">
        <f t="shared" si="126"/>
        <v>#N/A</v>
      </c>
      <c r="BJ83" s="297" t="e">
        <f t="shared" si="127"/>
        <v>#N/A</v>
      </c>
      <c r="BK83" s="297" t="e">
        <f t="shared" si="128"/>
        <v>#N/A</v>
      </c>
      <c r="BL83" s="297" t="e">
        <f t="shared" si="129"/>
        <v>#N/A</v>
      </c>
      <c r="BM83" s="297" t="e">
        <f t="shared" si="130"/>
        <v>#N/A</v>
      </c>
    </row>
    <row r="84" spans="1:65" x14ac:dyDescent="0.25">
      <c r="A84" s="30">
        <v>83</v>
      </c>
      <c r="B84" s="30">
        <v>83</v>
      </c>
      <c r="C84" s="58" t="str">
        <f>Roster!$X86</f>
        <v>- -</v>
      </c>
      <c r="D84" s="271" t="e">
        <f t="shared" si="131"/>
        <v>#N/A</v>
      </c>
      <c r="E84" s="245"/>
      <c r="F84" s="271" t="e">
        <f t="shared" si="132"/>
        <v>#N/A</v>
      </c>
      <c r="G84" s="245"/>
      <c r="H84" s="274" t="e">
        <f t="shared" si="133"/>
        <v>#N/A</v>
      </c>
      <c r="I84" s="245"/>
      <c r="J84" s="274" t="e">
        <f t="shared" si="134"/>
        <v>#N/A</v>
      </c>
      <c r="K84" s="62"/>
      <c r="L84" s="63"/>
      <c r="M84" s="194" t="e">
        <f t="shared" si="135"/>
        <v>#N/A</v>
      </c>
      <c r="N84" s="61" t="e">
        <f t="shared" si="97"/>
        <v>#N/A</v>
      </c>
      <c r="O84" s="61" t="e">
        <f t="shared" si="98"/>
        <v>#N/A</v>
      </c>
      <c r="P84" s="61" t="e">
        <f t="shared" si="99"/>
        <v>#N/A</v>
      </c>
      <c r="Q84" s="61" t="e">
        <f t="shared" si="100"/>
        <v>#N/A</v>
      </c>
      <c r="R84" s="61" t="e">
        <f t="shared" si="101"/>
        <v>#N/A</v>
      </c>
      <c r="S84" s="61" t="e">
        <f t="shared" si="102"/>
        <v>#N/A</v>
      </c>
      <c r="T84" s="61" t="e">
        <f t="shared" si="103"/>
        <v>#N/A</v>
      </c>
      <c r="U84" s="61" t="e">
        <f t="shared" si="104"/>
        <v>#N/A</v>
      </c>
      <c r="V84" s="61" t="e">
        <f t="shared" si="136"/>
        <v>#N/A</v>
      </c>
      <c r="X84" s="61" t="e">
        <f t="shared" si="137"/>
        <v>#N/A</v>
      </c>
      <c r="Y84" s="61" t="e">
        <f t="shared" si="138"/>
        <v>#N/A</v>
      </c>
      <c r="Z84" s="61" t="e">
        <f t="shared" si="105"/>
        <v>#N/A</v>
      </c>
      <c r="AA84" s="270" t="e">
        <f t="shared" si="139"/>
        <v>#N/A</v>
      </c>
      <c r="AB84" s="270" t="e">
        <f t="shared" si="140"/>
        <v>#N/A</v>
      </c>
      <c r="AC84" s="61" t="e">
        <f t="shared" si="106"/>
        <v>#N/A</v>
      </c>
      <c r="AD84" s="61" t="e">
        <f t="shared" si="107"/>
        <v>#N/A</v>
      </c>
      <c r="AE84" s="61" t="e">
        <f t="shared" si="108"/>
        <v>#N/A</v>
      </c>
      <c r="AF84" s="61" t="e">
        <f t="shared" si="109"/>
        <v>#N/A</v>
      </c>
      <c r="AG84" s="61" t="e">
        <f t="shared" si="110"/>
        <v>#N/A</v>
      </c>
      <c r="AH84" s="61" t="e">
        <f t="shared" si="111"/>
        <v>#N/A</v>
      </c>
      <c r="AI84" s="61" t="e">
        <f t="shared" si="112"/>
        <v>#N/A</v>
      </c>
      <c r="AJ84" s="61" t="e">
        <f t="shared" si="113"/>
        <v>#N/A</v>
      </c>
      <c r="AK84" s="61" t="e">
        <f t="shared" si="114"/>
        <v>#N/A</v>
      </c>
      <c r="AL84" s="61" t="e">
        <f t="shared" si="115"/>
        <v>#N/A</v>
      </c>
      <c r="AM84" s="61" t="e">
        <f t="shared" si="116"/>
        <v>#N/A</v>
      </c>
      <c r="AN84" s="61" t="e">
        <f t="shared" si="117"/>
        <v>#N/A</v>
      </c>
      <c r="AO84" s="61" t="e">
        <f t="shared" si="141"/>
        <v>#N/A</v>
      </c>
      <c r="AP84" s="61" t="e">
        <f t="shared" si="142"/>
        <v>#N/A</v>
      </c>
      <c r="AQ84" s="247" t="e">
        <f t="shared" si="95"/>
        <v>#N/A</v>
      </c>
      <c r="AR84" s="247" t="e">
        <f t="shared" si="118"/>
        <v>#N/A</v>
      </c>
      <c r="AS84" s="247" t="e">
        <f t="shared" si="96"/>
        <v>#N/A</v>
      </c>
      <c r="AT84" s="196" t="e">
        <f t="shared" si="119"/>
        <v>#N/A</v>
      </c>
      <c r="AU84" s="196" t="e">
        <f>ROUND((VLOOKUP(A84,INPUT_RANGE,85,FALSE)/AS84)*('Team Info'!$H$25),2)</f>
        <v>#N/A</v>
      </c>
      <c r="AV84" s="8"/>
      <c r="AW84" s="197" t="e">
        <f t="shared" si="143"/>
        <v>#N/A</v>
      </c>
      <c r="AX84" s="197" t="e">
        <f t="shared" si="144"/>
        <v>#N/A</v>
      </c>
      <c r="AY84">
        <f t="shared" si="120"/>
        <v>0.44444444444444442</v>
      </c>
      <c r="AZ84" s="257" t="e">
        <f t="shared" si="145"/>
        <v>#N/A</v>
      </c>
      <c r="BA84" t="e">
        <f t="shared" si="146"/>
        <v>#N/A</v>
      </c>
      <c r="BB84" s="298" t="e">
        <f t="shared" si="121"/>
        <v>#N/A</v>
      </c>
      <c r="BC84" s="298" t="e">
        <f t="shared" si="122"/>
        <v>#N/A</v>
      </c>
      <c r="BD84" s="298" t="e">
        <f t="shared" si="123"/>
        <v>#N/A</v>
      </c>
      <c r="BE84" s="308" t="e">
        <f t="shared" si="59"/>
        <v>#N/A</v>
      </c>
      <c r="BF84" s="298" t="e">
        <f t="shared" si="147"/>
        <v>#N/A</v>
      </c>
      <c r="BG84" s="298" t="e">
        <f t="shared" si="124"/>
        <v>#N/A</v>
      </c>
      <c r="BH84" s="298" t="e">
        <f t="shared" si="125"/>
        <v>#N/A</v>
      </c>
      <c r="BI84" s="298" t="e">
        <f t="shared" si="126"/>
        <v>#N/A</v>
      </c>
      <c r="BJ84" s="297" t="e">
        <f t="shared" si="127"/>
        <v>#N/A</v>
      </c>
      <c r="BK84" s="297" t="e">
        <f t="shared" si="128"/>
        <v>#N/A</v>
      </c>
      <c r="BL84" s="297" t="e">
        <f t="shared" si="129"/>
        <v>#N/A</v>
      </c>
      <c r="BM84" s="297" t="e">
        <f t="shared" si="130"/>
        <v>#N/A</v>
      </c>
    </row>
    <row r="85" spans="1:65" x14ac:dyDescent="0.25">
      <c r="A85" s="30">
        <v>84</v>
      </c>
      <c r="B85" s="30">
        <v>84</v>
      </c>
      <c r="C85" s="58" t="str">
        <f>Roster!$X87</f>
        <v>- -</v>
      </c>
      <c r="D85" s="271" t="e">
        <f t="shared" si="131"/>
        <v>#N/A</v>
      </c>
      <c r="E85" s="245"/>
      <c r="F85" s="271" t="e">
        <f t="shared" si="132"/>
        <v>#N/A</v>
      </c>
      <c r="G85" s="245"/>
      <c r="H85" s="274" t="e">
        <f t="shared" si="133"/>
        <v>#N/A</v>
      </c>
      <c r="I85" s="245"/>
      <c r="J85" s="274" t="e">
        <f t="shared" si="134"/>
        <v>#N/A</v>
      </c>
      <c r="K85" s="62"/>
      <c r="L85" s="63"/>
      <c r="M85" s="194" t="e">
        <f t="shared" si="135"/>
        <v>#N/A</v>
      </c>
      <c r="N85" s="61" t="e">
        <f t="shared" si="97"/>
        <v>#N/A</v>
      </c>
      <c r="O85" s="61" t="e">
        <f t="shared" si="98"/>
        <v>#N/A</v>
      </c>
      <c r="P85" s="61" t="e">
        <f t="shared" si="99"/>
        <v>#N/A</v>
      </c>
      <c r="Q85" s="61" t="e">
        <f t="shared" si="100"/>
        <v>#N/A</v>
      </c>
      <c r="R85" s="61" t="e">
        <f t="shared" si="101"/>
        <v>#N/A</v>
      </c>
      <c r="S85" s="61" t="e">
        <f t="shared" si="102"/>
        <v>#N/A</v>
      </c>
      <c r="T85" s="61" t="e">
        <f t="shared" si="103"/>
        <v>#N/A</v>
      </c>
      <c r="U85" s="61" t="e">
        <f t="shared" si="104"/>
        <v>#N/A</v>
      </c>
      <c r="V85" s="61" t="e">
        <f t="shared" si="136"/>
        <v>#N/A</v>
      </c>
      <c r="X85" s="61" t="e">
        <f t="shared" si="137"/>
        <v>#N/A</v>
      </c>
      <c r="Y85" s="61" t="e">
        <f t="shared" si="138"/>
        <v>#N/A</v>
      </c>
      <c r="Z85" s="61" t="e">
        <f t="shared" si="105"/>
        <v>#N/A</v>
      </c>
      <c r="AA85" s="270" t="e">
        <f t="shared" si="139"/>
        <v>#N/A</v>
      </c>
      <c r="AB85" s="270" t="e">
        <f t="shared" si="140"/>
        <v>#N/A</v>
      </c>
      <c r="AC85" s="61" t="e">
        <f t="shared" si="106"/>
        <v>#N/A</v>
      </c>
      <c r="AD85" s="61" t="e">
        <f t="shared" si="107"/>
        <v>#N/A</v>
      </c>
      <c r="AE85" s="61" t="e">
        <f t="shared" si="108"/>
        <v>#N/A</v>
      </c>
      <c r="AF85" s="61" t="e">
        <f t="shared" si="109"/>
        <v>#N/A</v>
      </c>
      <c r="AG85" s="61" t="e">
        <f t="shared" si="110"/>
        <v>#N/A</v>
      </c>
      <c r="AH85" s="61" t="e">
        <f t="shared" si="111"/>
        <v>#N/A</v>
      </c>
      <c r="AI85" s="61" t="e">
        <f t="shared" si="112"/>
        <v>#N/A</v>
      </c>
      <c r="AJ85" s="61" t="e">
        <f t="shared" si="113"/>
        <v>#N/A</v>
      </c>
      <c r="AK85" s="61" t="e">
        <f t="shared" si="114"/>
        <v>#N/A</v>
      </c>
      <c r="AL85" s="61" t="e">
        <f t="shared" si="115"/>
        <v>#N/A</v>
      </c>
      <c r="AM85" s="61" t="e">
        <f t="shared" si="116"/>
        <v>#N/A</v>
      </c>
      <c r="AN85" s="61" t="e">
        <f t="shared" si="117"/>
        <v>#N/A</v>
      </c>
      <c r="AO85" s="61" t="e">
        <f t="shared" si="141"/>
        <v>#N/A</v>
      </c>
      <c r="AP85" s="61" t="e">
        <f t="shared" si="142"/>
        <v>#N/A</v>
      </c>
      <c r="AQ85" s="247" t="e">
        <f t="shared" si="95"/>
        <v>#N/A</v>
      </c>
      <c r="AR85" s="247" t="e">
        <f t="shared" si="118"/>
        <v>#N/A</v>
      </c>
      <c r="AS85" s="247" t="e">
        <f t="shared" si="96"/>
        <v>#N/A</v>
      </c>
      <c r="AT85" s="196" t="e">
        <f t="shared" si="119"/>
        <v>#N/A</v>
      </c>
      <c r="AU85" s="196" t="e">
        <f>ROUND((VLOOKUP(A85,INPUT_RANGE,85,FALSE)/AS85)*('Team Info'!$H$25),2)</f>
        <v>#N/A</v>
      </c>
      <c r="AV85" s="8"/>
      <c r="AW85" s="197" t="e">
        <f t="shared" si="143"/>
        <v>#N/A</v>
      </c>
      <c r="AX85" s="197" t="e">
        <f t="shared" si="144"/>
        <v>#N/A</v>
      </c>
      <c r="AY85">
        <f t="shared" si="120"/>
        <v>0.44444444444444442</v>
      </c>
      <c r="AZ85" s="257" t="e">
        <f t="shared" si="145"/>
        <v>#N/A</v>
      </c>
      <c r="BA85" t="e">
        <f t="shared" si="146"/>
        <v>#N/A</v>
      </c>
      <c r="BB85" s="298" t="e">
        <f t="shared" si="121"/>
        <v>#N/A</v>
      </c>
      <c r="BC85" s="298" t="e">
        <f t="shared" si="122"/>
        <v>#N/A</v>
      </c>
      <c r="BD85" s="298" t="e">
        <f t="shared" si="123"/>
        <v>#N/A</v>
      </c>
      <c r="BE85" s="308" t="e">
        <f t="shared" si="59"/>
        <v>#N/A</v>
      </c>
      <c r="BF85" s="298" t="e">
        <f t="shared" si="147"/>
        <v>#N/A</v>
      </c>
      <c r="BG85" s="298" t="e">
        <f t="shared" si="124"/>
        <v>#N/A</v>
      </c>
      <c r="BH85" s="298" t="e">
        <f t="shared" si="125"/>
        <v>#N/A</v>
      </c>
      <c r="BI85" s="298" t="e">
        <f t="shared" si="126"/>
        <v>#N/A</v>
      </c>
      <c r="BJ85" s="297" t="e">
        <f t="shared" si="127"/>
        <v>#N/A</v>
      </c>
      <c r="BK85" s="297" t="e">
        <f t="shared" si="128"/>
        <v>#N/A</v>
      </c>
      <c r="BL85" s="297" t="e">
        <f t="shared" si="129"/>
        <v>#N/A</v>
      </c>
      <c r="BM85" s="297" t="e">
        <f t="shared" si="130"/>
        <v>#N/A</v>
      </c>
    </row>
    <row r="86" spans="1:65" x14ac:dyDescent="0.25">
      <c r="A86" s="30">
        <v>85</v>
      </c>
      <c r="B86" s="30">
        <v>85</v>
      </c>
      <c r="C86" s="58" t="str">
        <f>Roster!$X88</f>
        <v>- -</v>
      </c>
      <c r="D86" s="271" t="e">
        <f t="shared" si="131"/>
        <v>#N/A</v>
      </c>
      <c r="E86" s="245"/>
      <c r="F86" s="271" t="e">
        <f t="shared" si="132"/>
        <v>#N/A</v>
      </c>
      <c r="G86" s="245"/>
      <c r="H86" s="274" t="e">
        <f t="shared" si="133"/>
        <v>#N/A</v>
      </c>
      <c r="I86" s="245"/>
      <c r="J86" s="274" t="e">
        <f t="shared" si="134"/>
        <v>#N/A</v>
      </c>
      <c r="K86" s="62"/>
      <c r="L86" s="63"/>
      <c r="M86" s="194" t="e">
        <f t="shared" si="135"/>
        <v>#N/A</v>
      </c>
      <c r="N86" s="61" t="e">
        <f t="shared" si="97"/>
        <v>#N/A</v>
      </c>
      <c r="O86" s="61" t="e">
        <f t="shared" si="98"/>
        <v>#N/A</v>
      </c>
      <c r="P86" s="61" t="e">
        <f t="shared" si="99"/>
        <v>#N/A</v>
      </c>
      <c r="Q86" s="61" t="e">
        <f t="shared" si="100"/>
        <v>#N/A</v>
      </c>
      <c r="R86" s="61" t="e">
        <f t="shared" si="101"/>
        <v>#N/A</v>
      </c>
      <c r="S86" s="61" t="e">
        <f t="shared" si="102"/>
        <v>#N/A</v>
      </c>
      <c r="T86" s="61" t="e">
        <f t="shared" si="103"/>
        <v>#N/A</v>
      </c>
      <c r="U86" s="61" t="e">
        <f t="shared" si="104"/>
        <v>#N/A</v>
      </c>
      <c r="V86" s="61" t="e">
        <f t="shared" si="136"/>
        <v>#N/A</v>
      </c>
      <c r="X86" s="61" t="e">
        <f t="shared" si="137"/>
        <v>#N/A</v>
      </c>
      <c r="Y86" s="61" t="e">
        <f t="shared" si="138"/>
        <v>#N/A</v>
      </c>
      <c r="Z86" s="61" t="e">
        <f t="shared" si="105"/>
        <v>#N/A</v>
      </c>
      <c r="AA86" s="270" t="e">
        <f t="shared" si="139"/>
        <v>#N/A</v>
      </c>
      <c r="AB86" s="270" t="e">
        <f t="shared" si="140"/>
        <v>#N/A</v>
      </c>
      <c r="AC86" s="61" t="e">
        <f t="shared" si="106"/>
        <v>#N/A</v>
      </c>
      <c r="AD86" s="61" t="e">
        <f t="shared" si="107"/>
        <v>#N/A</v>
      </c>
      <c r="AE86" s="61" t="e">
        <f t="shared" si="108"/>
        <v>#N/A</v>
      </c>
      <c r="AF86" s="61" t="e">
        <f t="shared" si="109"/>
        <v>#N/A</v>
      </c>
      <c r="AG86" s="61" t="e">
        <f t="shared" si="110"/>
        <v>#N/A</v>
      </c>
      <c r="AH86" s="61" t="e">
        <f t="shared" si="111"/>
        <v>#N/A</v>
      </c>
      <c r="AI86" s="61" t="e">
        <f t="shared" si="112"/>
        <v>#N/A</v>
      </c>
      <c r="AJ86" s="61" t="e">
        <f t="shared" si="113"/>
        <v>#N/A</v>
      </c>
      <c r="AK86" s="61" t="e">
        <f t="shared" si="114"/>
        <v>#N/A</v>
      </c>
      <c r="AL86" s="61" t="e">
        <f t="shared" si="115"/>
        <v>#N/A</v>
      </c>
      <c r="AM86" s="61" t="e">
        <f t="shared" si="116"/>
        <v>#N/A</v>
      </c>
      <c r="AN86" s="61" t="e">
        <f t="shared" si="117"/>
        <v>#N/A</v>
      </c>
      <c r="AO86" s="61" t="e">
        <f t="shared" si="141"/>
        <v>#N/A</v>
      </c>
      <c r="AP86" s="61" t="e">
        <f t="shared" si="142"/>
        <v>#N/A</v>
      </c>
      <c r="AQ86" s="247" t="e">
        <f t="shared" si="95"/>
        <v>#N/A</v>
      </c>
      <c r="AR86" s="247" t="e">
        <f t="shared" si="118"/>
        <v>#N/A</v>
      </c>
      <c r="AS86" s="247" t="e">
        <f t="shared" si="96"/>
        <v>#N/A</v>
      </c>
      <c r="AT86" s="196" t="e">
        <f t="shared" si="119"/>
        <v>#N/A</v>
      </c>
      <c r="AU86" s="196" t="e">
        <f>ROUND((VLOOKUP(A86,INPUT_RANGE,85,FALSE)/AS86)*('Team Info'!$H$25),2)</f>
        <v>#N/A</v>
      </c>
      <c r="AV86" s="8"/>
      <c r="AW86" s="197" t="e">
        <f t="shared" si="143"/>
        <v>#N/A</v>
      </c>
      <c r="AX86" s="197" t="e">
        <f t="shared" si="144"/>
        <v>#N/A</v>
      </c>
      <c r="AY86">
        <f t="shared" si="120"/>
        <v>0.44444444444444442</v>
      </c>
      <c r="AZ86" s="257" t="e">
        <f t="shared" si="145"/>
        <v>#N/A</v>
      </c>
      <c r="BA86" t="e">
        <f t="shared" si="146"/>
        <v>#N/A</v>
      </c>
      <c r="BB86" s="298" t="e">
        <f t="shared" si="121"/>
        <v>#N/A</v>
      </c>
      <c r="BC86" s="298" t="e">
        <f t="shared" si="122"/>
        <v>#N/A</v>
      </c>
      <c r="BD86" s="298" t="e">
        <f t="shared" si="123"/>
        <v>#N/A</v>
      </c>
      <c r="BE86" s="308" t="e">
        <f t="shared" si="59"/>
        <v>#N/A</v>
      </c>
      <c r="BF86" s="298" t="e">
        <f t="shared" si="147"/>
        <v>#N/A</v>
      </c>
      <c r="BG86" s="298" t="e">
        <f t="shared" si="124"/>
        <v>#N/A</v>
      </c>
      <c r="BH86" s="298" t="e">
        <f t="shared" si="125"/>
        <v>#N/A</v>
      </c>
      <c r="BI86" s="298" t="e">
        <f t="shared" si="126"/>
        <v>#N/A</v>
      </c>
      <c r="BJ86" s="297" t="e">
        <f t="shared" si="127"/>
        <v>#N/A</v>
      </c>
      <c r="BK86" s="297" t="e">
        <f t="shared" si="128"/>
        <v>#N/A</v>
      </c>
      <c r="BL86" s="297" t="e">
        <f t="shared" si="129"/>
        <v>#N/A</v>
      </c>
      <c r="BM86" s="297" t="e">
        <f t="shared" si="130"/>
        <v>#N/A</v>
      </c>
    </row>
    <row r="87" spans="1:65" x14ac:dyDescent="0.25">
      <c r="A87" s="30">
        <v>86</v>
      </c>
      <c r="B87" s="30">
        <v>86</v>
      </c>
      <c r="C87" s="58" t="str">
        <f>Roster!$X89</f>
        <v>- -</v>
      </c>
      <c r="D87" s="271" t="e">
        <f t="shared" si="131"/>
        <v>#N/A</v>
      </c>
      <c r="E87" s="245"/>
      <c r="F87" s="271" t="e">
        <f t="shared" si="132"/>
        <v>#N/A</v>
      </c>
      <c r="G87" s="245"/>
      <c r="H87" s="274" t="e">
        <f t="shared" si="133"/>
        <v>#N/A</v>
      </c>
      <c r="I87" s="245"/>
      <c r="J87" s="274" t="e">
        <f t="shared" si="134"/>
        <v>#N/A</v>
      </c>
      <c r="K87" s="62"/>
      <c r="L87" s="63"/>
      <c r="M87" s="194" t="e">
        <f t="shared" si="135"/>
        <v>#N/A</v>
      </c>
      <c r="N87" s="61" t="e">
        <f t="shared" si="97"/>
        <v>#N/A</v>
      </c>
      <c r="O87" s="61" t="e">
        <f t="shared" si="98"/>
        <v>#N/A</v>
      </c>
      <c r="P87" s="61" t="e">
        <f t="shared" si="99"/>
        <v>#N/A</v>
      </c>
      <c r="Q87" s="61" t="e">
        <f t="shared" si="100"/>
        <v>#N/A</v>
      </c>
      <c r="R87" s="61" t="e">
        <f t="shared" si="101"/>
        <v>#N/A</v>
      </c>
      <c r="S87" s="61" t="e">
        <f t="shared" si="102"/>
        <v>#N/A</v>
      </c>
      <c r="T87" s="61" t="e">
        <f t="shared" si="103"/>
        <v>#N/A</v>
      </c>
      <c r="U87" s="61" t="e">
        <f t="shared" si="104"/>
        <v>#N/A</v>
      </c>
      <c r="V87" s="61" t="e">
        <f t="shared" si="136"/>
        <v>#N/A</v>
      </c>
      <c r="X87" s="61" t="e">
        <f t="shared" si="137"/>
        <v>#N/A</v>
      </c>
      <c r="Y87" s="61" t="e">
        <f t="shared" si="138"/>
        <v>#N/A</v>
      </c>
      <c r="Z87" s="61" t="e">
        <f t="shared" si="105"/>
        <v>#N/A</v>
      </c>
      <c r="AA87" s="270" t="e">
        <f t="shared" si="139"/>
        <v>#N/A</v>
      </c>
      <c r="AB87" s="270" t="e">
        <f t="shared" si="140"/>
        <v>#N/A</v>
      </c>
      <c r="AC87" s="61" t="e">
        <f t="shared" si="106"/>
        <v>#N/A</v>
      </c>
      <c r="AD87" s="61" t="e">
        <f t="shared" si="107"/>
        <v>#N/A</v>
      </c>
      <c r="AE87" s="61" t="e">
        <f t="shared" si="108"/>
        <v>#N/A</v>
      </c>
      <c r="AF87" s="61" t="e">
        <f t="shared" si="109"/>
        <v>#N/A</v>
      </c>
      <c r="AG87" s="61" t="e">
        <f t="shared" si="110"/>
        <v>#N/A</v>
      </c>
      <c r="AH87" s="61" t="e">
        <f t="shared" si="111"/>
        <v>#N/A</v>
      </c>
      <c r="AI87" s="61" t="e">
        <f t="shared" si="112"/>
        <v>#N/A</v>
      </c>
      <c r="AJ87" s="61" t="e">
        <f t="shared" si="113"/>
        <v>#N/A</v>
      </c>
      <c r="AK87" s="61" t="e">
        <f t="shared" si="114"/>
        <v>#N/A</v>
      </c>
      <c r="AL87" s="61" t="e">
        <f t="shared" si="115"/>
        <v>#N/A</v>
      </c>
      <c r="AM87" s="61" t="e">
        <f t="shared" si="116"/>
        <v>#N/A</v>
      </c>
      <c r="AN87" s="61" t="e">
        <f t="shared" si="117"/>
        <v>#N/A</v>
      </c>
      <c r="AO87" s="61" t="e">
        <f t="shared" si="141"/>
        <v>#N/A</v>
      </c>
      <c r="AP87" s="61" t="e">
        <f t="shared" si="142"/>
        <v>#N/A</v>
      </c>
      <c r="AQ87" s="247" t="e">
        <f t="shared" si="95"/>
        <v>#N/A</v>
      </c>
      <c r="AR87" s="247" t="e">
        <f t="shared" si="118"/>
        <v>#N/A</v>
      </c>
      <c r="AS87" s="247" t="e">
        <f t="shared" si="96"/>
        <v>#N/A</v>
      </c>
      <c r="AT87" s="196" t="e">
        <f t="shared" si="119"/>
        <v>#N/A</v>
      </c>
      <c r="AU87" s="196" t="e">
        <f>ROUND((VLOOKUP(A87,INPUT_RANGE,85,FALSE)/AS87)*('Team Info'!$H$25),2)</f>
        <v>#N/A</v>
      </c>
      <c r="AV87" s="8"/>
      <c r="AW87" s="197" t="e">
        <f t="shared" si="143"/>
        <v>#N/A</v>
      </c>
      <c r="AX87" s="197" t="e">
        <f t="shared" si="144"/>
        <v>#N/A</v>
      </c>
      <c r="AY87">
        <f t="shared" si="120"/>
        <v>0.44444444444444442</v>
      </c>
      <c r="AZ87" s="257" t="e">
        <f t="shared" si="145"/>
        <v>#N/A</v>
      </c>
      <c r="BA87" t="e">
        <f t="shared" si="146"/>
        <v>#N/A</v>
      </c>
      <c r="BB87" s="298" t="e">
        <f t="shared" si="121"/>
        <v>#N/A</v>
      </c>
      <c r="BC87" s="298" t="e">
        <f t="shared" si="122"/>
        <v>#N/A</v>
      </c>
      <c r="BD87" s="298" t="e">
        <f t="shared" si="123"/>
        <v>#N/A</v>
      </c>
      <c r="BE87" s="308" t="e">
        <f t="shared" si="59"/>
        <v>#N/A</v>
      </c>
      <c r="BF87" s="298" t="e">
        <f t="shared" si="147"/>
        <v>#N/A</v>
      </c>
      <c r="BG87" s="298" t="e">
        <f t="shared" si="124"/>
        <v>#N/A</v>
      </c>
      <c r="BH87" s="298" t="e">
        <f t="shared" si="125"/>
        <v>#N/A</v>
      </c>
      <c r="BI87" s="298" t="e">
        <f t="shared" si="126"/>
        <v>#N/A</v>
      </c>
      <c r="BJ87" s="297" t="e">
        <f t="shared" si="127"/>
        <v>#N/A</v>
      </c>
      <c r="BK87" s="297" t="e">
        <f t="shared" si="128"/>
        <v>#N/A</v>
      </c>
      <c r="BL87" s="297" t="e">
        <f t="shared" si="129"/>
        <v>#N/A</v>
      </c>
      <c r="BM87" s="297" t="e">
        <f t="shared" si="130"/>
        <v>#N/A</v>
      </c>
    </row>
    <row r="88" spans="1:65" x14ac:dyDescent="0.25">
      <c r="A88" s="30">
        <v>87</v>
      </c>
      <c r="B88" s="30">
        <v>87</v>
      </c>
      <c r="C88" s="58" t="str">
        <f>Roster!$X90</f>
        <v>- -</v>
      </c>
      <c r="D88" s="271" t="e">
        <f t="shared" si="131"/>
        <v>#N/A</v>
      </c>
      <c r="E88" s="245"/>
      <c r="F88" s="271" t="e">
        <f t="shared" si="132"/>
        <v>#N/A</v>
      </c>
      <c r="G88" s="245"/>
      <c r="H88" s="274" t="e">
        <f t="shared" si="133"/>
        <v>#N/A</v>
      </c>
      <c r="I88" s="245"/>
      <c r="J88" s="274" t="e">
        <f t="shared" si="134"/>
        <v>#N/A</v>
      </c>
      <c r="K88" s="62"/>
      <c r="L88" s="63"/>
      <c r="M88" s="194" t="e">
        <f t="shared" si="135"/>
        <v>#N/A</v>
      </c>
      <c r="N88" s="61" t="e">
        <f t="shared" si="97"/>
        <v>#N/A</v>
      </c>
      <c r="O88" s="61" t="e">
        <f t="shared" si="98"/>
        <v>#N/A</v>
      </c>
      <c r="P88" s="61" t="e">
        <f t="shared" si="99"/>
        <v>#N/A</v>
      </c>
      <c r="Q88" s="61" t="e">
        <f t="shared" si="100"/>
        <v>#N/A</v>
      </c>
      <c r="R88" s="61" t="e">
        <f t="shared" si="101"/>
        <v>#N/A</v>
      </c>
      <c r="S88" s="61" t="e">
        <f t="shared" si="102"/>
        <v>#N/A</v>
      </c>
      <c r="T88" s="61" t="e">
        <f t="shared" si="103"/>
        <v>#N/A</v>
      </c>
      <c r="U88" s="61" t="e">
        <f t="shared" si="104"/>
        <v>#N/A</v>
      </c>
      <c r="V88" s="61" t="e">
        <f t="shared" si="136"/>
        <v>#N/A</v>
      </c>
      <c r="X88" s="61" t="e">
        <f t="shared" si="137"/>
        <v>#N/A</v>
      </c>
      <c r="Y88" s="61" t="e">
        <f t="shared" si="138"/>
        <v>#N/A</v>
      </c>
      <c r="Z88" s="61" t="e">
        <f t="shared" si="105"/>
        <v>#N/A</v>
      </c>
      <c r="AA88" s="270" t="e">
        <f t="shared" si="139"/>
        <v>#N/A</v>
      </c>
      <c r="AB88" s="270" t="e">
        <f t="shared" si="140"/>
        <v>#N/A</v>
      </c>
      <c r="AC88" s="61" t="e">
        <f t="shared" si="106"/>
        <v>#N/A</v>
      </c>
      <c r="AD88" s="61" t="e">
        <f t="shared" si="107"/>
        <v>#N/A</v>
      </c>
      <c r="AE88" s="61" t="e">
        <f t="shared" si="108"/>
        <v>#N/A</v>
      </c>
      <c r="AF88" s="61" t="e">
        <f t="shared" si="109"/>
        <v>#N/A</v>
      </c>
      <c r="AG88" s="61" t="e">
        <f t="shared" si="110"/>
        <v>#N/A</v>
      </c>
      <c r="AH88" s="61" t="e">
        <f t="shared" si="111"/>
        <v>#N/A</v>
      </c>
      <c r="AI88" s="61" t="e">
        <f t="shared" si="112"/>
        <v>#N/A</v>
      </c>
      <c r="AJ88" s="61" t="e">
        <f t="shared" si="113"/>
        <v>#N/A</v>
      </c>
      <c r="AK88" s="61" t="e">
        <f t="shared" si="114"/>
        <v>#N/A</v>
      </c>
      <c r="AL88" s="61" t="e">
        <f t="shared" si="115"/>
        <v>#N/A</v>
      </c>
      <c r="AM88" s="61" t="e">
        <f t="shared" si="116"/>
        <v>#N/A</v>
      </c>
      <c r="AN88" s="61" t="e">
        <f t="shared" si="117"/>
        <v>#N/A</v>
      </c>
      <c r="AO88" s="61" t="e">
        <f t="shared" si="141"/>
        <v>#N/A</v>
      </c>
      <c r="AP88" s="61" t="e">
        <f t="shared" si="142"/>
        <v>#N/A</v>
      </c>
      <c r="AQ88" s="247" t="e">
        <f t="shared" si="95"/>
        <v>#N/A</v>
      </c>
      <c r="AR88" s="247" t="e">
        <f t="shared" si="118"/>
        <v>#N/A</v>
      </c>
      <c r="AS88" s="247" t="e">
        <f t="shared" si="96"/>
        <v>#N/A</v>
      </c>
      <c r="AT88" s="196" t="e">
        <f t="shared" si="119"/>
        <v>#N/A</v>
      </c>
      <c r="AU88" s="196" t="e">
        <f>ROUND((VLOOKUP(A88,INPUT_RANGE,85,FALSE)/AS88)*('Team Info'!$H$25),2)</f>
        <v>#N/A</v>
      </c>
      <c r="AV88" s="8"/>
      <c r="AW88" s="197" t="e">
        <f t="shared" si="143"/>
        <v>#N/A</v>
      </c>
      <c r="AX88" s="197" t="e">
        <f t="shared" si="144"/>
        <v>#N/A</v>
      </c>
      <c r="AY88">
        <f t="shared" si="120"/>
        <v>0.44444444444444442</v>
      </c>
      <c r="AZ88" s="257" t="e">
        <f t="shared" si="145"/>
        <v>#N/A</v>
      </c>
      <c r="BA88" t="e">
        <f t="shared" si="146"/>
        <v>#N/A</v>
      </c>
      <c r="BB88" s="298" t="e">
        <f t="shared" si="121"/>
        <v>#N/A</v>
      </c>
      <c r="BC88" s="298" t="e">
        <f t="shared" si="122"/>
        <v>#N/A</v>
      </c>
      <c r="BD88" s="298" t="e">
        <f t="shared" si="123"/>
        <v>#N/A</v>
      </c>
      <c r="BE88" s="308" t="e">
        <f t="shared" si="59"/>
        <v>#N/A</v>
      </c>
      <c r="BF88" s="298" t="e">
        <f t="shared" si="147"/>
        <v>#N/A</v>
      </c>
      <c r="BG88" s="298" t="e">
        <f t="shared" si="124"/>
        <v>#N/A</v>
      </c>
      <c r="BH88" s="298" t="e">
        <f t="shared" si="125"/>
        <v>#N/A</v>
      </c>
      <c r="BI88" s="298" t="e">
        <f t="shared" si="126"/>
        <v>#N/A</v>
      </c>
      <c r="BJ88" s="297" t="e">
        <f t="shared" si="127"/>
        <v>#N/A</v>
      </c>
      <c r="BK88" s="297" t="e">
        <f t="shared" si="128"/>
        <v>#N/A</v>
      </c>
      <c r="BL88" s="297" t="e">
        <f t="shared" si="129"/>
        <v>#N/A</v>
      </c>
      <c r="BM88" s="297" t="e">
        <f t="shared" si="130"/>
        <v>#N/A</v>
      </c>
    </row>
    <row r="89" spans="1:65" x14ac:dyDescent="0.25">
      <c r="A89" s="30">
        <v>88</v>
      </c>
      <c r="B89" s="30">
        <v>88</v>
      </c>
      <c r="C89" s="58" t="str">
        <f>Roster!$X91</f>
        <v>- -</v>
      </c>
      <c r="D89" s="271" t="e">
        <f t="shared" si="131"/>
        <v>#N/A</v>
      </c>
      <c r="E89" s="245"/>
      <c r="F89" s="271" t="e">
        <f t="shared" si="132"/>
        <v>#N/A</v>
      </c>
      <c r="G89" s="245"/>
      <c r="H89" s="274" t="e">
        <f t="shared" si="133"/>
        <v>#N/A</v>
      </c>
      <c r="I89" s="245"/>
      <c r="J89" s="274" t="e">
        <f t="shared" si="134"/>
        <v>#N/A</v>
      </c>
      <c r="K89" s="62"/>
      <c r="L89" s="63"/>
      <c r="M89" s="194" t="e">
        <f t="shared" si="135"/>
        <v>#N/A</v>
      </c>
      <c r="N89" s="61" t="e">
        <f t="shared" si="97"/>
        <v>#N/A</v>
      </c>
      <c r="O89" s="61" t="e">
        <f t="shared" si="98"/>
        <v>#N/A</v>
      </c>
      <c r="P89" s="61" t="e">
        <f t="shared" si="99"/>
        <v>#N/A</v>
      </c>
      <c r="Q89" s="61" t="e">
        <f t="shared" si="100"/>
        <v>#N/A</v>
      </c>
      <c r="R89" s="61" t="e">
        <f t="shared" si="101"/>
        <v>#N/A</v>
      </c>
      <c r="S89" s="61" t="e">
        <f t="shared" si="102"/>
        <v>#N/A</v>
      </c>
      <c r="T89" s="61" t="e">
        <f t="shared" si="103"/>
        <v>#N/A</v>
      </c>
      <c r="U89" s="61" t="e">
        <f t="shared" si="104"/>
        <v>#N/A</v>
      </c>
      <c r="V89" s="61" t="e">
        <f t="shared" si="136"/>
        <v>#N/A</v>
      </c>
      <c r="X89" s="61" t="e">
        <f t="shared" si="137"/>
        <v>#N/A</v>
      </c>
      <c r="Y89" s="61" t="e">
        <f t="shared" si="138"/>
        <v>#N/A</v>
      </c>
      <c r="Z89" s="61" t="e">
        <f t="shared" si="105"/>
        <v>#N/A</v>
      </c>
      <c r="AA89" s="270" t="e">
        <f t="shared" si="139"/>
        <v>#N/A</v>
      </c>
      <c r="AB89" s="270" t="e">
        <f t="shared" si="140"/>
        <v>#N/A</v>
      </c>
      <c r="AC89" s="61" t="e">
        <f t="shared" si="106"/>
        <v>#N/A</v>
      </c>
      <c r="AD89" s="61" t="e">
        <f t="shared" si="107"/>
        <v>#N/A</v>
      </c>
      <c r="AE89" s="61" t="e">
        <f t="shared" si="108"/>
        <v>#N/A</v>
      </c>
      <c r="AF89" s="61" t="e">
        <f t="shared" si="109"/>
        <v>#N/A</v>
      </c>
      <c r="AG89" s="61" t="e">
        <f t="shared" si="110"/>
        <v>#N/A</v>
      </c>
      <c r="AH89" s="61" t="e">
        <f t="shared" si="111"/>
        <v>#N/A</v>
      </c>
      <c r="AI89" s="61" t="e">
        <f t="shared" si="112"/>
        <v>#N/A</v>
      </c>
      <c r="AJ89" s="61" t="e">
        <f t="shared" si="113"/>
        <v>#N/A</v>
      </c>
      <c r="AK89" s="61" t="e">
        <f t="shared" si="114"/>
        <v>#N/A</v>
      </c>
      <c r="AL89" s="61" t="e">
        <f t="shared" si="115"/>
        <v>#N/A</v>
      </c>
      <c r="AM89" s="61" t="e">
        <f t="shared" si="116"/>
        <v>#N/A</v>
      </c>
      <c r="AN89" s="61" t="e">
        <f t="shared" si="117"/>
        <v>#N/A</v>
      </c>
      <c r="AO89" s="61" t="e">
        <f t="shared" si="141"/>
        <v>#N/A</v>
      </c>
      <c r="AP89" s="61" t="e">
        <f t="shared" si="142"/>
        <v>#N/A</v>
      </c>
      <c r="AQ89" s="247" t="e">
        <f t="shared" si="95"/>
        <v>#N/A</v>
      </c>
      <c r="AR89" s="247" t="e">
        <f t="shared" si="118"/>
        <v>#N/A</v>
      </c>
      <c r="AS89" s="247" t="e">
        <f t="shared" si="96"/>
        <v>#N/A</v>
      </c>
      <c r="AT89" s="196" t="e">
        <f t="shared" si="119"/>
        <v>#N/A</v>
      </c>
      <c r="AU89" s="196" t="e">
        <f>ROUND((VLOOKUP(A89,INPUT_RANGE,85,FALSE)/AS89)*('Team Info'!$H$25),2)</f>
        <v>#N/A</v>
      </c>
      <c r="AV89" s="8"/>
      <c r="AW89" s="197" t="e">
        <f t="shared" si="143"/>
        <v>#N/A</v>
      </c>
      <c r="AX89" s="197" t="e">
        <f t="shared" si="144"/>
        <v>#N/A</v>
      </c>
      <c r="AY89">
        <f t="shared" si="120"/>
        <v>0.44444444444444442</v>
      </c>
      <c r="AZ89" s="257" t="e">
        <f t="shared" si="145"/>
        <v>#N/A</v>
      </c>
      <c r="BA89" t="e">
        <f t="shared" si="146"/>
        <v>#N/A</v>
      </c>
      <c r="BB89" s="298" t="e">
        <f t="shared" si="121"/>
        <v>#N/A</v>
      </c>
      <c r="BC89" s="298" t="e">
        <f t="shared" si="122"/>
        <v>#N/A</v>
      </c>
      <c r="BD89" s="298" t="e">
        <f t="shared" si="123"/>
        <v>#N/A</v>
      </c>
      <c r="BE89" s="308" t="e">
        <f t="shared" si="59"/>
        <v>#N/A</v>
      </c>
      <c r="BF89" s="298" t="e">
        <f t="shared" si="147"/>
        <v>#N/A</v>
      </c>
      <c r="BG89" s="298" t="e">
        <f t="shared" si="124"/>
        <v>#N/A</v>
      </c>
      <c r="BH89" s="298" t="e">
        <f t="shared" si="125"/>
        <v>#N/A</v>
      </c>
      <c r="BI89" s="298" t="e">
        <f t="shared" si="126"/>
        <v>#N/A</v>
      </c>
      <c r="BJ89" s="297" t="e">
        <f t="shared" si="127"/>
        <v>#N/A</v>
      </c>
      <c r="BK89" s="297" t="e">
        <f t="shared" si="128"/>
        <v>#N/A</v>
      </c>
      <c r="BL89" s="297" t="e">
        <f t="shared" si="129"/>
        <v>#N/A</v>
      </c>
      <c r="BM89" s="297" t="e">
        <f t="shared" si="130"/>
        <v>#N/A</v>
      </c>
    </row>
    <row r="90" spans="1:65" x14ac:dyDescent="0.25">
      <c r="A90" s="30">
        <v>89</v>
      </c>
      <c r="B90" s="30">
        <v>89</v>
      </c>
      <c r="C90" s="58" t="str">
        <f>Roster!$X92</f>
        <v>- -</v>
      </c>
      <c r="D90" s="271" t="e">
        <f t="shared" si="131"/>
        <v>#N/A</v>
      </c>
      <c r="E90" s="245"/>
      <c r="F90" s="271" t="e">
        <f t="shared" si="132"/>
        <v>#N/A</v>
      </c>
      <c r="G90" s="245"/>
      <c r="H90" s="274" t="e">
        <f t="shared" si="133"/>
        <v>#N/A</v>
      </c>
      <c r="I90" s="245"/>
      <c r="J90" s="274" t="e">
        <f t="shared" si="134"/>
        <v>#N/A</v>
      </c>
      <c r="K90" s="62"/>
      <c r="L90" s="63"/>
      <c r="M90" s="194" t="e">
        <f t="shared" si="135"/>
        <v>#N/A</v>
      </c>
      <c r="N90" s="61" t="e">
        <f t="shared" si="97"/>
        <v>#N/A</v>
      </c>
      <c r="O90" s="61" t="e">
        <f t="shared" si="98"/>
        <v>#N/A</v>
      </c>
      <c r="P90" s="61" t="e">
        <f t="shared" si="99"/>
        <v>#N/A</v>
      </c>
      <c r="Q90" s="61" t="e">
        <f t="shared" si="100"/>
        <v>#N/A</v>
      </c>
      <c r="R90" s="61" t="e">
        <f t="shared" si="101"/>
        <v>#N/A</v>
      </c>
      <c r="S90" s="61" t="e">
        <f t="shared" si="102"/>
        <v>#N/A</v>
      </c>
      <c r="T90" s="61" t="e">
        <f t="shared" si="103"/>
        <v>#N/A</v>
      </c>
      <c r="U90" s="61" t="e">
        <f t="shared" si="104"/>
        <v>#N/A</v>
      </c>
      <c r="V90" s="61" t="e">
        <f t="shared" si="136"/>
        <v>#N/A</v>
      </c>
      <c r="X90" s="61" t="e">
        <f t="shared" si="137"/>
        <v>#N/A</v>
      </c>
      <c r="Y90" s="61" t="e">
        <f t="shared" si="138"/>
        <v>#N/A</v>
      </c>
      <c r="Z90" s="61" t="e">
        <f t="shared" si="105"/>
        <v>#N/A</v>
      </c>
      <c r="AA90" s="270" t="e">
        <f t="shared" si="139"/>
        <v>#N/A</v>
      </c>
      <c r="AB90" s="270" t="e">
        <f t="shared" si="140"/>
        <v>#N/A</v>
      </c>
      <c r="AC90" s="61" t="e">
        <f t="shared" si="106"/>
        <v>#N/A</v>
      </c>
      <c r="AD90" s="61" t="e">
        <f t="shared" si="107"/>
        <v>#N/A</v>
      </c>
      <c r="AE90" s="61" t="e">
        <f t="shared" si="108"/>
        <v>#N/A</v>
      </c>
      <c r="AF90" s="61" t="e">
        <f t="shared" si="109"/>
        <v>#N/A</v>
      </c>
      <c r="AG90" s="61" t="e">
        <f t="shared" si="110"/>
        <v>#N/A</v>
      </c>
      <c r="AH90" s="61" t="e">
        <f t="shared" si="111"/>
        <v>#N/A</v>
      </c>
      <c r="AI90" s="61" t="e">
        <f t="shared" si="112"/>
        <v>#N/A</v>
      </c>
      <c r="AJ90" s="61" t="e">
        <f t="shared" si="113"/>
        <v>#N/A</v>
      </c>
      <c r="AK90" s="61" t="e">
        <f t="shared" si="114"/>
        <v>#N/A</v>
      </c>
      <c r="AL90" s="61" t="e">
        <f t="shared" si="115"/>
        <v>#N/A</v>
      </c>
      <c r="AM90" s="61" t="e">
        <f t="shared" si="116"/>
        <v>#N/A</v>
      </c>
      <c r="AN90" s="61" t="e">
        <f t="shared" si="117"/>
        <v>#N/A</v>
      </c>
      <c r="AO90" s="61" t="e">
        <f t="shared" si="141"/>
        <v>#N/A</v>
      </c>
      <c r="AP90" s="61" t="e">
        <f t="shared" si="142"/>
        <v>#N/A</v>
      </c>
      <c r="AQ90" s="247" t="e">
        <f t="shared" si="95"/>
        <v>#N/A</v>
      </c>
      <c r="AR90" s="247" t="e">
        <f t="shared" si="118"/>
        <v>#N/A</v>
      </c>
      <c r="AS90" s="247" t="e">
        <f t="shared" si="96"/>
        <v>#N/A</v>
      </c>
      <c r="AT90" s="196" t="e">
        <f t="shared" si="119"/>
        <v>#N/A</v>
      </c>
      <c r="AU90" s="196" t="e">
        <f>ROUND((VLOOKUP(A90,INPUT_RANGE,85,FALSE)/AS90)*('Team Info'!$H$25),2)</f>
        <v>#N/A</v>
      </c>
      <c r="AV90" s="8"/>
      <c r="AW90" s="197" t="e">
        <f t="shared" si="143"/>
        <v>#N/A</v>
      </c>
      <c r="AX90" s="197" t="e">
        <f t="shared" si="144"/>
        <v>#N/A</v>
      </c>
      <c r="AY90">
        <f t="shared" si="120"/>
        <v>0.44444444444444442</v>
      </c>
      <c r="AZ90" s="257" t="e">
        <f t="shared" si="145"/>
        <v>#N/A</v>
      </c>
      <c r="BA90" t="e">
        <f t="shared" si="146"/>
        <v>#N/A</v>
      </c>
      <c r="BB90" s="298" t="e">
        <f t="shared" si="121"/>
        <v>#N/A</v>
      </c>
      <c r="BC90" s="298" t="e">
        <f t="shared" si="122"/>
        <v>#N/A</v>
      </c>
      <c r="BD90" s="298" t="e">
        <f t="shared" si="123"/>
        <v>#N/A</v>
      </c>
      <c r="BE90" s="308" t="e">
        <f t="shared" si="59"/>
        <v>#N/A</v>
      </c>
      <c r="BF90" s="298" t="e">
        <f t="shared" si="147"/>
        <v>#N/A</v>
      </c>
      <c r="BG90" s="298" t="e">
        <f t="shared" si="124"/>
        <v>#N/A</v>
      </c>
      <c r="BH90" s="298" t="e">
        <f t="shared" si="125"/>
        <v>#N/A</v>
      </c>
      <c r="BI90" s="298" t="e">
        <f t="shared" si="126"/>
        <v>#N/A</v>
      </c>
      <c r="BJ90" s="297" t="e">
        <f t="shared" si="127"/>
        <v>#N/A</v>
      </c>
      <c r="BK90" s="297" t="e">
        <f t="shared" si="128"/>
        <v>#N/A</v>
      </c>
      <c r="BL90" s="297" t="e">
        <f t="shared" si="129"/>
        <v>#N/A</v>
      </c>
      <c r="BM90" s="297" t="e">
        <f t="shared" si="130"/>
        <v>#N/A</v>
      </c>
    </row>
    <row r="91" spans="1:65" x14ac:dyDescent="0.25">
      <c r="A91" s="30">
        <v>90</v>
      </c>
      <c r="B91" s="30">
        <v>0</v>
      </c>
      <c r="C91" s="58" t="str">
        <f>C104</f>
        <v>- -</v>
      </c>
      <c r="D91" s="272" t="e">
        <f>BA100</f>
        <v>#N/A</v>
      </c>
      <c r="E91" s="174">
        <f t="shared" ref="E91:L91" si="148">E$104</f>
        <v>0</v>
      </c>
      <c r="F91" s="273" t="e">
        <f t="shared" si="148"/>
        <v>#N/A</v>
      </c>
      <c r="G91" s="174">
        <f t="shared" si="148"/>
        <v>0</v>
      </c>
      <c r="H91" s="273" t="e">
        <f t="shared" si="148"/>
        <v>#N/A</v>
      </c>
      <c r="I91" s="174">
        <f t="shared" si="148"/>
        <v>0</v>
      </c>
      <c r="J91" s="273" t="e">
        <f t="shared" si="148"/>
        <v>#N/A</v>
      </c>
      <c r="K91" s="174"/>
      <c r="L91" s="175">
        <f t="shared" si="148"/>
        <v>0</v>
      </c>
      <c r="M91" s="194" t="e">
        <f t="shared" si="135"/>
        <v>#N/A</v>
      </c>
      <c r="N91" s="61" t="e">
        <f t="shared" si="97"/>
        <v>#N/A</v>
      </c>
      <c r="O91" s="61" t="e">
        <f t="shared" si="98"/>
        <v>#N/A</v>
      </c>
      <c r="P91" s="61" t="e">
        <f t="shared" si="99"/>
        <v>#N/A</v>
      </c>
      <c r="Q91" s="61" t="e">
        <f t="shared" si="100"/>
        <v>#N/A</v>
      </c>
      <c r="R91" s="61" t="e">
        <f t="shared" si="101"/>
        <v>#N/A</v>
      </c>
      <c r="S91" s="61" t="e">
        <f t="shared" si="102"/>
        <v>#N/A</v>
      </c>
      <c r="T91" s="61" t="e">
        <f t="shared" si="103"/>
        <v>#N/A</v>
      </c>
      <c r="U91" s="61" t="e">
        <f t="shared" si="104"/>
        <v>#N/A</v>
      </c>
      <c r="V91" s="61" t="e">
        <f t="shared" si="136"/>
        <v>#N/A</v>
      </c>
      <c r="X91" s="61" t="e">
        <f t="shared" si="137"/>
        <v>#N/A</v>
      </c>
      <c r="Y91" s="61" t="e">
        <f t="shared" si="138"/>
        <v>#N/A</v>
      </c>
      <c r="Z91" s="61" t="e">
        <f t="shared" si="105"/>
        <v>#N/A</v>
      </c>
      <c r="AA91" s="270" t="e">
        <f t="shared" si="139"/>
        <v>#N/A</v>
      </c>
      <c r="AB91" s="270" t="e">
        <f t="shared" si="140"/>
        <v>#N/A</v>
      </c>
      <c r="AC91" s="61" t="e">
        <f t="shared" si="106"/>
        <v>#N/A</v>
      </c>
      <c r="AD91" s="61" t="e">
        <f t="shared" si="107"/>
        <v>#N/A</v>
      </c>
      <c r="AE91" s="61" t="e">
        <f t="shared" si="108"/>
        <v>#N/A</v>
      </c>
      <c r="AF91" s="61" t="e">
        <f t="shared" si="109"/>
        <v>#N/A</v>
      </c>
      <c r="AG91" s="61" t="e">
        <f t="shared" si="110"/>
        <v>#N/A</v>
      </c>
      <c r="AH91" s="61" t="e">
        <f t="shared" si="111"/>
        <v>#N/A</v>
      </c>
      <c r="AI91" s="61" t="e">
        <f t="shared" si="112"/>
        <v>#N/A</v>
      </c>
      <c r="AJ91" s="61" t="e">
        <f t="shared" si="113"/>
        <v>#N/A</v>
      </c>
      <c r="AK91" s="61" t="e">
        <f t="shared" si="114"/>
        <v>#N/A</v>
      </c>
      <c r="AL91" s="61" t="e">
        <f t="shared" si="115"/>
        <v>#N/A</v>
      </c>
      <c r="AM91" s="61" t="e">
        <f t="shared" si="116"/>
        <v>#N/A</v>
      </c>
      <c r="AN91" s="61" t="e">
        <f t="shared" si="117"/>
        <v>#N/A</v>
      </c>
      <c r="AO91" s="61" t="e">
        <f t="shared" si="141"/>
        <v>#N/A</v>
      </c>
      <c r="AP91" s="61" t="e">
        <f t="shared" si="142"/>
        <v>#N/A</v>
      </c>
      <c r="AQ91" s="246" t="e">
        <f t="shared" ref="AQ91:AX91" si="149">AQ$104</f>
        <v>#N/A</v>
      </c>
      <c r="AR91" s="246" t="e">
        <f t="shared" si="149"/>
        <v>#N/A</v>
      </c>
      <c r="AS91" s="246" t="e">
        <f t="shared" si="149"/>
        <v>#N/A</v>
      </c>
      <c r="AT91" s="196" t="e">
        <f t="shared" si="119"/>
        <v>#N/A</v>
      </c>
      <c r="AU91" s="196" t="e">
        <f>ROUND((VLOOKUP(A91,INPUT_RANGE,85,FALSE)/AS91)*('Team Info'!$H$25),2)</f>
        <v>#N/A</v>
      </c>
      <c r="AV91" s="246"/>
      <c r="AW91" s="246" t="e">
        <f t="shared" si="149"/>
        <v>#N/A</v>
      </c>
      <c r="AX91" s="246" t="e">
        <f t="shared" si="149"/>
        <v>#N/A</v>
      </c>
      <c r="AY91">
        <f>AY100</f>
        <v>0.44444444444444442</v>
      </c>
      <c r="AZ91" s="257" t="e">
        <f t="shared" si="145"/>
        <v>#N/A</v>
      </c>
      <c r="BA91" t="e">
        <f t="shared" si="146"/>
        <v>#N/A</v>
      </c>
      <c r="BB91" s="298" t="e">
        <f>BB104</f>
        <v>#N/A</v>
      </c>
      <c r="BC91" s="298" t="e">
        <f t="shared" ref="BC91:BL91" si="150">BC104</f>
        <v>#N/A</v>
      </c>
      <c r="BD91" s="298" t="e">
        <f t="shared" si="150"/>
        <v>#N/A</v>
      </c>
      <c r="BE91" s="308" t="e">
        <f t="shared" si="150"/>
        <v>#N/A</v>
      </c>
      <c r="BF91" s="298" t="e">
        <f t="shared" si="150"/>
        <v>#N/A</v>
      </c>
      <c r="BG91" s="298" t="e">
        <f t="shared" si="150"/>
        <v>#N/A</v>
      </c>
      <c r="BH91" s="298" t="e">
        <f t="shared" si="150"/>
        <v>#N/A</v>
      </c>
      <c r="BI91" s="298" t="e">
        <f t="shared" si="150"/>
        <v>#N/A</v>
      </c>
      <c r="BJ91" s="298" t="e">
        <f t="shared" si="150"/>
        <v>#N/A</v>
      </c>
      <c r="BK91" s="298" t="e">
        <f t="shared" si="150"/>
        <v>#N/A</v>
      </c>
      <c r="BL91" s="298" t="e">
        <f t="shared" si="150"/>
        <v>#N/A</v>
      </c>
      <c r="BM91" s="297" t="e">
        <f t="shared" si="130"/>
        <v>#N/A</v>
      </c>
    </row>
    <row r="92" spans="1:65" x14ac:dyDescent="0.25">
      <c r="A92" s="30">
        <v>91</v>
      </c>
      <c r="B92" s="30">
        <v>91</v>
      </c>
      <c r="C92" s="58" t="str">
        <f>Roster!$X94</f>
        <v>- -</v>
      </c>
      <c r="D92" s="271" t="e">
        <f t="shared" ref="D92:D99" si="151">BA92</f>
        <v>#N/A</v>
      </c>
      <c r="E92" s="245"/>
      <c r="F92" s="271" t="e">
        <f t="shared" ref="F92:F99" si="152">M92</f>
        <v>#N/A</v>
      </c>
      <c r="G92" s="245"/>
      <c r="H92" s="274" t="e">
        <f t="shared" ref="H92:H99" si="153">T92</f>
        <v>#N/A</v>
      </c>
      <c r="I92" s="245"/>
      <c r="J92" s="274" t="e">
        <f t="shared" ref="J92:J99" si="154">N92</f>
        <v>#N/A</v>
      </c>
      <c r="K92" s="62"/>
      <c r="L92" s="63"/>
      <c r="M92" s="194" t="e">
        <f t="shared" si="135"/>
        <v>#N/A</v>
      </c>
      <c r="N92" s="61" t="e">
        <f t="shared" si="97"/>
        <v>#N/A</v>
      </c>
      <c r="O92" s="61" t="e">
        <f t="shared" si="98"/>
        <v>#N/A</v>
      </c>
      <c r="P92" s="61" t="e">
        <f t="shared" si="99"/>
        <v>#N/A</v>
      </c>
      <c r="Q92" s="61" t="e">
        <f t="shared" si="100"/>
        <v>#N/A</v>
      </c>
      <c r="R92" s="61" t="e">
        <f t="shared" si="101"/>
        <v>#N/A</v>
      </c>
      <c r="S92" s="61" t="e">
        <f t="shared" si="102"/>
        <v>#N/A</v>
      </c>
      <c r="T92" s="61" t="e">
        <f t="shared" si="103"/>
        <v>#N/A</v>
      </c>
      <c r="U92" s="61" t="e">
        <f t="shared" si="104"/>
        <v>#N/A</v>
      </c>
      <c r="V92" s="61" t="e">
        <f t="shared" si="136"/>
        <v>#N/A</v>
      </c>
      <c r="X92" s="61" t="e">
        <f t="shared" si="137"/>
        <v>#N/A</v>
      </c>
      <c r="Y92" s="61" t="e">
        <f t="shared" si="138"/>
        <v>#N/A</v>
      </c>
      <c r="Z92" s="61" t="e">
        <f t="shared" si="105"/>
        <v>#N/A</v>
      </c>
      <c r="AA92" s="270" t="e">
        <f t="shared" si="139"/>
        <v>#N/A</v>
      </c>
      <c r="AB92" s="270" t="e">
        <f t="shared" si="140"/>
        <v>#N/A</v>
      </c>
      <c r="AC92" s="61" t="e">
        <f t="shared" si="106"/>
        <v>#N/A</v>
      </c>
      <c r="AD92" s="61" t="e">
        <f t="shared" si="107"/>
        <v>#N/A</v>
      </c>
      <c r="AE92" s="61" t="e">
        <f t="shared" si="108"/>
        <v>#N/A</v>
      </c>
      <c r="AF92" s="61" t="e">
        <f t="shared" si="109"/>
        <v>#N/A</v>
      </c>
      <c r="AG92" s="61" t="e">
        <f t="shared" si="110"/>
        <v>#N/A</v>
      </c>
      <c r="AH92" s="61" t="e">
        <f t="shared" si="111"/>
        <v>#N/A</v>
      </c>
      <c r="AI92" s="61" t="e">
        <f t="shared" si="112"/>
        <v>#N/A</v>
      </c>
      <c r="AJ92" s="61" t="e">
        <f t="shared" si="113"/>
        <v>#N/A</v>
      </c>
      <c r="AK92" s="61" t="e">
        <f t="shared" si="114"/>
        <v>#N/A</v>
      </c>
      <c r="AL92" s="61" t="e">
        <f t="shared" si="115"/>
        <v>#N/A</v>
      </c>
      <c r="AM92" s="61" t="e">
        <f t="shared" si="116"/>
        <v>#N/A</v>
      </c>
      <c r="AN92" s="61" t="e">
        <f t="shared" si="117"/>
        <v>#N/A</v>
      </c>
      <c r="AO92" s="61" t="e">
        <f t="shared" si="141"/>
        <v>#N/A</v>
      </c>
      <c r="AP92" s="61" t="e">
        <f t="shared" si="142"/>
        <v>#N/A</v>
      </c>
      <c r="AQ92" s="247" t="e">
        <f t="shared" ref="AQ92:AQ99" si="155" xml:space="preserve"> IF(LEFT(RIGHT((VLOOKUP(A92,INPUT_RANGE,82,FALSE)),2),1)=".",RIGHT(VLOOKUP(A92,INPUT_RANGE,82,FALSE),1), "X")</f>
        <v>#N/A</v>
      </c>
      <c r="AR92" s="247" t="e">
        <f t="shared" ref="AR92:AR104" si="156">IF(AQ92 ="1",0.333,IF(AQ92="2",0.666,0))</f>
        <v>#N/A</v>
      </c>
      <c r="AS92" s="247" t="e">
        <f t="shared" ref="AS92:AS99" si="157">VLOOKUP(A92,INPUT_RANGE,82,FALSE)-(AQ92*0.1)+AR92</f>
        <v>#N/A</v>
      </c>
      <c r="AT92" s="196" t="e">
        <f t="shared" si="119"/>
        <v>#N/A</v>
      </c>
      <c r="AU92" s="196" t="e">
        <f>ROUND((VLOOKUP(A92,INPUT_RANGE,85,FALSE)/AS92)*('Team Info'!$H$25),2)</f>
        <v>#N/A</v>
      </c>
      <c r="AV92" s="8"/>
      <c r="AW92" s="197" t="e">
        <f t="shared" si="143"/>
        <v>#N/A</v>
      </c>
      <c r="AX92" s="197" t="e">
        <f t="shared" si="144"/>
        <v>#N/A</v>
      </c>
      <c r="AY92">
        <f t="shared" si="120"/>
        <v>0.44444444444444442</v>
      </c>
      <c r="AZ92" s="257" t="e">
        <f t="shared" si="145"/>
        <v>#N/A</v>
      </c>
      <c r="BA92" t="e">
        <f t="shared" si="146"/>
        <v>#N/A</v>
      </c>
      <c r="BB92" s="298" t="e">
        <f t="shared" si="121"/>
        <v>#N/A</v>
      </c>
      <c r="BC92" s="298" t="e">
        <f t="shared" si="122"/>
        <v>#N/A</v>
      </c>
      <c r="BD92" s="298" t="e">
        <f t="shared" si="123"/>
        <v>#N/A</v>
      </c>
      <c r="BE92" s="308" t="e">
        <f t="shared" si="59"/>
        <v>#N/A</v>
      </c>
      <c r="BF92" s="298" t="e">
        <f t="shared" si="147"/>
        <v>#N/A</v>
      </c>
      <c r="BG92" s="298" t="e">
        <f t="shared" si="124"/>
        <v>#N/A</v>
      </c>
      <c r="BH92" s="298" t="e">
        <f t="shared" si="125"/>
        <v>#N/A</v>
      </c>
      <c r="BI92" s="298" t="e">
        <f t="shared" si="126"/>
        <v>#N/A</v>
      </c>
      <c r="BJ92" s="297" t="e">
        <f t="shared" si="127"/>
        <v>#N/A</v>
      </c>
      <c r="BK92" s="297" t="e">
        <f t="shared" si="128"/>
        <v>#N/A</v>
      </c>
      <c r="BL92" s="297" t="e">
        <f t="shared" si="129"/>
        <v>#N/A</v>
      </c>
      <c r="BM92" s="297" t="e">
        <f t="shared" si="130"/>
        <v>#N/A</v>
      </c>
    </row>
    <row r="93" spans="1:65" x14ac:dyDescent="0.25">
      <c r="A93" s="30">
        <v>92</v>
      </c>
      <c r="B93" s="30">
        <v>92</v>
      </c>
      <c r="C93" s="58" t="str">
        <f>Roster!$X95</f>
        <v>- -</v>
      </c>
      <c r="D93" s="271" t="e">
        <f t="shared" si="151"/>
        <v>#N/A</v>
      </c>
      <c r="E93" s="245"/>
      <c r="F93" s="271" t="e">
        <f t="shared" si="152"/>
        <v>#N/A</v>
      </c>
      <c r="G93" s="245"/>
      <c r="H93" s="274" t="e">
        <f t="shared" si="153"/>
        <v>#N/A</v>
      </c>
      <c r="I93" s="245"/>
      <c r="J93" s="274" t="e">
        <f t="shared" si="154"/>
        <v>#N/A</v>
      </c>
      <c r="K93" s="62"/>
      <c r="L93" s="63"/>
      <c r="M93" s="194" t="e">
        <f t="shared" si="135"/>
        <v>#N/A</v>
      </c>
      <c r="N93" s="61" t="e">
        <f t="shared" si="97"/>
        <v>#N/A</v>
      </c>
      <c r="O93" s="61" t="e">
        <f t="shared" si="98"/>
        <v>#N/A</v>
      </c>
      <c r="P93" s="61" t="e">
        <f t="shared" si="99"/>
        <v>#N/A</v>
      </c>
      <c r="Q93" s="61" t="e">
        <f t="shared" si="100"/>
        <v>#N/A</v>
      </c>
      <c r="R93" s="61" t="e">
        <f t="shared" si="101"/>
        <v>#N/A</v>
      </c>
      <c r="S93" s="61" t="e">
        <f t="shared" si="102"/>
        <v>#N/A</v>
      </c>
      <c r="T93" s="61" t="e">
        <f t="shared" si="103"/>
        <v>#N/A</v>
      </c>
      <c r="U93" s="61" t="e">
        <f t="shared" si="104"/>
        <v>#N/A</v>
      </c>
      <c r="V93" s="61" t="e">
        <f t="shared" si="136"/>
        <v>#N/A</v>
      </c>
      <c r="X93" s="61" t="e">
        <f t="shared" si="137"/>
        <v>#N/A</v>
      </c>
      <c r="Y93" s="61" t="e">
        <f t="shared" si="138"/>
        <v>#N/A</v>
      </c>
      <c r="Z93" s="61" t="e">
        <f t="shared" si="105"/>
        <v>#N/A</v>
      </c>
      <c r="AA93" s="270" t="e">
        <f t="shared" si="139"/>
        <v>#N/A</v>
      </c>
      <c r="AB93" s="270" t="e">
        <f t="shared" si="140"/>
        <v>#N/A</v>
      </c>
      <c r="AC93" s="61" t="e">
        <f t="shared" si="106"/>
        <v>#N/A</v>
      </c>
      <c r="AD93" s="61" t="e">
        <f t="shared" si="107"/>
        <v>#N/A</v>
      </c>
      <c r="AE93" s="61" t="e">
        <f t="shared" si="108"/>
        <v>#N/A</v>
      </c>
      <c r="AF93" s="61" t="e">
        <f t="shared" si="109"/>
        <v>#N/A</v>
      </c>
      <c r="AG93" s="61" t="e">
        <f t="shared" si="110"/>
        <v>#N/A</v>
      </c>
      <c r="AH93" s="61" t="e">
        <f t="shared" si="111"/>
        <v>#N/A</v>
      </c>
      <c r="AI93" s="61" t="e">
        <f t="shared" si="112"/>
        <v>#N/A</v>
      </c>
      <c r="AJ93" s="61" t="e">
        <f t="shared" si="113"/>
        <v>#N/A</v>
      </c>
      <c r="AK93" s="61" t="e">
        <f t="shared" si="114"/>
        <v>#N/A</v>
      </c>
      <c r="AL93" s="61" t="e">
        <f t="shared" si="115"/>
        <v>#N/A</v>
      </c>
      <c r="AM93" s="61" t="e">
        <f t="shared" si="116"/>
        <v>#N/A</v>
      </c>
      <c r="AN93" s="61" t="e">
        <f t="shared" si="117"/>
        <v>#N/A</v>
      </c>
      <c r="AO93" s="61" t="e">
        <f t="shared" si="141"/>
        <v>#N/A</v>
      </c>
      <c r="AP93" s="61" t="e">
        <f t="shared" si="142"/>
        <v>#N/A</v>
      </c>
      <c r="AQ93" s="247" t="e">
        <f t="shared" si="155"/>
        <v>#N/A</v>
      </c>
      <c r="AR93" s="247" t="e">
        <f t="shared" si="156"/>
        <v>#N/A</v>
      </c>
      <c r="AS93" s="247" t="e">
        <f t="shared" si="157"/>
        <v>#N/A</v>
      </c>
      <c r="AT93" s="196" t="e">
        <f t="shared" si="119"/>
        <v>#N/A</v>
      </c>
      <c r="AU93" s="196" t="e">
        <f>ROUND((VLOOKUP(A93,INPUT_RANGE,85,FALSE)/AS93)*('Team Info'!$H$25),2)</f>
        <v>#N/A</v>
      </c>
      <c r="AV93" s="8"/>
      <c r="AW93" s="197" t="e">
        <f t="shared" si="143"/>
        <v>#N/A</v>
      </c>
      <c r="AX93" s="197" t="e">
        <f t="shared" si="144"/>
        <v>#N/A</v>
      </c>
      <c r="AY93">
        <f t="shared" si="120"/>
        <v>0.44444444444444442</v>
      </c>
      <c r="AZ93" s="257" t="e">
        <f t="shared" si="145"/>
        <v>#N/A</v>
      </c>
      <c r="BA93" t="e">
        <f t="shared" si="146"/>
        <v>#N/A</v>
      </c>
      <c r="BB93" s="298" t="e">
        <f t="shared" si="121"/>
        <v>#N/A</v>
      </c>
      <c r="BC93" s="298" t="e">
        <f t="shared" si="122"/>
        <v>#N/A</v>
      </c>
      <c r="BD93" s="298" t="e">
        <f t="shared" si="123"/>
        <v>#N/A</v>
      </c>
      <c r="BE93" s="308" t="e">
        <f t="shared" si="59"/>
        <v>#N/A</v>
      </c>
      <c r="BF93" s="298" t="e">
        <f t="shared" si="147"/>
        <v>#N/A</v>
      </c>
      <c r="BG93" s="298" t="e">
        <f t="shared" si="124"/>
        <v>#N/A</v>
      </c>
      <c r="BH93" s="298" t="e">
        <f t="shared" si="125"/>
        <v>#N/A</v>
      </c>
      <c r="BI93" s="298" t="e">
        <f t="shared" si="126"/>
        <v>#N/A</v>
      </c>
      <c r="BJ93" s="297" t="e">
        <f t="shared" si="127"/>
        <v>#N/A</v>
      </c>
      <c r="BK93" s="297" t="e">
        <f t="shared" si="128"/>
        <v>#N/A</v>
      </c>
      <c r="BL93" s="297" t="e">
        <f t="shared" si="129"/>
        <v>#N/A</v>
      </c>
      <c r="BM93" s="297" t="e">
        <f t="shared" si="130"/>
        <v>#N/A</v>
      </c>
    </row>
    <row r="94" spans="1:65" x14ac:dyDescent="0.25">
      <c r="A94" s="30">
        <v>93</v>
      </c>
      <c r="B94" s="30">
        <v>93</v>
      </c>
      <c r="C94" s="58" t="str">
        <f>Roster!$X96</f>
        <v>- -</v>
      </c>
      <c r="D94" s="271" t="e">
        <f t="shared" si="151"/>
        <v>#N/A</v>
      </c>
      <c r="E94" s="245"/>
      <c r="F94" s="271" t="e">
        <f t="shared" si="152"/>
        <v>#N/A</v>
      </c>
      <c r="G94" s="245"/>
      <c r="H94" s="274" t="e">
        <f t="shared" si="153"/>
        <v>#N/A</v>
      </c>
      <c r="I94" s="245"/>
      <c r="J94" s="274" t="e">
        <f t="shared" si="154"/>
        <v>#N/A</v>
      </c>
      <c r="K94" s="62"/>
      <c r="L94" s="63"/>
      <c r="M94" s="194" t="e">
        <f t="shared" si="135"/>
        <v>#N/A</v>
      </c>
      <c r="N94" s="61" t="e">
        <f t="shared" si="97"/>
        <v>#N/A</v>
      </c>
      <c r="O94" s="61" t="e">
        <f t="shared" si="98"/>
        <v>#N/A</v>
      </c>
      <c r="P94" s="61" t="e">
        <f t="shared" si="99"/>
        <v>#N/A</v>
      </c>
      <c r="Q94" s="61" t="e">
        <f t="shared" si="100"/>
        <v>#N/A</v>
      </c>
      <c r="R94" s="61" t="e">
        <f t="shared" si="101"/>
        <v>#N/A</v>
      </c>
      <c r="S94" s="61" t="e">
        <f t="shared" si="102"/>
        <v>#N/A</v>
      </c>
      <c r="T94" s="61" t="e">
        <f t="shared" si="103"/>
        <v>#N/A</v>
      </c>
      <c r="U94" s="61" t="e">
        <f t="shared" si="104"/>
        <v>#N/A</v>
      </c>
      <c r="V94" s="61" t="e">
        <f t="shared" si="136"/>
        <v>#N/A</v>
      </c>
      <c r="X94" s="61" t="e">
        <f t="shared" si="137"/>
        <v>#N/A</v>
      </c>
      <c r="Y94" s="61" t="e">
        <f t="shared" si="138"/>
        <v>#N/A</v>
      </c>
      <c r="Z94" s="61" t="e">
        <f t="shared" si="105"/>
        <v>#N/A</v>
      </c>
      <c r="AA94" s="270" t="e">
        <f t="shared" si="139"/>
        <v>#N/A</v>
      </c>
      <c r="AB94" s="270" t="e">
        <f t="shared" si="140"/>
        <v>#N/A</v>
      </c>
      <c r="AC94" s="61" t="e">
        <f t="shared" si="106"/>
        <v>#N/A</v>
      </c>
      <c r="AD94" s="61" t="e">
        <f t="shared" si="107"/>
        <v>#N/A</v>
      </c>
      <c r="AE94" s="61" t="e">
        <f t="shared" si="108"/>
        <v>#N/A</v>
      </c>
      <c r="AF94" s="61" t="e">
        <f t="shared" si="109"/>
        <v>#N/A</v>
      </c>
      <c r="AG94" s="61" t="e">
        <f t="shared" si="110"/>
        <v>#N/A</v>
      </c>
      <c r="AH94" s="61" t="e">
        <f t="shared" si="111"/>
        <v>#N/A</v>
      </c>
      <c r="AI94" s="61" t="e">
        <f t="shared" si="112"/>
        <v>#N/A</v>
      </c>
      <c r="AJ94" s="61" t="e">
        <f t="shared" si="113"/>
        <v>#N/A</v>
      </c>
      <c r="AK94" s="61" t="e">
        <f t="shared" si="114"/>
        <v>#N/A</v>
      </c>
      <c r="AL94" s="61" t="e">
        <f t="shared" si="115"/>
        <v>#N/A</v>
      </c>
      <c r="AM94" s="61" t="e">
        <f t="shared" si="116"/>
        <v>#N/A</v>
      </c>
      <c r="AN94" s="61" t="e">
        <f t="shared" si="117"/>
        <v>#N/A</v>
      </c>
      <c r="AO94" s="61" t="e">
        <f t="shared" si="141"/>
        <v>#N/A</v>
      </c>
      <c r="AP94" s="61" t="e">
        <f t="shared" si="142"/>
        <v>#N/A</v>
      </c>
      <c r="AQ94" s="247" t="e">
        <f t="shared" si="155"/>
        <v>#N/A</v>
      </c>
      <c r="AR94" s="247" t="e">
        <f t="shared" si="156"/>
        <v>#N/A</v>
      </c>
      <c r="AS94" s="247" t="e">
        <f t="shared" si="157"/>
        <v>#N/A</v>
      </c>
      <c r="AT94" s="196" t="e">
        <f t="shared" si="119"/>
        <v>#N/A</v>
      </c>
      <c r="AU94" s="196" t="e">
        <f>ROUND((VLOOKUP(A94,INPUT_RANGE,85,FALSE)/AS94)*('Team Info'!$H$25),2)</f>
        <v>#N/A</v>
      </c>
      <c r="AV94" s="8"/>
      <c r="AW94" s="197" t="e">
        <f t="shared" si="143"/>
        <v>#N/A</v>
      </c>
      <c r="AX94" s="197" t="e">
        <f t="shared" si="144"/>
        <v>#N/A</v>
      </c>
      <c r="AY94">
        <f t="shared" si="120"/>
        <v>0.44444444444444442</v>
      </c>
      <c r="AZ94" s="257" t="e">
        <f t="shared" si="145"/>
        <v>#N/A</v>
      </c>
      <c r="BA94" t="e">
        <f t="shared" si="146"/>
        <v>#N/A</v>
      </c>
      <c r="BB94" s="298" t="e">
        <f t="shared" si="121"/>
        <v>#N/A</v>
      </c>
      <c r="BC94" s="298" t="e">
        <f t="shared" si="122"/>
        <v>#N/A</v>
      </c>
      <c r="BD94" s="298" t="e">
        <f t="shared" si="123"/>
        <v>#N/A</v>
      </c>
      <c r="BE94" s="308" t="e">
        <f t="shared" si="59"/>
        <v>#N/A</v>
      </c>
      <c r="BF94" s="298" t="e">
        <f t="shared" si="147"/>
        <v>#N/A</v>
      </c>
      <c r="BG94" s="298" t="e">
        <f t="shared" si="124"/>
        <v>#N/A</v>
      </c>
      <c r="BH94" s="298" t="e">
        <f t="shared" si="125"/>
        <v>#N/A</v>
      </c>
      <c r="BI94" s="298" t="e">
        <f t="shared" si="126"/>
        <v>#N/A</v>
      </c>
      <c r="BJ94" s="297" t="e">
        <f t="shared" si="127"/>
        <v>#N/A</v>
      </c>
      <c r="BK94" s="297" t="e">
        <f t="shared" si="128"/>
        <v>#N/A</v>
      </c>
      <c r="BL94" s="297" t="e">
        <f t="shared" si="129"/>
        <v>#N/A</v>
      </c>
      <c r="BM94" s="297" t="e">
        <f t="shared" si="130"/>
        <v>#N/A</v>
      </c>
    </row>
    <row r="95" spans="1:65" x14ac:dyDescent="0.25">
      <c r="A95" s="30">
        <v>94</v>
      </c>
      <c r="B95" s="30">
        <v>94</v>
      </c>
      <c r="C95" s="58" t="str">
        <f>Roster!$X97</f>
        <v>- -</v>
      </c>
      <c r="D95" s="271" t="e">
        <f t="shared" si="151"/>
        <v>#N/A</v>
      </c>
      <c r="E95" s="245"/>
      <c r="F95" s="271" t="e">
        <f t="shared" si="152"/>
        <v>#N/A</v>
      </c>
      <c r="G95" s="245"/>
      <c r="H95" s="274" t="e">
        <f t="shared" si="153"/>
        <v>#N/A</v>
      </c>
      <c r="I95" s="245"/>
      <c r="J95" s="274" t="e">
        <f t="shared" si="154"/>
        <v>#N/A</v>
      </c>
      <c r="K95" s="62"/>
      <c r="L95" s="63"/>
      <c r="M95" s="194" t="e">
        <f t="shared" si="135"/>
        <v>#N/A</v>
      </c>
      <c r="N95" s="61" t="e">
        <f t="shared" si="97"/>
        <v>#N/A</v>
      </c>
      <c r="O95" s="61" t="e">
        <f t="shared" si="98"/>
        <v>#N/A</v>
      </c>
      <c r="P95" s="61" t="e">
        <f t="shared" si="99"/>
        <v>#N/A</v>
      </c>
      <c r="Q95" s="61" t="e">
        <f t="shared" si="100"/>
        <v>#N/A</v>
      </c>
      <c r="R95" s="61" t="e">
        <f t="shared" si="101"/>
        <v>#N/A</v>
      </c>
      <c r="S95" s="61" t="e">
        <f t="shared" si="102"/>
        <v>#N/A</v>
      </c>
      <c r="T95" s="61" t="e">
        <f t="shared" si="103"/>
        <v>#N/A</v>
      </c>
      <c r="U95" s="61" t="e">
        <f t="shared" si="104"/>
        <v>#N/A</v>
      </c>
      <c r="V95" s="61" t="e">
        <f t="shared" si="136"/>
        <v>#N/A</v>
      </c>
      <c r="X95" s="61" t="e">
        <f t="shared" si="137"/>
        <v>#N/A</v>
      </c>
      <c r="Y95" s="61" t="e">
        <f t="shared" si="138"/>
        <v>#N/A</v>
      </c>
      <c r="Z95" s="61" t="e">
        <f t="shared" si="105"/>
        <v>#N/A</v>
      </c>
      <c r="AA95" s="270" t="e">
        <f t="shared" si="139"/>
        <v>#N/A</v>
      </c>
      <c r="AB95" s="270" t="e">
        <f t="shared" si="140"/>
        <v>#N/A</v>
      </c>
      <c r="AC95" s="61" t="e">
        <f t="shared" si="106"/>
        <v>#N/A</v>
      </c>
      <c r="AD95" s="61" t="e">
        <f t="shared" si="107"/>
        <v>#N/A</v>
      </c>
      <c r="AE95" s="61" t="e">
        <f t="shared" si="108"/>
        <v>#N/A</v>
      </c>
      <c r="AF95" s="61" t="e">
        <f t="shared" si="109"/>
        <v>#N/A</v>
      </c>
      <c r="AG95" s="61" t="e">
        <f t="shared" si="110"/>
        <v>#N/A</v>
      </c>
      <c r="AH95" s="61" t="e">
        <f t="shared" si="111"/>
        <v>#N/A</v>
      </c>
      <c r="AI95" s="61" t="e">
        <f t="shared" si="112"/>
        <v>#N/A</v>
      </c>
      <c r="AJ95" s="61" t="e">
        <f t="shared" si="113"/>
        <v>#N/A</v>
      </c>
      <c r="AK95" s="61" t="e">
        <f t="shared" si="114"/>
        <v>#N/A</v>
      </c>
      <c r="AL95" s="61" t="e">
        <f t="shared" si="115"/>
        <v>#N/A</v>
      </c>
      <c r="AM95" s="61" t="e">
        <f t="shared" si="116"/>
        <v>#N/A</v>
      </c>
      <c r="AN95" s="61" t="e">
        <f t="shared" si="117"/>
        <v>#N/A</v>
      </c>
      <c r="AO95" s="61" t="e">
        <f t="shared" si="141"/>
        <v>#N/A</v>
      </c>
      <c r="AP95" s="61" t="e">
        <f t="shared" si="142"/>
        <v>#N/A</v>
      </c>
      <c r="AQ95" s="247" t="e">
        <f t="shared" si="155"/>
        <v>#N/A</v>
      </c>
      <c r="AR95" s="247" t="e">
        <f t="shared" si="156"/>
        <v>#N/A</v>
      </c>
      <c r="AS95" s="247" t="e">
        <f t="shared" si="157"/>
        <v>#N/A</v>
      </c>
      <c r="AT95" s="196" t="e">
        <f t="shared" si="119"/>
        <v>#N/A</v>
      </c>
      <c r="AU95" s="196" t="e">
        <f>ROUND((VLOOKUP(A95,INPUT_RANGE,85,FALSE)/AS95)*('Team Info'!$H$25),2)</f>
        <v>#N/A</v>
      </c>
      <c r="AV95" s="8"/>
      <c r="AW95" s="197" t="e">
        <f t="shared" si="143"/>
        <v>#N/A</v>
      </c>
      <c r="AX95" s="197" t="e">
        <f t="shared" si="144"/>
        <v>#N/A</v>
      </c>
      <c r="AY95">
        <f t="shared" si="120"/>
        <v>0.44444444444444442</v>
      </c>
      <c r="AZ95" s="257" t="e">
        <f t="shared" si="145"/>
        <v>#N/A</v>
      </c>
      <c r="BA95" t="e">
        <f t="shared" si="146"/>
        <v>#N/A</v>
      </c>
      <c r="BB95" s="298" t="e">
        <f t="shared" si="121"/>
        <v>#N/A</v>
      </c>
      <c r="BC95" s="298" t="e">
        <f t="shared" si="122"/>
        <v>#N/A</v>
      </c>
      <c r="BD95" s="298" t="e">
        <f t="shared" si="123"/>
        <v>#N/A</v>
      </c>
      <c r="BE95" s="308" t="e">
        <f t="shared" ref="BE95:BE104" si="158">AU95</f>
        <v>#N/A</v>
      </c>
      <c r="BF95" s="298" t="e">
        <f t="shared" si="147"/>
        <v>#N/A</v>
      </c>
      <c r="BG95" s="298" t="e">
        <f t="shared" si="124"/>
        <v>#N/A</v>
      </c>
      <c r="BH95" s="298" t="e">
        <f t="shared" si="125"/>
        <v>#N/A</v>
      </c>
      <c r="BI95" s="298" t="e">
        <f t="shared" si="126"/>
        <v>#N/A</v>
      </c>
      <c r="BJ95" s="297" t="e">
        <f t="shared" si="127"/>
        <v>#N/A</v>
      </c>
      <c r="BK95" s="297" t="e">
        <f t="shared" si="128"/>
        <v>#N/A</v>
      </c>
      <c r="BL95" s="297" t="e">
        <f t="shared" si="129"/>
        <v>#N/A</v>
      </c>
      <c r="BM95" s="297" t="e">
        <f t="shared" si="130"/>
        <v>#N/A</v>
      </c>
    </row>
    <row r="96" spans="1:65" x14ac:dyDescent="0.25">
      <c r="A96" s="30">
        <v>95</v>
      </c>
      <c r="B96" s="30">
        <v>95</v>
      </c>
      <c r="C96" s="58" t="str">
        <f>Roster!$X98</f>
        <v>- -</v>
      </c>
      <c r="D96" s="271" t="e">
        <f t="shared" si="151"/>
        <v>#N/A</v>
      </c>
      <c r="E96" s="245"/>
      <c r="F96" s="271" t="e">
        <f t="shared" si="152"/>
        <v>#N/A</v>
      </c>
      <c r="G96" s="245"/>
      <c r="H96" s="274" t="e">
        <f t="shared" si="153"/>
        <v>#N/A</v>
      </c>
      <c r="I96" s="245"/>
      <c r="J96" s="274" t="e">
        <f t="shared" si="154"/>
        <v>#N/A</v>
      </c>
      <c r="K96" s="62"/>
      <c r="L96" s="63"/>
      <c r="M96" s="194" t="e">
        <f t="shared" si="135"/>
        <v>#N/A</v>
      </c>
      <c r="N96" s="61" t="e">
        <f t="shared" si="97"/>
        <v>#N/A</v>
      </c>
      <c r="O96" s="61" t="e">
        <f t="shared" si="98"/>
        <v>#N/A</v>
      </c>
      <c r="P96" s="61" t="e">
        <f t="shared" si="99"/>
        <v>#N/A</v>
      </c>
      <c r="Q96" s="61" t="e">
        <f t="shared" si="100"/>
        <v>#N/A</v>
      </c>
      <c r="R96" s="61" t="e">
        <f t="shared" si="101"/>
        <v>#N/A</v>
      </c>
      <c r="S96" s="61" t="e">
        <f t="shared" si="102"/>
        <v>#N/A</v>
      </c>
      <c r="T96" s="61" t="e">
        <f t="shared" si="103"/>
        <v>#N/A</v>
      </c>
      <c r="U96" s="61" t="e">
        <f t="shared" si="104"/>
        <v>#N/A</v>
      </c>
      <c r="V96" s="61" t="e">
        <f t="shared" si="136"/>
        <v>#N/A</v>
      </c>
      <c r="X96" s="61" t="e">
        <f t="shared" si="137"/>
        <v>#N/A</v>
      </c>
      <c r="Y96" s="61" t="e">
        <f t="shared" si="138"/>
        <v>#N/A</v>
      </c>
      <c r="Z96" s="61" t="e">
        <f t="shared" si="105"/>
        <v>#N/A</v>
      </c>
      <c r="AA96" s="270" t="e">
        <f t="shared" si="139"/>
        <v>#N/A</v>
      </c>
      <c r="AB96" s="270" t="e">
        <f t="shared" si="140"/>
        <v>#N/A</v>
      </c>
      <c r="AC96" s="61" t="e">
        <f t="shared" si="106"/>
        <v>#N/A</v>
      </c>
      <c r="AD96" s="61" t="e">
        <f t="shared" si="107"/>
        <v>#N/A</v>
      </c>
      <c r="AE96" s="61" t="e">
        <f t="shared" si="108"/>
        <v>#N/A</v>
      </c>
      <c r="AF96" s="61" t="e">
        <f t="shared" si="109"/>
        <v>#N/A</v>
      </c>
      <c r="AG96" s="61" t="e">
        <f t="shared" si="110"/>
        <v>#N/A</v>
      </c>
      <c r="AH96" s="61" t="e">
        <f t="shared" si="111"/>
        <v>#N/A</v>
      </c>
      <c r="AI96" s="61" t="e">
        <f t="shared" si="112"/>
        <v>#N/A</v>
      </c>
      <c r="AJ96" s="61" t="e">
        <f t="shared" si="113"/>
        <v>#N/A</v>
      </c>
      <c r="AK96" s="61" t="e">
        <f t="shared" si="114"/>
        <v>#N/A</v>
      </c>
      <c r="AL96" s="61" t="e">
        <f t="shared" si="115"/>
        <v>#N/A</v>
      </c>
      <c r="AM96" s="61" t="e">
        <f t="shared" si="116"/>
        <v>#N/A</v>
      </c>
      <c r="AN96" s="61" t="e">
        <f t="shared" si="117"/>
        <v>#N/A</v>
      </c>
      <c r="AO96" s="61" t="e">
        <f t="shared" si="141"/>
        <v>#N/A</v>
      </c>
      <c r="AP96" s="61" t="e">
        <f t="shared" si="142"/>
        <v>#N/A</v>
      </c>
      <c r="AQ96" s="247" t="e">
        <f t="shared" si="155"/>
        <v>#N/A</v>
      </c>
      <c r="AR96" s="247" t="e">
        <f t="shared" si="156"/>
        <v>#N/A</v>
      </c>
      <c r="AS96" s="247" t="e">
        <f t="shared" si="157"/>
        <v>#N/A</v>
      </c>
      <c r="AT96" s="196" t="e">
        <f t="shared" si="119"/>
        <v>#N/A</v>
      </c>
      <c r="AU96" s="196" t="e">
        <f>ROUND((VLOOKUP(A96,INPUT_RANGE,85,FALSE)/AS96)*('Team Info'!$H$25),2)</f>
        <v>#N/A</v>
      </c>
      <c r="AV96" s="8"/>
      <c r="AW96" s="197" t="e">
        <f t="shared" si="143"/>
        <v>#N/A</v>
      </c>
      <c r="AX96" s="197" t="e">
        <f t="shared" si="144"/>
        <v>#N/A</v>
      </c>
      <c r="AY96">
        <f t="shared" si="120"/>
        <v>0.44444444444444442</v>
      </c>
      <c r="AZ96" s="257" t="e">
        <f t="shared" si="145"/>
        <v>#N/A</v>
      </c>
      <c r="BA96" t="e">
        <f t="shared" si="146"/>
        <v>#N/A</v>
      </c>
      <c r="BB96" s="298" t="e">
        <f t="shared" si="121"/>
        <v>#N/A</v>
      </c>
      <c r="BC96" s="298" t="e">
        <f t="shared" si="122"/>
        <v>#N/A</v>
      </c>
      <c r="BD96" s="298" t="e">
        <f t="shared" si="123"/>
        <v>#N/A</v>
      </c>
      <c r="BE96" s="308" t="e">
        <f t="shared" si="158"/>
        <v>#N/A</v>
      </c>
      <c r="BF96" s="298" t="e">
        <f t="shared" si="147"/>
        <v>#N/A</v>
      </c>
      <c r="BG96" s="298" t="e">
        <f t="shared" si="124"/>
        <v>#N/A</v>
      </c>
      <c r="BH96" s="298" t="e">
        <f t="shared" si="125"/>
        <v>#N/A</v>
      </c>
      <c r="BI96" s="298" t="e">
        <f t="shared" si="126"/>
        <v>#N/A</v>
      </c>
      <c r="BJ96" s="297" t="e">
        <f t="shared" si="127"/>
        <v>#N/A</v>
      </c>
      <c r="BK96" s="297" t="e">
        <f t="shared" si="128"/>
        <v>#N/A</v>
      </c>
      <c r="BL96" s="297" t="e">
        <f t="shared" si="129"/>
        <v>#N/A</v>
      </c>
      <c r="BM96" s="297" t="e">
        <f t="shared" si="130"/>
        <v>#N/A</v>
      </c>
    </row>
    <row r="97" spans="1:65" x14ac:dyDescent="0.25">
      <c r="A97" s="30">
        <v>96</v>
      </c>
      <c r="B97" s="30">
        <v>96</v>
      </c>
      <c r="C97" s="58" t="str">
        <f>Roster!$X99</f>
        <v>- -</v>
      </c>
      <c r="D97" s="271" t="e">
        <f t="shared" si="151"/>
        <v>#N/A</v>
      </c>
      <c r="E97" s="245"/>
      <c r="F97" s="271" t="e">
        <f t="shared" si="152"/>
        <v>#N/A</v>
      </c>
      <c r="G97" s="245"/>
      <c r="H97" s="274" t="e">
        <f t="shared" si="153"/>
        <v>#N/A</v>
      </c>
      <c r="I97" s="245"/>
      <c r="J97" s="274" t="e">
        <f t="shared" si="154"/>
        <v>#N/A</v>
      </c>
      <c r="K97" s="62"/>
      <c r="L97" s="63"/>
      <c r="M97" s="194" t="e">
        <f t="shared" si="135"/>
        <v>#N/A</v>
      </c>
      <c r="N97" s="61" t="e">
        <f t="shared" si="97"/>
        <v>#N/A</v>
      </c>
      <c r="O97" s="61" t="e">
        <f t="shared" si="98"/>
        <v>#N/A</v>
      </c>
      <c r="P97" s="61" t="e">
        <f t="shared" si="99"/>
        <v>#N/A</v>
      </c>
      <c r="Q97" s="61" t="e">
        <f t="shared" si="100"/>
        <v>#N/A</v>
      </c>
      <c r="R97" s="61" t="e">
        <f t="shared" si="101"/>
        <v>#N/A</v>
      </c>
      <c r="S97" s="61" t="e">
        <f t="shared" si="102"/>
        <v>#N/A</v>
      </c>
      <c r="T97" s="61" t="e">
        <f t="shared" si="103"/>
        <v>#N/A</v>
      </c>
      <c r="U97" s="61" t="e">
        <f t="shared" si="104"/>
        <v>#N/A</v>
      </c>
      <c r="V97" s="61" t="e">
        <f t="shared" si="136"/>
        <v>#N/A</v>
      </c>
      <c r="X97" s="61" t="e">
        <f t="shared" si="137"/>
        <v>#N/A</v>
      </c>
      <c r="Y97" s="61" t="e">
        <f t="shared" si="138"/>
        <v>#N/A</v>
      </c>
      <c r="Z97" s="61" t="e">
        <f t="shared" si="105"/>
        <v>#N/A</v>
      </c>
      <c r="AA97" s="270" t="e">
        <f t="shared" si="139"/>
        <v>#N/A</v>
      </c>
      <c r="AB97" s="270" t="e">
        <f t="shared" si="140"/>
        <v>#N/A</v>
      </c>
      <c r="AC97" s="61" t="e">
        <f t="shared" si="106"/>
        <v>#N/A</v>
      </c>
      <c r="AD97" s="61" t="e">
        <f t="shared" si="107"/>
        <v>#N/A</v>
      </c>
      <c r="AE97" s="61" t="e">
        <f t="shared" si="108"/>
        <v>#N/A</v>
      </c>
      <c r="AF97" s="61" t="e">
        <f t="shared" si="109"/>
        <v>#N/A</v>
      </c>
      <c r="AG97" s="61" t="e">
        <f t="shared" si="110"/>
        <v>#N/A</v>
      </c>
      <c r="AH97" s="61" t="e">
        <f t="shared" si="111"/>
        <v>#N/A</v>
      </c>
      <c r="AI97" s="61" t="e">
        <f t="shared" si="112"/>
        <v>#N/A</v>
      </c>
      <c r="AJ97" s="61" t="e">
        <f t="shared" si="113"/>
        <v>#N/A</v>
      </c>
      <c r="AK97" s="61" t="e">
        <f t="shared" si="114"/>
        <v>#N/A</v>
      </c>
      <c r="AL97" s="61" t="e">
        <f t="shared" si="115"/>
        <v>#N/A</v>
      </c>
      <c r="AM97" s="61" t="e">
        <f t="shared" si="116"/>
        <v>#N/A</v>
      </c>
      <c r="AN97" s="61" t="e">
        <f t="shared" si="117"/>
        <v>#N/A</v>
      </c>
      <c r="AO97" s="61" t="e">
        <f t="shared" si="141"/>
        <v>#N/A</v>
      </c>
      <c r="AP97" s="61" t="e">
        <f t="shared" si="142"/>
        <v>#N/A</v>
      </c>
      <c r="AQ97" s="247" t="e">
        <f t="shared" si="155"/>
        <v>#N/A</v>
      </c>
      <c r="AR97" s="247" t="e">
        <f t="shared" si="156"/>
        <v>#N/A</v>
      </c>
      <c r="AS97" s="247" t="e">
        <f t="shared" si="157"/>
        <v>#N/A</v>
      </c>
      <c r="AT97" s="196" t="e">
        <f t="shared" si="119"/>
        <v>#N/A</v>
      </c>
      <c r="AU97" s="196" t="e">
        <f>ROUND((VLOOKUP(A97,INPUT_RANGE,85,FALSE)/AS97)*('Team Info'!$H$25),2)</f>
        <v>#N/A</v>
      </c>
      <c r="AV97" s="8"/>
      <c r="AW97" s="197" t="e">
        <f t="shared" si="143"/>
        <v>#N/A</v>
      </c>
      <c r="AX97" s="197" t="e">
        <f t="shared" si="144"/>
        <v>#N/A</v>
      </c>
      <c r="AY97">
        <f t="shared" si="120"/>
        <v>0.44444444444444442</v>
      </c>
      <c r="AZ97" s="257" t="e">
        <f t="shared" si="145"/>
        <v>#N/A</v>
      </c>
      <c r="BA97" t="e">
        <f t="shared" si="146"/>
        <v>#N/A</v>
      </c>
      <c r="BB97" s="298" t="e">
        <f t="shared" si="121"/>
        <v>#N/A</v>
      </c>
      <c r="BC97" s="298" t="e">
        <f t="shared" si="122"/>
        <v>#N/A</v>
      </c>
      <c r="BD97" s="298" t="e">
        <f t="shared" si="123"/>
        <v>#N/A</v>
      </c>
      <c r="BE97" s="308" t="e">
        <f t="shared" si="158"/>
        <v>#N/A</v>
      </c>
      <c r="BF97" s="298" t="e">
        <f t="shared" si="147"/>
        <v>#N/A</v>
      </c>
      <c r="BG97" s="298" t="e">
        <f t="shared" si="124"/>
        <v>#N/A</v>
      </c>
      <c r="BH97" s="298" t="e">
        <f t="shared" si="125"/>
        <v>#N/A</v>
      </c>
      <c r="BI97" s="298" t="e">
        <f t="shared" si="126"/>
        <v>#N/A</v>
      </c>
      <c r="BJ97" s="297" t="e">
        <f t="shared" si="127"/>
        <v>#N/A</v>
      </c>
      <c r="BK97" s="297" t="e">
        <f t="shared" si="128"/>
        <v>#N/A</v>
      </c>
      <c r="BL97" s="297" t="e">
        <f t="shared" si="129"/>
        <v>#N/A</v>
      </c>
      <c r="BM97" s="297" t="e">
        <f t="shared" si="130"/>
        <v>#N/A</v>
      </c>
    </row>
    <row r="98" spans="1:65" x14ac:dyDescent="0.25">
      <c r="A98" s="30">
        <v>97</v>
      </c>
      <c r="B98" s="30">
        <v>97</v>
      </c>
      <c r="C98" s="58" t="str">
        <f>Roster!$X100</f>
        <v>- -</v>
      </c>
      <c r="D98" s="271" t="e">
        <f t="shared" si="151"/>
        <v>#N/A</v>
      </c>
      <c r="E98" s="245"/>
      <c r="F98" s="271" t="e">
        <f t="shared" si="152"/>
        <v>#N/A</v>
      </c>
      <c r="G98" s="245"/>
      <c r="H98" s="274" t="e">
        <f t="shared" si="153"/>
        <v>#N/A</v>
      </c>
      <c r="I98" s="245"/>
      <c r="J98" s="274" t="e">
        <f t="shared" si="154"/>
        <v>#N/A</v>
      </c>
      <c r="K98" s="62"/>
      <c r="L98" s="63"/>
      <c r="M98" s="194" t="e">
        <f t="shared" si="135"/>
        <v>#N/A</v>
      </c>
      <c r="N98" s="61" t="e">
        <f t="shared" si="97"/>
        <v>#N/A</v>
      </c>
      <c r="O98" s="61" t="e">
        <f t="shared" si="98"/>
        <v>#N/A</v>
      </c>
      <c r="P98" s="61" t="e">
        <f t="shared" si="99"/>
        <v>#N/A</v>
      </c>
      <c r="Q98" s="61" t="e">
        <f t="shared" si="100"/>
        <v>#N/A</v>
      </c>
      <c r="R98" s="61" t="e">
        <f t="shared" si="101"/>
        <v>#N/A</v>
      </c>
      <c r="S98" s="61" t="e">
        <f t="shared" si="102"/>
        <v>#N/A</v>
      </c>
      <c r="T98" s="61" t="e">
        <f t="shared" si="103"/>
        <v>#N/A</v>
      </c>
      <c r="U98" s="61" t="e">
        <f t="shared" si="104"/>
        <v>#N/A</v>
      </c>
      <c r="V98" s="61" t="e">
        <f t="shared" si="136"/>
        <v>#N/A</v>
      </c>
      <c r="X98" s="61" t="e">
        <f t="shared" si="137"/>
        <v>#N/A</v>
      </c>
      <c r="Y98" s="61" t="e">
        <f t="shared" si="138"/>
        <v>#N/A</v>
      </c>
      <c r="Z98" s="61" t="e">
        <f t="shared" si="105"/>
        <v>#N/A</v>
      </c>
      <c r="AA98" s="270" t="e">
        <f t="shared" si="139"/>
        <v>#N/A</v>
      </c>
      <c r="AB98" s="270" t="e">
        <f t="shared" si="140"/>
        <v>#N/A</v>
      </c>
      <c r="AC98" s="61" t="e">
        <f t="shared" si="106"/>
        <v>#N/A</v>
      </c>
      <c r="AD98" s="61" t="e">
        <f t="shared" si="107"/>
        <v>#N/A</v>
      </c>
      <c r="AE98" s="61" t="e">
        <f t="shared" si="108"/>
        <v>#N/A</v>
      </c>
      <c r="AF98" s="61" t="e">
        <f t="shared" si="109"/>
        <v>#N/A</v>
      </c>
      <c r="AG98" s="61" t="e">
        <f t="shared" si="110"/>
        <v>#N/A</v>
      </c>
      <c r="AH98" s="61" t="e">
        <f t="shared" si="111"/>
        <v>#N/A</v>
      </c>
      <c r="AI98" s="61" t="e">
        <f t="shared" si="112"/>
        <v>#N/A</v>
      </c>
      <c r="AJ98" s="61" t="e">
        <f t="shared" si="113"/>
        <v>#N/A</v>
      </c>
      <c r="AK98" s="61" t="e">
        <f t="shared" si="114"/>
        <v>#N/A</v>
      </c>
      <c r="AL98" s="61" t="e">
        <f t="shared" si="115"/>
        <v>#N/A</v>
      </c>
      <c r="AM98" s="61" t="e">
        <f t="shared" si="116"/>
        <v>#N/A</v>
      </c>
      <c r="AN98" s="61" t="e">
        <f t="shared" si="117"/>
        <v>#N/A</v>
      </c>
      <c r="AO98" s="61" t="e">
        <f t="shared" si="141"/>
        <v>#N/A</v>
      </c>
      <c r="AP98" s="61" t="e">
        <f t="shared" si="142"/>
        <v>#N/A</v>
      </c>
      <c r="AQ98" s="247" t="e">
        <f t="shared" si="155"/>
        <v>#N/A</v>
      </c>
      <c r="AR98" s="247" t="e">
        <f t="shared" si="156"/>
        <v>#N/A</v>
      </c>
      <c r="AS98" s="247" t="e">
        <f t="shared" si="157"/>
        <v>#N/A</v>
      </c>
      <c r="AT98" s="196" t="e">
        <f t="shared" ref="AT98:AT100" si="159">ROUND((VLOOKUP(A98,INPUT_RANGE,86,FALSE)+VLOOKUP(A98,INPUT_RANGE,83,FALSE))/AS98,2)</f>
        <v>#N/A</v>
      </c>
      <c r="AU98" s="196" t="e">
        <f>ROUND((VLOOKUP(A98,INPUT_RANGE,85,FALSE)/AS98)*('Team Info'!$H$25),2)</f>
        <v>#N/A</v>
      </c>
      <c r="AV98" s="8"/>
      <c r="AW98" s="197" t="e">
        <f t="shared" si="143"/>
        <v>#N/A</v>
      </c>
      <c r="AX98" s="197" t="e">
        <f t="shared" si="144"/>
        <v>#N/A</v>
      </c>
      <c r="AY98">
        <f t="shared" ref="AY98:AY99" si="160">(VLOOKUP(A98,INPUT_RANGE,54)+VLOOKUP(A98,INPUT_RANGE,55)+(VLOOKUP(A98,INPUT_RANGE,56)*2)+(VLOOKUP(A98,INPUT_RANGE,57)*3))/(VLOOKUP(A98,INPUT_RANGE,52))</f>
        <v>0.44444444444444442</v>
      </c>
      <c r="AZ98" s="257" t="e">
        <f t="shared" si="145"/>
        <v>#N/A</v>
      </c>
      <c r="BA98" t="e">
        <f t="shared" si="146"/>
        <v>#N/A</v>
      </c>
      <c r="BB98" s="298" t="e">
        <f t="shared" si="121"/>
        <v>#N/A</v>
      </c>
      <c r="BC98" s="298" t="e">
        <f t="shared" si="122"/>
        <v>#N/A</v>
      </c>
      <c r="BD98" s="298" t="e">
        <f t="shared" si="123"/>
        <v>#N/A</v>
      </c>
      <c r="BE98" s="308" t="e">
        <f t="shared" si="158"/>
        <v>#N/A</v>
      </c>
      <c r="BF98" s="298" t="e">
        <f t="shared" si="147"/>
        <v>#N/A</v>
      </c>
      <c r="BG98" s="298" t="e">
        <f t="shared" si="124"/>
        <v>#N/A</v>
      </c>
      <c r="BH98" s="298" t="e">
        <f t="shared" si="125"/>
        <v>#N/A</v>
      </c>
      <c r="BI98" s="298" t="e">
        <f t="shared" si="126"/>
        <v>#N/A</v>
      </c>
      <c r="BJ98" s="297" t="e">
        <f t="shared" si="127"/>
        <v>#N/A</v>
      </c>
      <c r="BK98" s="297" t="e">
        <f t="shared" si="128"/>
        <v>#N/A</v>
      </c>
      <c r="BL98" s="297" t="e">
        <f t="shared" si="129"/>
        <v>#N/A</v>
      </c>
      <c r="BM98" s="297" t="e">
        <f t="shared" si="130"/>
        <v>#N/A</v>
      </c>
    </row>
    <row r="99" spans="1:65" x14ac:dyDescent="0.25">
      <c r="A99" s="30">
        <v>98</v>
      </c>
      <c r="B99" s="30">
        <v>98</v>
      </c>
      <c r="C99" s="58" t="str">
        <f>Roster!$X101</f>
        <v>- -</v>
      </c>
      <c r="D99" s="271" t="e">
        <f t="shared" si="151"/>
        <v>#N/A</v>
      </c>
      <c r="E99" s="245"/>
      <c r="F99" s="271" t="e">
        <f t="shared" si="152"/>
        <v>#N/A</v>
      </c>
      <c r="G99" s="245"/>
      <c r="H99" s="274" t="e">
        <f t="shared" si="153"/>
        <v>#N/A</v>
      </c>
      <c r="I99" s="245"/>
      <c r="J99" s="274" t="e">
        <f t="shared" si="154"/>
        <v>#N/A</v>
      </c>
      <c r="K99" s="62"/>
      <c r="L99" s="63"/>
      <c r="M99" s="194" t="e">
        <f t="shared" si="135"/>
        <v>#N/A</v>
      </c>
      <c r="N99" s="61" t="e">
        <f t="shared" si="97"/>
        <v>#N/A</v>
      </c>
      <c r="O99" s="61" t="e">
        <f t="shared" si="98"/>
        <v>#N/A</v>
      </c>
      <c r="P99" s="61" t="e">
        <f t="shared" si="99"/>
        <v>#N/A</v>
      </c>
      <c r="Q99" s="61" t="e">
        <f t="shared" si="100"/>
        <v>#N/A</v>
      </c>
      <c r="R99" s="61" t="e">
        <f t="shared" si="101"/>
        <v>#N/A</v>
      </c>
      <c r="S99" s="61" t="e">
        <f t="shared" si="102"/>
        <v>#N/A</v>
      </c>
      <c r="T99" s="61" t="e">
        <f t="shared" si="103"/>
        <v>#N/A</v>
      </c>
      <c r="U99" s="61" t="e">
        <f t="shared" si="104"/>
        <v>#N/A</v>
      </c>
      <c r="V99" s="61" t="e">
        <f t="shared" si="136"/>
        <v>#N/A</v>
      </c>
      <c r="X99" s="61" t="e">
        <f t="shared" si="137"/>
        <v>#N/A</v>
      </c>
      <c r="Y99" s="61" t="e">
        <f t="shared" si="138"/>
        <v>#N/A</v>
      </c>
      <c r="Z99" s="61" t="e">
        <f t="shared" si="105"/>
        <v>#N/A</v>
      </c>
      <c r="AA99" s="270" t="e">
        <f t="shared" si="139"/>
        <v>#N/A</v>
      </c>
      <c r="AB99" s="270" t="e">
        <f t="shared" si="140"/>
        <v>#N/A</v>
      </c>
      <c r="AC99" s="61" t="e">
        <f t="shared" si="106"/>
        <v>#N/A</v>
      </c>
      <c r="AD99" s="61" t="e">
        <f t="shared" si="107"/>
        <v>#N/A</v>
      </c>
      <c r="AE99" s="61" t="e">
        <f t="shared" si="108"/>
        <v>#N/A</v>
      </c>
      <c r="AF99" s="61" t="e">
        <f t="shared" si="109"/>
        <v>#N/A</v>
      </c>
      <c r="AG99" s="61" t="e">
        <f t="shared" si="110"/>
        <v>#N/A</v>
      </c>
      <c r="AH99" s="61" t="e">
        <f t="shared" si="111"/>
        <v>#N/A</v>
      </c>
      <c r="AI99" s="61" t="e">
        <f t="shared" si="112"/>
        <v>#N/A</v>
      </c>
      <c r="AJ99" s="61" t="e">
        <f t="shared" si="113"/>
        <v>#N/A</v>
      </c>
      <c r="AK99" s="61" t="e">
        <f t="shared" si="114"/>
        <v>#N/A</v>
      </c>
      <c r="AL99" s="61" t="e">
        <f t="shared" si="115"/>
        <v>#N/A</v>
      </c>
      <c r="AM99" s="61" t="e">
        <f t="shared" si="116"/>
        <v>#N/A</v>
      </c>
      <c r="AN99" s="61" t="e">
        <f t="shared" si="117"/>
        <v>#N/A</v>
      </c>
      <c r="AO99" s="61" t="e">
        <f t="shared" si="141"/>
        <v>#N/A</v>
      </c>
      <c r="AP99" s="61" t="e">
        <f t="shared" si="142"/>
        <v>#N/A</v>
      </c>
      <c r="AQ99" s="247" t="e">
        <f t="shared" si="155"/>
        <v>#N/A</v>
      </c>
      <c r="AR99" s="247" t="e">
        <f t="shared" si="156"/>
        <v>#N/A</v>
      </c>
      <c r="AS99" s="247" t="e">
        <f t="shared" si="157"/>
        <v>#N/A</v>
      </c>
      <c r="AT99" s="196" t="e">
        <f t="shared" si="159"/>
        <v>#N/A</v>
      </c>
      <c r="AU99" s="196" t="e">
        <f>ROUND((VLOOKUP(A99,INPUT_RANGE,85,FALSE)/AS99)*('Team Info'!$H$25),2)</f>
        <v>#N/A</v>
      </c>
      <c r="AV99" s="8"/>
      <c r="AW99" s="197" t="e">
        <f t="shared" si="143"/>
        <v>#N/A</v>
      </c>
      <c r="AX99" s="197" t="e">
        <f t="shared" si="144"/>
        <v>#N/A</v>
      </c>
      <c r="AY99">
        <f t="shared" si="160"/>
        <v>0.44444444444444442</v>
      </c>
      <c r="AZ99" s="257" t="e">
        <f t="shared" si="145"/>
        <v>#N/A</v>
      </c>
      <c r="BA99" t="e">
        <f t="shared" si="146"/>
        <v>#N/A</v>
      </c>
      <c r="BB99" s="298" t="e">
        <f t="shared" si="121"/>
        <v>#N/A</v>
      </c>
      <c r="BC99" s="298" t="e">
        <f t="shared" si="122"/>
        <v>#N/A</v>
      </c>
      <c r="BD99" s="298" t="e">
        <f t="shared" si="123"/>
        <v>#N/A</v>
      </c>
      <c r="BE99" s="308" t="e">
        <f t="shared" si="158"/>
        <v>#N/A</v>
      </c>
      <c r="BF99" s="298" t="e">
        <f t="shared" si="147"/>
        <v>#N/A</v>
      </c>
      <c r="BG99" s="298" t="e">
        <f t="shared" si="124"/>
        <v>#N/A</v>
      </c>
      <c r="BH99" s="298" t="e">
        <f t="shared" si="125"/>
        <v>#N/A</v>
      </c>
      <c r="BI99" s="298" t="e">
        <f t="shared" si="126"/>
        <v>#N/A</v>
      </c>
      <c r="BJ99" s="297" t="e">
        <f t="shared" si="127"/>
        <v>#N/A</v>
      </c>
      <c r="BK99" s="297" t="e">
        <f t="shared" si="128"/>
        <v>#N/A</v>
      </c>
      <c r="BL99" s="297" t="e">
        <f t="shared" si="129"/>
        <v>#N/A</v>
      </c>
      <c r="BM99" s="297" t="e">
        <f t="shared" si="130"/>
        <v>#N/A</v>
      </c>
    </row>
    <row r="100" spans="1:65" x14ac:dyDescent="0.25">
      <c r="A100" s="30">
        <v>99</v>
      </c>
      <c r="B100" s="126" t="s">
        <v>794</v>
      </c>
      <c r="C100" s="58" t="str">
        <f>Roster!$X102</f>
        <v>- -</v>
      </c>
      <c r="D100" s="271" t="e">
        <f t="shared" ref="D100" si="161">BA100</f>
        <v>#N/A</v>
      </c>
      <c r="E100" s="245"/>
      <c r="F100" s="271" t="e">
        <f t="shared" ref="F100" si="162">M100</f>
        <v>#N/A</v>
      </c>
      <c r="G100" s="245"/>
      <c r="H100" s="274" t="e">
        <f t="shared" ref="H100" si="163">T100</f>
        <v>#N/A</v>
      </c>
      <c r="I100" s="245"/>
      <c r="J100" s="274" t="e">
        <f t="shared" ref="J100" si="164">N100</f>
        <v>#N/A</v>
      </c>
      <c r="K100" s="62"/>
      <c r="L100" s="63"/>
      <c r="M100" s="194" t="e">
        <f t="shared" si="135"/>
        <v>#N/A</v>
      </c>
      <c r="N100" s="61" t="e">
        <f t="shared" si="97"/>
        <v>#N/A</v>
      </c>
      <c r="O100" s="61" t="e">
        <f t="shared" si="98"/>
        <v>#N/A</v>
      </c>
      <c r="P100" s="61" t="e">
        <f t="shared" si="99"/>
        <v>#N/A</v>
      </c>
      <c r="Q100" s="61" t="e">
        <f t="shared" si="100"/>
        <v>#N/A</v>
      </c>
      <c r="R100" s="61" t="e">
        <f t="shared" si="101"/>
        <v>#N/A</v>
      </c>
      <c r="S100" s="61" t="e">
        <f t="shared" si="102"/>
        <v>#N/A</v>
      </c>
      <c r="T100" s="61" t="e">
        <f t="shared" si="103"/>
        <v>#N/A</v>
      </c>
      <c r="U100" s="61" t="e">
        <f t="shared" si="104"/>
        <v>#N/A</v>
      </c>
      <c r="V100" s="61" t="e">
        <f t="shared" si="136"/>
        <v>#N/A</v>
      </c>
      <c r="X100" s="61" t="e">
        <f t="shared" si="137"/>
        <v>#N/A</v>
      </c>
      <c r="Y100" s="61" t="e">
        <f t="shared" si="138"/>
        <v>#N/A</v>
      </c>
      <c r="Z100" s="61" t="e">
        <f t="shared" si="105"/>
        <v>#N/A</v>
      </c>
      <c r="AA100" s="270" t="e">
        <f t="shared" si="139"/>
        <v>#N/A</v>
      </c>
      <c r="AB100" s="270" t="e">
        <f t="shared" si="140"/>
        <v>#N/A</v>
      </c>
      <c r="AC100" s="61" t="e">
        <f t="shared" si="106"/>
        <v>#N/A</v>
      </c>
      <c r="AD100" s="61" t="e">
        <f t="shared" si="107"/>
        <v>#N/A</v>
      </c>
      <c r="AE100" s="61" t="e">
        <f t="shared" si="108"/>
        <v>#N/A</v>
      </c>
      <c r="AF100" s="61" t="e">
        <f t="shared" si="109"/>
        <v>#N/A</v>
      </c>
      <c r="AG100" s="61" t="e">
        <f t="shared" si="110"/>
        <v>#N/A</v>
      </c>
      <c r="AH100" s="61" t="e">
        <f t="shared" si="111"/>
        <v>#N/A</v>
      </c>
      <c r="AI100" s="61" t="e">
        <f t="shared" si="112"/>
        <v>#N/A</v>
      </c>
      <c r="AJ100" s="61" t="e">
        <f t="shared" si="113"/>
        <v>#N/A</v>
      </c>
      <c r="AK100" s="61" t="e">
        <f t="shared" si="114"/>
        <v>#N/A</v>
      </c>
      <c r="AL100" s="61" t="e">
        <f t="shared" si="115"/>
        <v>#N/A</v>
      </c>
      <c r="AM100" s="61" t="e">
        <f t="shared" si="116"/>
        <v>#N/A</v>
      </c>
      <c r="AN100" s="61" t="e">
        <f t="shared" si="117"/>
        <v>#N/A</v>
      </c>
      <c r="AO100" s="61" t="e">
        <f t="shared" si="141"/>
        <v>#N/A</v>
      </c>
      <c r="AP100" s="61" t="e">
        <f t="shared" si="142"/>
        <v>#N/A</v>
      </c>
      <c r="AQ100" s="247" t="e">
        <f t="shared" ref="AQ100" si="165" xml:space="preserve"> IF(LEFT(RIGHT((VLOOKUP(A100,INPUT_RANGE,82,FALSE)),2),1)=".",RIGHT(VLOOKUP(A100,INPUT_RANGE,82,FALSE),1), "X")</f>
        <v>#N/A</v>
      </c>
      <c r="AR100" s="247" t="e">
        <f t="shared" si="156"/>
        <v>#N/A</v>
      </c>
      <c r="AS100" s="247" t="e">
        <f t="shared" ref="AS100" si="166">VLOOKUP(A100,INPUT_RANGE,82,FALSE)-(AQ100*0.1)+AR100</f>
        <v>#N/A</v>
      </c>
      <c r="AT100" s="196" t="e">
        <f t="shared" si="159"/>
        <v>#N/A</v>
      </c>
      <c r="AU100" s="196" t="e">
        <f>ROUND((VLOOKUP(A100,INPUT_RANGE,85,FALSE)/AS100)*('Team Info'!$H$25),2)</f>
        <v>#N/A</v>
      </c>
      <c r="AV100" s="8"/>
      <c r="AW100" s="197" t="e">
        <f t="shared" ref="AW100" si="167">(VLOOKUP(A100,INPUT_RANGE,54,FALSE)/VLOOKUP(A100,INPUT_RANGE,52,FALSE))</f>
        <v>#N/A</v>
      </c>
      <c r="AX100" s="197" t="e">
        <f t="shared" ref="AX100" si="168">((VLOOKUP(A100,INPUT_RANGE,54,FALSE)+VLOOKUP(A100,INPUT_RANGE,60,FALSE)+VLOOKUP(A100,INPUT_RANGE,59,FALSE))/(VLOOKUP(A100,INPUT_RANGE,52,FALSE)+VLOOKUP(A100,INPUT_RANGE,60,FALSE)+VLOOKUP(A100,INPUT_RANGE,59,FALSE)+VLOOKUP(A100,INPUT_RANGE,63,FALSE)))</f>
        <v>#N/A</v>
      </c>
      <c r="AY100">
        <f t="shared" ref="AY100" si="169">(VLOOKUP(A100,INPUT_RANGE,54)+VLOOKUP(A100,INPUT_RANGE,55)+(VLOOKUP(A100,INPUT_RANGE,56)*2)+(VLOOKUP(A100,INPUT_RANGE,57)*3))/(VLOOKUP(A100,INPUT_RANGE,52))</f>
        <v>0.44444444444444442</v>
      </c>
      <c r="AZ100" s="257" t="e">
        <f t="shared" si="145"/>
        <v>#N/A</v>
      </c>
      <c r="BA100" t="e">
        <f t="shared" si="146"/>
        <v>#N/A</v>
      </c>
      <c r="BB100" s="298" t="e">
        <f t="shared" ref="BB100" si="170">VLOOKUP(A100,INPUT_RANGE,78,FALSE)</f>
        <v>#N/A</v>
      </c>
      <c r="BC100" s="298" t="e">
        <f t="shared" ref="BC100" si="171">VLOOKUP(A100,INPUT_RANGE,77,FALSE)</f>
        <v>#N/A</v>
      </c>
      <c r="BD100" s="298" t="e">
        <f t="shared" ref="BD100" si="172">VLOOKUP(A100,INPUT_RANGE,75,FALSE) &amp; "-" &amp; VLOOKUP(A100,INPUT_RANGE,76,FALSE)</f>
        <v>#N/A</v>
      </c>
      <c r="BE100" s="308" t="e">
        <f t="shared" si="158"/>
        <v>#N/A</v>
      </c>
      <c r="BF100" s="298" t="e">
        <f t="shared" si="147"/>
        <v>#N/A</v>
      </c>
      <c r="BG100" s="298" t="e">
        <f t="shared" ref="BG100" si="173">VLOOKUP(A100,INPUT_RANGE,86,FALSE)</f>
        <v>#N/A</v>
      </c>
      <c r="BH100" s="298" t="e">
        <f t="shared" ref="BH100" si="174">VLOOKUP(A100,INPUT_RANGE,87,FALSE)</f>
        <v>#N/A</v>
      </c>
      <c r="BI100" s="298" t="e">
        <f t="shared" ref="BI100" si="175">VLOOKUP(A100,INPUT_RANGE,81,FALSE) &amp; " SAVES"</f>
        <v>#N/A</v>
      </c>
      <c r="BJ100" s="297" t="e">
        <f t="shared" ref="BJ100" si="176">VLOOKUP(A100,INPUT_RANGE,81,FALSE)</f>
        <v>#N/A</v>
      </c>
      <c r="BK100" s="297" t="e">
        <f t="shared" ref="BK100" si="177">VLOOKUP(A100,INPUT_RANGE,83,FALSE)</f>
        <v>#N/A</v>
      </c>
      <c r="BL100" s="297" t="e">
        <f t="shared" ref="BL100" si="178">VLOOKUP(A100,INPUT_RANGE,87,FALSE) &amp; "/" &amp; VLOOKUP(A100,INPUT_RANGE,86,FALSE)</f>
        <v>#N/A</v>
      </c>
      <c r="BM100" s="297" t="e">
        <f t="shared" si="130"/>
        <v>#N/A</v>
      </c>
    </row>
    <row r="101" spans="1:65" x14ac:dyDescent="0.25">
      <c r="M101" s="194"/>
      <c r="N101" s="61"/>
      <c r="O101" s="61"/>
      <c r="P101" s="61"/>
      <c r="Q101" s="61"/>
      <c r="R101" s="61"/>
      <c r="S101" s="61"/>
      <c r="T101" s="61"/>
      <c r="U101" s="61"/>
      <c r="V101" s="61"/>
      <c r="X101" s="61"/>
      <c r="Y101" s="61"/>
      <c r="Z101" s="61"/>
      <c r="AA101" s="270"/>
      <c r="AB101" s="270"/>
      <c r="AC101" s="61"/>
      <c r="AD101" s="61"/>
      <c r="AE101" s="61"/>
      <c r="AF101" s="61"/>
      <c r="AG101" s="61"/>
      <c r="AH101" s="61"/>
      <c r="AI101" s="61"/>
      <c r="AJ101" s="61"/>
      <c r="AK101" s="61"/>
      <c r="AL101" s="61"/>
      <c r="AM101" s="61"/>
      <c r="AN101" s="61"/>
      <c r="AO101" s="61"/>
      <c r="AP101" s="61"/>
      <c r="AQ101" s="247"/>
      <c r="AR101" s="247"/>
      <c r="AS101" s="247"/>
      <c r="AT101" s="196"/>
      <c r="AU101" s="196" t="e">
        <f>ROUND((VLOOKUP(A101,INPUT_RANGE,85,FALSE)/AS101)*('Team Info'!$H$25),2)</f>
        <v>#N/A</v>
      </c>
      <c r="AV101" s="8"/>
      <c r="AW101" s="197"/>
      <c r="AX101" s="197"/>
      <c r="AZ101" s="257"/>
      <c r="BB101" s="298"/>
      <c r="BC101" s="298"/>
      <c r="BD101" s="298"/>
      <c r="BE101" s="308"/>
      <c r="BF101" s="298"/>
      <c r="BG101" s="298"/>
      <c r="BH101" s="298"/>
      <c r="BI101" s="298"/>
      <c r="BJ101" s="297"/>
      <c r="BK101" s="297"/>
      <c r="BL101" s="297"/>
      <c r="BM101" s="297"/>
    </row>
    <row r="102" spans="1:65" ht="15.75" thickBot="1" x14ac:dyDescent="0.3">
      <c r="M102" s="194"/>
      <c r="N102" s="61"/>
      <c r="O102" s="61"/>
      <c r="P102" s="61"/>
      <c r="Q102" s="61"/>
      <c r="R102" s="61"/>
      <c r="S102" s="61"/>
      <c r="T102" s="61"/>
      <c r="U102" s="61"/>
      <c r="V102" s="61"/>
      <c r="X102" s="61"/>
      <c r="Y102" s="61"/>
      <c r="Z102" s="61"/>
      <c r="AA102" s="270"/>
      <c r="AB102" s="270"/>
      <c r="AC102" s="61"/>
      <c r="AD102" s="61"/>
      <c r="AE102" s="61"/>
      <c r="AF102" s="61"/>
      <c r="AG102" s="61"/>
      <c r="AH102" s="61"/>
      <c r="AI102" s="61"/>
      <c r="AJ102" s="61"/>
      <c r="AK102" s="61"/>
      <c r="AL102" s="61"/>
      <c r="AM102" s="61"/>
      <c r="AN102" s="61"/>
      <c r="AO102" s="61"/>
      <c r="AP102" s="61"/>
      <c r="AQ102" s="247"/>
      <c r="AR102" s="247"/>
      <c r="AS102" s="247"/>
      <c r="AT102" s="196"/>
      <c r="AU102" s="196" t="e">
        <f>ROUND((VLOOKUP(A102,INPUT_RANGE,85,FALSE)/AS102)*('Team Info'!$H$25),2)</f>
        <v>#N/A</v>
      </c>
      <c r="AV102" s="8"/>
      <c r="AW102" s="197"/>
      <c r="AX102" s="197"/>
      <c r="AZ102" s="257"/>
      <c r="BB102" s="298"/>
      <c r="BC102" s="298"/>
      <c r="BD102" s="298"/>
      <c r="BE102" s="308"/>
      <c r="BF102" s="298"/>
      <c r="BG102" s="298"/>
      <c r="BH102" s="298"/>
      <c r="BI102" s="298"/>
      <c r="BJ102" s="297"/>
      <c r="BK102" s="297"/>
      <c r="BL102" s="297"/>
      <c r="BM102" s="297"/>
    </row>
    <row r="103" spans="1:65" ht="15.75" thickBot="1" x14ac:dyDescent="0.3">
      <c r="A103" s="168" t="s">
        <v>841</v>
      </c>
      <c r="B103" s="169"/>
      <c r="C103" s="169"/>
      <c r="D103" s="169"/>
      <c r="E103" s="169"/>
      <c r="F103" s="169"/>
      <c r="G103" s="169"/>
      <c r="H103" s="169"/>
      <c r="I103" s="169"/>
      <c r="J103" s="169"/>
      <c r="K103" s="169"/>
      <c r="L103" s="169"/>
      <c r="M103" s="194"/>
      <c r="N103" s="61"/>
      <c r="O103" s="61"/>
      <c r="P103" s="61"/>
      <c r="Q103" s="61"/>
      <c r="R103" s="61"/>
      <c r="S103" s="61"/>
      <c r="T103" s="61"/>
      <c r="U103" s="61"/>
      <c r="V103" s="61"/>
      <c r="X103" s="61"/>
      <c r="Y103" s="61"/>
      <c r="Z103" s="61"/>
      <c r="AA103" s="270"/>
      <c r="AB103" s="270"/>
      <c r="AC103" s="61"/>
      <c r="AD103" s="61"/>
      <c r="AE103" s="61"/>
      <c r="AF103" s="61"/>
      <c r="AG103" s="61"/>
      <c r="AH103" s="61"/>
      <c r="AI103" s="61"/>
      <c r="AJ103" s="61"/>
      <c r="AK103" s="61"/>
      <c r="AL103" s="61"/>
      <c r="AM103" s="61"/>
      <c r="AN103" s="61"/>
      <c r="AO103" s="61"/>
      <c r="AP103" s="61"/>
      <c r="AQ103" s="247"/>
      <c r="AR103" s="247"/>
      <c r="AS103" s="247"/>
      <c r="AT103" s="196"/>
      <c r="AU103" s="196" t="e">
        <f>ROUND((VLOOKUP(A103,INPUT_RANGE,85,FALSE)/AS103)*('Team Info'!$H$25),2)</f>
        <v>#N/A</v>
      </c>
      <c r="AV103" s="8"/>
      <c r="AW103" s="197"/>
      <c r="AX103" s="197"/>
      <c r="AZ103" s="257"/>
      <c r="BB103" s="298"/>
      <c r="BC103" s="298"/>
      <c r="BD103" s="298"/>
      <c r="BE103" s="308"/>
      <c r="BF103" s="298"/>
      <c r="BG103" s="298"/>
      <c r="BH103" s="298"/>
      <c r="BI103" s="298"/>
      <c r="BJ103" s="297"/>
      <c r="BK103" s="297"/>
      <c r="BL103" s="297"/>
      <c r="BM103" s="297"/>
    </row>
    <row r="104" spans="1:65" x14ac:dyDescent="0.25">
      <c r="A104" s="64">
        <v>0</v>
      </c>
      <c r="B104" s="176" t="s">
        <v>794</v>
      </c>
      <c r="C104" s="65" t="str">
        <f>Roster!$X102</f>
        <v>- -</v>
      </c>
      <c r="D104" s="271" t="e">
        <f>BA100</f>
        <v>#N/A</v>
      </c>
      <c r="E104" s="245"/>
      <c r="F104" s="271" t="e">
        <f t="shared" ref="F104" si="179">M104</f>
        <v>#N/A</v>
      </c>
      <c r="G104" s="245"/>
      <c r="H104" s="274" t="e">
        <f t="shared" ref="H104" si="180">T104</f>
        <v>#N/A</v>
      </c>
      <c r="I104" s="245"/>
      <c r="J104" s="274" t="e">
        <f t="shared" ref="J104" si="181">N104</f>
        <v>#N/A</v>
      </c>
      <c r="K104" s="62"/>
      <c r="L104" s="63"/>
      <c r="M104" s="194" t="e">
        <f t="shared" si="135"/>
        <v>#N/A</v>
      </c>
      <c r="N104" s="61" t="e">
        <f t="shared" ref="N104" si="182">VLOOKUP(A104,INPUT_RANGE,58,FALSE) &amp; " RBI"</f>
        <v>#N/A</v>
      </c>
      <c r="O104" s="61" t="e">
        <f t="shared" ref="O104" si="183">VLOOKUP(A104,INPUT_RANGE,60,FALSE) &amp; " BB"</f>
        <v>#N/A</v>
      </c>
      <c r="P104" s="61" t="e">
        <f t="shared" ref="P104" si="184">VLOOKUP(A104,INPUT_RANGE,61,FALSE) &amp; " K"</f>
        <v>#N/A</v>
      </c>
      <c r="Q104" s="61" t="e">
        <f t="shared" ref="Q104" si="185">VLOOKUP(A104,INPUT_RANGE,64,FALSE) &amp; " SB"</f>
        <v>#N/A</v>
      </c>
      <c r="R104" s="61" t="e">
        <f t="shared" ref="R104" si="186">VLOOKUP(A104,INPUT_RANGE,55,FALSE) &amp; " 2B"</f>
        <v>#N/A</v>
      </c>
      <c r="S104" s="61" t="e">
        <f t="shared" ref="S104" si="187">VLOOKUP(A104,INPUT_RANGE,56,FALSE) &amp; " 3B"</f>
        <v>#N/A</v>
      </c>
      <c r="T104" s="61" t="e">
        <f t="shared" ref="T104" si="188">VLOOKUP(A104,INPUT_RANGE,57,FALSE) &amp; " HR"</f>
        <v>#N/A</v>
      </c>
      <c r="U104" s="61" t="e">
        <f t="shared" ref="U104" si="189">VLOOKUP(A104,INPUT_RANGE,53,FALSE) &amp; " R"</f>
        <v>#N/A</v>
      </c>
      <c r="V104" s="61" t="e">
        <f t="shared" si="136"/>
        <v>#N/A</v>
      </c>
      <c r="X104" s="61" t="e">
        <f t="shared" ref="X104" si="190">VLOOKUP(A104,INPUT_RANGE,77,FALSE)&amp;" games"</f>
        <v>#N/A</v>
      </c>
      <c r="Y104" s="61" t="e">
        <f t="shared" ref="Y104" si="191">VLOOKUP(A104,INPUT_RANGE,78,FALSE) &amp; " starts"</f>
        <v>#N/A</v>
      </c>
      <c r="Z104" s="61" t="e">
        <f t="shared" ref="Z104" si="192">VLOOKUP(A104,INPUT_RANGE,82,FALSE) &amp; " IP"</f>
        <v>#N/A</v>
      </c>
      <c r="AA104" s="270" t="e">
        <f t="shared" ref="AA104" si="193">TRUNC(VLOOKUP(A104,INPUT_RANGE,82,FALSE)) &amp;  IF(AR104=0.333,"º",IF(AR104=0.666,"»",""))</f>
        <v>#N/A</v>
      </c>
      <c r="AB104" s="270" t="e">
        <f t="shared" si="140"/>
        <v>#N/A</v>
      </c>
      <c r="AC104" s="61" t="e">
        <f t="shared" ref="AC104" si="194">VLOOKUP(A104,INPUT_RANGE,79,FALSE) &amp; " CG"</f>
        <v>#N/A</v>
      </c>
      <c r="AD104" s="61" t="e">
        <f t="shared" ref="AD104" si="195">VLOOKUP(A104,INPUT_RANGE,80,FALSE) &amp; " SHO"</f>
        <v>#N/A</v>
      </c>
      <c r="AE104" s="61" t="e">
        <f t="shared" ref="AE104" si="196">VLOOKUP(A104,INPUT_RANGE,75,FALSE) &amp; " Win"</f>
        <v>#N/A</v>
      </c>
      <c r="AF104" s="61" t="e">
        <f t="shared" ref="AF104" si="197">VLOOKUP(A104,INPUT_RANGE,76,FALSE) &amp; " Loss"</f>
        <v>#N/A</v>
      </c>
      <c r="AG104" s="61" t="e">
        <f t="shared" ref="AG104" si="198">VLOOKUP(A104,INPUT_RANGE,75,FALSE) &amp; "-" &amp; VLOOKUP(A104,INPUT_RANGE,76,FALSE) &amp; " W-L"</f>
        <v>#N/A</v>
      </c>
      <c r="AH104" s="61" t="e">
        <f t="shared" ref="AH104" si="199">VLOOKUP(A104,INPUT_RANGE,81,FALSE)&amp; " Saves"</f>
        <v>#N/A</v>
      </c>
      <c r="AI104" s="61" t="e">
        <f t="shared" ref="AI104" si="200">VLOOKUP(A104,INPUT_RANGE,83,FALSE) &amp; " H"</f>
        <v>#N/A</v>
      </c>
      <c r="AJ104" s="61" t="e">
        <f t="shared" ref="AJ104" si="201">VLOOKUP(A104,INPUT_RANGE,84,FALSE) &amp; " R"</f>
        <v>#N/A</v>
      </c>
      <c r="AK104" s="61" t="e">
        <f t="shared" ref="AK104" si="202">VLOOKUP(A104,INPUT_RANGE,85,FALSE) &amp;" ER"</f>
        <v>#N/A</v>
      </c>
      <c r="AL104" s="61" t="e">
        <f t="shared" ref="AL104" si="203">VLOOKUP(A104,INPUT_RANGE,88,FALSE) &amp;" HR"</f>
        <v>#N/A</v>
      </c>
      <c r="AM104" s="61" t="e">
        <f t="shared" ref="AM104" si="204">VLOOKUP(A104,INPUT_RANGE,87,FALSE) &amp; " K"</f>
        <v>#N/A</v>
      </c>
      <c r="AN104" s="61" t="e">
        <f t="shared" ref="AN104" si="205">VLOOKUP(A104,INPUT_RANGE,86,FALSE) &amp; " BB"</f>
        <v>#N/A</v>
      </c>
      <c r="AO104" s="61" t="e">
        <f t="shared" si="141"/>
        <v>#N/A</v>
      </c>
      <c r="AP104" s="61" t="e">
        <f t="shared" si="142"/>
        <v>#N/A</v>
      </c>
      <c r="AQ104" s="247" t="e">
        <f t="shared" ref="AQ104" si="206" xml:space="preserve"> IF(LEFT(RIGHT((VLOOKUP(A104,INPUT_RANGE,82,FALSE)),2),1)=".",RIGHT(VLOOKUP(A104,INPUT_RANGE,82,FALSE),1), "X")</f>
        <v>#N/A</v>
      </c>
      <c r="AR104" s="247" t="e">
        <f t="shared" si="156"/>
        <v>#N/A</v>
      </c>
      <c r="AS104" s="247" t="e">
        <f t="shared" ref="AS104" si="207">VLOOKUP(A104,INPUT_RANGE,82,FALSE)-(AQ104*0.1)+AR104</f>
        <v>#N/A</v>
      </c>
      <c r="AT104" s="196" t="e">
        <f t="shared" ref="AT104" si="208">ROUND((VLOOKUP(A104,INPUT_RANGE,86,FALSE)+VLOOKUP(A104,INPUT_RANGE,83,FALSE))/AS104,2)</f>
        <v>#N/A</v>
      </c>
      <c r="AU104" s="196" t="e">
        <f>ROUND((VLOOKUP(A104,INPUT_RANGE,85,FALSE)/AS104)*('Team Info'!$H$25),2)</f>
        <v>#N/A</v>
      </c>
      <c r="AV104" s="8"/>
      <c r="AW104" s="197" t="e">
        <f t="shared" ref="AW104" si="209">(VLOOKUP(A104,INPUT_RANGE,54,FALSE)/VLOOKUP(A104,INPUT_RANGE,52,FALSE))</f>
        <v>#N/A</v>
      </c>
      <c r="AX104" s="197" t="e">
        <f t="shared" ref="AX104" si="210">((VLOOKUP(A104,INPUT_RANGE,54,FALSE)+VLOOKUP(A104,INPUT_RANGE,60,FALSE)+VLOOKUP(A104,INPUT_RANGE,59,FALSE))/(VLOOKUP(A104,INPUT_RANGE,52,FALSE)+VLOOKUP(A104,INPUT_RANGE,60,FALSE)+VLOOKUP(A104,INPUT_RANGE,59,FALSE)+VLOOKUP(A104,INPUT_RANGE,63,FALSE)))</f>
        <v>#N/A</v>
      </c>
      <c r="AY104" t="e">
        <f t="shared" ref="AY104" si="211">(VLOOKUP(A104,INPUT_RANGE,54)+VLOOKUP(A104,INPUT_RANGE,55)+(VLOOKUP(A104,INPUT_RANGE,56)*2)+(VLOOKUP(A104,INPUT_RANGE,57)*3))/(VLOOKUP(A104,INPUT_RANGE,52))</f>
        <v>#N/A</v>
      </c>
      <c r="AZ104" s="257" t="e">
        <f t="shared" si="145"/>
        <v>#N/A</v>
      </c>
      <c r="BA104" t="e">
        <f t="shared" si="146"/>
        <v>#N/A</v>
      </c>
      <c r="BB104" s="298" t="e">
        <f t="shared" ref="BB104" si="212">VLOOKUP(A104,INPUT_RANGE,78,FALSE)</f>
        <v>#N/A</v>
      </c>
      <c r="BC104" s="298" t="e">
        <f t="shared" ref="BC104" si="213">VLOOKUP(A104,INPUT_RANGE,77,FALSE)</f>
        <v>#N/A</v>
      </c>
      <c r="BD104" s="298" t="e">
        <f t="shared" ref="BD104" si="214">VLOOKUP(A104,INPUT_RANGE,75,FALSE) &amp; "-" &amp; VLOOKUP(A104,INPUT_RANGE,76,FALSE)</f>
        <v>#N/A</v>
      </c>
      <c r="BE104" s="308" t="e">
        <f t="shared" si="158"/>
        <v>#N/A</v>
      </c>
      <c r="BF104" s="298" t="e">
        <f t="shared" si="147"/>
        <v>#N/A</v>
      </c>
      <c r="BG104" s="298" t="e">
        <f t="shared" ref="BG104" si="215">VLOOKUP(A104,INPUT_RANGE,86,FALSE)</f>
        <v>#N/A</v>
      </c>
      <c r="BH104" s="298" t="e">
        <f t="shared" ref="BH104" si="216">VLOOKUP(A104,INPUT_RANGE,87,FALSE)</f>
        <v>#N/A</v>
      </c>
      <c r="BI104" s="298" t="e">
        <f t="shared" ref="BI104" si="217">VLOOKUP(A104,INPUT_RANGE,81,FALSE) &amp; " SAVES"</f>
        <v>#N/A</v>
      </c>
      <c r="BJ104" s="297" t="e">
        <f t="shared" ref="BJ104" si="218">VLOOKUP(A104,INPUT_RANGE,81,FALSE)</f>
        <v>#N/A</v>
      </c>
      <c r="BK104" s="297" t="e">
        <f t="shared" ref="BK104" si="219">VLOOKUP(A104,INPUT_RANGE,83,FALSE)</f>
        <v>#N/A</v>
      </c>
      <c r="BL104" s="297" t="e">
        <f t="shared" ref="BL104" si="220">VLOOKUP(A104,INPUT_RANGE,87,FALSE) &amp; "/" &amp; VLOOKUP(A104,INPUT_RANGE,86,FALSE)</f>
        <v>#N/A</v>
      </c>
      <c r="BM104" s="297" t="e">
        <f t="shared" ref="BM104" si="221">ROUND((VLOOKUP(A104,INPUT_RANGE,86,FALSE)+VLOOKUP(A104,INPUT_RANGE,83,FALSE))/AS104,2)</f>
        <v>#N/A</v>
      </c>
    </row>
  </sheetData>
  <customSheetViews>
    <customSheetView guid="{35139CDC-7B22-4BB4-A27E-0C639571C225}" hiddenColumns="1">
      <pane ySplit="1" topLeftCell="A2" activePane="bottomLeft" state="frozen"/>
      <selection pane="bottomLeft" activeCell="BO5" sqref="BO5"/>
      <pageMargins left="0.7" right="0.7" top="0.75" bottom="0.75" header="0.3" footer="0.3"/>
      <pageSetup orientation="portrait" r:id="rId1"/>
    </customSheetView>
    <customSheetView guid="{42F19D52-E208-414F-9E2E-506DF902926F}" hiddenColumns="1">
      <pane ySplit="1" topLeftCell="A2" activePane="bottomLeft" state="frozen"/>
      <selection pane="bottomLeft" activeCell="D3" sqref="D3"/>
      <pageMargins left="0.7" right="0.7" top="0.75" bottom="0.75" header="0.3" footer="0.3"/>
      <pageSetup orientation="portrait" r:id="rId2"/>
    </customSheetView>
    <customSheetView guid="{BE266B8E-38B0-4631-9C30-67CA48A8BD7F}" showPageBreaks="1" hiddenColumns="1" view="pageBreakPreview">
      <pane ySplit="1" topLeftCell="A2" activePane="bottomLeft" state="frozen"/>
      <selection pane="bottomLeft" activeCell="C6" sqref="C6"/>
      <pageMargins left="0.7" right="0.7" top="0.75" bottom="0.75" header="0.3" footer="0.3"/>
      <pageSetup orientation="portrait" r:id="rId3"/>
    </customSheetView>
    <customSheetView guid="{9DC468DE-D883-45B4-B188-265B9DA68425}" hiddenColumns="1">
      <pane ySplit="1" topLeftCell="A2" activePane="bottomLeft" state="frozen"/>
      <selection pane="bottomLeft" activeCell="AA1" sqref="AA1:AB1048576"/>
      <pageMargins left="0.7" right="0.7" top="0.75" bottom="0.75" header="0.3" footer="0.3"/>
      <pageSetup orientation="portrait" r:id="rId4"/>
    </customSheetView>
    <customSheetView guid="{6A3B2C41-2DBC-4B17-AB58-12C85E3A6B8A}" showPageBreaks="1" printArea="1" hiddenColumns="1">
      <pane ySplit="1" topLeftCell="A2" activePane="bottomLeft" state="frozen"/>
      <selection pane="bottomLeft" activeCell="A2" sqref="A2"/>
      <pageMargins left="0.7" right="0.7" top="0.75" bottom="0.75" header="0.3" footer="0.3"/>
      <pageSetup orientation="portrait" r:id="rId5"/>
    </customSheetView>
    <customSheetView guid="{46B088B4-7F51-4D35-9F00-2268626FA819}" showPageBreaks="1" hiddenRows="1" hiddenColumns="1" view="pageBreakPreview">
      <pane ySplit="1" topLeftCell="A2" activePane="bottomLeft" state="frozen"/>
      <selection pane="bottomLeft" activeCell="B101" sqref="B101"/>
      <pageMargins left="0.7" right="0.7" top="0.75" bottom="0.75" header="0.3" footer="0.3"/>
      <pageSetup orientation="portrait" r:id="rId6"/>
    </customSheetView>
    <customSheetView guid="{42945F95-5627-491B-A345-A07B64F7E806}" hiddenColumns="1">
      <pane ySplit="1" topLeftCell="A2" activePane="bottomLeft" state="frozen"/>
      <selection pane="bottomLeft" activeCell="J104" sqref="J104"/>
      <pageMargins left="0.7" right="0.7" top="0.75" bottom="0.75" header="0.3" footer="0.3"/>
      <pageSetup orientation="portrait" r:id="rId7"/>
    </customSheetView>
    <customSheetView guid="{BD1DF852-269B-4C2F-AF89-1FA576EA4603}" showPageBreaks="1" hiddenColumns="1" view="pageBreakPreview">
      <pane ySplit="1" topLeftCell="A2" activePane="bottomLeft" state="frozen"/>
      <selection pane="bottomLeft" activeCell="AM1" sqref="AM1:BM1048576"/>
      <pageMargins left="0.7" right="0.7" top="0.75" bottom="0.75" header="0.3" footer="0.3"/>
      <pageSetup orientation="portrait" r:id="rId8"/>
    </customSheetView>
  </customSheetViews>
  <dataValidations count="2">
    <dataValidation type="list" allowBlank="1" showInputMessage="1" showErrorMessage="1" sqref="BB2:BC100" xr:uid="{00000000-0002-0000-0400-000000000000}">
      <formula1>ZZZ_PLAYER29</formula1>
    </dataValidation>
    <dataValidation type="list" allowBlank="1" showInputMessage="1" showErrorMessage="1" sqref="BB104:BC104" xr:uid="{00000000-0002-0000-0400-000001000000}">
      <formula1>ZZZ_PLAYER99</formula1>
    </dataValidation>
  </dataValidation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1:K21"/>
  <sheetViews>
    <sheetView workbookViewId="0">
      <selection activeCell="A18" sqref="A18"/>
    </sheetView>
  </sheetViews>
  <sheetFormatPr defaultRowHeight="15" x14ac:dyDescent="0.25"/>
  <cols>
    <col min="1" max="1" width="20.7109375" customWidth="1"/>
    <col min="2" max="2" width="12.7109375" customWidth="1"/>
    <col min="3" max="4" width="20.7109375" customWidth="1"/>
    <col min="5" max="5" width="12.7109375" hidden="1" customWidth="1"/>
    <col min="6" max="6" width="29.140625" bestFit="1" customWidth="1"/>
    <col min="7" max="7" width="20.7109375" customWidth="1"/>
    <col min="8" max="8" width="9.140625" customWidth="1"/>
    <col min="9" max="9" width="29.5703125" hidden="1" customWidth="1"/>
    <col min="10" max="10" width="9.140625" hidden="1" customWidth="1"/>
    <col min="11" max="11" width="60.42578125" hidden="1" customWidth="1"/>
    <col min="12" max="12" width="2.7109375" customWidth="1"/>
  </cols>
  <sheetData>
    <row r="1" spans="1:11" x14ac:dyDescent="0.25">
      <c r="A1" s="160" t="s">
        <v>74</v>
      </c>
      <c r="B1" s="161"/>
      <c r="I1" t="s">
        <v>75</v>
      </c>
    </row>
    <row r="2" spans="1:11" x14ac:dyDescent="0.25">
      <c r="A2" s="162" t="s">
        <v>31</v>
      </c>
      <c r="B2" s="318" t="s">
        <v>1007</v>
      </c>
      <c r="C2" s="319"/>
    </row>
    <row r="3" spans="1:11" x14ac:dyDescent="0.25">
      <c r="A3" s="162" t="s">
        <v>811</v>
      </c>
      <c r="B3" s="317" t="s">
        <v>812</v>
      </c>
      <c r="C3" s="317"/>
      <c r="D3" t="s">
        <v>1027</v>
      </c>
    </row>
    <row r="4" spans="1:11" x14ac:dyDescent="0.25">
      <c r="A4" s="17" t="s">
        <v>77</v>
      </c>
      <c r="B4" s="22" t="s">
        <v>737</v>
      </c>
      <c r="C4" s="32" t="s">
        <v>78</v>
      </c>
      <c r="D4" s="32" t="s">
        <v>79</v>
      </c>
      <c r="E4" s="32" t="s">
        <v>80</v>
      </c>
      <c r="F4" s="32" t="s">
        <v>81</v>
      </c>
      <c r="G4" s="32" t="s">
        <v>1006</v>
      </c>
      <c r="I4" t="str">
        <f>"D:\IMS Images\Network\Primary\"</f>
        <v>D:\IMS Images\Network\Primary\</v>
      </c>
      <c r="K4" t="s">
        <v>76</v>
      </c>
    </row>
    <row r="5" spans="1:11" x14ac:dyDescent="0.25">
      <c r="A5" s="30">
        <v>1</v>
      </c>
      <c r="B5" s="33"/>
      <c r="C5" s="33" t="s">
        <v>14</v>
      </c>
      <c r="D5" s="33" t="s">
        <v>1029</v>
      </c>
      <c r="E5" s="33"/>
      <c r="F5" s="34" t="s">
        <v>531</v>
      </c>
      <c r="G5" s="39" t="s">
        <v>14</v>
      </c>
      <c r="K5" t="str">
        <f>$I$4&amp;F5&amp;".png"</f>
        <v>D:\IMS Images\Network\Primary\ESPN_BLACK.png</v>
      </c>
    </row>
    <row r="6" spans="1:11" x14ac:dyDescent="0.25">
      <c r="A6" s="30">
        <v>2</v>
      </c>
      <c r="B6" s="33"/>
      <c r="C6" s="33" t="s">
        <v>247</v>
      </c>
      <c r="D6" s="277" t="s">
        <v>1030</v>
      </c>
      <c r="E6" s="33"/>
      <c r="F6" s="34" t="s">
        <v>285</v>
      </c>
      <c r="G6" s="39" t="s">
        <v>247</v>
      </c>
      <c r="K6" t="str">
        <f t="shared" ref="K6:K16" si="0">$I$4&amp;F6&amp;".png"</f>
        <v>D:\IMS Images\Network\Primary\ESPN2_BLACK.png</v>
      </c>
    </row>
    <row r="7" spans="1:11" x14ac:dyDescent="0.25">
      <c r="A7" s="30">
        <v>3</v>
      </c>
      <c r="B7" s="33"/>
      <c r="C7" s="33" t="s">
        <v>272</v>
      </c>
      <c r="D7" s="33" t="s">
        <v>1031</v>
      </c>
      <c r="E7" s="33"/>
      <c r="F7" s="34" t="s">
        <v>1005</v>
      </c>
      <c r="G7" s="39" t="s">
        <v>272</v>
      </c>
      <c r="I7" t="s">
        <v>31</v>
      </c>
      <c r="K7" t="str">
        <f t="shared" si="0"/>
        <v>D:\IMS Images\Network\Primary\SEC_NETWORK_BLACK.png</v>
      </c>
    </row>
    <row r="8" spans="1:11" x14ac:dyDescent="0.25">
      <c r="A8" s="30">
        <v>4</v>
      </c>
      <c r="B8" s="33"/>
      <c r="C8" s="33" t="s">
        <v>208</v>
      </c>
      <c r="D8" s="33" t="s">
        <v>1032</v>
      </c>
      <c r="E8" s="33"/>
      <c r="F8" s="34" t="s">
        <v>1002</v>
      </c>
      <c r="G8" s="39" t="s">
        <v>208</v>
      </c>
      <c r="I8" t="str">
        <f>B2</f>
        <v>TITLE</v>
      </c>
      <c r="K8" t="str">
        <f t="shared" si="0"/>
        <v>D:\IMS Images\Network\Primary\SEC_NETWORK+_BLACK.png</v>
      </c>
    </row>
    <row r="9" spans="1:11" x14ac:dyDescent="0.25">
      <c r="A9" s="30">
        <v>5</v>
      </c>
      <c r="B9" s="33"/>
      <c r="C9" s="33" t="s">
        <v>1028</v>
      </c>
      <c r="D9" s="276">
        <v>43983</v>
      </c>
      <c r="E9" s="33"/>
      <c r="F9" s="34" t="s">
        <v>1004</v>
      </c>
      <c r="G9" s="39" t="s">
        <v>571</v>
      </c>
      <c r="I9" t="s">
        <v>811</v>
      </c>
      <c r="K9" t="str">
        <f t="shared" si="0"/>
        <v>D:\IMS Images\Network\Primary\BIG12NOW-ESPN+_VERT_BLACK.png</v>
      </c>
    </row>
    <row r="10" spans="1:11" x14ac:dyDescent="0.25">
      <c r="A10" s="30">
        <v>6</v>
      </c>
      <c r="B10" s="33"/>
      <c r="C10" s="33"/>
      <c r="D10" s="33"/>
      <c r="E10" s="33"/>
      <c r="F10" s="34"/>
      <c r="G10" s="39"/>
      <c r="I10" t="str">
        <f>B3</f>
        <v>Upcoming Schedule</v>
      </c>
      <c r="K10" t="str">
        <f t="shared" si="0"/>
        <v>D:\IMS Images\Network\Primary\.png</v>
      </c>
    </row>
    <row r="11" spans="1:11" x14ac:dyDescent="0.25">
      <c r="A11" s="30">
        <v>7</v>
      </c>
      <c r="B11" s="33"/>
      <c r="C11" s="33"/>
      <c r="D11" s="33"/>
      <c r="E11" s="33"/>
      <c r="F11" s="34"/>
      <c r="G11" s="39"/>
      <c r="K11" t="str">
        <f t="shared" si="0"/>
        <v>D:\IMS Images\Network\Primary\.png</v>
      </c>
    </row>
    <row r="12" spans="1:11" x14ac:dyDescent="0.25">
      <c r="A12" s="38">
        <v>8</v>
      </c>
      <c r="B12" s="39"/>
      <c r="C12" s="39"/>
      <c r="D12" s="39"/>
      <c r="E12" s="33"/>
      <c r="F12" s="34"/>
      <c r="G12" s="39"/>
      <c r="K12" t="str">
        <f t="shared" si="0"/>
        <v>D:\IMS Images\Network\Primary\.png</v>
      </c>
    </row>
    <row r="13" spans="1:11" x14ac:dyDescent="0.25">
      <c r="A13" s="38">
        <v>9</v>
      </c>
      <c r="B13" s="39"/>
      <c r="C13" s="39"/>
      <c r="D13" s="39"/>
      <c r="E13" s="33"/>
      <c r="F13" s="34"/>
      <c r="G13" s="39"/>
      <c r="K13" t="str">
        <f t="shared" si="0"/>
        <v>D:\IMS Images\Network\Primary\.png</v>
      </c>
    </row>
    <row r="14" spans="1:11" x14ac:dyDescent="0.25">
      <c r="A14" s="38">
        <v>10</v>
      </c>
      <c r="B14" s="39"/>
      <c r="C14" s="39"/>
      <c r="D14" s="39"/>
      <c r="E14" s="33"/>
      <c r="F14" s="34"/>
      <c r="G14" s="39"/>
      <c r="K14" t="str">
        <f t="shared" si="0"/>
        <v>D:\IMS Images\Network\Primary\.png</v>
      </c>
    </row>
    <row r="15" spans="1:11" x14ac:dyDescent="0.25">
      <c r="A15" s="38">
        <v>11</v>
      </c>
      <c r="B15" s="39"/>
      <c r="C15" s="39"/>
      <c r="D15" s="39"/>
      <c r="E15" s="33"/>
      <c r="F15" s="34"/>
      <c r="G15" s="39"/>
      <c r="K15" t="str">
        <f t="shared" si="0"/>
        <v>D:\IMS Images\Network\Primary\.png</v>
      </c>
    </row>
    <row r="16" spans="1:11" x14ac:dyDescent="0.25">
      <c r="A16" s="38">
        <v>12</v>
      </c>
      <c r="B16" s="39"/>
      <c r="C16" s="39"/>
      <c r="D16" s="39"/>
      <c r="E16" s="33"/>
      <c r="F16" s="34"/>
      <c r="G16" s="39"/>
      <c r="K16" t="str">
        <f t="shared" si="0"/>
        <v>D:\IMS Images\Network\Primary\.png</v>
      </c>
    </row>
    <row r="17" spans="1:3" x14ac:dyDescent="0.25">
      <c r="B17" s="275" t="s">
        <v>1026</v>
      </c>
      <c r="C17" s="1"/>
    </row>
    <row r="18" spans="1:3" x14ac:dyDescent="0.25">
      <c r="C18" s="1"/>
    </row>
    <row r="19" spans="1:3" x14ac:dyDescent="0.25">
      <c r="C19" s="1"/>
    </row>
    <row r="20" spans="1:3" x14ac:dyDescent="0.25">
      <c r="A20" s="54" t="s">
        <v>942</v>
      </c>
      <c r="B20" s="54" t="s">
        <v>944</v>
      </c>
      <c r="C20" s="55"/>
    </row>
    <row r="21" spans="1:3" x14ac:dyDescent="0.25">
      <c r="A21" s="54" t="s">
        <v>943</v>
      </c>
      <c r="B21" s="54" t="s">
        <v>945</v>
      </c>
      <c r="C21" s="56"/>
    </row>
  </sheetData>
  <customSheetViews>
    <customSheetView guid="{35139CDC-7B22-4BB4-A27E-0C639571C225}" hiddenColumns="1">
      <selection activeCell="A18" sqref="A18"/>
      <pageMargins left="0.7" right="0.7" top="0.75" bottom="0.75" header="0.3" footer="0.3"/>
      <pageSetup orientation="portrait" r:id="rId1"/>
    </customSheetView>
    <customSheetView guid="{42F19D52-E208-414F-9E2E-506DF902926F}" hiddenColumns="1">
      <selection activeCell="A18" sqref="A18"/>
      <pageMargins left="0.7" right="0.7" top="0.75" bottom="0.75" header="0.3" footer="0.3"/>
      <pageSetup orientation="portrait" r:id="rId2"/>
    </customSheetView>
    <customSheetView guid="{BE266B8E-38B0-4631-9C30-67CA48A8BD7F}" hiddenColumns="1">
      <selection activeCell="F18" sqref="F18"/>
      <pageMargins left="0.7" right="0.7" top="0.75" bottom="0.75" header="0.3" footer="0.3"/>
      <pageSetup orientation="portrait" r:id="rId3"/>
    </customSheetView>
    <customSheetView guid="{9DC468DE-D883-45B4-B188-265B9DA68425}" hiddenColumns="1">
      <selection activeCell="D9" sqref="D9"/>
      <pageMargins left="0.7" right="0.7" top="0.75" bottom="0.75" header="0.3" footer="0.3"/>
      <pageSetup orientation="portrait" r:id="rId4"/>
    </customSheetView>
    <customSheetView guid="{6A3B2C41-2DBC-4B17-AB58-12C85E3A6B8A}" hiddenColumns="1">
      <selection activeCell="K1" sqref="K1:K1048576"/>
      <pageMargins left="0.7" right="0.7" top="0.75" bottom="0.75" header="0.3" footer="0.3"/>
      <pageSetup orientation="portrait" r:id="rId5"/>
    </customSheetView>
    <customSheetView guid="{6960175A-17E1-4BDD-98F7-6E9A590B8B7F}" hiddenColumns="1">
      <selection activeCell="M22" sqref="M22"/>
      <pageMargins left="0.7" right="0.7" top="0.75" bottom="0.75" header="0.3" footer="0.3"/>
      <pageSetup orientation="portrait" r:id="rId6"/>
    </customSheetView>
    <customSheetView guid="{DB365F32-166D-4348-BCE9-F0F1DB0B73A9}" hiddenColumns="1">
      <selection activeCell="B3" sqref="B3"/>
      <pageMargins left="0.7" right="0.7" top="0.75" bottom="0.75" header="0.3" footer="0.3"/>
      <pageSetup orientation="portrait" r:id="rId7"/>
    </customSheetView>
    <customSheetView guid="{6EDF2E63-E51E-449A-B1C5-EFB1FD6A259C}" hiddenColumns="1">
      <selection activeCell="B3" sqref="B3"/>
      <pageMargins left="0.7" right="0.7" top="0.75" bottom="0.75" header="0.3" footer="0.3"/>
      <pageSetup orientation="portrait" r:id="rId8"/>
    </customSheetView>
    <customSheetView guid="{46B088B4-7F51-4D35-9F00-2268626FA819}" hiddenColumns="1">
      <selection activeCell="F18" sqref="F18"/>
      <pageMargins left="0.7" right="0.7" top="0.75" bottom="0.75" header="0.3" footer="0.3"/>
      <pageSetup orientation="portrait" r:id="rId9"/>
    </customSheetView>
    <customSheetView guid="{42945F95-5627-491B-A345-A07B64F7E806}" hiddenColumns="1">
      <selection activeCell="B3" sqref="B3:C3"/>
      <pageMargins left="0.7" right="0.7" top="0.75" bottom="0.75" header="0.3" footer="0.3"/>
      <pageSetup orientation="portrait" r:id="rId10"/>
    </customSheetView>
    <customSheetView guid="{BD1DF852-269B-4C2F-AF89-1FA576EA4603}" hiddenColumns="1">
      <selection activeCell="B3" sqref="B3:C3"/>
      <pageMargins left="0.7" right="0.7" top="0.75" bottom="0.75" header="0.3" footer="0.3"/>
      <pageSetup orientation="portrait" r:id="rId11"/>
    </customSheetView>
  </customSheetViews>
  <mergeCells count="2">
    <mergeCell ref="B3:C3"/>
    <mergeCell ref="B2:C2"/>
  </mergeCells>
  <dataValidations count="1">
    <dataValidation type="list" allowBlank="1" showInputMessage="1" showErrorMessage="1" sqref="F5:F16" xr:uid="{00000000-0002-0000-0500-000000000000}">
      <formula1>NETWORK_LOGOS_BLACK</formula1>
    </dataValidation>
  </dataValidations>
  <pageMargins left="0.7" right="0.7" top="0.75" bottom="0.75" header="0.3" footer="0.3"/>
  <pageSetup orientation="portrait" r:id="rId1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LOGOS!$A$2:$A$379</xm:f>
          </x14:formula1>
          <xm:sqref>G5:G16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autoPageBreaks="0"/>
  </sheetPr>
  <dimension ref="A1:I99"/>
  <sheetViews>
    <sheetView workbookViewId="0">
      <selection activeCell="A4" sqref="A4"/>
    </sheetView>
  </sheetViews>
  <sheetFormatPr defaultRowHeight="15" x14ac:dyDescent="0.25"/>
  <cols>
    <col min="1" max="4" width="30.7109375" customWidth="1"/>
    <col min="5" max="5" width="2.42578125" customWidth="1"/>
    <col min="6" max="9" width="30.7109375" hidden="1" customWidth="1"/>
  </cols>
  <sheetData>
    <row r="1" spans="1:9" ht="15.75" thickBot="1" x14ac:dyDescent="0.3">
      <c r="A1" s="9" t="s">
        <v>803</v>
      </c>
      <c r="B1" s="32" t="s">
        <v>54</v>
      </c>
      <c r="C1" s="32" t="s">
        <v>55</v>
      </c>
      <c r="D1" s="32" t="s">
        <v>56</v>
      </c>
      <c r="E1" s="36"/>
      <c r="F1" s="32" t="s">
        <v>57</v>
      </c>
      <c r="G1" s="32" t="s">
        <v>58</v>
      </c>
      <c r="H1" s="32" t="s">
        <v>59</v>
      </c>
      <c r="I1" s="32" t="s">
        <v>60</v>
      </c>
    </row>
    <row r="2" spans="1:9" ht="15" customHeight="1" thickBot="1" x14ac:dyDescent="0.3">
      <c r="A2" s="135">
        <f>IF('Team Info'!$B$2 = "Away",4150,4250)</f>
        <v>4250</v>
      </c>
      <c r="B2" s="33" t="s">
        <v>64</v>
      </c>
      <c r="C2" s="33" t="s">
        <v>61</v>
      </c>
      <c r="D2" s="33" t="s">
        <v>802</v>
      </c>
      <c r="E2" s="37"/>
      <c r="F2" s="33" t="s">
        <v>57</v>
      </c>
      <c r="G2" s="33" t="s">
        <v>62</v>
      </c>
      <c r="H2" s="33" t="s">
        <v>63</v>
      </c>
      <c r="I2" s="33"/>
    </row>
    <row r="3" spans="1:9" ht="15.75" thickBot="1" x14ac:dyDescent="0.3">
      <c r="A3" s="135">
        <f>A2+1</f>
        <v>4251</v>
      </c>
      <c r="B3" s="33"/>
      <c r="C3" s="33"/>
      <c r="D3" s="33"/>
      <c r="E3" s="37"/>
      <c r="F3" s="33" t="s">
        <v>64</v>
      </c>
      <c r="G3" s="33" t="s">
        <v>65</v>
      </c>
      <c r="H3" s="33" t="s">
        <v>65</v>
      </c>
      <c r="I3" s="33"/>
    </row>
    <row r="4" spans="1:9" ht="15.75" thickBot="1" x14ac:dyDescent="0.3">
      <c r="A4" s="135">
        <f t="shared" ref="A4:A52" si="0">A3+1</f>
        <v>4252</v>
      </c>
      <c r="B4" s="33"/>
      <c r="C4" s="33"/>
      <c r="D4" s="33"/>
      <c r="E4" s="37"/>
      <c r="F4" s="33" t="s">
        <v>64</v>
      </c>
      <c r="G4" s="33" t="s">
        <v>66</v>
      </c>
      <c r="H4" s="33" t="s">
        <v>66</v>
      </c>
      <c r="I4" s="33"/>
    </row>
    <row r="5" spans="1:9" ht="15.75" thickBot="1" x14ac:dyDescent="0.3">
      <c r="A5" s="135">
        <f t="shared" si="0"/>
        <v>4253</v>
      </c>
      <c r="B5" s="33"/>
      <c r="C5" s="33"/>
      <c r="D5" s="33"/>
      <c r="E5" s="37"/>
      <c r="F5" s="33" t="s">
        <v>64</v>
      </c>
      <c r="G5" s="33" t="s">
        <v>67</v>
      </c>
      <c r="H5" s="33" t="s">
        <v>67</v>
      </c>
      <c r="I5" s="33"/>
    </row>
    <row r="6" spans="1:9" ht="15" customHeight="1" thickBot="1" x14ac:dyDescent="0.3">
      <c r="A6" s="135">
        <f t="shared" si="0"/>
        <v>4254</v>
      </c>
      <c r="B6" s="33"/>
      <c r="C6" s="33"/>
      <c r="D6" s="33"/>
      <c r="E6" s="37"/>
      <c r="F6" s="33" t="s">
        <v>64</v>
      </c>
      <c r="G6" s="33" t="s">
        <v>68</v>
      </c>
      <c r="H6" s="33" t="s">
        <v>68</v>
      </c>
      <c r="I6" s="33"/>
    </row>
    <row r="7" spans="1:9" ht="15.75" thickBot="1" x14ac:dyDescent="0.3">
      <c r="A7" s="135">
        <f t="shared" si="0"/>
        <v>4255</v>
      </c>
      <c r="B7" s="33"/>
      <c r="C7" s="33"/>
      <c r="D7" s="33"/>
      <c r="E7" s="37"/>
      <c r="F7" s="33" t="s">
        <v>64</v>
      </c>
      <c r="G7" s="33" t="s">
        <v>69</v>
      </c>
      <c r="H7" s="33" t="s">
        <v>69</v>
      </c>
      <c r="I7" s="33"/>
    </row>
    <row r="8" spans="1:9" ht="15.75" thickBot="1" x14ac:dyDescent="0.3">
      <c r="A8" s="135">
        <f t="shared" si="0"/>
        <v>4256</v>
      </c>
      <c r="B8" s="33"/>
      <c r="C8" s="33"/>
      <c r="D8" s="33"/>
      <c r="E8" s="37"/>
      <c r="F8" s="33" t="s">
        <v>64</v>
      </c>
      <c r="G8" s="33" t="s">
        <v>70</v>
      </c>
      <c r="H8" s="33" t="s">
        <v>70</v>
      </c>
      <c r="I8" s="33"/>
    </row>
    <row r="9" spans="1:9" ht="15.75" thickBot="1" x14ac:dyDescent="0.3">
      <c r="A9" s="135">
        <f t="shared" si="0"/>
        <v>4257</v>
      </c>
      <c r="B9" s="33"/>
      <c r="C9" s="33"/>
      <c r="D9" s="33"/>
      <c r="E9" s="37"/>
      <c r="F9" s="33" t="s">
        <v>64</v>
      </c>
      <c r="G9" s="33" t="s">
        <v>71</v>
      </c>
      <c r="H9" s="33" t="s">
        <v>71</v>
      </c>
      <c r="I9" s="33"/>
    </row>
    <row r="10" spans="1:9" ht="15.75" thickBot="1" x14ac:dyDescent="0.3">
      <c r="A10" s="135">
        <f t="shared" si="0"/>
        <v>4258</v>
      </c>
      <c r="B10" s="33"/>
      <c r="C10" s="33"/>
      <c r="D10" s="33"/>
      <c r="E10" s="37"/>
      <c r="F10" s="33" t="s">
        <v>64</v>
      </c>
      <c r="G10" s="33" t="s">
        <v>72</v>
      </c>
      <c r="H10" s="33" t="s">
        <v>72</v>
      </c>
      <c r="I10" s="33"/>
    </row>
    <row r="11" spans="1:9" ht="15.75" thickBot="1" x14ac:dyDescent="0.3">
      <c r="A11" s="163">
        <f t="shared" si="0"/>
        <v>4259</v>
      </c>
      <c r="B11" s="33"/>
      <c r="C11" s="33"/>
      <c r="D11" s="33"/>
      <c r="E11" s="37"/>
      <c r="F11" s="33" t="s">
        <v>64</v>
      </c>
      <c r="G11" s="33" t="s">
        <v>73</v>
      </c>
      <c r="H11" s="33" t="s">
        <v>73</v>
      </c>
      <c r="I11" s="33"/>
    </row>
    <row r="12" spans="1:9" ht="15.75" hidden="1" thickBot="1" x14ac:dyDescent="0.3">
      <c r="A12" s="135">
        <f t="shared" si="0"/>
        <v>4260</v>
      </c>
      <c r="B12" s="33"/>
      <c r="C12" s="33"/>
      <c r="D12" s="33"/>
      <c r="E12" s="37"/>
      <c r="F12" s="33" t="s">
        <v>64</v>
      </c>
      <c r="G12" s="33" t="s">
        <v>73</v>
      </c>
      <c r="H12" s="33" t="s">
        <v>73</v>
      </c>
      <c r="I12" s="33"/>
    </row>
    <row r="13" spans="1:9" ht="15.75" hidden="1" thickBot="1" x14ac:dyDescent="0.3">
      <c r="A13" s="135">
        <f t="shared" si="0"/>
        <v>4261</v>
      </c>
      <c r="B13" s="33"/>
      <c r="C13" s="33"/>
      <c r="D13" s="33"/>
      <c r="E13" s="37"/>
      <c r="F13" s="33" t="s">
        <v>64</v>
      </c>
      <c r="G13" s="33" t="s">
        <v>73</v>
      </c>
      <c r="H13" s="33" t="s">
        <v>73</v>
      </c>
      <c r="I13" s="33"/>
    </row>
    <row r="14" spans="1:9" ht="15.75" hidden="1" thickBot="1" x14ac:dyDescent="0.3">
      <c r="A14" s="135">
        <f t="shared" si="0"/>
        <v>4262</v>
      </c>
      <c r="B14" s="33"/>
      <c r="C14" s="33"/>
      <c r="D14" s="33"/>
      <c r="E14" s="37"/>
      <c r="F14" s="33" t="s">
        <v>64</v>
      </c>
      <c r="G14" s="33" t="s">
        <v>73</v>
      </c>
      <c r="H14" s="33" t="s">
        <v>73</v>
      </c>
      <c r="I14" s="33"/>
    </row>
    <row r="15" spans="1:9" ht="15.75" hidden="1" thickBot="1" x14ac:dyDescent="0.3">
      <c r="A15" s="135">
        <f t="shared" si="0"/>
        <v>4263</v>
      </c>
      <c r="B15" s="33"/>
      <c r="C15" s="33"/>
      <c r="D15" s="33"/>
      <c r="E15" s="37"/>
      <c r="F15" s="33" t="s">
        <v>64</v>
      </c>
      <c r="G15" s="33" t="s">
        <v>73</v>
      </c>
      <c r="H15" s="33" t="s">
        <v>73</v>
      </c>
      <c r="I15" s="33"/>
    </row>
    <row r="16" spans="1:9" ht="15.75" hidden="1" thickBot="1" x14ac:dyDescent="0.3">
      <c r="A16" s="135">
        <f t="shared" si="0"/>
        <v>4264</v>
      </c>
      <c r="B16" s="33"/>
      <c r="C16" s="33"/>
      <c r="D16" s="33"/>
      <c r="E16" s="37"/>
      <c r="F16" s="33" t="s">
        <v>64</v>
      </c>
      <c r="G16" s="33" t="s">
        <v>73</v>
      </c>
      <c r="H16" s="33" t="s">
        <v>73</v>
      </c>
      <c r="I16" s="33"/>
    </row>
    <row r="17" spans="1:9" ht="15.75" hidden="1" thickBot="1" x14ac:dyDescent="0.3">
      <c r="A17" s="135">
        <f t="shared" si="0"/>
        <v>4265</v>
      </c>
      <c r="B17" s="33"/>
      <c r="C17" s="33"/>
      <c r="D17" s="33"/>
      <c r="E17" s="37"/>
      <c r="F17" s="33" t="s">
        <v>64</v>
      </c>
      <c r="G17" s="33" t="s">
        <v>73</v>
      </c>
      <c r="H17" s="33" t="s">
        <v>73</v>
      </c>
      <c r="I17" s="33"/>
    </row>
    <row r="18" spans="1:9" ht="15.75" hidden="1" thickBot="1" x14ac:dyDescent="0.3">
      <c r="A18" s="135">
        <f t="shared" si="0"/>
        <v>4266</v>
      </c>
      <c r="B18" s="33"/>
      <c r="C18" s="33"/>
      <c r="D18" s="33"/>
      <c r="E18" s="37"/>
      <c r="F18" s="33" t="s">
        <v>64</v>
      </c>
      <c r="G18" s="33" t="s">
        <v>73</v>
      </c>
      <c r="H18" s="33" t="s">
        <v>73</v>
      </c>
      <c r="I18" s="33"/>
    </row>
    <row r="19" spans="1:9" ht="15.75" hidden="1" thickBot="1" x14ac:dyDescent="0.3">
      <c r="A19" s="135">
        <f t="shared" si="0"/>
        <v>4267</v>
      </c>
      <c r="B19" s="33"/>
      <c r="C19" s="33"/>
      <c r="D19" s="33"/>
      <c r="E19" s="37"/>
      <c r="F19" s="33" t="s">
        <v>64</v>
      </c>
      <c r="G19" s="33" t="s">
        <v>73</v>
      </c>
      <c r="H19" s="33" t="s">
        <v>73</v>
      </c>
      <c r="I19" s="33"/>
    </row>
    <row r="20" spans="1:9" ht="15.75" hidden="1" thickBot="1" x14ac:dyDescent="0.3">
      <c r="A20" s="135">
        <f t="shared" si="0"/>
        <v>4268</v>
      </c>
      <c r="B20" s="33"/>
      <c r="C20" s="33"/>
      <c r="D20" s="33"/>
      <c r="E20" s="37"/>
      <c r="F20" s="33" t="s">
        <v>64</v>
      </c>
      <c r="G20" s="33" t="s">
        <v>73</v>
      </c>
      <c r="H20" s="33" t="s">
        <v>73</v>
      </c>
      <c r="I20" s="33"/>
    </row>
    <row r="21" spans="1:9" ht="15.75" hidden="1" thickBot="1" x14ac:dyDescent="0.3">
      <c r="A21" s="135">
        <f t="shared" si="0"/>
        <v>4269</v>
      </c>
      <c r="B21" s="33"/>
      <c r="C21" s="33"/>
      <c r="D21" s="33"/>
      <c r="E21" s="37"/>
      <c r="F21" s="33" t="s">
        <v>64</v>
      </c>
      <c r="G21" s="33" t="s">
        <v>73</v>
      </c>
      <c r="H21" s="33" t="s">
        <v>73</v>
      </c>
      <c r="I21" s="33"/>
    </row>
    <row r="22" spans="1:9" ht="15.75" hidden="1" thickBot="1" x14ac:dyDescent="0.3">
      <c r="A22" s="135">
        <f t="shared" si="0"/>
        <v>4270</v>
      </c>
      <c r="B22" s="33" t="s">
        <v>64</v>
      </c>
      <c r="C22" s="33" t="s">
        <v>73</v>
      </c>
      <c r="D22" s="33"/>
      <c r="E22" s="37"/>
      <c r="F22" s="33" t="s">
        <v>64</v>
      </c>
      <c r="G22" s="33" t="s">
        <v>73</v>
      </c>
      <c r="H22" s="33" t="s">
        <v>73</v>
      </c>
      <c r="I22" s="33"/>
    </row>
    <row r="23" spans="1:9" ht="15.75" hidden="1" thickBot="1" x14ac:dyDescent="0.3">
      <c r="A23" s="135">
        <f t="shared" si="0"/>
        <v>4271</v>
      </c>
      <c r="B23" s="33" t="s">
        <v>64</v>
      </c>
      <c r="C23" s="33" t="s">
        <v>73</v>
      </c>
      <c r="D23" s="33"/>
      <c r="E23" s="37"/>
      <c r="F23" s="33" t="s">
        <v>64</v>
      </c>
      <c r="G23" s="33" t="s">
        <v>73</v>
      </c>
      <c r="H23" s="33" t="s">
        <v>73</v>
      </c>
      <c r="I23" s="33"/>
    </row>
    <row r="24" spans="1:9" ht="15.75" hidden="1" thickBot="1" x14ac:dyDescent="0.3">
      <c r="A24" s="135">
        <f t="shared" si="0"/>
        <v>4272</v>
      </c>
      <c r="B24" s="33" t="s">
        <v>64</v>
      </c>
      <c r="C24" s="33" t="s">
        <v>73</v>
      </c>
      <c r="D24" s="33"/>
      <c r="E24" s="37"/>
      <c r="F24" s="33" t="s">
        <v>64</v>
      </c>
      <c r="G24" s="33" t="s">
        <v>73</v>
      </c>
      <c r="H24" s="33" t="s">
        <v>73</v>
      </c>
      <c r="I24" s="33"/>
    </row>
    <row r="25" spans="1:9" ht="15.75" hidden="1" thickBot="1" x14ac:dyDescent="0.3">
      <c r="A25" s="135">
        <f t="shared" si="0"/>
        <v>4273</v>
      </c>
      <c r="B25" s="33" t="s">
        <v>64</v>
      </c>
      <c r="C25" s="33" t="s">
        <v>73</v>
      </c>
      <c r="D25" s="33"/>
      <c r="E25" s="37"/>
      <c r="F25" s="33" t="s">
        <v>64</v>
      </c>
      <c r="G25" s="33" t="s">
        <v>73</v>
      </c>
      <c r="H25" s="33" t="s">
        <v>73</v>
      </c>
      <c r="I25" s="33"/>
    </row>
    <row r="26" spans="1:9" ht="15.75" hidden="1" thickBot="1" x14ac:dyDescent="0.3">
      <c r="A26" s="135">
        <f t="shared" si="0"/>
        <v>4274</v>
      </c>
      <c r="B26" s="33" t="s">
        <v>64</v>
      </c>
      <c r="C26" s="33" t="s">
        <v>73</v>
      </c>
      <c r="D26" s="33"/>
      <c r="E26" s="37"/>
      <c r="F26" s="33" t="s">
        <v>64</v>
      </c>
      <c r="G26" s="33" t="s">
        <v>73</v>
      </c>
      <c r="H26" s="33" t="s">
        <v>73</v>
      </c>
      <c r="I26" s="33"/>
    </row>
    <row r="27" spans="1:9" ht="15.75" hidden="1" thickBot="1" x14ac:dyDescent="0.3">
      <c r="A27" s="135">
        <f t="shared" si="0"/>
        <v>4275</v>
      </c>
      <c r="B27" s="33" t="s">
        <v>64</v>
      </c>
      <c r="C27" s="33" t="s">
        <v>73</v>
      </c>
      <c r="D27" s="33"/>
      <c r="E27" s="37"/>
      <c r="F27" s="33" t="s">
        <v>64</v>
      </c>
      <c r="G27" s="33" t="s">
        <v>73</v>
      </c>
      <c r="H27" s="33" t="s">
        <v>73</v>
      </c>
      <c r="I27" s="33"/>
    </row>
    <row r="28" spans="1:9" ht="15.75" hidden="1" thickBot="1" x14ac:dyDescent="0.3">
      <c r="A28" s="135">
        <f t="shared" si="0"/>
        <v>4276</v>
      </c>
      <c r="B28" s="33" t="s">
        <v>64</v>
      </c>
      <c r="C28" s="33" t="s">
        <v>73</v>
      </c>
      <c r="D28" s="33"/>
      <c r="E28" s="37"/>
      <c r="F28" s="33" t="s">
        <v>64</v>
      </c>
      <c r="G28" s="33" t="s">
        <v>73</v>
      </c>
      <c r="H28" s="33" t="s">
        <v>73</v>
      </c>
      <c r="I28" s="33"/>
    </row>
    <row r="29" spans="1:9" ht="15.75" hidden="1" thickBot="1" x14ac:dyDescent="0.3">
      <c r="A29" s="135">
        <f t="shared" si="0"/>
        <v>4277</v>
      </c>
      <c r="B29" s="33" t="s">
        <v>64</v>
      </c>
      <c r="C29" s="33" t="s">
        <v>73</v>
      </c>
      <c r="D29" s="33"/>
      <c r="E29" s="37"/>
      <c r="F29" s="33" t="s">
        <v>64</v>
      </c>
      <c r="G29" s="33" t="s">
        <v>73</v>
      </c>
      <c r="H29" s="33" t="s">
        <v>73</v>
      </c>
      <c r="I29" s="33"/>
    </row>
    <row r="30" spans="1:9" ht="15.75" hidden="1" thickBot="1" x14ac:dyDescent="0.3">
      <c r="A30" s="135">
        <f t="shared" si="0"/>
        <v>4278</v>
      </c>
      <c r="B30" s="33" t="s">
        <v>64</v>
      </c>
      <c r="C30" s="33" t="s">
        <v>73</v>
      </c>
      <c r="D30" s="33"/>
      <c r="E30" s="37"/>
      <c r="F30" s="33" t="s">
        <v>64</v>
      </c>
      <c r="G30" s="33" t="s">
        <v>73</v>
      </c>
      <c r="H30" s="33" t="s">
        <v>73</v>
      </c>
      <c r="I30" s="33"/>
    </row>
    <row r="31" spans="1:9" ht="15.75" hidden="1" thickBot="1" x14ac:dyDescent="0.3">
      <c r="A31" s="135">
        <f t="shared" si="0"/>
        <v>4279</v>
      </c>
      <c r="B31" s="33" t="s">
        <v>64</v>
      </c>
      <c r="C31" s="33" t="s">
        <v>73</v>
      </c>
      <c r="D31" s="33"/>
      <c r="E31" s="37"/>
      <c r="F31" s="33" t="s">
        <v>64</v>
      </c>
      <c r="G31" s="33" t="s">
        <v>73</v>
      </c>
      <c r="H31" s="33" t="s">
        <v>73</v>
      </c>
      <c r="I31" s="33"/>
    </row>
    <row r="32" spans="1:9" ht="15.75" hidden="1" thickBot="1" x14ac:dyDescent="0.3">
      <c r="A32" s="135">
        <f t="shared" si="0"/>
        <v>4280</v>
      </c>
      <c r="B32" s="33" t="s">
        <v>64</v>
      </c>
      <c r="C32" s="33" t="s">
        <v>73</v>
      </c>
      <c r="D32" s="33"/>
      <c r="E32" s="37"/>
      <c r="F32" s="33" t="s">
        <v>64</v>
      </c>
      <c r="G32" s="33" t="s">
        <v>73</v>
      </c>
      <c r="H32" s="33" t="s">
        <v>73</v>
      </c>
      <c r="I32" s="33"/>
    </row>
    <row r="33" spans="1:9" ht="15.75" hidden="1" thickBot="1" x14ac:dyDescent="0.3">
      <c r="A33" s="135">
        <f t="shared" si="0"/>
        <v>4281</v>
      </c>
      <c r="B33" s="33" t="s">
        <v>64</v>
      </c>
      <c r="C33" s="33" t="s">
        <v>73</v>
      </c>
      <c r="D33" s="33"/>
      <c r="E33" s="37"/>
      <c r="F33" s="33" t="s">
        <v>64</v>
      </c>
      <c r="G33" s="33" t="s">
        <v>73</v>
      </c>
      <c r="H33" s="33" t="s">
        <v>73</v>
      </c>
      <c r="I33" s="33"/>
    </row>
    <row r="34" spans="1:9" ht="15.75" hidden="1" thickBot="1" x14ac:dyDescent="0.3">
      <c r="A34" s="135">
        <f t="shared" si="0"/>
        <v>4282</v>
      </c>
      <c r="B34" s="33" t="s">
        <v>64</v>
      </c>
      <c r="C34" s="33" t="s">
        <v>73</v>
      </c>
      <c r="D34" s="33"/>
      <c r="E34" s="37"/>
      <c r="F34" s="33" t="s">
        <v>64</v>
      </c>
      <c r="G34" s="33" t="s">
        <v>73</v>
      </c>
      <c r="H34" s="33" t="s">
        <v>73</v>
      </c>
      <c r="I34" s="33"/>
    </row>
    <row r="35" spans="1:9" ht="15.75" hidden="1" thickBot="1" x14ac:dyDescent="0.3">
      <c r="A35" s="135">
        <f t="shared" si="0"/>
        <v>4283</v>
      </c>
      <c r="B35" s="33" t="s">
        <v>64</v>
      </c>
      <c r="C35" s="33" t="s">
        <v>73</v>
      </c>
      <c r="D35" s="33"/>
      <c r="E35" s="37"/>
      <c r="F35" s="33" t="s">
        <v>64</v>
      </c>
      <c r="G35" s="33" t="s">
        <v>73</v>
      </c>
      <c r="H35" s="33" t="s">
        <v>73</v>
      </c>
      <c r="I35" s="33"/>
    </row>
    <row r="36" spans="1:9" ht="15.75" hidden="1" thickBot="1" x14ac:dyDescent="0.3">
      <c r="A36" s="135">
        <f t="shared" si="0"/>
        <v>4284</v>
      </c>
      <c r="B36" s="33" t="s">
        <v>64</v>
      </c>
      <c r="C36" s="33" t="s">
        <v>73</v>
      </c>
      <c r="D36" s="33"/>
      <c r="E36" s="37"/>
      <c r="F36" s="33" t="s">
        <v>64</v>
      </c>
      <c r="G36" s="33" t="s">
        <v>73</v>
      </c>
      <c r="H36" s="33" t="s">
        <v>73</v>
      </c>
      <c r="I36" s="33"/>
    </row>
    <row r="37" spans="1:9" ht="15.75" hidden="1" thickBot="1" x14ac:dyDescent="0.3">
      <c r="A37" s="135">
        <f t="shared" si="0"/>
        <v>4285</v>
      </c>
      <c r="B37" s="33" t="s">
        <v>64</v>
      </c>
      <c r="C37" s="33" t="s">
        <v>73</v>
      </c>
      <c r="D37" s="33"/>
      <c r="E37" s="37"/>
      <c r="F37" s="33" t="s">
        <v>64</v>
      </c>
      <c r="G37" s="33" t="s">
        <v>73</v>
      </c>
      <c r="H37" s="33" t="s">
        <v>73</v>
      </c>
      <c r="I37" s="33"/>
    </row>
    <row r="38" spans="1:9" ht="15.75" hidden="1" thickBot="1" x14ac:dyDescent="0.3">
      <c r="A38" s="135">
        <f t="shared" si="0"/>
        <v>4286</v>
      </c>
      <c r="B38" s="33" t="s">
        <v>64</v>
      </c>
      <c r="C38" s="33" t="s">
        <v>73</v>
      </c>
      <c r="D38" s="33"/>
      <c r="E38" s="37"/>
      <c r="F38" s="33" t="s">
        <v>64</v>
      </c>
      <c r="G38" s="33" t="s">
        <v>73</v>
      </c>
      <c r="H38" s="33" t="s">
        <v>73</v>
      </c>
      <c r="I38" s="33"/>
    </row>
    <row r="39" spans="1:9" ht="15.75" hidden="1" thickBot="1" x14ac:dyDescent="0.3">
      <c r="A39" s="135">
        <f t="shared" si="0"/>
        <v>4287</v>
      </c>
      <c r="B39" s="33" t="s">
        <v>64</v>
      </c>
      <c r="C39" s="33" t="s">
        <v>73</v>
      </c>
      <c r="D39" s="33"/>
      <c r="E39" s="37"/>
      <c r="F39" s="33" t="s">
        <v>64</v>
      </c>
      <c r="G39" s="33" t="s">
        <v>73</v>
      </c>
      <c r="H39" s="33" t="s">
        <v>73</v>
      </c>
      <c r="I39" s="33"/>
    </row>
    <row r="40" spans="1:9" ht="15.75" hidden="1" thickBot="1" x14ac:dyDescent="0.3">
      <c r="A40" s="135">
        <f t="shared" si="0"/>
        <v>4288</v>
      </c>
      <c r="B40" s="33" t="s">
        <v>64</v>
      </c>
      <c r="C40" s="33" t="s">
        <v>73</v>
      </c>
      <c r="D40" s="33"/>
      <c r="E40" s="37"/>
      <c r="F40" s="33" t="s">
        <v>64</v>
      </c>
      <c r="G40" s="33" t="s">
        <v>73</v>
      </c>
      <c r="H40" s="33" t="s">
        <v>73</v>
      </c>
      <c r="I40" s="33"/>
    </row>
    <row r="41" spans="1:9" ht="15.75" hidden="1" thickBot="1" x14ac:dyDescent="0.3">
      <c r="A41" s="135">
        <f t="shared" si="0"/>
        <v>4289</v>
      </c>
      <c r="B41" s="33" t="s">
        <v>64</v>
      </c>
      <c r="C41" s="33" t="s">
        <v>73</v>
      </c>
      <c r="D41" s="33"/>
      <c r="E41" s="37"/>
      <c r="F41" s="33" t="s">
        <v>64</v>
      </c>
      <c r="G41" s="33" t="s">
        <v>73</v>
      </c>
      <c r="H41" s="33" t="s">
        <v>73</v>
      </c>
      <c r="I41" s="33"/>
    </row>
    <row r="42" spans="1:9" ht="15.75" hidden="1" thickBot="1" x14ac:dyDescent="0.3">
      <c r="A42" s="135">
        <f t="shared" si="0"/>
        <v>4290</v>
      </c>
      <c r="B42" s="33" t="s">
        <v>64</v>
      </c>
      <c r="C42" s="33" t="s">
        <v>73</v>
      </c>
      <c r="D42" s="33"/>
      <c r="E42" s="37"/>
      <c r="F42" s="33" t="s">
        <v>64</v>
      </c>
      <c r="G42" s="33" t="s">
        <v>73</v>
      </c>
      <c r="H42" s="33" t="s">
        <v>73</v>
      </c>
      <c r="I42" s="33"/>
    </row>
    <row r="43" spans="1:9" ht="15.75" hidden="1" thickBot="1" x14ac:dyDescent="0.3">
      <c r="A43" s="135">
        <f t="shared" si="0"/>
        <v>4291</v>
      </c>
      <c r="B43" s="33" t="s">
        <v>64</v>
      </c>
      <c r="C43" s="33" t="s">
        <v>73</v>
      </c>
      <c r="D43" s="33"/>
      <c r="E43" s="37"/>
      <c r="F43" s="33" t="s">
        <v>64</v>
      </c>
      <c r="G43" s="33" t="s">
        <v>73</v>
      </c>
      <c r="H43" s="33" t="s">
        <v>73</v>
      </c>
      <c r="I43" s="33"/>
    </row>
    <row r="44" spans="1:9" ht="15.75" hidden="1" thickBot="1" x14ac:dyDescent="0.3">
      <c r="A44" s="135">
        <f t="shared" si="0"/>
        <v>4292</v>
      </c>
      <c r="B44" s="33" t="s">
        <v>64</v>
      </c>
      <c r="C44" s="33" t="s">
        <v>73</v>
      </c>
      <c r="D44" s="33"/>
      <c r="E44" s="37"/>
      <c r="F44" s="33" t="s">
        <v>64</v>
      </c>
      <c r="G44" s="33" t="s">
        <v>73</v>
      </c>
      <c r="H44" s="33" t="s">
        <v>73</v>
      </c>
      <c r="I44" s="33"/>
    </row>
    <row r="45" spans="1:9" ht="15.75" hidden="1" thickBot="1" x14ac:dyDescent="0.3">
      <c r="A45" s="135">
        <f t="shared" si="0"/>
        <v>4293</v>
      </c>
      <c r="B45" s="33" t="s">
        <v>64</v>
      </c>
      <c r="C45" s="33" t="s">
        <v>73</v>
      </c>
      <c r="D45" s="33"/>
      <c r="E45" s="37"/>
      <c r="F45" s="33" t="s">
        <v>64</v>
      </c>
      <c r="G45" s="33" t="s">
        <v>73</v>
      </c>
      <c r="H45" s="33" t="s">
        <v>73</v>
      </c>
      <c r="I45" s="33"/>
    </row>
    <row r="46" spans="1:9" ht="15.75" hidden="1" thickBot="1" x14ac:dyDescent="0.3">
      <c r="A46" s="135">
        <f t="shared" si="0"/>
        <v>4294</v>
      </c>
      <c r="B46" s="33" t="s">
        <v>64</v>
      </c>
      <c r="C46" s="33" t="s">
        <v>73</v>
      </c>
      <c r="D46" s="33"/>
      <c r="E46" s="37"/>
      <c r="F46" s="33" t="s">
        <v>64</v>
      </c>
      <c r="G46" s="33" t="s">
        <v>73</v>
      </c>
      <c r="H46" s="33" t="s">
        <v>73</v>
      </c>
      <c r="I46" s="33"/>
    </row>
    <row r="47" spans="1:9" ht="15.75" hidden="1" thickBot="1" x14ac:dyDescent="0.3">
      <c r="A47" s="135">
        <f t="shared" si="0"/>
        <v>4295</v>
      </c>
      <c r="B47" s="33" t="s">
        <v>64</v>
      </c>
      <c r="C47" s="33" t="s">
        <v>73</v>
      </c>
      <c r="D47" s="33"/>
      <c r="E47" s="37"/>
      <c r="F47" s="33" t="s">
        <v>64</v>
      </c>
      <c r="G47" s="33" t="s">
        <v>73</v>
      </c>
      <c r="H47" s="33" t="s">
        <v>73</v>
      </c>
      <c r="I47" s="33"/>
    </row>
    <row r="48" spans="1:9" ht="15.75" hidden="1" thickBot="1" x14ac:dyDescent="0.3">
      <c r="A48" s="135">
        <f t="shared" si="0"/>
        <v>4296</v>
      </c>
      <c r="B48" s="33" t="s">
        <v>64</v>
      </c>
      <c r="C48" s="33" t="s">
        <v>73</v>
      </c>
      <c r="D48" s="33"/>
      <c r="E48" s="37"/>
      <c r="F48" s="33" t="s">
        <v>64</v>
      </c>
      <c r="G48" s="33" t="s">
        <v>73</v>
      </c>
      <c r="H48" s="33" t="s">
        <v>73</v>
      </c>
      <c r="I48" s="33"/>
    </row>
    <row r="49" spans="1:9" ht="15.75" hidden="1" thickBot="1" x14ac:dyDescent="0.3">
      <c r="A49" s="135">
        <f t="shared" si="0"/>
        <v>4297</v>
      </c>
      <c r="B49" s="33" t="s">
        <v>64</v>
      </c>
      <c r="C49" s="33" t="s">
        <v>73</v>
      </c>
      <c r="D49" s="33"/>
      <c r="E49" s="37"/>
      <c r="F49" s="33" t="s">
        <v>64</v>
      </c>
      <c r="G49" s="33" t="s">
        <v>73</v>
      </c>
      <c r="H49" s="33" t="s">
        <v>73</v>
      </c>
      <c r="I49" s="33"/>
    </row>
    <row r="50" spans="1:9" ht="15.75" hidden="1" thickBot="1" x14ac:dyDescent="0.3">
      <c r="A50" s="135">
        <f t="shared" si="0"/>
        <v>4298</v>
      </c>
      <c r="B50" s="33" t="s">
        <v>64</v>
      </c>
      <c r="C50" s="33" t="s">
        <v>73</v>
      </c>
      <c r="D50" s="33"/>
      <c r="E50" s="37"/>
      <c r="F50" s="33" t="s">
        <v>64</v>
      </c>
      <c r="G50" s="33" t="s">
        <v>73</v>
      </c>
      <c r="H50" s="33" t="s">
        <v>73</v>
      </c>
      <c r="I50" s="33"/>
    </row>
    <row r="51" spans="1:9" hidden="1" x14ac:dyDescent="0.25">
      <c r="A51" s="135">
        <f t="shared" si="0"/>
        <v>4299</v>
      </c>
      <c r="B51" s="39" t="s">
        <v>64</v>
      </c>
      <c r="C51" s="39" t="s">
        <v>73</v>
      </c>
      <c r="D51" s="39"/>
      <c r="E51" s="37"/>
      <c r="F51" s="33" t="s">
        <v>64</v>
      </c>
      <c r="G51" s="33" t="s">
        <v>73</v>
      </c>
      <c r="H51" s="33" t="s">
        <v>73</v>
      </c>
      <c r="I51" s="33"/>
    </row>
    <row r="52" spans="1:9" hidden="1" x14ac:dyDescent="0.25">
      <c r="A52" s="138">
        <f t="shared" si="0"/>
        <v>4300</v>
      </c>
      <c r="B52" s="33" t="s">
        <v>64</v>
      </c>
      <c r="C52" s="33" t="s">
        <v>73</v>
      </c>
      <c r="D52" s="33"/>
      <c r="E52" s="105"/>
      <c r="F52" s="33" t="s">
        <v>64</v>
      </c>
      <c r="G52" s="33" t="s">
        <v>73</v>
      </c>
      <c r="H52" s="33" t="s">
        <v>73</v>
      </c>
      <c r="I52" s="33"/>
    </row>
    <row r="53" spans="1:9" x14ac:dyDescent="0.25">
      <c r="B53" s="136"/>
      <c r="C53" s="136"/>
      <c r="D53" s="136"/>
      <c r="E53" s="136"/>
      <c r="F53" s="137" t="s">
        <v>64</v>
      </c>
      <c r="G53" s="33" t="s">
        <v>73</v>
      </c>
      <c r="H53" s="33" t="s">
        <v>73</v>
      </c>
      <c r="I53" s="33"/>
    </row>
    <row r="54" spans="1:9" x14ac:dyDescent="0.25">
      <c r="B54" s="136"/>
      <c r="C54" s="136"/>
      <c r="D54" s="136"/>
      <c r="E54" s="136"/>
      <c r="F54" s="137" t="s">
        <v>64</v>
      </c>
      <c r="G54" s="33" t="s">
        <v>73</v>
      </c>
      <c r="H54" s="33" t="s">
        <v>73</v>
      </c>
      <c r="I54" s="33"/>
    </row>
    <row r="55" spans="1:9" x14ac:dyDescent="0.25">
      <c r="B55" s="136"/>
      <c r="C55" s="136"/>
      <c r="D55" s="136"/>
      <c r="E55" s="136"/>
      <c r="F55" s="137" t="s">
        <v>64</v>
      </c>
      <c r="G55" s="33" t="s">
        <v>73</v>
      </c>
      <c r="H55" s="33" t="s">
        <v>73</v>
      </c>
      <c r="I55" s="33"/>
    </row>
    <row r="56" spans="1:9" x14ac:dyDescent="0.25">
      <c r="B56" s="136"/>
      <c r="C56" s="136"/>
      <c r="D56" s="136"/>
      <c r="E56" s="136"/>
      <c r="F56" s="137" t="s">
        <v>64</v>
      </c>
      <c r="G56" s="33" t="s">
        <v>73</v>
      </c>
      <c r="H56" s="33" t="s">
        <v>73</v>
      </c>
      <c r="I56" s="33"/>
    </row>
    <row r="57" spans="1:9" x14ac:dyDescent="0.25">
      <c r="B57" s="136"/>
      <c r="C57" s="136"/>
      <c r="D57" s="136"/>
      <c r="E57" s="136"/>
      <c r="F57" s="137" t="s">
        <v>64</v>
      </c>
      <c r="G57" s="33" t="s">
        <v>73</v>
      </c>
      <c r="H57" s="33" t="s">
        <v>73</v>
      </c>
      <c r="I57" s="33"/>
    </row>
    <row r="58" spans="1:9" x14ac:dyDescent="0.25">
      <c r="B58" s="136"/>
      <c r="C58" s="136"/>
      <c r="D58" s="136"/>
      <c r="E58" s="136"/>
      <c r="F58" s="137" t="s">
        <v>64</v>
      </c>
      <c r="G58" s="33" t="s">
        <v>73</v>
      </c>
      <c r="H58" s="33" t="s">
        <v>73</v>
      </c>
      <c r="I58" s="33"/>
    </row>
    <row r="59" spans="1:9" x14ac:dyDescent="0.25">
      <c r="B59" s="136"/>
      <c r="C59" s="136"/>
      <c r="D59" s="136"/>
      <c r="E59" s="136"/>
      <c r="F59" s="137" t="s">
        <v>64</v>
      </c>
      <c r="G59" s="33" t="s">
        <v>73</v>
      </c>
      <c r="H59" s="33" t="s">
        <v>73</v>
      </c>
      <c r="I59" s="33"/>
    </row>
    <row r="60" spans="1:9" x14ac:dyDescent="0.25">
      <c r="B60" s="136"/>
      <c r="C60" s="136"/>
      <c r="D60" s="136"/>
      <c r="E60" s="136"/>
      <c r="F60" s="137" t="s">
        <v>64</v>
      </c>
      <c r="G60" s="33" t="s">
        <v>73</v>
      </c>
      <c r="H60" s="33" t="s">
        <v>73</v>
      </c>
      <c r="I60" s="33"/>
    </row>
    <row r="61" spans="1:9" x14ac:dyDescent="0.25">
      <c r="B61" s="136"/>
      <c r="C61" s="136"/>
      <c r="D61" s="136"/>
      <c r="E61" s="136"/>
      <c r="F61" s="137" t="s">
        <v>64</v>
      </c>
      <c r="G61" s="33" t="s">
        <v>73</v>
      </c>
      <c r="H61" s="33" t="s">
        <v>73</v>
      </c>
      <c r="I61" s="33"/>
    </row>
    <row r="62" spans="1:9" x14ac:dyDescent="0.25">
      <c r="B62" s="136"/>
      <c r="C62" s="136"/>
      <c r="D62" s="136"/>
      <c r="E62" s="136"/>
      <c r="F62" s="137" t="s">
        <v>64</v>
      </c>
      <c r="G62" s="33" t="s">
        <v>73</v>
      </c>
      <c r="H62" s="33" t="s">
        <v>73</v>
      </c>
      <c r="I62" s="33"/>
    </row>
    <row r="63" spans="1:9" x14ac:dyDescent="0.25">
      <c r="B63" s="136"/>
      <c r="C63" s="136"/>
      <c r="D63" s="136"/>
      <c r="E63" s="136"/>
      <c r="F63" s="137" t="s">
        <v>64</v>
      </c>
      <c r="G63" s="33" t="s">
        <v>73</v>
      </c>
      <c r="H63" s="33" t="s">
        <v>73</v>
      </c>
      <c r="I63" s="33"/>
    </row>
    <row r="64" spans="1:9" x14ac:dyDescent="0.25">
      <c r="B64" s="136"/>
      <c r="C64" s="136"/>
      <c r="D64" s="136"/>
      <c r="E64" s="136"/>
      <c r="F64" s="137" t="s">
        <v>64</v>
      </c>
      <c r="G64" s="33" t="s">
        <v>73</v>
      </c>
      <c r="H64" s="33" t="s">
        <v>73</v>
      </c>
      <c r="I64" s="33"/>
    </row>
    <row r="65" spans="2:9" x14ac:dyDescent="0.25">
      <c r="B65" s="136"/>
      <c r="C65" s="136"/>
      <c r="D65" s="136"/>
      <c r="E65" s="136"/>
      <c r="F65" s="137" t="s">
        <v>64</v>
      </c>
      <c r="G65" s="33" t="s">
        <v>73</v>
      </c>
      <c r="H65" s="33" t="s">
        <v>73</v>
      </c>
      <c r="I65" s="33"/>
    </row>
    <row r="66" spans="2:9" x14ac:dyDescent="0.25">
      <c r="B66" s="136"/>
      <c r="C66" s="136"/>
      <c r="D66" s="136"/>
      <c r="E66" s="136"/>
      <c r="F66" s="137" t="s">
        <v>64</v>
      </c>
      <c r="G66" s="33" t="s">
        <v>73</v>
      </c>
      <c r="H66" s="33" t="s">
        <v>73</v>
      </c>
      <c r="I66" s="33"/>
    </row>
    <row r="67" spans="2:9" x14ac:dyDescent="0.25">
      <c r="B67" s="136"/>
      <c r="C67" s="136"/>
      <c r="D67" s="136"/>
      <c r="E67" s="136"/>
      <c r="F67" s="137" t="s">
        <v>64</v>
      </c>
      <c r="G67" s="33" t="s">
        <v>73</v>
      </c>
      <c r="H67" s="33" t="s">
        <v>73</v>
      </c>
      <c r="I67" s="33"/>
    </row>
    <row r="68" spans="2:9" x14ac:dyDescent="0.25">
      <c r="B68" s="136"/>
      <c r="C68" s="136"/>
      <c r="D68" s="136"/>
      <c r="E68" s="136"/>
      <c r="F68" s="137" t="s">
        <v>64</v>
      </c>
      <c r="G68" s="33" t="s">
        <v>73</v>
      </c>
      <c r="H68" s="33" t="s">
        <v>73</v>
      </c>
      <c r="I68" s="33"/>
    </row>
    <row r="69" spans="2:9" x14ac:dyDescent="0.25">
      <c r="B69" s="136"/>
      <c r="C69" s="136"/>
      <c r="D69" s="136"/>
      <c r="E69" s="136"/>
      <c r="F69" s="137" t="s">
        <v>64</v>
      </c>
      <c r="G69" s="33" t="s">
        <v>73</v>
      </c>
      <c r="H69" s="33" t="s">
        <v>73</v>
      </c>
      <c r="I69" s="33"/>
    </row>
    <row r="70" spans="2:9" x14ac:dyDescent="0.25">
      <c r="B70" s="136"/>
      <c r="C70" s="136"/>
      <c r="D70" s="136"/>
      <c r="E70" s="136"/>
      <c r="F70" s="137" t="s">
        <v>64</v>
      </c>
      <c r="G70" s="33" t="s">
        <v>73</v>
      </c>
      <c r="H70" s="33" t="s">
        <v>73</v>
      </c>
      <c r="I70" s="33"/>
    </row>
    <row r="71" spans="2:9" x14ac:dyDescent="0.25">
      <c r="B71" s="136"/>
      <c r="C71" s="136"/>
      <c r="D71" s="136"/>
      <c r="E71" s="136"/>
      <c r="F71" s="137" t="s">
        <v>64</v>
      </c>
      <c r="G71" s="33" t="s">
        <v>73</v>
      </c>
      <c r="H71" s="33" t="s">
        <v>73</v>
      </c>
      <c r="I71" s="33"/>
    </row>
    <row r="72" spans="2:9" x14ac:dyDescent="0.25">
      <c r="B72" s="136"/>
      <c r="C72" s="136"/>
      <c r="D72" s="136"/>
      <c r="E72" s="136"/>
      <c r="F72" s="137" t="s">
        <v>64</v>
      </c>
      <c r="G72" s="33" t="s">
        <v>73</v>
      </c>
      <c r="H72" s="33" t="s">
        <v>73</v>
      </c>
      <c r="I72" s="33"/>
    </row>
    <row r="73" spans="2:9" x14ac:dyDescent="0.25">
      <c r="B73" s="136"/>
      <c r="C73" s="136"/>
      <c r="D73" s="136"/>
      <c r="E73" s="136"/>
      <c r="F73" s="137" t="s">
        <v>64</v>
      </c>
      <c r="G73" s="33" t="s">
        <v>73</v>
      </c>
      <c r="H73" s="33" t="s">
        <v>73</v>
      </c>
      <c r="I73" s="33"/>
    </row>
    <row r="74" spans="2:9" x14ac:dyDescent="0.25">
      <c r="B74" s="136"/>
      <c r="C74" s="136"/>
      <c r="D74" s="136"/>
      <c r="E74" s="136"/>
      <c r="F74" s="137" t="s">
        <v>64</v>
      </c>
      <c r="G74" s="33" t="s">
        <v>73</v>
      </c>
      <c r="H74" s="33" t="s">
        <v>73</v>
      </c>
      <c r="I74" s="33"/>
    </row>
    <row r="75" spans="2:9" x14ac:dyDescent="0.25">
      <c r="B75" s="136"/>
      <c r="C75" s="136"/>
      <c r="D75" s="136"/>
      <c r="E75" s="136"/>
      <c r="F75" s="137" t="s">
        <v>64</v>
      </c>
      <c r="G75" s="33" t="s">
        <v>73</v>
      </c>
      <c r="H75" s="33" t="s">
        <v>73</v>
      </c>
      <c r="I75" s="33"/>
    </row>
    <row r="76" spans="2:9" x14ac:dyDescent="0.25">
      <c r="B76" s="136"/>
      <c r="C76" s="136"/>
      <c r="D76" s="136"/>
      <c r="E76" s="136"/>
      <c r="F76" s="137" t="s">
        <v>64</v>
      </c>
      <c r="G76" s="33" t="s">
        <v>73</v>
      </c>
      <c r="H76" s="33" t="s">
        <v>73</v>
      </c>
      <c r="I76" s="33"/>
    </row>
    <row r="77" spans="2:9" x14ac:dyDescent="0.25">
      <c r="B77" s="136"/>
      <c r="C77" s="136"/>
      <c r="D77" s="136"/>
      <c r="E77" s="136"/>
      <c r="F77" s="137" t="s">
        <v>64</v>
      </c>
      <c r="G77" s="33" t="s">
        <v>73</v>
      </c>
      <c r="H77" s="33" t="s">
        <v>73</v>
      </c>
      <c r="I77" s="33"/>
    </row>
    <row r="78" spans="2:9" x14ac:dyDescent="0.25">
      <c r="B78" s="136"/>
      <c r="C78" s="136"/>
      <c r="D78" s="136"/>
      <c r="E78" s="136"/>
      <c r="F78" s="137" t="s">
        <v>64</v>
      </c>
      <c r="G78" s="33" t="s">
        <v>73</v>
      </c>
      <c r="H78" s="33" t="s">
        <v>73</v>
      </c>
      <c r="I78" s="33"/>
    </row>
    <row r="79" spans="2:9" x14ac:dyDescent="0.25">
      <c r="B79" s="136"/>
      <c r="C79" s="136"/>
      <c r="D79" s="136"/>
      <c r="E79" s="136"/>
      <c r="F79" s="137" t="s">
        <v>64</v>
      </c>
      <c r="G79" s="33" t="s">
        <v>73</v>
      </c>
      <c r="H79" s="33" t="s">
        <v>73</v>
      </c>
      <c r="I79" s="33"/>
    </row>
    <row r="80" spans="2:9" x14ac:dyDescent="0.25">
      <c r="B80" s="136"/>
      <c r="C80" s="136"/>
      <c r="D80" s="136"/>
      <c r="E80" s="136"/>
      <c r="F80" s="137" t="s">
        <v>64</v>
      </c>
      <c r="G80" s="33" t="s">
        <v>73</v>
      </c>
      <c r="H80" s="33" t="s">
        <v>73</v>
      </c>
      <c r="I80" s="33"/>
    </row>
    <row r="81" spans="2:9" x14ac:dyDescent="0.25">
      <c r="B81" s="136"/>
      <c r="C81" s="136"/>
      <c r="D81" s="136"/>
      <c r="E81" s="136"/>
      <c r="F81" s="137" t="s">
        <v>64</v>
      </c>
      <c r="G81" s="33" t="s">
        <v>73</v>
      </c>
      <c r="H81" s="33" t="s">
        <v>73</v>
      </c>
      <c r="I81" s="33"/>
    </row>
    <row r="82" spans="2:9" x14ac:dyDescent="0.25">
      <c r="B82" s="136"/>
      <c r="C82" s="136"/>
      <c r="D82" s="136"/>
      <c r="E82" s="136"/>
      <c r="F82" s="137" t="s">
        <v>64</v>
      </c>
      <c r="G82" s="33" t="s">
        <v>73</v>
      </c>
      <c r="H82" s="33" t="s">
        <v>73</v>
      </c>
      <c r="I82" s="33"/>
    </row>
    <row r="83" spans="2:9" x14ac:dyDescent="0.25">
      <c r="B83" s="136"/>
      <c r="C83" s="136"/>
      <c r="D83" s="136"/>
      <c r="E83" s="136"/>
      <c r="F83" s="137" t="s">
        <v>64</v>
      </c>
      <c r="G83" s="33" t="s">
        <v>73</v>
      </c>
      <c r="H83" s="33" t="s">
        <v>73</v>
      </c>
      <c r="I83" s="33"/>
    </row>
    <row r="84" spans="2:9" x14ac:dyDescent="0.25">
      <c r="B84" s="136"/>
      <c r="C84" s="136"/>
      <c r="D84" s="136"/>
      <c r="E84" s="136"/>
      <c r="F84" s="137" t="s">
        <v>64</v>
      </c>
      <c r="G84" s="33" t="s">
        <v>73</v>
      </c>
      <c r="H84" s="33" t="s">
        <v>73</v>
      </c>
      <c r="I84" s="33"/>
    </row>
    <row r="85" spans="2:9" x14ac:dyDescent="0.25">
      <c r="B85" s="136"/>
      <c r="C85" s="136"/>
      <c r="D85" s="136"/>
      <c r="E85" s="136"/>
      <c r="F85" s="137" t="s">
        <v>64</v>
      </c>
      <c r="G85" s="33" t="s">
        <v>73</v>
      </c>
      <c r="H85" s="33" t="s">
        <v>73</v>
      </c>
      <c r="I85" s="33"/>
    </row>
    <row r="86" spans="2:9" x14ac:dyDescent="0.25">
      <c r="B86" s="136"/>
      <c r="C86" s="136"/>
      <c r="D86" s="136"/>
      <c r="E86" s="136"/>
      <c r="F86" s="137" t="s">
        <v>64</v>
      </c>
      <c r="G86" s="33" t="s">
        <v>73</v>
      </c>
      <c r="H86" s="33" t="s">
        <v>73</v>
      </c>
      <c r="I86" s="33"/>
    </row>
    <row r="87" spans="2:9" x14ac:dyDescent="0.25">
      <c r="B87" s="136"/>
      <c r="C87" s="136"/>
      <c r="D87" s="136"/>
      <c r="E87" s="136"/>
      <c r="F87" s="137" t="s">
        <v>64</v>
      </c>
      <c r="G87" s="33" t="s">
        <v>73</v>
      </c>
      <c r="H87" s="33" t="s">
        <v>73</v>
      </c>
      <c r="I87" s="33"/>
    </row>
    <row r="88" spans="2:9" x14ac:dyDescent="0.25">
      <c r="B88" s="136"/>
      <c r="C88" s="136"/>
      <c r="D88" s="136"/>
      <c r="E88" s="136"/>
      <c r="F88" s="137" t="s">
        <v>64</v>
      </c>
      <c r="G88" s="33" t="s">
        <v>73</v>
      </c>
      <c r="H88" s="33" t="s">
        <v>73</v>
      </c>
      <c r="I88" s="33"/>
    </row>
    <row r="89" spans="2:9" x14ac:dyDescent="0.25">
      <c r="B89" s="136"/>
      <c r="C89" s="136"/>
      <c r="D89" s="136"/>
      <c r="E89" s="136"/>
      <c r="F89" s="137" t="s">
        <v>64</v>
      </c>
      <c r="G89" s="33" t="s">
        <v>73</v>
      </c>
      <c r="H89" s="33" t="s">
        <v>73</v>
      </c>
      <c r="I89" s="33"/>
    </row>
    <row r="90" spans="2:9" x14ac:dyDescent="0.25">
      <c r="B90" s="136"/>
      <c r="C90" s="136"/>
      <c r="D90" s="136"/>
      <c r="E90" s="136"/>
      <c r="F90" s="137" t="s">
        <v>64</v>
      </c>
      <c r="G90" s="33" t="s">
        <v>73</v>
      </c>
      <c r="H90" s="33" t="s">
        <v>73</v>
      </c>
      <c r="I90" s="33"/>
    </row>
    <row r="91" spans="2:9" x14ac:dyDescent="0.25">
      <c r="B91" s="136"/>
      <c r="C91" s="136"/>
      <c r="D91" s="136"/>
      <c r="E91" s="136"/>
      <c r="F91" s="137" t="s">
        <v>64</v>
      </c>
      <c r="G91" s="33" t="s">
        <v>73</v>
      </c>
      <c r="H91" s="33" t="s">
        <v>73</v>
      </c>
      <c r="I91" s="33"/>
    </row>
    <row r="92" spans="2:9" x14ac:dyDescent="0.25">
      <c r="B92" s="136"/>
      <c r="C92" s="136"/>
      <c r="D92" s="136"/>
      <c r="E92" s="136"/>
      <c r="F92" s="137" t="s">
        <v>64</v>
      </c>
      <c r="G92" s="33" t="s">
        <v>73</v>
      </c>
      <c r="H92" s="33" t="s">
        <v>73</v>
      </c>
      <c r="I92" s="33"/>
    </row>
    <row r="93" spans="2:9" x14ac:dyDescent="0.25">
      <c r="B93" s="136"/>
      <c r="C93" s="136"/>
      <c r="D93" s="136"/>
      <c r="E93" s="136"/>
      <c r="F93" s="137" t="s">
        <v>64</v>
      </c>
      <c r="G93" s="33" t="s">
        <v>73</v>
      </c>
      <c r="H93" s="33" t="s">
        <v>73</v>
      </c>
      <c r="I93" s="33"/>
    </row>
    <row r="94" spans="2:9" x14ac:dyDescent="0.25">
      <c r="B94" s="136"/>
      <c r="C94" s="136"/>
      <c r="D94" s="136"/>
      <c r="E94" s="136"/>
      <c r="F94" s="137" t="s">
        <v>64</v>
      </c>
      <c r="G94" s="33" t="s">
        <v>73</v>
      </c>
      <c r="H94" s="33" t="s">
        <v>73</v>
      </c>
      <c r="I94" s="33"/>
    </row>
    <row r="95" spans="2:9" x14ac:dyDescent="0.25">
      <c r="B95" s="136"/>
      <c r="C95" s="136"/>
      <c r="D95" s="136"/>
      <c r="E95" s="136"/>
      <c r="F95" s="137" t="s">
        <v>64</v>
      </c>
      <c r="G95" s="33" t="s">
        <v>73</v>
      </c>
      <c r="H95" s="33" t="s">
        <v>73</v>
      </c>
      <c r="I95" s="33"/>
    </row>
    <row r="96" spans="2:9" x14ac:dyDescent="0.25">
      <c r="B96" s="136"/>
      <c r="C96" s="136"/>
      <c r="D96" s="136"/>
      <c r="E96" s="136"/>
      <c r="F96" s="137" t="s">
        <v>64</v>
      </c>
      <c r="G96" s="33" t="s">
        <v>73</v>
      </c>
      <c r="H96" s="33" t="s">
        <v>73</v>
      </c>
      <c r="I96" s="33"/>
    </row>
    <row r="97" spans="2:9" x14ac:dyDescent="0.25">
      <c r="B97" s="136"/>
      <c r="C97" s="136"/>
      <c r="D97" s="136"/>
      <c r="E97" s="136"/>
      <c r="F97" s="137" t="s">
        <v>64</v>
      </c>
      <c r="G97" s="33" t="s">
        <v>73</v>
      </c>
      <c r="H97" s="33" t="s">
        <v>73</v>
      </c>
      <c r="I97" s="33"/>
    </row>
    <row r="98" spans="2:9" x14ac:dyDescent="0.25">
      <c r="B98" s="136"/>
      <c r="C98" s="136"/>
      <c r="D98" s="136"/>
      <c r="E98" s="136"/>
      <c r="F98" s="137" t="s">
        <v>64</v>
      </c>
      <c r="G98" s="33" t="s">
        <v>73</v>
      </c>
      <c r="H98" s="33" t="s">
        <v>73</v>
      </c>
      <c r="I98" s="33"/>
    </row>
    <row r="99" spans="2:9" x14ac:dyDescent="0.25">
      <c r="B99" s="136"/>
      <c r="C99" s="136"/>
      <c r="D99" s="136"/>
      <c r="E99" s="136"/>
      <c r="F99" s="137" t="s">
        <v>64</v>
      </c>
      <c r="G99" s="33" t="s">
        <v>73</v>
      </c>
      <c r="H99" s="33" t="s">
        <v>73</v>
      </c>
      <c r="I99" s="33"/>
    </row>
  </sheetData>
  <customSheetViews>
    <customSheetView guid="{35139CDC-7B22-4BB4-A27E-0C639571C225}" hiddenRows="1" hiddenColumns="1">
      <selection activeCell="A4" sqref="A4"/>
      <pageMargins left="0.7" right="0.7" top="0.75" bottom="0.75" header="0.3" footer="0.3"/>
    </customSheetView>
    <customSheetView guid="{42F19D52-E208-414F-9E2E-506DF902926F}" hiddenRows="1" hiddenColumns="1">
      <selection activeCell="A4" sqref="A4"/>
      <pageMargins left="0.7" right="0.7" top="0.75" bottom="0.75" header="0.3" footer="0.3"/>
    </customSheetView>
    <customSheetView guid="{BE266B8E-38B0-4631-9C30-67CA48A8BD7F}" hiddenColumns="1">
      <selection activeCell="A2" sqref="A2"/>
      <pageMargins left="0.7" right="0.7" top="0.75" bottom="0.75" header="0.3" footer="0.3"/>
    </customSheetView>
    <customSheetView guid="{9DC468DE-D883-45B4-B188-265B9DA68425}" topLeftCell="C1">
      <selection activeCell="E34" sqref="E34"/>
      <pageMargins left="0.7" right="0.7" top="0.75" bottom="0.75" header="0.3" footer="0.3"/>
    </customSheetView>
    <customSheetView guid="{6A3B2C41-2DBC-4B17-AB58-12C85E3A6B8A}" hiddenRows="1" hiddenColumns="1">
      <pageMargins left="0.7" right="0.7" top="0.75" bottom="0.75" header="0.3" footer="0.3"/>
    </customSheetView>
    <customSheetView guid="{6960175A-17E1-4BDD-98F7-6E9A590B8B7F}" topLeftCell="C1">
      <selection activeCell="E34" sqref="E34"/>
      <pageMargins left="0.7" right="0.7" top="0.75" bottom="0.75" header="0.3" footer="0.3"/>
    </customSheetView>
    <customSheetView guid="{DB365F32-166D-4348-BCE9-F0F1DB0B73A9}" topLeftCell="C1">
      <selection activeCell="E34" sqref="E34"/>
      <pageMargins left="0.7" right="0.7" top="0.75" bottom="0.75" header="0.3" footer="0.3"/>
    </customSheetView>
    <customSheetView guid="{6EDF2E63-E51E-449A-B1C5-EFB1FD6A259C}" topLeftCell="C1">
      <selection activeCell="E34" sqref="E34"/>
      <pageMargins left="0.7" right="0.7" top="0.75" bottom="0.75" header="0.3" footer="0.3"/>
    </customSheetView>
    <customSheetView guid="{46B088B4-7F51-4D35-9F00-2268626FA819}" hiddenColumns="1">
      <selection activeCell="A2" sqref="A2"/>
      <pageMargins left="0.7" right="0.7" top="0.75" bottom="0.75" header="0.3" footer="0.3"/>
    </customSheetView>
    <customSheetView guid="{42945F95-5627-491B-A345-A07B64F7E806}" hiddenRows="1" hiddenColumns="1">
      <selection activeCell="C55" sqref="C55"/>
      <pageMargins left="0.7" right="0.7" top="0.75" bottom="0.75" header="0.3" footer="0.3"/>
    </customSheetView>
    <customSheetView guid="{BD1DF852-269B-4C2F-AF89-1FA576EA4603}" hiddenRows="1" hiddenColumns="1">
      <selection activeCell="B1" sqref="B1:B99"/>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E23"/>
  <sheetViews>
    <sheetView workbookViewId="0">
      <selection activeCell="E1" sqref="E1:E1048576"/>
    </sheetView>
  </sheetViews>
  <sheetFormatPr defaultRowHeight="15" x14ac:dyDescent="0.25"/>
  <cols>
    <col min="1" max="1" width="25.7109375" customWidth="1"/>
    <col min="2" max="2" width="15.7109375" customWidth="1"/>
    <col min="3" max="3" width="52.85546875" customWidth="1"/>
    <col min="5" max="5" width="14.5703125" hidden="1" customWidth="1"/>
  </cols>
  <sheetData>
    <row r="1" spans="1:5" ht="16.5" thickBot="1" x14ac:dyDescent="0.3">
      <c r="A1" s="133" t="s">
        <v>801</v>
      </c>
      <c r="B1" s="133" t="s">
        <v>1040</v>
      </c>
      <c r="C1" s="134"/>
      <c r="E1" s="133"/>
    </row>
    <row r="2" spans="1:5" ht="26.25" thickBot="1" x14ac:dyDescent="0.3">
      <c r="A2" s="73" t="s">
        <v>724</v>
      </c>
      <c r="B2" s="74"/>
      <c r="C2" s="72" t="s">
        <v>1046</v>
      </c>
      <c r="E2" s="289" t="s">
        <v>1039</v>
      </c>
    </row>
    <row r="3" spans="1:5" x14ac:dyDescent="0.25">
      <c r="A3" s="322">
        <f>IF('Team Info'!$B$2 = "Away",4160,4260)</f>
        <v>4260</v>
      </c>
      <c r="B3" s="77" t="s">
        <v>1041</v>
      </c>
      <c r="C3" s="75" t="s">
        <v>1033</v>
      </c>
      <c r="E3" s="320">
        <f>IF($C4 = "",1,2)</f>
        <v>2</v>
      </c>
    </row>
    <row r="4" spans="1:5" ht="15.75" thickBot="1" x14ac:dyDescent="0.3">
      <c r="A4" s="323"/>
      <c r="B4" s="78" t="s">
        <v>1042</v>
      </c>
      <c r="C4" s="76" t="s">
        <v>1034</v>
      </c>
      <c r="E4" s="321"/>
    </row>
    <row r="5" spans="1:5" x14ac:dyDescent="0.25">
      <c r="A5" s="320">
        <f>A3+1</f>
        <v>4261</v>
      </c>
      <c r="B5" s="77" t="s">
        <v>1041</v>
      </c>
      <c r="C5" s="75" t="s">
        <v>1035</v>
      </c>
      <c r="E5" s="320">
        <f>IF($C6 = "",1,2)</f>
        <v>2</v>
      </c>
    </row>
    <row r="6" spans="1:5" ht="15.75" thickBot="1" x14ac:dyDescent="0.3">
      <c r="A6" s="321"/>
      <c r="B6" s="78" t="s">
        <v>1042</v>
      </c>
      <c r="C6" s="76" t="s">
        <v>1036</v>
      </c>
      <c r="E6" s="321"/>
    </row>
    <row r="7" spans="1:5" x14ac:dyDescent="0.25">
      <c r="A7" s="320">
        <f>A3+2</f>
        <v>4262</v>
      </c>
      <c r="B7" s="77" t="s">
        <v>1041</v>
      </c>
      <c r="C7" s="75" t="s">
        <v>1037</v>
      </c>
      <c r="E7" s="320">
        <f>IF($C8 = "",1,2)</f>
        <v>2</v>
      </c>
    </row>
    <row r="8" spans="1:5" ht="15.75" thickBot="1" x14ac:dyDescent="0.3">
      <c r="A8" s="321"/>
      <c r="B8" s="78" t="s">
        <v>1042</v>
      </c>
      <c r="C8" s="76" t="s">
        <v>1038</v>
      </c>
      <c r="E8" s="321"/>
    </row>
    <row r="9" spans="1:5" x14ac:dyDescent="0.25">
      <c r="A9" s="320">
        <f>A3+3</f>
        <v>4263</v>
      </c>
      <c r="B9" s="77" t="s">
        <v>1041</v>
      </c>
      <c r="C9" s="75" t="s">
        <v>1045</v>
      </c>
      <c r="E9" s="320">
        <f>IF($C10 = "",1,2)</f>
        <v>1</v>
      </c>
    </row>
    <row r="10" spans="1:5" ht="15.75" thickBot="1" x14ac:dyDescent="0.3">
      <c r="A10" s="321"/>
      <c r="B10" s="78" t="s">
        <v>1042</v>
      </c>
      <c r="C10" s="76"/>
      <c r="E10" s="321"/>
    </row>
    <row r="11" spans="1:5" x14ac:dyDescent="0.25">
      <c r="A11" s="320">
        <f>A3+4</f>
        <v>4264</v>
      </c>
      <c r="B11" s="77" t="s">
        <v>1041</v>
      </c>
      <c r="C11" s="75"/>
      <c r="E11" s="320">
        <f t="shared" ref="E11" si="0">IF($C12 = "",1,2)</f>
        <v>1</v>
      </c>
    </row>
    <row r="12" spans="1:5" ht="15.75" thickBot="1" x14ac:dyDescent="0.3">
      <c r="A12" s="321"/>
      <c r="B12" s="78" t="s">
        <v>1042</v>
      </c>
      <c r="C12" s="76"/>
      <c r="E12" s="321"/>
    </row>
    <row r="13" spans="1:5" x14ac:dyDescent="0.25">
      <c r="A13" s="320">
        <f>A3+5</f>
        <v>4265</v>
      </c>
      <c r="B13" s="77" t="s">
        <v>1041</v>
      </c>
      <c r="C13" s="75"/>
      <c r="E13" s="320">
        <f t="shared" ref="E13" si="1">IF($C14 = "",1,2)</f>
        <v>1</v>
      </c>
    </row>
    <row r="14" spans="1:5" ht="15.75" thickBot="1" x14ac:dyDescent="0.3">
      <c r="A14" s="321"/>
      <c r="B14" s="78" t="s">
        <v>1042</v>
      </c>
      <c r="C14" s="76"/>
      <c r="E14" s="321"/>
    </row>
    <row r="15" spans="1:5" x14ac:dyDescent="0.25">
      <c r="A15" s="320">
        <f>A3+6</f>
        <v>4266</v>
      </c>
      <c r="B15" s="77" t="s">
        <v>1041</v>
      </c>
      <c r="C15" s="75"/>
      <c r="E15" s="320">
        <f t="shared" ref="E15" si="2">IF($C16 = "",1,2)</f>
        <v>1</v>
      </c>
    </row>
    <row r="16" spans="1:5" ht="15.75" thickBot="1" x14ac:dyDescent="0.3">
      <c r="A16" s="321"/>
      <c r="B16" s="78" t="s">
        <v>1042</v>
      </c>
      <c r="C16" s="76"/>
      <c r="E16" s="321"/>
    </row>
    <row r="17" spans="1:5" x14ac:dyDescent="0.25">
      <c r="A17" s="320">
        <f>A3+7</f>
        <v>4267</v>
      </c>
      <c r="B17" s="77" t="s">
        <v>1041</v>
      </c>
      <c r="C17" s="75"/>
      <c r="E17" s="320">
        <f t="shared" ref="E17" si="3">IF($C18 = "",1,2)</f>
        <v>1</v>
      </c>
    </row>
    <row r="18" spans="1:5" ht="15.75" thickBot="1" x14ac:dyDescent="0.3">
      <c r="A18" s="321"/>
      <c r="B18" s="78" t="s">
        <v>1042</v>
      </c>
      <c r="C18" s="76"/>
      <c r="E18" s="321"/>
    </row>
    <row r="19" spans="1:5" x14ac:dyDescent="0.25">
      <c r="A19" s="320">
        <f>A3+8</f>
        <v>4268</v>
      </c>
      <c r="B19" s="77" t="s">
        <v>1041</v>
      </c>
      <c r="C19" s="75"/>
      <c r="E19" s="320">
        <f t="shared" ref="E19" si="4">IF($C20 = "",1,2)</f>
        <v>1</v>
      </c>
    </row>
    <row r="20" spans="1:5" ht="15.75" thickBot="1" x14ac:dyDescent="0.3">
      <c r="A20" s="321"/>
      <c r="B20" s="78" t="s">
        <v>1042</v>
      </c>
      <c r="C20" s="76"/>
      <c r="E20" s="321"/>
    </row>
    <row r="21" spans="1:5" x14ac:dyDescent="0.25">
      <c r="A21" s="320">
        <f>A3+9</f>
        <v>4269</v>
      </c>
      <c r="B21" s="77" t="s">
        <v>1041</v>
      </c>
      <c r="C21" s="75" t="s">
        <v>1043</v>
      </c>
      <c r="E21" s="320">
        <f t="shared" ref="E21" si="5">IF($C22 = "",1,2)</f>
        <v>2</v>
      </c>
    </row>
    <row r="22" spans="1:5" ht="15.75" thickBot="1" x14ac:dyDescent="0.3">
      <c r="A22" s="321"/>
      <c r="B22" s="78" t="s">
        <v>1042</v>
      </c>
      <c r="C22" s="76" t="s">
        <v>1044</v>
      </c>
      <c r="E22" s="321"/>
    </row>
    <row r="23" spans="1:5" ht="15.75" thickBot="1" x14ac:dyDescent="0.3">
      <c r="A23" s="80" t="s">
        <v>769</v>
      </c>
      <c r="B23" s="81"/>
      <c r="C23" s="82"/>
      <c r="E23" s="290"/>
    </row>
  </sheetData>
  <customSheetViews>
    <customSheetView guid="{35139CDC-7B22-4BB4-A27E-0C639571C225}" hiddenColumns="1">
      <selection activeCell="E1" sqref="E1:E1048576"/>
      <pageMargins left="0.7" right="0.7" top="0.75" bottom="0.75" header="0.3" footer="0.3"/>
    </customSheetView>
    <customSheetView guid="{42F19D52-E208-414F-9E2E-506DF902926F}" hiddenColumns="1">
      <selection activeCell="E1" sqref="E1:E1048576"/>
      <pageMargins left="0.7" right="0.7" top="0.75" bottom="0.75" header="0.3" footer="0.3"/>
    </customSheetView>
    <customSheetView guid="{BE266B8E-38B0-4631-9C30-67CA48A8BD7F}">
      <selection activeCell="E28" sqref="E28"/>
      <pageMargins left="0.7" right="0.7" top="0.75" bottom="0.75" header="0.3" footer="0.3"/>
    </customSheetView>
    <customSheetView guid="{9DC468DE-D883-45B4-B188-265B9DA68425}">
      <selection activeCell="E44" sqref="E44"/>
      <pageMargins left="0.7" right="0.7" top="0.75" bottom="0.75" header="0.3" footer="0.3"/>
    </customSheetView>
    <customSheetView guid="{6A3B2C41-2DBC-4B17-AB58-12C85E3A6B8A}">
      <pageMargins left="0.7" right="0.7" top="0.75" bottom="0.75" header="0.3" footer="0.3"/>
    </customSheetView>
    <customSheetView guid="{46B088B4-7F51-4D35-9F00-2268626FA819}" topLeftCell="A7">
      <selection activeCell="A3" sqref="A3:A4"/>
      <pageMargins left="0.7" right="0.7" top="0.75" bottom="0.75" header="0.3" footer="0.3"/>
    </customSheetView>
    <customSheetView guid="{42945F95-5627-491B-A345-A07B64F7E806}">
      <selection activeCell="B2" sqref="B2"/>
      <pageMargins left="0.7" right="0.7" top="0.75" bottom="0.75" header="0.3" footer="0.3"/>
      <pageSetup orientation="portrait" r:id="rId1"/>
    </customSheetView>
    <customSheetView guid="{BD1DF852-269B-4C2F-AF89-1FA576EA4603}">
      <selection activeCell="A3" sqref="A3:A4"/>
      <pageMargins left="0.7" right="0.7" top="0.75" bottom="0.75" header="0.3" footer="0.3"/>
    </customSheetView>
  </customSheetViews>
  <mergeCells count="20">
    <mergeCell ref="E13:E14"/>
    <mergeCell ref="E15:E16"/>
    <mergeCell ref="E17:E18"/>
    <mergeCell ref="E19:E20"/>
    <mergeCell ref="E21:E22"/>
    <mergeCell ref="E3:E4"/>
    <mergeCell ref="E5:E6"/>
    <mergeCell ref="E7:E8"/>
    <mergeCell ref="E9:E10"/>
    <mergeCell ref="E11:E12"/>
    <mergeCell ref="A15:A16"/>
    <mergeCell ref="A17:A18"/>
    <mergeCell ref="A19:A20"/>
    <mergeCell ref="A21:A22"/>
    <mergeCell ref="A3:A4"/>
    <mergeCell ref="A5:A6"/>
    <mergeCell ref="A7:A8"/>
    <mergeCell ref="A9:A10"/>
    <mergeCell ref="A11:A12"/>
    <mergeCell ref="A13:A1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sheetPr>
  <dimension ref="A1:K110"/>
  <sheetViews>
    <sheetView topLeftCell="B1" workbookViewId="0">
      <selection activeCell="J3" sqref="J3"/>
    </sheetView>
  </sheetViews>
  <sheetFormatPr defaultRowHeight="15" x14ac:dyDescent="0.25"/>
  <cols>
    <col min="1" max="1" width="4.7109375" style="8" customWidth="1"/>
    <col min="2" max="2" width="9.140625" style="8"/>
    <col min="3" max="4" width="12.7109375" customWidth="1"/>
    <col min="5" max="5" width="10.7109375" style="8" customWidth="1"/>
    <col min="6" max="6" width="5.7109375" customWidth="1"/>
    <col min="7" max="7" width="30.7109375" customWidth="1"/>
    <col min="8" max="8" width="2.7109375" customWidth="1"/>
    <col min="9" max="10" width="45.7109375" customWidth="1"/>
  </cols>
  <sheetData>
    <row r="1" spans="1:10" x14ac:dyDescent="0.25">
      <c r="B1" s="158" t="s">
        <v>946</v>
      </c>
      <c r="C1" s="55"/>
      <c r="D1" s="55"/>
      <c r="E1" s="157"/>
      <c r="F1" s="55"/>
      <c r="G1" s="157" t="s">
        <v>783</v>
      </c>
      <c r="H1" s="55"/>
      <c r="I1" s="55" t="s">
        <v>783</v>
      </c>
      <c r="J1" s="55" t="s">
        <v>783</v>
      </c>
    </row>
    <row r="2" spans="1:10" x14ac:dyDescent="0.25">
      <c r="B2" s="156" t="s">
        <v>40</v>
      </c>
      <c r="C2" s="155" t="s">
        <v>41</v>
      </c>
      <c r="D2" s="155" t="s">
        <v>42</v>
      </c>
      <c r="E2" s="154" t="s">
        <v>43</v>
      </c>
      <c r="G2" s="154" t="s">
        <v>810</v>
      </c>
      <c r="I2" s="154" t="s">
        <v>809</v>
      </c>
      <c r="J2" s="154" t="s">
        <v>808</v>
      </c>
    </row>
    <row r="3" spans="1:10" x14ac:dyDescent="0.25">
      <c r="A3" s="45">
        <v>1</v>
      </c>
      <c r="B3" s="153">
        <f>Roster!B4</f>
        <v>1</v>
      </c>
      <c r="C3" s="152" t="str">
        <f>Roster!C4</f>
        <v>Firstname</v>
      </c>
      <c r="D3" s="152" t="str">
        <f>Roster!D4</f>
        <v>Lastname</v>
      </c>
      <c r="E3" s="31" t="str">
        <f>Roster!E4</f>
        <v>P</v>
      </c>
      <c r="G3" s="151" t="s">
        <v>961</v>
      </c>
      <c r="I3" s="151" t="s">
        <v>962</v>
      </c>
      <c r="J3" s="151" t="s">
        <v>963</v>
      </c>
    </row>
    <row r="4" spans="1:10" x14ac:dyDescent="0.25">
      <c r="A4" s="45">
        <v>2</v>
      </c>
      <c r="B4" s="153">
        <f>Roster!B5</f>
        <v>2</v>
      </c>
      <c r="C4" s="152" t="str">
        <f>Roster!C5</f>
        <v>Firstname</v>
      </c>
      <c r="D4" s="152" t="str">
        <f>Roster!D5</f>
        <v>LastName</v>
      </c>
      <c r="E4" s="31" t="str">
        <f>Roster!E5</f>
        <v>SS</v>
      </c>
      <c r="G4" s="151"/>
      <c r="I4" s="151"/>
      <c r="J4" s="151"/>
    </row>
    <row r="5" spans="1:10" x14ac:dyDescent="0.25">
      <c r="A5" s="45">
        <v>3</v>
      </c>
      <c r="B5" s="153">
        <f>Roster!B6</f>
        <v>3</v>
      </c>
      <c r="C5" s="152" t="str">
        <f>Roster!C6</f>
        <v>-</v>
      </c>
      <c r="D5" s="152" t="str">
        <f>Roster!D6</f>
        <v>-</v>
      </c>
      <c r="E5" s="31" t="str">
        <f>Roster!E6</f>
        <v>-</v>
      </c>
      <c r="G5" s="151"/>
      <c r="I5" s="151"/>
      <c r="J5" s="151"/>
    </row>
    <row r="6" spans="1:10" x14ac:dyDescent="0.25">
      <c r="A6" s="45">
        <v>4</v>
      </c>
      <c r="B6" s="153">
        <f>Roster!B7</f>
        <v>4</v>
      </c>
      <c r="C6" s="152" t="str">
        <f>Roster!C7</f>
        <v>-</v>
      </c>
      <c r="D6" s="152" t="str">
        <f>Roster!D7</f>
        <v>-</v>
      </c>
      <c r="E6" s="31" t="str">
        <f>Roster!E7</f>
        <v>-</v>
      </c>
      <c r="G6" s="151"/>
      <c r="I6" s="151"/>
      <c r="J6" s="151"/>
    </row>
    <row r="7" spans="1:10" x14ac:dyDescent="0.25">
      <c r="A7" s="45">
        <v>5</v>
      </c>
      <c r="B7" s="153">
        <f>Roster!B8</f>
        <v>5</v>
      </c>
      <c r="C7" s="152" t="str">
        <f>Roster!C8</f>
        <v>-</v>
      </c>
      <c r="D7" s="152" t="str">
        <f>Roster!D8</f>
        <v>-</v>
      </c>
      <c r="E7" s="31" t="str">
        <f>Roster!E8</f>
        <v>-</v>
      </c>
      <c r="G7" s="151"/>
      <c r="I7" s="151"/>
      <c r="J7" s="151"/>
    </row>
    <row r="8" spans="1:10" x14ac:dyDescent="0.25">
      <c r="A8" s="45">
        <v>6</v>
      </c>
      <c r="B8" s="153">
        <f>Roster!B9</f>
        <v>6</v>
      </c>
      <c r="C8" s="152" t="str">
        <f>Roster!C9</f>
        <v>-</v>
      </c>
      <c r="D8" s="152" t="str">
        <f>Roster!D9</f>
        <v>-</v>
      </c>
      <c r="E8" s="31" t="str">
        <f>Roster!E9</f>
        <v>-</v>
      </c>
      <c r="G8" s="151"/>
      <c r="I8" s="151"/>
      <c r="J8" s="151"/>
    </row>
    <row r="9" spans="1:10" x14ac:dyDescent="0.25">
      <c r="A9" s="45">
        <v>7</v>
      </c>
      <c r="B9" s="153">
        <f>Roster!B10</f>
        <v>7</v>
      </c>
      <c r="C9" s="152" t="str">
        <f>Roster!C10</f>
        <v>-</v>
      </c>
      <c r="D9" s="152" t="str">
        <f>Roster!D10</f>
        <v>-</v>
      </c>
      <c r="E9" s="31" t="str">
        <f>Roster!E10</f>
        <v>-</v>
      </c>
      <c r="G9" s="151"/>
      <c r="I9" s="151"/>
      <c r="J9" s="151"/>
    </row>
    <row r="10" spans="1:10" x14ac:dyDescent="0.25">
      <c r="A10" s="45">
        <v>8</v>
      </c>
      <c r="B10" s="153">
        <f>Roster!B11</f>
        <v>8</v>
      </c>
      <c r="C10" s="152" t="str">
        <f>Roster!C11</f>
        <v>-</v>
      </c>
      <c r="D10" s="152" t="str">
        <f>Roster!D11</f>
        <v>-</v>
      </c>
      <c r="E10" s="31" t="str">
        <f>Roster!E11</f>
        <v>-</v>
      </c>
      <c r="G10" s="151"/>
      <c r="I10" s="151"/>
      <c r="J10" s="151"/>
    </row>
    <row r="11" spans="1:10" x14ac:dyDescent="0.25">
      <c r="A11" s="45">
        <v>9</v>
      </c>
      <c r="B11" s="153">
        <f>Roster!B12</f>
        <v>9</v>
      </c>
      <c r="C11" s="152" t="str">
        <f>Roster!C12</f>
        <v>-</v>
      </c>
      <c r="D11" s="152" t="str">
        <f>Roster!D12</f>
        <v>-</v>
      </c>
      <c r="E11" s="31" t="str">
        <f>Roster!E12</f>
        <v>-</v>
      </c>
      <c r="G11" s="151"/>
      <c r="I11" s="151"/>
      <c r="J11" s="151"/>
    </row>
    <row r="12" spans="1:10" x14ac:dyDescent="0.25">
      <c r="A12" s="45">
        <v>10</v>
      </c>
      <c r="B12" s="153">
        <f>Roster!B13</f>
        <v>10</v>
      </c>
      <c r="C12" s="152" t="str">
        <f>Roster!C13</f>
        <v>-</v>
      </c>
      <c r="D12" s="152" t="str">
        <f>Roster!D13</f>
        <v>-</v>
      </c>
      <c r="E12" s="31" t="str">
        <f>Roster!E13</f>
        <v>-</v>
      </c>
      <c r="G12" s="151"/>
      <c r="I12" s="151"/>
      <c r="J12" s="151"/>
    </row>
    <row r="13" spans="1:10" x14ac:dyDescent="0.25">
      <c r="A13" s="45">
        <v>11</v>
      </c>
      <c r="B13" s="153">
        <f>Roster!B14</f>
        <v>11</v>
      </c>
      <c r="C13" s="152" t="str">
        <f>Roster!C14</f>
        <v>-</v>
      </c>
      <c r="D13" s="152" t="str">
        <f>Roster!D14</f>
        <v>-</v>
      </c>
      <c r="E13" s="31" t="str">
        <f>Roster!E14</f>
        <v>-</v>
      </c>
      <c r="G13" s="151"/>
      <c r="I13" s="151"/>
      <c r="J13" s="151"/>
    </row>
    <row r="14" spans="1:10" x14ac:dyDescent="0.25">
      <c r="A14" s="45">
        <v>12</v>
      </c>
      <c r="B14" s="153">
        <f>Roster!B15</f>
        <v>12</v>
      </c>
      <c r="C14" s="152" t="str">
        <f>Roster!C15</f>
        <v>-</v>
      </c>
      <c r="D14" s="152" t="str">
        <f>Roster!D15</f>
        <v>-</v>
      </c>
      <c r="E14" s="31" t="str">
        <f>Roster!E15</f>
        <v>-</v>
      </c>
      <c r="G14" s="151"/>
      <c r="I14" s="151"/>
      <c r="J14" s="151"/>
    </row>
    <row r="15" spans="1:10" x14ac:dyDescent="0.25">
      <c r="A15" s="45">
        <v>13</v>
      </c>
      <c r="B15" s="153">
        <f>Roster!B16</f>
        <v>13</v>
      </c>
      <c r="C15" s="152" t="str">
        <f>Roster!C16</f>
        <v>-</v>
      </c>
      <c r="D15" s="152" t="str">
        <f>Roster!D16</f>
        <v>-</v>
      </c>
      <c r="E15" s="31" t="str">
        <f>Roster!E16</f>
        <v>-</v>
      </c>
      <c r="G15" s="151"/>
      <c r="I15" s="151"/>
      <c r="J15" s="151"/>
    </row>
    <row r="16" spans="1:10" x14ac:dyDescent="0.25">
      <c r="A16" s="45">
        <v>14</v>
      </c>
      <c r="B16" s="153">
        <f>Roster!B17</f>
        <v>14</v>
      </c>
      <c r="C16" s="152" t="str">
        <f>Roster!C17</f>
        <v>-</v>
      </c>
      <c r="D16" s="152" t="str">
        <f>Roster!D17</f>
        <v>-</v>
      </c>
      <c r="E16" s="31" t="str">
        <f>Roster!E17</f>
        <v>-</v>
      </c>
      <c r="G16" s="151"/>
      <c r="I16" s="151"/>
      <c r="J16" s="151"/>
    </row>
    <row r="17" spans="1:10" x14ac:dyDescent="0.25">
      <c r="A17" s="45">
        <v>15</v>
      </c>
      <c r="B17" s="153">
        <f>Roster!B18</f>
        <v>15</v>
      </c>
      <c r="C17" s="152" t="str">
        <f>Roster!C18</f>
        <v>-</v>
      </c>
      <c r="D17" s="152" t="str">
        <f>Roster!D18</f>
        <v>-</v>
      </c>
      <c r="E17" s="31" t="str">
        <f>Roster!E18</f>
        <v>-</v>
      </c>
      <c r="G17" s="151"/>
      <c r="I17" s="151"/>
      <c r="J17" s="151"/>
    </row>
    <row r="18" spans="1:10" x14ac:dyDescent="0.25">
      <c r="A18" s="45">
        <v>16</v>
      </c>
      <c r="B18" s="153">
        <f>Roster!B19</f>
        <v>16</v>
      </c>
      <c r="C18" s="152" t="str">
        <f>Roster!C19</f>
        <v>-</v>
      </c>
      <c r="D18" s="152" t="str">
        <f>Roster!D19</f>
        <v>-</v>
      </c>
      <c r="E18" s="31" t="str">
        <f>Roster!E19</f>
        <v>-</v>
      </c>
      <c r="G18" s="151"/>
      <c r="I18" s="151"/>
      <c r="J18" s="151"/>
    </row>
    <row r="19" spans="1:10" x14ac:dyDescent="0.25">
      <c r="A19" s="45">
        <v>17</v>
      </c>
      <c r="B19" s="153">
        <f>Roster!B20</f>
        <v>17</v>
      </c>
      <c r="C19" s="152" t="str">
        <f>Roster!C20</f>
        <v>-</v>
      </c>
      <c r="D19" s="152" t="str">
        <f>Roster!D20</f>
        <v>-</v>
      </c>
      <c r="E19" s="31" t="str">
        <f>Roster!E20</f>
        <v>-</v>
      </c>
      <c r="G19" s="151"/>
      <c r="I19" s="151"/>
      <c r="J19" s="151"/>
    </row>
    <row r="20" spans="1:10" x14ac:dyDescent="0.25">
      <c r="A20" s="45">
        <v>18</v>
      </c>
      <c r="B20" s="153">
        <f>Roster!B21</f>
        <v>18</v>
      </c>
      <c r="C20" s="152" t="str">
        <f>Roster!C21</f>
        <v>-</v>
      </c>
      <c r="D20" s="152" t="str">
        <f>Roster!D21</f>
        <v>-</v>
      </c>
      <c r="E20" s="31" t="str">
        <f>Roster!E21</f>
        <v>-</v>
      </c>
      <c r="G20" s="151"/>
      <c r="I20" s="151"/>
      <c r="J20" s="151"/>
    </row>
    <row r="21" spans="1:10" x14ac:dyDescent="0.25">
      <c r="A21" s="45">
        <v>19</v>
      </c>
      <c r="B21" s="153">
        <f>Roster!B22</f>
        <v>19</v>
      </c>
      <c r="C21" s="152" t="str">
        <f>Roster!C22</f>
        <v>-</v>
      </c>
      <c r="D21" s="152" t="str">
        <f>Roster!D22</f>
        <v>-</v>
      </c>
      <c r="E21" s="31" t="str">
        <f>Roster!E22</f>
        <v>-</v>
      </c>
      <c r="G21" s="151"/>
      <c r="I21" s="151"/>
      <c r="J21" s="151"/>
    </row>
    <row r="22" spans="1:10" x14ac:dyDescent="0.25">
      <c r="A22" s="45">
        <v>20</v>
      </c>
      <c r="B22" s="153">
        <f>Roster!B23</f>
        <v>20</v>
      </c>
      <c r="C22" s="152" t="str">
        <f>Roster!C23</f>
        <v>-</v>
      </c>
      <c r="D22" s="152" t="str">
        <f>Roster!D23</f>
        <v>-</v>
      </c>
      <c r="E22" s="31" t="str">
        <f>Roster!E23</f>
        <v>-</v>
      </c>
      <c r="G22" s="151"/>
      <c r="I22" s="151"/>
      <c r="J22" s="151"/>
    </row>
    <row r="23" spans="1:10" x14ac:dyDescent="0.25">
      <c r="A23" s="45">
        <v>21</v>
      </c>
      <c r="B23" s="153">
        <f>Roster!B24</f>
        <v>21</v>
      </c>
      <c r="C23" s="152" t="str">
        <f>Roster!C24</f>
        <v>-</v>
      </c>
      <c r="D23" s="152" t="str">
        <f>Roster!D24</f>
        <v>-</v>
      </c>
      <c r="E23" s="31" t="str">
        <f>Roster!E24</f>
        <v>-</v>
      </c>
      <c r="G23" s="151"/>
      <c r="I23" s="151"/>
      <c r="J23" s="151"/>
    </row>
    <row r="24" spans="1:10" x14ac:dyDescent="0.25">
      <c r="A24" s="45">
        <v>22</v>
      </c>
      <c r="B24" s="153">
        <f>Roster!B25</f>
        <v>22</v>
      </c>
      <c r="C24" s="152" t="str">
        <f>Roster!C25</f>
        <v>-</v>
      </c>
      <c r="D24" s="152" t="str">
        <f>Roster!D25</f>
        <v>-</v>
      </c>
      <c r="E24" s="31" t="str">
        <f>Roster!E25</f>
        <v>-</v>
      </c>
      <c r="G24" s="151"/>
      <c r="I24" s="151"/>
      <c r="J24" s="151"/>
    </row>
    <row r="25" spans="1:10" x14ac:dyDescent="0.25">
      <c r="A25" s="45">
        <v>23</v>
      </c>
      <c r="B25" s="153">
        <f>Roster!B26</f>
        <v>23</v>
      </c>
      <c r="C25" s="152" t="str">
        <f>Roster!C26</f>
        <v>-</v>
      </c>
      <c r="D25" s="152" t="str">
        <f>Roster!D26</f>
        <v>-</v>
      </c>
      <c r="E25" s="31" t="str">
        <f>Roster!E26</f>
        <v>-</v>
      </c>
      <c r="G25" s="151"/>
      <c r="I25" s="151"/>
      <c r="J25" s="151"/>
    </row>
    <row r="26" spans="1:10" x14ac:dyDescent="0.25">
      <c r="A26" s="45">
        <v>24</v>
      </c>
      <c r="B26" s="153">
        <f>Roster!B27</f>
        <v>24</v>
      </c>
      <c r="C26" s="152" t="str">
        <f>Roster!C27</f>
        <v>-</v>
      </c>
      <c r="D26" s="152" t="str">
        <f>Roster!D27</f>
        <v>-</v>
      </c>
      <c r="E26" s="31" t="str">
        <f>Roster!E27</f>
        <v>-</v>
      </c>
      <c r="G26" s="151"/>
      <c r="I26" s="151"/>
      <c r="J26" s="151"/>
    </row>
    <row r="27" spans="1:10" x14ac:dyDescent="0.25">
      <c r="A27" s="45">
        <v>25</v>
      </c>
      <c r="B27" s="153">
        <f>Roster!B28</f>
        <v>25</v>
      </c>
      <c r="C27" s="152" t="str">
        <f>Roster!C28</f>
        <v>-</v>
      </c>
      <c r="D27" s="152" t="str">
        <f>Roster!D28</f>
        <v>-</v>
      </c>
      <c r="E27" s="31" t="str">
        <f>Roster!E28</f>
        <v>-</v>
      </c>
      <c r="G27" s="151"/>
      <c r="I27" s="151"/>
      <c r="J27" s="151"/>
    </row>
    <row r="28" spans="1:10" x14ac:dyDescent="0.25">
      <c r="A28" s="45">
        <v>26</v>
      </c>
      <c r="B28" s="153">
        <f>Roster!B29</f>
        <v>26</v>
      </c>
      <c r="C28" s="152" t="str">
        <f>Roster!C29</f>
        <v>-</v>
      </c>
      <c r="D28" s="152" t="str">
        <f>Roster!D29</f>
        <v>-</v>
      </c>
      <c r="E28" s="31" t="str">
        <f>Roster!E29</f>
        <v>-</v>
      </c>
      <c r="G28" s="151"/>
      <c r="I28" s="151"/>
      <c r="J28" s="151"/>
    </row>
    <row r="29" spans="1:10" x14ac:dyDescent="0.25">
      <c r="A29" s="45">
        <v>27</v>
      </c>
      <c r="B29" s="153">
        <f>Roster!B30</f>
        <v>27</v>
      </c>
      <c r="C29" s="152" t="str">
        <f>Roster!C30</f>
        <v>-</v>
      </c>
      <c r="D29" s="152" t="str">
        <f>Roster!D30</f>
        <v>-</v>
      </c>
      <c r="E29" s="31" t="str">
        <f>Roster!E30</f>
        <v>-</v>
      </c>
      <c r="G29" s="151"/>
      <c r="I29" s="151"/>
      <c r="J29" s="151"/>
    </row>
    <row r="30" spans="1:10" x14ac:dyDescent="0.25">
      <c r="A30" s="45">
        <v>28</v>
      </c>
      <c r="B30" s="153">
        <f>Roster!B31</f>
        <v>28</v>
      </c>
      <c r="C30" s="152" t="str">
        <f>Roster!C31</f>
        <v>-</v>
      </c>
      <c r="D30" s="152" t="str">
        <f>Roster!D31</f>
        <v>-</v>
      </c>
      <c r="E30" s="31" t="str">
        <f>Roster!E31</f>
        <v>-</v>
      </c>
      <c r="G30" s="151"/>
      <c r="I30" s="151"/>
      <c r="J30" s="151"/>
    </row>
    <row r="31" spans="1:10" x14ac:dyDescent="0.25">
      <c r="A31" s="45">
        <v>29</v>
      </c>
      <c r="B31" s="153">
        <f>Roster!B32</f>
        <v>29</v>
      </c>
      <c r="C31" s="152" t="str">
        <f>Roster!C32</f>
        <v>-</v>
      </c>
      <c r="D31" s="152" t="str">
        <f>Roster!D32</f>
        <v>-</v>
      </c>
      <c r="E31" s="31" t="str">
        <f>Roster!E32</f>
        <v>-</v>
      </c>
      <c r="G31" s="151"/>
      <c r="I31" s="151"/>
      <c r="J31" s="151"/>
    </row>
    <row r="32" spans="1:10" x14ac:dyDescent="0.25">
      <c r="A32" s="45">
        <v>30</v>
      </c>
      <c r="B32" s="153">
        <f>Roster!B33</f>
        <v>30</v>
      </c>
      <c r="C32" s="152" t="str">
        <f>Roster!C33</f>
        <v>-</v>
      </c>
      <c r="D32" s="152" t="str">
        <f>Roster!D33</f>
        <v>-</v>
      </c>
      <c r="E32" s="31" t="str">
        <f>Roster!E33</f>
        <v>-</v>
      </c>
      <c r="G32" s="151"/>
      <c r="I32" s="151"/>
      <c r="J32" s="151"/>
    </row>
    <row r="33" spans="1:10" x14ac:dyDescent="0.25">
      <c r="A33" s="45">
        <v>31</v>
      </c>
      <c r="B33" s="153">
        <f>Roster!B34</f>
        <v>31</v>
      </c>
      <c r="C33" s="152" t="str">
        <f>Roster!C34</f>
        <v>-</v>
      </c>
      <c r="D33" s="152" t="str">
        <f>Roster!D34</f>
        <v>-</v>
      </c>
      <c r="E33" s="31" t="str">
        <f>Roster!E34</f>
        <v>-</v>
      </c>
      <c r="G33" s="151"/>
      <c r="I33" s="151"/>
      <c r="J33" s="151"/>
    </row>
    <row r="34" spans="1:10" x14ac:dyDescent="0.25">
      <c r="A34" s="45">
        <v>32</v>
      </c>
      <c r="B34" s="153">
        <f>Roster!B35</f>
        <v>32</v>
      </c>
      <c r="C34" s="152" t="str">
        <f>Roster!C35</f>
        <v>-</v>
      </c>
      <c r="D34" s="152" t="str">
        <f>Roster!D35</f>
        <v>-</v>
      </c>
      <c r="E34" s="31" t="str">
        <f>Roster!E35</f>
        <v>-</v>
      </c>
      <c r="G34" s="151"/>
      <c r="I34" s="151"/>
      <c r="J34" s="151"/>
    </row>
    <row r="35" spans="1:10" x14ac:dyDescent="0.25">
      <c r="A35" s="45">
        <v>33</v>
      </c>
      <c r="B35" s="153">
        <f>Roster!B36</f>
        <v>33</v>
      </c>
      <c r="C35" s="152" t="str">
        <f>Roster!C36</f>
        <v>-</v>
      </c>
      <c r="D35" s="152" t="str">
        <f>Roster!D36</f>
        <v>-</v>
      </c>
      <c r="E35" s="31" t="str">
        <f>Roster!E36</f>
        <v>-</v>
      </c>
      <c r="G35" s="151"/>
      <c r="I35" s="151"/>
      <c r="J35" s="151"/>
    </row>
    <row r="36" spans="1:10" x14ac:dyDescent="0.25">
      <c r="A36" s="45">
        <v>34</v>
      </c>
      <c r="B36" s="153">
        <f>Roster!B37</f>
        <v>34</v>
      </c>
      <c r="C36" s="152" t="str">
        <f>Roster!C37</f>
        <v>-</v>
      </c>
      <c r="D36" s="152" t="str">
        <f>Roster!D37</f>
        <v>-</v>
      </c>
      <c r="E36" s="31" t="str">
        <f>Roster!E37</f>
        <v>-</v>
      </c>
      <c r="G36" s="151"/>
      <c r="I36" s="151"/>
      <c r="J36" s="151"/>
    </row>
    <row r="37" spans="1:10" x14ac:dyDescent="0.25">
      <c r="A37" s="45">
        <v>35</v>
      </c>
      <c r="B37" s="153">
        <f>Roster!B38</f>
        <v>35</v>
      </c>
      <c r="C37" s="152" t="str">
        <f>Roster!C38</f>
        <v>-</v>
      </c>
      <c r="D37" s="152" t="str">
        <f>Roster!D38</f>
        <v>-</v>
      </c>
      <c r="E37" s="31" t="str">
        <f>Roster!E38</f>
        <v>-</v>
      </c>
      <c r="G37" s="151"/>
      <c r="I37" s="151"/>
      <c r="J37" s="151"/>
    </row>
    <row r="38" spans="1:10" x14ac:dyDescent="0.25">
      <c r="A38" s="45">
        <v>36</v>
      </c>
      <c r="B38" s="153">
        <f>Roster!B39</f>
        <v>36</v>
      </c>
      <c r="C38" s="152" t="str">
        <f>Roster!C39</f>
        <v>-</v>
      </c>
      <c r="D38" s="152" t="str">
        <f>Roster!D39</f>
        <v>-</v>
      </c>
      <c r="E38" s="31" t="str">
        <f>Roster!E39</f>
        <v>-</v>
      </c>
      <c r="G38" s="151"/>
      <c r="I38" s="151"/>
      <c r="J38" s="151"/>
    </row>
    <row r="39" spans="1:10" x14ac:dyDescent="0.25">
      <c r="A39" s="45">
        <v>37</v>
      </c>
      <c r="B39" s="153">
        <f>Roster!B40</f>
        <v>37</v>
      </c>
      <c r="C39" s="152" t="str">
        <f>Roster!C40</f>
        <v>-</v>
      </c>
      <c r="D39" s="152" t="str">
        <f>Roster!D40</f>
        <v>-</v>
      </c>
      <c r="E39" s="31" t="str">
        <f>Roster!E40</f>
        <v>-</v>
      </c>
      <c r="G39" s="151"/>
      <c r="I39" s="151"/>
      <c r="J39" s="151"/>
    </row>
    <row r="40" spans="1:10" x14ac:dyDescent="0.25">
      <c r="A40" s="45">
        <v>38</v>
      </c>
      <c r="B40" s="153">
        <f>Roster!B41</f>
        <v>38</v>
      </c>
      <c r="C40" s="152" t="str">
        <f>Roster!C41</f>
        <v>-</v>
      </c>
      <c r="D40" s="152" t="str">
        <f>Roster!D41</f>
        <v>-</v>
      </c>
      <c r="E40" s="31" t="str">
        <f>Roster!E41</f>
        <v>-</v>
      </c>
      <c r="G40" s="151"/>
      <c r="I40" s="151"/>
      <c r="J40" s="151"/>
    </row>
    <row r="41" spans="1:10" x14ac:dyDescent="0.25">
      <c r="A41" s="45">
        <v>39</v>
      </c>
      <c r="B41" s="153">
        <f>Roster!B42</f>
        <v>39</v>
      </c>
      <c r="C41" s="152" t="str">
        <f>Roster!C42</f>
        <v>-</v>
      </c>
      <c r="D41" s="152" t="str">
        <f>Roster!D42</f>
        <v>-</v>
      </c>
      <c r="E41" s="31" t="str">
        <f>Roster!E42</f>
        <v>-</v>
      </c>
      <c r="G41" s="151"/>
      <c r="I41" s="151"/>
      <c r="J41" s="151"/>
    </row>
    <row r="42" spans="1:10" x14ac:dyDescent="0.25">
      <c r="A42" s="45">
        <v>40</v>
      </c>
      <c r="B42" s="153">
        <f>Roster!B43</f>
        <v>40</v>
      </c>
      <c r="C42" s="152" t="str">
        <f>Roster!C43</f>
        <v>-</v>
      </c>
      <c r="D42" s="152" t="str">
        <f>Roster!D43</f>
        <v>-</v>
      </c>
      <c r="E42" s="31" t="str">
        <f>Roster!E43</f>
        <v>-</v>
      </c>
      <c r="G42" s="151"/>
      <c r="I42" s="151"/>
      <c r="J42" s="151"/>
    </row>
    <row r="43" spans="1:10" x14ac:dyDescent="0.25">
      <c r="A43" s="45">
        <v>41</v>
      </c>
      <c r="B43" s="153">
        <f>Roster!B44</f>
        <v>41</v>
      </c>
      <c r="C43" s="152" t="str">
        <f>Roster!C44</f>
        <v>-</v>
      </c>
      <c r="D43" s="152" t="str">
        <f>Roster!D44</f>
        <v>-</v>
      </c>
      <c r="E43" s="31" t="str">
        <f>Roster!E44</f>
        <v>-</v>
      </c>
      <c r="G43" s="151"/>
      <c r="I43" s="151"/>
      <c r="J43" s="151"/>
    </row>
    <row r="44" spans="1:10" x14ac:dyDescent="0.25">
      <c r="A44" s="45">
        <v>42</v>
      </c>
      <c r="B44" s="153">
        <f>Roster!B45</f>
        <v>42</v>
      </c>
      <c r="C44" s="152" t="str">
        <f>Roster!C45</f>
        <v>-</v>
      </c>
      <c r="D44" s="152" t="str">
        <f>Roster!D45</f>
        <v>-</v>
      </c>
      <c r="E44" s="31" t="str">
        <f>Roster!E45</f>
        <v>-</v>
      </c>
      <c r="G44" s="151"/>
      <c r="I44" s="151"/>
      <c r="J44" s="151"/>
    </row>
    <row r="45" spans="1:10" x14ac:dyDescent="0.25">
      <c r="A45" s="45">
        <v>43</v>
      </c>
      <c r="B45" s="153">
        <f>Roster!B46</f>
        <v>43</v>
      </c>
      <c r="C45" s="152" t="str">
        <f>Roster!C46</f>
        <v>-</v>
      </c>
      <c r="D45" s="152" t="str">
        <f>Roster!D46</f>
        <v>-</v>
      </c>
      <c r="E45" s="31" t="str">
        <f>Roster!E46</f>
        <v>-</v>
      </c>
      <c r="G45" s="151"/>
      <c r="I45" s="151"/>
      <c r="J45" s="151"/>
    </row>
    <row r="46" spans="1:10" x14ac:dyDescent="0.25">
      <c r="A46" s="45">
        <v>44</v>
      </c>
      <c r="B46" s="153">
        <f>Roster!B47</f>
        <v>44</v>
      </c>
      <c r="C46" s="152" t="str">
        <f>Roster!C47</f>
        <v>-</v>
      </c>
      <c r="D46" s="152" t="str">
        <f>Roster!D47</f>
        <v>-</v>
      </c>
      <c r="E46" s="31" t="str">
        <f>Roster!E47</f>
        <v>-</v>
      </c>
      <c r="G46" s="151"/>
      <c r="I46" s="151"/>
      <c r="J46" s="151"/>
    </row>
    <row r="47" spans="1:10" x14ac:dyDescent="0.25">
      <c r="A47" s="45">
        <v>45</v>
      </c>
      <c r="B47" s="153">
        <f>Roster!B48</f>
        <v>45</v>
      </c>
      <c r="C47" s="152" t="str">
        <f>Roster!C48</f>
        <v>-</v>
      </c>
      <c r="D47" s="152" t="str">
        <f>Roster!D48</f>
        <v>-</v>
      </c>
      <c r="E47" s="31" t="str">
        <f>Roster!E48</f>
        <v>-</v>
      </c>
      <c r="G47" s="151"/>
      <c r="I47" s="151"/>
      <c r="J47" s="151"/>
    </row>
    <row r="48" spans="1:10" x14ac:dyDescent="0.25">
      <c r="A48" s="45">
        <v>46</v>
      </c>
      <c r="B48" s="153">
        <f>Roster!B49</f>
        <v>46</v>
      </c>
      <c r="C48" s="152" t="str">
        <f>Roster!C49</f>
        <v>-</v>
      </c>
      <c r="D48" s="152" t="str">
        <f>Roster!D49</f>
        <v>-</v>
      </c>
      <c r="E48" s="31" t="str">
        <f>Roster!E49</f>
        <v>-</v>
      </c>
      <c r="G48" s="151"/>
      <c r="I48" s="151"/>
      <c r="J48" s="151"/>
    </row>
    <row r="49" spans="1:10" x14ac:dyDescent="0.25">
      <c r="A49" s="45">
        <v>47</v>
      </c>
      <c r="B49" s="153">
        <f>Roster!B50</f>
        <v>47</v>
      </c>
      <c r="C49" s="152" t="str">
        <f>Roster!C50</f>
        <v>-</v>
      </c>
      <c r="D49" s="152" t="str">
        <f>Roster!D50</f>
        <v>-</v>
      </c>
      <c r="E49" s="31" t="str">
        <f>Roster!E50</f>
        <v>-</v>
      </c>
      <c r="G49" s="151"/>
      <c r="I49" s="151"/>
      <c r="J49" s="151"/>
    </row>
    <row r="50" spans="1:10" x14ac:dyDescent="0.25">
      <c r="A50" s="45">
        <v>48</v>
      </c>
      <c r="B50" s="153">
        <f>Roster!B51</f>
        <v>48</v>
      </c>
      <c r="C50" s="152" t="str">
        <f>Roster!C51</f>
        <v>-</v>
      </c>
      <c r="D50" s="152" t="str">
        <f>Roster!D51</f>
        <v>-</v>
      </c>
      <c r="E50" s="31" t="str">
        <f>Roster!E51</f>
        <v>-</v>
      </c>
      <c r="G50" s="151"/>
      <c r="I50" s="151"/>
      <c r="J50" s="151"/>
    </row>
    <row r="51" spans="1:10" x14ac:dyDescent="0.25">
      <c r="A51" s="45">
        <v>49</v>
      </c>
      <c r="B51" s="153">
        <f>Roster!B52</f>
        <v>49</v>
      </c>
      <c r="C51" s="152" t="str">
        <f>Roster!C52</f>
        <v>-</v>
      </c>
      <c r="D51" s="152" t="str">
        <f>Roster!D52</f>
        <v>-</v>
      </c>
      <c r="E51" s="31" t="str">
        <f>Roster!E52</f>
        <v>-</v>
      </c>
      <c r="G51" s="151"/>
      <c r="I51" s="151"/>
      <c r="J51" s="151"/>
    </row>
    <row r="52" spans="1:10" x14ac:dyDescent="0.25">
      <c r="A52" s="45">
        <v>50</v>
      </c>
      <c r="B52" s="153">
        <f>Roster!B53</f>
        <v>50</v>
      </c>
      <c r="C52" s="152" t="str">
        <f>Roster!C53</f>
        <v>-</v>
      </c>
      <c r="D52" s="152" t="str">
        <f>Roster!D53</f>
        <v>-</v>
      </c>
      <c r="E52" s="31" t="str">
        <f>Roster!E53</f>
        <v>-</v>
      </c>
      <c r="G52" s="151"/>
      <c r="I52" s="151"/>
      <c r="J52" s="151"/>
    </row>
    <row r="53" spans="1:10" x14ac:dyDescent="0.25">
      <c r="A53" s="45">
        <v>51</v>
      </c>
      <c r="B53" s="153">
        <f>Roster!B54</f>
        <v>51</v>
      </c>
      <c r="C53" s="152" t="str">
        <f>Roster!C54</f>
        <v>-</v>
      </c>
      <c r="D53" s="152" t="str">
        <f>Roster!D54</f>
        <v>-</v>
      </c>
      <c r="E53" s="31" t="str">
        <f>Roster!E54</f>
        <v>-</v>
      </c>
      <c r="G53" s="151"/>
      <c r="I53" s="151"/>
      <c r="J53" s="151"/>
    </row>
    <row r="54" spans="1:10" x14ac:dyDescent="0.25">
      <c r="A54" s="45">
        <v>52</v>
      </c>
      <c r="B54" s="153">
        <f>Roster!B55</f>
        <v>52</v>
      </c>
      <c r="C54" s="152" t="str">
        <f>Roster!C55</f>
        <v>-</v>
      </c>
      <c r="D54" s="152" t="str">
        <f>Roster!D55</f>
        <v>-</v>
      </c>
      <c r="E54" s="31" t="str">
        <f>Roster!E55</f>
        <v>-</v>
      </c>
      <c r="G54" s="151"/>
      <c r="I54" s="151"/>
      <c r="J54" s="151"/>
    </row>
    <row r="55" spans="1:10" x14ac:dyDescent="0.25">
      <c r="A55" s="45">
        <v>53</v>
      </c>
      <c r="B55" s="153">
        <f>Roster!B56</f>
        <v>53</v>
      </c>
      <c r="C55" s="152" t="str">
        <f>Roster!C56</f>
        <v>-</v>
      </c>
      <c r="D55" s="152" t="str">
        <f>Roster!D56</f>
        <v>-</v>
      </c>
      <c r="E55" s="31" t="str">
        <f>Roster!E56</f>
        <v>-</v>
      </c>
      <c r="G55" s="151"/>
      <c r="I55" s="151"/>
      <c r="J55" s="151"/>
    </row>
    <row r="56" spans="1:10" x14ac:dyDescent="0.25">
      <c r="A56" s="45">
        <v>54</v>
      </c>
      <c r="B56" s="153">
        <f>Roster!B57</f>
        <v>54</v>
      </c>
      <c r="C56" s="152" t="str">
        <f>Roster!C57</f>
        <v>-</v>
      </c>
      <c r="D56" s="152" t="str">
        <f>Roster!D57</f>
        <v>-</v>
      </c>
      <c r="E56" s="31" t="str">
        <f>Roster!E57</f>
        <v>-</v>
      </c>
      <c r="G56" s="151"/>
      <c r="I56" s="151"/>
      <c r="J56" s="151"/>
    </row>
    <row r="57" spans="1:10" x14ac:dyDescent="0.25">
      <c r="A57" s="45">
        <v>55</v>
      </c>
      <c r="B57" s="153">
        <f>Roster!B58</f>
        <v>55</v>
      </c>
      <c r="C57" s="152" t="str">
        <f>Roster!C58</f>
        <v>-</v>
      </c>
      <c r="D57" s="152" t="str">
        <f>Roster!D58</f>
        <v>-</v>
      </c>
      <c r="E57" s="31" t="str">
        <f>Roster!E58</f>
        <v>-</v>
      </c>
      <c r="G57" s="151"/>
      <c r="I57" s="151"/>
      <c r="J57" s="151"/>
    </row>
    <row r="58" spans="1:10" x14ac:dyDescent="0.25">
      <c r="A58" s="45">
        <v>56</v>
      </c>
      <c r="B58" s="153">
        <f>Roster!B59</f>
        <v>56</v>
      </c>
      <c r="C58" s="152" t="str">
        <f>Roster!C59</f>
        <v>-</v>
      </c>
      <c r="D58" s="152" t="str">
        <f>Roster!D59</f>
        <v>-</v>
      </c>
      <c r="E58" s="31" t="str">
        <f>Roster!E59</f>
        <v>-</v>
      </c>
      <c r="G58" s="151"/>
      <c r="I58" s="151"/>
      <c r="J58" s="151"/>
    </row>
    <row r="59" spans="1:10" x14ac:dyDescent="0.25">
      <c r="A59" s="45">
        <v>57</v>
      </c>
      <c r="B59" s="153">
        <f>Roster!B60</f>
        <v>57</v>
      </c>
      <c r="C59" s="152" t="str">
        <f>Roster!C60</f>
        <v>-</v>
      </c>
      <c r="D59" s="152" t="str">
        <f>Roster!D60</f>
        <v>-</v>
      </c>
      <c r="E59" s="31" t="str">
        <f>Roster!E60</f>
        <v>-</v>
      </c>
      <c r="G59" s="151"/>
      <c r="I59" s="151"/>
      <c r="J59" s="151"/>
    </row>
    <row r="60" spans="1:10" x14ac:dyDescent="0.25">
      <c r="A60" s="45">
        <v>58</v>
      </c>
      <c r="B60" s="153">
        <f>Roster!B61</f>
        <v>58</v>
      </c>
      <c r="C60" s="152" t="str">
        <f>Roster!C61</f>
        <v>-</v>
      </c>
      <c r="D60" s="152" t="str">
        <f>Roster!D61</f>
        <v>-</v>
      </c>
      <c r="E60" s="31" t="str">
        <f>Roster!E61</f>
        <v>-</v>
      </c>
      <c r="G60" s="151"/>
      <c r="I60" s="151"/>
      <c r="J60" s="151"/>
    </row>
    <row r="61" spans="1:10" x14ac:dyDescent="0.25">
      <c r="A61" s="45">
        <v>59</v>
      </c>
      <c r="B61" s="153">
        <f>Roster!B62</f>
        <v>59</v>
      </c>
      <c r="C61" s="152" t="str">
        <f>Roster!C62</f>
        <v>-</v>
      </c>
      <c r="D61" s="152" t="str">
        <f>Roster!D62</f>
        <v>-</v>
      </c>
      <c r="E61" s="31" t="str">
        <f>Roster!E62</f>
        <v>-</v>
      </c>
      <c r="G61" s="151"/>
      <c r="I61" s="151"/>
      <c r="J61" s="151"/>
    </row>
    <row r="62" spans="1:10" x14ac:dyDescent="0.25">
      <c r="A62" s="45">
        <v>60</v>
      </c>
      <c r="B62" s="153">
        <f>Roster!B63</f>
        <v>60</v>
      </c>
      <c r="C62" s="152" t="str">
        <f>Roster!C63</f>
        <v>-</v>
      </c>
      <c r="D62" s="152" t="str">
        <f>Roster!D63</f>
        <v>-</v>
      </c>
      <c r="E62" s="31" t="str">
        <f>Roster!E63</f>
        <v>-</v>
      </c>
      <c r="G62" s="151"/>
      <c r="I62" s="151"/>
      <c r="J62" s="151"/>
    </row>
    <row r="63" spans="1:10" x14ac:dyDescent="0.25">
      <c r="A63" s="45">
        <v>61</v>
      </c>
      <c r="B63" s="153">
        <f>Roster!B64</f>
        <v>61</v>
      </c>
      <c r="C63" s="152" t="str">
        <f>Roster!C64</f>
        <v>-</v>
      </c>
      <c r="D63" s="152" t="str">
        <f>Roster!D64</f>
        <v>-</v>
      </c>
      <c r="E63" s="31" t="str">
        <f>Roster!E64</f>
        <v>-</v>
      </c>
      <c r="G63" s="151"/>
      <c r="I63" s="151"/>
      <c r="J63" s="151"/>
    </row>
    <row r="64" spans="1:10" x14ac:dyDescent="0.25">
      <c r="A64" s="45">
        <v>62</v>
      </c>
      <c r="B64" s="153">
        <f>Roster!B65</f>
        <v>62</v>
      </c>
      <c r="C64" s="152" t="str">
        <f>Roster!C65</f>
        <v>-</v>
      </c>
      <c r="D64" s="152" t="str">
        <f>Roster!D65</f>
        <v>-</v>
      </c>
      <c r="E64" s="31" t="str">
        <f>Roster!E65</f>
        <v>-</v>
      </c>
      <c r="G64" s="151"/>
      <c r="I64" s="151"/>
      <c r="J64" s="151"/>
    </row>
    <row r="65" spans="1:10" x14ac:dyDescent="0.25">
      <c r="A65" s="45">
        <v>63</v>
      </c>
      <c r="B65" s="153">
        <f>Roster!B66</f>
        <v>63</v>
      </c>
      <c r="C65" s="152" t="str">
        <f>Roster!C66</f>
        <v>-</v>
      </c>
      <c r="D65" s="152" t="str">
        <f>Roster!D66</f>
        <v>-</v>
      </c>
      <c r="E65" s="31" t="str">
        <f>Roster!E66</f>
        <v>-</v>
      </c>
      <c r="G65" s="151"/>
      <c r="I65" s="151"/>
      <c r="J65" s="151"/>
    </row>
    <row r="66" spans="1:10" x14ac:dyDescent="0.25">
      <c r="A66" s="45">
        <v>64</v>
      </c>
      <c r="B66" s="153">
        <f>Roster!B67</f>
        <v>64</v>
      </c>
      <c r="C66" s="152" t="str">
        <f>Roster!C67</f>
        <v>-</v>
      </c>
      <c r="D66" s="152" t="str">
        <f>Roster!D67</f>
        <v>-</v>
      </c>
      <c r="E66" s="31" t="str">
        <f>Roster!E67</f>
        <v>-</v>
      </c>
      <c r="G66" s="151"/>
      <c r="I66" s="151"/>
      <c r="J66" s="151"/>
    </row>
    <row r="67" spans="1:10" x14ac:dyDescent="0.25">
      <c r="A67" s="45">
        <v>65</v>
      </c>
      <c r="B67" s="153">
        <f>Roster!B68</f>
        <v>65</v>
      </c>
      <c r="C67" s="152" t="str">
        <f>Roster!C68</f>
        <v>-</v>
      </c>
      <c r="D67" s="152" t="str">
        <f>Roster!D68</f>
        <v>-</v>
      </c>
      <c r="E67" s="31" t="str">
        <f>Roster!E68</f>
        <v>-</v>
      </c>
      <c r="G67" s="151"/>
      <c r="I67" s="151"/>
      <c r="J67" s="151"/>
    </row>
    <row r="68" spans="1:10" x14ac:dyDescent="0.25">
      <c r="A68" s="45">
        <v>66</v>
      </c>
      <c r="B68" s="153">
        <f>Roster!B69</f>
        <v>66</v>
      </c>
      <c r="C68" s="152" t="str">
        <f>Roster!C69</f>
        <v>-</v>
      </c>
      <c r="D68" s="152" t="str">
        <f>Roster!D69</f>
        <v>-</v>
      </c>
      <c r="E68" s="31" t="str">
        <f>Roster!E69</f>
        <v>-</v>
      </c>
      <c r="G68" s="151"/>
      <c r="I68" s="151"/>
      <c r="J68" s="151"/>
    </row>
    <row r="69" spans="1:10" x14ac:dyDescent="0.25">
      <c r="A69" s="45">
        <v>67</v>
      </c>
      <c r="B69" s="153">
        <f>Roster!B70</f>
        <v>67</v>
      </c>
      <c r="C69" s="152" t="str">
        <f>Roster!C70</f>
        <v>-</v>
      </c>
      <c r="D69" s="152" t="str">
        <f>Roster!D70</f>
        <v>-</v>
      </c>
      <c r="E69" s="31" t="str">
        <f>Roster!E70</f>
        <v>-</v>
      </c>
      <c r="G69" s="151"/>
      <c r="I69" s="151"/>
      <c r="J69" s="151"/>
    </row>
    <row r="70" spans="1:10" x14ac:dyDescent="0.25">
      <c r="A70" s="45">
        <v>68</v>
      </c>
      <c r="B70" s="153">
        <f>Roster!B71</f>
        <v>68</v>
      </c>
      <c r="C70" s="152" t="str">
        <f>Roster!C71</f>
        <v>-</v>
      </c>
      <c r="D70" s="152" t="str">
        <f>Roster!D71</f>
        <v>-</v>
      </c>
      <c r="E70" s="31" t="str">
        <f>Roster!E71</f>
        <v>-</v>
      </c>
      <c r="G70" s="151"/>
      <c r="I70" s="151"/>
      <c r="J70" s="151"/>
    </row>
    <row r="71" spans="1:10" x14ac:dyDescent="0.25">
      <c r="A71" s="45">
        <v>69</v>
      </c>
      <c r="B71" s="153">
        <f>Roster!B72</f>
        <v>69</v>
      </c>
      <c r="C71" s="152" t="str">
        <f>Roster!C72</f>
        <v>-</v>
      </c>
      <c r="D71" s="152" t="str">
        <f>Roster!D72</f>
        <v>-</v>
      </c>
      <c r="E71" s="31" t="str">
        <f>Roster!E72</f>
        <v>-</v>
      </c>
      <c r="G71" s="151"/>
      <c r="I71" s="151"/>
      <c r="J71" s="151"/>
    </row>
    <row r="72" spans="1:10" x14ac:dyDescent="0.25">
      <c r="A72" s="45">
        <v>70</v>
      </c>
      <c r="B72" s="153">
        <f>Roster!B73</f>
        <v>70</v>
      </c>
      <c r="C72" s="152" t="str">
        <f>Roster!C73</f>
        <v>-</v>
      </c>
      <c r="D72" s="152" t="str">
        <f>Roster!D73</f>
        <v>-</v>
      </c>
      <c r="E72" s="31" t="str">
        <f>Roster!E73</f>
        <v>-</v>
      </c>
      <c r="G72" s="151"/>
      <c r="I72" s="151"/>
      <c r="J72" s="151"/>
    </row>
    <row r="73" spans="1:10" x14ac:dyDescent="0.25">
      <c r="A73" s="45">
        <v>71</v>
      </c>
      <c r="B73" s="153">
        <f>Roster!B74</f>
        <v>71</v>
      </c>
      <c r="C73" s="152" t="str">
        <f>Roster!C74</f>
        <v>-</v>
      </c>
      <c r="D73" s="152" t="str">
        <f>Roster!D74</f>
        <v>-</v>
      </c>
      <c r="E73" s="31" t="str">
        <f>Roster!E74</f>
        <v>-</v>
      </c>
      <c r="G73" s="151"/>
      <c r="I73" s="151"/>
      <c r="J73" s="151"/>
    </row>
    <row r="74" spans="1:10" x14ac:dyDescent="0.25">
      <c r="A74" s="45">
        <v>72</v>
      </c>
      <c r="B74" s="153">
        <f>Roster!B75</f>
        <v>72</v>
      </c>
      <c r="C74" s="152" t="str">
        <f>Roster!C75</f>
        <v>-</v>
      </c>
      <c r="D74" s="152" t="str">
        <f>Roster!D75</f>
        <v>-</v>
      </c>
      <c r="E74" s="31" t="str">
        <f>Roster!E75</f>
        <v>-</v>
      </c>
      <c r="G74" s="151"/>
      <c r="I74" s="151"/>
      <c r="J74" s="151"/>
    </row>
    <row r="75" spans="1:10" x14ac:dyDescent="0.25">
      <c r="A75" s="45">
        <v>73</v>
      </c>
      <c r="B75" s="153">
        <f>Roster!B76</f>
        <v>73</v>
      </c>
      <c r="C75" s="152" t="str">
        <f>Roster!C76</f>
        <v>-</v>
      </c>
      <c r="D75" s="152" t="str">
        <f>Roster!D76</f>
        <v>-</v>
      </c>
      <c r="E75" s="31" t="str">
        <f>Roster!E76</f>
        <v>-</v>
      </c>
      <c r="G75" s="151"/>
      <c r="I75" s="151"/>
      <c r="J75" s="151"/>
    </row>
    <row r="76" spans="1:10" x14ac:dyDescent="0.25">
      <c r="A76" s="45">
        <v>74</v>
      </c>
      <c r="B76" s="153">
        <f>Roster!B77</f>
        <v>74</v>
      </c>
      <c r="C76" s="152" t="str">
        <f>Roster!C77</f>
        <v>-</v>
      </c>
      <c r="D76" s="152" t="str">
        <f>Roster!D77</f>
        <v>-</v>
      </c>
      <c r="E76" s="31" t="str">
        <f>Roster!E77</f>
        <v>-</v>
      </c>
      <c r="G76" s="151"/>
      <c r="I76" s="151"/>
      <c r="J76" s="151"/>
    </row>
    <row r="77" spans="1:10" x14ac:dyDescent="0.25">
      <c r="A77" s="45">
        <v>75</v>
      </c>
      <c r="B77" s="153">
        <f>Roster!B78</f>
        <v>75</v>
      </c>
      <c r="C77" s="152" t="str">
        <f>Roster!C78</f>
        <v>-</v>
      </c>
      <c r="D77" s="152" t="str">
        <f>Roster!D78</f>
        <v>-</v>
      </c>
      <c r="E77" s="31" t="str">
        <f>Roster!E78</f>
        <v>-</v>
      </c>
      <c r="G77" s="151"/>
      <c r="I77" s="151"/>
      <c r="J77" s="151"/>
    </row>
    <row r="78" spans="1:10" x14ac:dyDescent="0.25">
      <c r="A78" s="45">
        <v>76</v>
      </c>
      <c r="B78" s="153">
        <f>Roster!B79</f>
        <v>76</v>
      </c>
      <c r="C78" s="152" t="str">
        <f>Roster!C79</f>
        <v>-</v>
      </c>
      <c r="D78" s="152" t="str">
        <f>Roster!D79</f>
        <v>-</v>
      </c>
      <c r="E78" s="31" t="str">
        <f>Roster!E79</f>
        <v>-</v>
      </c>
      <c r="G78" s="151"/>
      <c r="I78" s="151"/>
      <c r="J78" s="151"/>
    </row>
    <row r="79" spans="1:10" x14ac:dyDescent="0.25">
      <c r="A79" s="45">
        <v>77</v>
      </c>
      <c r="B79" s="153">
        <f>Roster!B80</f>
        <v>77</v>
      </c>
      <c r="C79" s="152" t="str">
        <f>Roster!C80</f>
        <v>-</v>
      </c>
      <c r="D79" s="152" t="str">
        <f>Roster!D80</f>
        <v>-</v>
      </c>
      <c r="E79" s="31" t="str">
        <f>Roster!E80</f>
        <v>-</v>
      </c>
      <c r="G79" s="151"/>
      <c r="I79" s="151"/>
      <c r="J79" s="151"/>
    </row>
    <row r="80" spans="1:10" x14ac:dyDescent="0.25">
      <c r="A80" s="45">
        <v>78</v>
      </c>
      <c r="B80" s="153">
        <f>Roster!B81</f>
        <v>78</v>
      </c>
      <c r="C80" s="152" t="str">
        <f>Roster!C81</f>
        <v>-</v>
      </c>
      <c r="D80" s="152" t="str">
        <f>Roster!D81</f>
        <v>-</v>
      </c>
      <c r="E80" s="31" t="str">
        <f>Roster!E81</f>
        <v>-</v>
      </c>
      <c r="G80" s="151"/>
      <c r="I80" s="151"/>
      <c r="J80" s="151"/>
    </row>
    <row r="81" spans="1:10" x14ac:dyDescent="0.25">
      <c r="A81" s="45">
        <v>79</v>
      </c>
      <c r="B81" s="153">
        <f>Roster!B82</f>
        <v>79</v>
      </c>
      <c r="C81" s="152" t="str">
        <f>Roster!C82</f>
        <v>-</v>
      </c>
      <c r="D81" s="152" t="str">
        <f>Roster!D82</f>
        <v>-</v>
      </c>
      <c r="E81" s="31" t="str">
        <f>Roster!E82</f>
        <v>-</v>
      </c>
      <c r="G81" s="151"/>
      <c r="I81" s="151"/>
      <c r="J81" s="151"/>
    </row>
    <row r="82" spans="1:10" x14ac:dyDescent="0.25">
      <c r="A82" s="45">
        <v>80</v>
      </c>
      <c r="B82" s="153">
        <f>Roster!B83</f>
        <v>80</v>
      </c>
      <c r="C82" s="152" t="str">
        <f>Roster!C83</f>
        <v>-</v>
      </c>
      <c r="D82" s="152" t="str">
        <f>Roster!D83</f>
        <v>-</v>
      </c>
      <c r="E82" s="31" t="str">
        <f>Roster!E83</f>
        <v>-</v>
      </c>
      <c r="G82" s="151"/>
      <c r="I82" s="151"/>
      <c r="J82" s="151"/>
    </row>
    <row r="83" spans="1:10" x14ac:dyDescent="0.25">
      <c r="A83" s="45">
        <v>81</v>
      </c>
      <c r="B83" s="153">
        <f>Roster!B84</f>
        <v>81</v>
      </c>
      <c r="C83" s="152" t="str">
        <f>Roster!C84</f>
        <v>-</v>
      </c>
      <c r="D83" s="152" t="str">
        <f>Roster!D84</f>
        <v>-</v>
      </c>
      <c r="E83" s="31" t="str">
        <f>Roster!E84</f>
        <v>-</v>
      </c>
      <c r="G83" s="151"/>
      <c r="I83" s="151"/>
      <c r="J83" s="151"/>
    </row>
    <row r="84" spans="1:10" x14ac:dyDescent="0.25">
      <c r="A84" s="45">
        <v>82</v>
      </c>
      <c r="B84" s="153">
        <f>Roster!B85</f>
        <v>82</v>
      </c>
      <c r="C84" s="152" t="str">
        <f>Roster!C85</f>
        <v>-</v>
      </c>
      <c r="D84" s="152" t="str">
        <f>Roster!D85</f>
        <v>-</v>
      </c>
      <c r="E84" s="31" t="str">
        <f>Roster!E85</f>
        <v>-</v>
      </c>
      <c r="G84" s="151"/>
      <c r="I84" s="151"/>
      <c r="J84" s="151"/>
    </row>
    <row r="85" spans="1:10" x14ac:dyDescent="0.25">
      <c r="A85" s="45">
        <v>83</v>
      </c>
      <c r="B85" s="153">
        <f>Roster!B86</f>
        <v>83</v>
      </c>
      <c r="C85" s="152" t="str">
        <f>Roster!C86</f>
        <v>-</v>
      </c>
      <c r="D85" s="152" t="str">
        <f>Roster!D86</f>
        <v>-</v>
      </c>
      <c r="E85" s="31" t="str">
        <f>Roster!E86</f>
        <v>-</v>
      </c>
      <c r="G85" s="151"/>
      <c r="I85" s="151"/>
      <c r="J85" s="151"/>
    </row>
    <row r="86" spans="1:10" x14ac:dyDescent="0.25">
      <c r="A86" s="45">
        <v>84</v>
      </c>
      <c r="B86" s="153">
        <f>Roster!B87</f>
        <v>84</v>
      </c>
      <c r="C86" s="152" t="str">
        <f>Roster!C87</f>
        <v>-</v>
      </c>
      <c r="D86" s="152" t="str">
        <f>Roster!D87</f>
        <v>-</v>
      </c>
      <c r="E86" s="31" t="str">
        <f>Roster!E87</f>
        <v>-</v>
      </c>
      <c r="G86" s="151"/>
      <c r="I86" s="151"/>
      <c r="J86" s="151"/>
    </row>
    <row r="87" spans="1:10" x14ac:dyDescent="0.25">
      <c r="A87" s="45">
        <v>85</v>
      </c>
      <c r="B87" s="153">
        <f>Roster!B88</f>
        <v>85</v>
      </c>
      <c r="C87" s="152" t="str">
        <f>Roster!C88</f>
        <v>-</v>
      </c>
      <c r="D87" s="152" t="str">
        <f>Roster!D88</f>
        <v>-</v>
      </c>
      <c r="E87" s="31" t="str">
        <f>Roster!E88</f>
        <v>-</v>
      </c>
      <c r="G87" s="151"/>
      <c r="I87" s="151"/>
      <c r="J87" s="151"/>
    </row>
    <row r="88" spans="1:10" x14ac:dyDescent="0.25">
      <c r="A88" s="45">
        <v>86</v>
      </c>
      <c r="B88" s="153">
        <f>Roster!B89</f>
        <v>86</v>
      </c>
      <c r="C88" s="152" t="str">
        <f>Roster!C89</f>
        <v>-</v>
      </c>
      <c r="D88" s="152" t="str">
        <f>Roster!D89</f>
        <v>-</v>
      </c>
      <c r="E88" s="31" t="str">
        <f>Roster!E89</f>
        <v>-</v>
      </c>
      <c r="G88" s="151"/>
      <c r="I88" s="151"/>
      <c r="J88" s="151"/>
    </row>
    <row r="89" spans="1:10" x14ac:dyDescent="0.25">
      <c r="A89" s="45">
        <v>87</v>
      </c>
      <c r="B89" s="153">
        <f>Roster!B90</f>
        <v>87</v>
      </c>
      <c r="C89" s="152" t="str">
        <f>Roster!C90</f>
        <v>-</v>
      </c>
      <c r="D89" s="152" t="str">
        <f>Roster!D90</f>
        <v>-</v>
      </c>
      <c r="E89" s="31" t="str">
        <f>Roster!E90</f>
        <v>-</v>
      </c>
      <c r="G89" s="151"/>
      <c r="I89" s="151"/>
      <c r="J89" s="151"/>
    </row>
    <row r="90" spans="1:10" x14ac:dyDescent="0.25">
      <c r="A90" s="45">
        <v>88</v>
      </c>
      <c r="B90" s="153">
        <f>Roster!B91</f>
        <v>88</v>
      </c>
      <c r="C90" s="152" t="str">
        <f>Roster!C91</f>
        <v>-</v>
      </c>
      <c r="D90" s="152" t="str">
        <f>Roster!D91</f>
        <v>-</v>
      </c>
      <c r="E90" s="31" t="str">
        <f>Roster!E91</f>
        <v>-</v>
      </c>
      <c r="G90" s="151"/>
      <c r="I90" s="151"/>
      <c r="J90" s="151"/>
    </row>
    <row r="91" spans="1:10" x14ac:dyDescent="0.25">
      <c r="A91" s="45">
        <v>89</v>
      </c>
      <c r="B91" s="153">
        <f>Roster!B92</f>
        <v>89</v>
      </c>
      <c r="C91" s="152" t="str">
        <f>Roster!C92</f>
        <v>-</v>
      </c>
      <c r="D91" s="152" t="str">
        <f>Roster!D92</f>
        <v>-</v>
      </c>
      <c r="E91" s="31" t="str">
        <f>Roster!E92</f>
        <v>-</v>
      </c>
      <c r="G91" s="151"/>
      <c r="I91" s="151"/>
      <c r="J91" s="151"/>
    </row>
    <row r="92" spans="1:10" x14ac:dyDescent="0.25">
      <c r="A92" s="45">
        <v>90</v>
      </c>
      <c r="B92" s="153">
        <f>Roster!B93</f>
        <v>0</v>
      </c>
      <c r="C92" s="152" t="str">
        <f>C$104</f>
        <v>-</v>
      </c>
      <c r="D92" s="152" t="str">
        <f>D$104</f>
        <v>-</v>
      </c>
      <c r="E92" s="31" t="str">
        <f>E$104</f>
        <v>-</v>
      </c>
      <c r="G92" s="152">
        <f>G$104</f>
        <v>0</v>
      </c>
      <c r="I92" s="152">
        <f>I$104</f>
        <v>0</v>
      </c>
      <c r="J92" s="152">
        <f>J$104</f>
        <v>0</v>
      </c>
    </row>
    <row r="93" spans="1:10" x14ac:dyDescent="0.25">
      <c r="A93" s="45">
        <v>91</v>
      </c>
      <c r="B93" s="153">
        <f>Roster!B94</f>
        <v>91</v>
      </c>
      <c r="C93" s="152" t="str">
        <f>Roster!C94</f>
        <v>-</v>
      </c>
      <c r="D93" s="152" t="str">
        <f>Roster!D94</f>
        <v>-</v>
      </c>
      <c r="E93" s="31" t="str">
        <f>Roster!E94</f>
        <v>-</v>
      </c>
      <c r="G93" s="151"/>
      <c r="I93" s="151"/>
      <c r="J93" s="151"/>
    </row>
    <row r="94" spans="1:10" x14ac:dyDescent="0.25">
      <c r="A94" s="45">
        <v>92</v>
      </c>
      <c r="B94" s="153">
        <f>Roster!B95</f>
        <v>92</v>
      </c>
      <c r="C94" s="152" t="str">
        <f>Roster!C95</f>
        <v>-</v>
      </c>
      <c r="D94" s="152" t="str">
        <f>Roster!D95</f>
        <v>-</v>
      </c>
      <c r="E94" s="31" t="str">
        <f>Roster!E95</f>
        <v>-</v>
      </c>
      <c r="G94" s="151"/>
      <c r="I94" s="151"/>
      <c r="J94" s="151"/>
    </row>
    <row r="95" spans="1:10" x14ac:dyDescent="0.25">
      <c r="A95" s="45">
        <v>93</v>
      </c>
      <c r="B95" s="153">
        <f>Roster!B96</f>
        <v>93</v>
      </c>
      <c r="C95" s="152" t="str">
        <f>Roster!C96</f>
        <v>-</v>
      </c>
      <c r="D95" s="152" t="str">
        <f>Roster!D96</f>
        <v>-</v>
      </c>
      <c r="E95" s="31" t="str">
        <f>Roster!E96</f>
        <v>-</v>
      </c>
      <c r="G95" s="151"/>
      <c r="I95" s="151"/>
      <c r="J95" s="151"/>
    </row>
    <row r="96" spans="1:10" x14ac:dyDescent="0.25">
      <c r="A96" s="45">
        <v>94</v>
      </c>
      <c r="B96" s="153">
        <f>Roster!B97</f>
        <v>94</v>
      </c>
      <c r="C96" s="152" t="str">
        <f>Roster!C97</f>
        <v>-</v>
      </c>
      <c r="D96" s="152" t="str">
        <f>Roster!D97</f>
        <v>-</v>
      </c>
      <c r="E96" s="31" t="str">
        <f>Roster!E97</f>
        <v>-</v>
      </c>
      <c r="G96" s="151"/>
      <c r="I96" s="151"/>
      <c r="J96" s="151"/>
    </row>
    <row r="97" spans="1:11" x14ac:dyDescent="0.25">
      <c r="A97" s="45">
        <v>95</v>
      </c>
      <c r="B97" s="153">
        <f>Roster!B98</f>
        <v>95</v>
      </c>
      <c r="C97" s="152" t="str">
        <f>Roster!C98</f>
        <v>-</v>
      </c>
      <c r="D97" s="152" t="str">
        <f>Roster!D98</f>
        <v>-</v>
      </c>
      <c r="E97" s="31" t="str">
        <f>Roster!E98</f>
        <v>-</v>
      </c>
      <c r="G97" s="151"/>
      <c r="I97" s="151"/>
      <c r="J97" s="151"/>
    </row>
    <row r="98" spans="1:11" x14ac:dyDescent="0.25">
      <c r="A98" s="45">
        <v>96</v>
      </c>
      <c r="B98" s="153">
        <f>Roster!B99</f>
        <v>96</v>
      </c>
      <c r="C98" s="152" t="str">
        <f>Roster!C99</f>
        <v>-</v>
      </c>
      <c r="D98" s="152" t="str">
        <f>Roster!D99</f>
        <v>-</v>
      </c>
      <c r="E98" s="31" t="str">
        <f>Roster!E99</f>
        <v>-</v>
      </c>
      <c r="G98" s="151"/>
      <c r="I98" s="151"/>
      <c r="J98" s="151"/>
    </row>
    <row r="99" spans="1:11" x14ac:dyDescent="0.25">
      <c r="A99" s="45">
        <v>97</v>
      </c>
      <c r="B99" s="153">
        <f>Roster!B100</f>
        <v>97</v>
      </c>
      <c r="C99" s="152" t="str">
        <f>Roster!C100</f>
        <v>-</v>
      </c>
      <c r="D99" s="152" t="str">
        <f>Roster!D100</f>
        <v>-</v>
      </c>
      <c r="E99" s="31" t="str">
        <f>Roster!E100</f>
        <v>-</v>
      </c>
      <c r="G99" s="151"/>
      <c r="I99" s="151"/>
      <c r="J99" s="151"/>
    </row>
    <row r="100" spans="1:11" x14ac:dyDescent="0.25">
      <c r="A100" s="45">
        <v>98</v>
      </c>
      <c r="B100" s="153">
        <f>Roster!B101</f>
        <v>98</v>
      </c>
      <c r="C100" s="152" t="str">
        <f>Roster!C101</f>
        <v>-</v>
      </c>
      <c r="D100" s="152" t="str">
        <f>Roster!D101</f>
        <v>-</v>
      </c>
      <c r="E100" s="31" t="str">
        <f>Roster!E101</f>
        <v>-</v>
      </c>
      <c r="G100" s="151"/>
      <c r="I100" s="151"/>
      <c r="J100" s="151"/>
    </row>
    <row r="101" spans="1:11" x14ac:dyDescent="0.25">
      <c r="A101" s="45">
        <v>99</v>
      </c>
      <c r="B101" s="153" t="str">
        <f>Roster!B102</f>
        <v>00</v>
      </c>
      <c r="C101" s="152" t="str">
        <f>C$104</f>
        <v>-</v>
      </c>
      <c r="D101" s="152" t="str">
        <f>D$104</f>
        <v>-</v>
      </c>
      <c r="E101" s="31" t="str">
        <f>E$104</f>
        <v>-</v>
      </c>
      <c r="G101" s="152">
        <f>G$104</f>
        <v>0</v>
      </c>
      <c r="I101" s="152">
        <f>I$104</f>
        <v>0</v>
      </c>
      <c r="J101" s="152">
        <f>J$104</f>
        <v>0</v>
      </c>
    </row>
    <row r="102" spans="1:11" ht="15.75" thickBot="1" x14ac:dyDescent="0.3"/>
    <row r="103" spans="1:11" ht="15.75" thickBot="1" x14ac:dyDescent="0.3">
      <c r="A103" s="168" t="s">
        <v>841</v>
      </c>
      <c r="B103" s="169"/>
      <c r="C103" s="169"/>
      <c r="D103" s="169"/>
      <c r="E103" s="169"/>
      <c r="F103" s="169"/>
      <c r="G103" s="169"/>
      <c r="H103" s="169"/>
      <c r="I103" s="169"/>
      <c r="J103" s="170"/>
      <c r="K103" s="177"/>
    </row>
    <row r="104" spans="1:11" x14ac:dyDescent="0.25">
      <c r="A104" s="45"/>
      <c r="B104" s="153">
        <f>Roster!B105</f>
        <v>0</v>
      </c>
      <c r="C104" s="152" t="str">
        <f>Roster!C102</f>
        <v>-</v>
      </c>
      <c r="D104" s="152" t="str">
        <f>Roster!D102</f>
        <v>-</v>
      </c>
      <c r="E104" s="31" t="str">
        <f>Roster!E102</f>
        <v>-</v>
      </c>
      <c r="G104" s="151"/>
      <c r="I104" s="151"/>
      <c r="J104" s="151"/>
    </row>
    <row r="105" spans="1:11" x14ac:dyDescent="0.25">
      <c r="H105" s="139"/>
    </row>
    <row r="106" spans="1:11" ht="15.75" thickBot="1" x14ac:dyDescent="0.3">
      <c r="H106" s="139"/>
    </row>
    <row r="107" spans="1:11" x14ac:dyDescent="0.25">
      <c r="A107" s="150" t="s">
        <v>807</v>
      </c>
      <c r="B107" s="149"/>
      <c r="C107" s="149"/>
      <c r="D107" s="149"/>
      <c r="E107" s="149"/>
      <c r="F107" s="149"/>
      <c r="G107" s="148"/>
    </row>
    <row r="108" spans="1:11" x14ac:dyDescent="0.25">
      <c r="A108" s="147" t="s">
        <v>806</v>
      </c>
      <c r="B108" s="146"/>
      <c r="C108" s="145"/>
      <c r="D108" s="145"/>
      <c r="E108" s="145"/>
      <c r="F108" s="145"/>
      <c r="G108" s="144"/>
    </row>
    <row r="109" spans="1:11" x14ac:dyDescent="0.25">
      <c r="A109" s="147" t="s">
        <v>805</v>
      </c>
      <c r="B109" s="146"/>
      <c r="C109" s="145"/>
      <c r="D109" s="145"/>
      <c r="E109" s="145"/>
      <c r="F109" s="145"/>
      <c r="G109" s="144"/>
    </row>
    <row r="110" spans="1:11" ht="15.75" thickBot="1" x14ac:dyDescent="0.3">
      <c r="A110" s="143" t="s">
        <v>804</v>
      </c>
      <c r="B110" s="142"/>
      <c r="C110" s="141"/>
      <c r="D110" s="141"/>
      <c r="E110" s="141"/>
      <c r="F110" s="141"/>
      <c r="G110" s="140"/>
    </row>
  </sheetData>
  <customSheetViews>
    <customSheetView guid="{35139CDC-7B22-4BB4-A27E-0C639571C225}" topLeftCell="B1">
      <selection activeCell="J3" sqref="J3"/>
      <pageMargins left="0.7" right="0.7" top="0.75" bottom="0.75" header="0.3" footer="0.3"/>
    </customSheetView>
    <customSheetView guid="{42F19D52-E208-414F-9E2E-506DF902926F}" topLeftCell="B1">
      <selection activeCell="J3" sqref="J3"/>
      <pageMargins left="0.7" right="0.7" top="0.75" bottom="0.75" header="0.3" footer="0.3"/>
    </customSheetView>
    <customSheetView guid="{BE266B8E-38B0-4631-9C30-67CA48A8BD7F}">
      <selection activeCell="G2" sqref="G2:G101"/>
      <pageMargins left="0.7" right="0.7" top="0.75" bottom="0.75" header="0.3" footer="0.3"/>
    </customSheetView>
    <customSheetView guid="{9DC468DE-D883-45B4-B188-265B9DA68425}" topLeftCell="B1">
      <selection activeCell="J3" sqref="J3"/>
      <pageMargins left="0.7" right="0.7" top="0.75" bottom="0.75" header="0.3" footer="0.3"/>
    </customSheetView>
    <customSheetView guid="{6A3B2C41-2DBC-4B17-AB58-12C85E3A6B8A}">
      <pageMargins left="0.7" right="0.7" top="0.75" bottom="0.75" header="0.3" footer="0.3"/>
    </customSheetView>
    <customSheetView guid="{46B088B4-7F51-4D35-9F00-2268626FA819}" topLeftCell="A2">
      <selection activeCell="G2" sqref="G2:G101"/>
      <pageMargins left="0.7" right="0.7" top="0.75" bottom="0.75" header="0.3" footer="0.3"/>
    </customSheetView>
    <customSheetView guid="{42945F95-5627-491B-A345-A07B64F7E806}" topLeftCell="B1">
      <selection activeCell="F2" sqref="F2"/>
      <pageMargins left="0.7" right="0.7" top="0.75" bottom="0.75" header="0.3" footer="0.3"/>
    </customSheetView>
    <customSheetView guid="{BD1DF852-269B-4C2F-AF89-1FA576EA4603}">
      <selection activeCell="J3" sqref="J3"/>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autoPageBreaks="0"/>
  </sheetPr>
  <dimension ref="A1:J106"/>
  <sheetViews>
    <sheetView workbookViewId="0">
      <selection activeCell="I1" sqref="I1"/>
    </sheetView>
  </sheetViews>
  <sheetFormatPr defaultRowHeight="15" x14ac:dyDescent="0.25"/>
  <cols>
    <col min="1" max="1" width="4.7109375" style="8" customWidth="1"/>
    <col min="2" max="2" width="9.140625" style="8"/>
    <col min="3" max="4" width="12.7109375" customWidth="1"/>
    <col min="5" max="5" width="10.7109375" style="8" customWidth="1"/>
    <col min="6" max="6" width="37.7109375" customWidth="1"/>
    <col min="7" max="7" width="2.7109375" customWidth="1"/>
    <col min="8" max="8" width="40" style="29" customWidth="1"/>
    <col min="10" max="10" width="10.5703125" style="8" hidden="1" customWidth="1"/>
  </cols>
  <sheetData>
    <row r="1" spans="1:10" ht="15.75" thickBot="1" x14ac:dyDescent="0.3">
      <c r="B1" s="158" t="s">
        <v>1055</v>
      </c>
      <c r="C1" s="55"/>
      <c r="D1" s="55"/>
      <c r="E1" s="157"/>
      <c r="F1" s="159" t="s">
        <v>1051</v>
      </c>
      <c r="G1" s="159"/>
      <c r="H1" s="280"/>
      <c r="J1" s="157"/>
    </row>
    <row r="2" spans="1:10" ht="26.25" customHeight="1" x14ac:dyDescent="0.25">
      <c r="B2" s="156" t="s">
        <v>40</v>
      </c>
      <c r="C2" s="155" t="s">
        <v>41</v>
      </c>
      <c r="D2" s="155" t="s">
        <v>42</v>
      </c>
      <c r="E2" s="154" t="s">
        <v>43</v>
      </c>
      <c r="F2" s="154" t="s">
        <v>1047</v>
      </c>
      <c r="H2" s="281" t="s">
        <v>1048</v>
      </c>
      <c r="J2" s="278" t="s">
        <v>1039</v>
      </c>
    </row>
    <row r="3" spans="1:10" x14ac:dyDescent="0.25">
      <c r="A3" s="45">
        <v>1</v>
      </c>
      <c r="B3" s="153">
        <f>Roster!B4</f>
        <v>1</v>
      </c>
      <c r="C3" s="152" t="str">
        <f>Roster!C4</f>
        <v>Firstname</v>
      </c>
      <c r="D3" s="152" t="str">
        <f>Roster!D4</f>
        <v>Lastname</v>
      </c>
      <c r="E3" s="31" t="str">
        <f>Roster!E4</f>
        <v>P</v>
      </c>
      <c r="F3" s="151" t="s">
        <v>1050</v>
      </c>
      <c r="H3" s="282" t="s">
        <v>1049</v>
      </c>
      <c r="J3" s="288">
        <f>IF($H3 = "",1,2)</f>
        <v>2</v>
      </c>
    </row>
    <row r="4" spans="1:10" x14ac:dyDescent="0.25">
      <c r="A4" s="45">
        <v>2</v>
      </c>
      <c r="B4" s="153">
        <f>Roster!B5</f>
        <v>2</v>
      </c>
      <c r="C4" s="152" t="str">
        <f>Roster!C5</f>
        <v>Firstname</v>
      </c>
      <c r="D4" s="152" t="str">
        <f>Roster!D5</f>
        <v>LastName</v>
      </c>
      <c r="E4" s="31" t="str">
        <f>Roster!E5</f>
        <v>SS</v>
      </c>
      <c r="F4" s="151" t="s">
        <v>1052</v>
      </c>
      <c r="H4" s="282">
        <v>222</v>
      </c>
      <c r="J4" s="288">
        <f t="shared" ref="J4:J67" si="0">IF($H4 = "",1,2)</f>
        <v>2</v>
      </c>
    </row>
    <row r="5" spans="1:10" x14ac:dyDescent="0.25">
      <c r="A5" s="45">
        <v>3</v>
      </c>
      <c r="B5" s="153">
        <f>Roster!B6</f>
        <v>3</v>
      </c>
      <c r="C5" s="152" t="str">
        <f>Roster!C6</f>
        <v>-</v>
      </c>
      <c r="D5" s="152" t="str">
        <f>Roster!D6</f>
        <v>-</v>
      </c>
      <c r="E5" s="31" t="str">
        <f>Roster!E6</f>
        <v>-</v>
      </c>
      <c r="F5" s="151" t="s">
        <v>1057</v>
      </c>
      <c r="H5" s="282">
        <v>333</v>
      </c>
      <c r="J5" s="288">
        <f t="shared" si="0"/>
        <v>2</v>
      </c>
    </row>
    <row r="6" spans="1:10" x14ac:dyDescent="0.25">
      <c r="A6" s="45">
        <v>4</v>
      </c>
      <c r="B6" s="153">
        <f>Roster!B7</f>
        <v>4</v>
      </c>
      <c r="C6" s="152" t="str">
        <f>Roster!C7</f>
        <v>-</v>
      </c>
      <c r="D6" s="152" t="str">
        <f>Roster!D7</f>
        <v>-</v>
      </c>
      <c r="E6" s="31" t="str">
        <f>Roster!E7</f>
        <v>-</v>
      </c>
      <c r="F6" s="151" t="s">
        <v>1053</v>
      </c>
      <c r="H6" s="282">
        <v>444</v>
      </c>
      <c r="J6" s="288">
        <f t="shared" si="0"/>
        <v>2</v>
      </c>
    </row>
    <row r="7" spans="1:10" x14ac:dyDescent="0.25">
      <c r="A7" s="45">
        <v>5</v>
      </c>
      <c r="B7" s="153">
        <f>Roster!B8</f>
        <v>5</v>
      </c>
      <c r="C7" s="152" t="str">
        <f>Roster!C8</f>
        <v>-</v>
      </c>
      <c r="D7" s="152" t="str">
        <f>Roster!D8</f>
        <v>-</v>
      </c>
      <c r="E7" s="31" t="str">
        <f>Roster!E8</f>
        <v>-</v>
      </c>
      <c r="F7" s="151" t="s">
        <v>1058</v>
      </c>
      <c r="H7" s="282">
        <v>555</v>
      </c>
      <c r="J7" s="288">
        <f t="shared" si="0"/>
        <v>2</v>
      </c>
    </row>
    <row r="8" spans="1:10" x14ac:dyDescent="0.25">
      <c r="A8" s="45">
        <v>6</v>
      </c>
      <c r="B8" s="153">
        <f>Roster!B9</f>
        <v>6</v>
      </c>
      <c r="C8" s="152" t="str">
        <f>Roster!C9</f>
        <v>-</v>
      </c>
      <c r="D8" s="152" t="str">
        <f>Roster!D9</f>
        <v>-</v>
      </c>
      <c r="E8" s="31" t="str">
        <f>Roster!E9</f>
        <v>-</v>
      </c>
      <c r="F8" s="151" t="s">
        <v>1059</v>
      </c>
      <c r="H8" s="282">
        <v>666</v>
      </c>
      <c r="J8" s="288">
        <f t="shared" si="0"/>
        <v>2</v>
      </c>
    </row>
    <row r="9" spans="1:10" x14ac:dyDescent="0.25">
      <c r="A9" s="45">
        <v>7</v>
      </c>
      <c r="B9" s="153">
        <f>Roster!B10</f>
        <v>7</v>
      </c>
      <c r="C9" s="152" t="str">
        <f>Roster!C10</f>
        <v>-</v>
      </c>
      <c r="D9" s="152" t="str">
        <f>Roster!D10</f>
        <v>-</v>
      </c>
      <c r="E9" s="31" t="str">
        <f>Roster!E10</f>
        <v>-</v>
      </c>
      <c r="F9" s="151"/>
      <c r="H9" s="282"/>
      <c r="J9" s="288">
        <f t="shared" si="0"/>
        <v>1</v>
      </c>
    </row>
    <row r="10" spans="1:10" x14ac:dyDescent="0.25">
      <c r="A10" s="45">
        <v>8</v>
      </c>
      <c r="B10" s="153">
        <f>Roster!B11</f>
        <v>8</v>
      </c>
      <c r="C10" s="152" t="str">
        <f>Roster!C11</f>
        <v>-</v>
      </c>
      <c r="D10" s="152" t="str">
        <f>Roster!D11</f>
        <v>-</v>
      </c>
      <c r="E10" s="31" t="str">
        <f>Roster!E11</f>
        <v>-</v>
      </c>
      <c r="F10" s="151"/>
      <c r="H10" s="282"/>
      <c r="J10" s="288">
        <f t="shared" si="0"/>
        <v>1</v>
      </c>
    </row>
    <row r="11" spans="1:10" x14ac:dyDescent="0.25">
      <c r="A11" s="45">
        <v>9</v>
      </c>
      <c r="B11" s="153">
        <f>Roster!B12</f>
        <v>9</v>
      </c>
      <c r="C11" s="152" t="str">
        <f>Roster!C12</f>
        <v>-</v>
      </c>
      <c r="D11" s="152" t="str">
        <f>Roster!D12</f>
        <v>-</v>
      </c>
      <c r="E11" s="31" t="str">
        <f>Roster!E12</f>
        <v>-</v>
      </c>
      <c r="F11" s="151"/>
      <c r="H11" s="282"/>
      <c r="J11" s="288">
        <f t="shared" si="0"/>
        <v>1</v>
      </c>
    </row>
    <row r="12" spans="1:10" x14ac:dyDescent="0.25">
      <c r="A12" s="45">
        <v>10</v>
      </c>
      <c r="B12" s="153">
        <f>Roster!B13</f>
        <v>10</v>
      </c>
      <c r="C12" s="152" t="str">
        <f>Roster!C13</f>
        <v>-</v>
      </c>
      <c r="D12" s="152" t="str">
        <f>Roster!D13</f>
        <v>-</v>
      </c>
      <c r="E12" s="31" t="str">
        <f>Roster!E13</f>
        <v>-</v>
      </c>
      <c r="F12" s="151"/>
      <c r="H12" s="282"/>
      <c r="J12" s="288">
        <f t="shared" si="0"/>
        <v>1</v>
      </c>
    </row>
    <row r="13" spans="1:10" x14ac:dyDescent="0.25">
      <c r="A13" s="45">
        <v>11</v>
      </c>
      <c r="B13" s="153">
        <f>Roster!B14</f>
        <v>11</v>
      </c>
      <c r="C13" s="152" t="str">
        <f>Roster!C14</f>
        <v>-</v>
      </c>
      <c r="D13" s="152" t="str">
        <f>Roster!D14</f>
        <v>-</v>
      </c>
      <c r="E13" s="31" t="str">
        <f>Roster!E14</f>
        <v>-</v>
      </c>
      <c r="F13" s="151"/>
      <c r="H13" s="282"/>
      <c r="J13" s="288">
        <f t="shared" si="0"/>
        <v>1</v>
      </c>
    </row>
    <row r="14" spans="1:10" x14ac:dyDescent="0.25">
      <c r="A14" s="45">
        <v>12</v>
      </c>
      <c r="B14" s="153">
        <f>Roster!B15</f>
        <v>12</v>
      </c>
      <c r="C14" s="152" t="str">
        <f>Roster!C15</f>
        <v>-</v>
      </c>
      <c r="D14" s="152" t="str">
        <f>Roster!D15</f>
        <v>-</v>
      </c>
      <c r="E14" s="31" t="str">
        <f>Roster!E15</f>
        <v>-</v>
      </c>
      <c r="F14" s="151"/>
      <c r="H14" s="282"/>
      <c r="J14" s="288">
        <f t="shared" si="0"/>
        <v>1</v>
      </c>
    </row>
    <row r="15" spans="1:10" x14ac:dyDescent="0.25">
      <c r="A15" s="45">
        <v>13</v>
      </c>
      <c r="B15" s="153">
        <f>Roster!B16</f>
        <v>13</v>
      </c>
      <c r="C15" s="152" t="str">
        <f>Roster!C16</f>
        <v>-</v>
      </c>
      <c r="D15" s="152" t="str">
        <f>Roster!D16</f>
        <v>-</v>
      </c>
      <c r="E15" s="31" t="str">
        <f>Roster!E16</f>
        <v>-</v>
      </c>
      <c r="F15" s="151"/>
      <c r="H15" s="282"/>
      <c r="J15" s="288">
        <f t="shared" si="0"/>
        <v>1</v>
      </c>
    </row>
    <row r="16" spans="1:10" x14ac:dyDescent="0.25">
      <c r="A16" s="45">
        <v>14</v>
      </c>
      <c r="B16" s="153">
        <f>Roster!B17</f>
        <v>14</v>
      </c>
      <c r="C16" s="152" t="str">
        <f>Roster!C17</f>
        <v>-</v>
      </c>
      <c r="D16" s="152" t="str">
        <f>Roster!D17</f>
        <v>-</v>
      </c>
      <c r="E16" s="31" t="str">
        <f>Roster!E17</f>
        <v>-</v>
      </c>
      <c r="F16" s="151"/>
      <c r="H16" s="282"/>
      <c r="J16" s="288">
        <f t="shared" si="0"/>
        <v>1</v>
      </c>
    </row>
    <row r="17" spans="1:10" x14ac:dyDescent="0.25">
      <c r="A17" s="45">
        <v>15</v>
      </c>
      <c r="B17" s="153">
        <f>Roster!B18</f>
        <v>15</v>
      </c>
      <c r="C17" s="152" t="str">
        <f>Roster!C18</f>
        <v>-</v>
      </c>
      <c r="D17" s="152" t="str">
        <f>Roster!D18</f>
        <v>-</v>
      </c>
      <c r="E17" s="31" t="str">
        <f>Roster!E18</f>
        <v>-</v>
      </c>
      <c r="F17" s="151"/>
      <c r="H17" s="282"/>
      <c r="J17" s="288">
        <f t="shared" si="0"/>
        <v>1</v>
      </c>
    </row>
    <row r="18" spans="1:10" x14ac:dyDescent="0.25">
      <c r="A18" s="45">
        <v>16</v>
      </c>
      <c r="B18" s="153">
        <f>Roster!B19</f>
        <v>16</v>
      </c>
      <c r="C18" s="152" t="str">
        <f>Roster!C19</f>
        <v>-</v>
      </c>
      <c r="D18" s="152" t="str">
        <f>Roster!D19</f>
        <v>-</v>
      </c>
      <c r="E18" s="31" t="str">
        <f>Roster!E19</f>
        <v>-</v>
      </c>
      <c r="F18" s="151"/>
      <c r="H18" s="282"/>
      <c r="J18" s="288">
        <f t="shared" si="0"/>
        <v>1</v>
      </c>
    </row>
    <row r="19" spans="1:10" x14ac:dyDescent="0.25">
      <c r="A19" s="45">
        <v>17</v>
      </c>
      <c r="B19" s="153">
        <f>Roster!B20</f>
        <v>17</v>
      </c>
      <c r="C19" s="152" t="str">
        <f>Roster!C20</f>
        <v>-</v>
      </c>
      <c r="D19" s="152" t="str">
        <f>Roster!D20</f>
        <v>-</v>
      </c>
      <c r="E19" s="31" t="str">
        <f>Roster!E20</f>
        <v>-</v>
      </c>
      <c r="F19" s="151"/>
      <c r="H19" s="282"/>
      <c r="J19" s="288">
        <f t="shared" si="0"/>
        <v>1</v>
      </c>
    </row>
    <row r="20" spans="1:10" x14ac:dyDescent="0.25">
      <c r="A20" s="45">
        <v>18</v>
      </c>
      <c r="B20" s="153">
        <f>Roster!B21</f>
        <v>18</v>
      </c>
      <c r="C20" s="152" t="str">
        <f>Roster!C21</f>
        <v>-</v>
      </c>
      <c r="D20" s="152" t="str">
        <f>Roster!D21</f>
        <v>-</v>
      </c>
      <c r="E20" s="31" t="str">
        <f>Roster!E21</f>
        <v>-</v>
      </c>
      <c r="F20" s="151"/>
      <c r="H20" s="282"/>
      <c r="J20" s="288">
        <f t="shared" si="0"/>
        <v>1</v>
      </c>
    </row>
    <row r="21" spans="1:10" x14ac:dyDescent="0.25">
      <c r="A21" s="45">
        <v>19</v>
      </c>
      <c r="B21" s="153">
        <f>Roster!B22</f>
        <v>19</v>
      </c>
      <c r="C21" s="152" t="str">
        <f>Roster!C22</f>
        <v>-</v>
      </c>
      <c r="D21" s="152" t="str">
        <f>Roster!D22</f>
        <v>-</v>
      </c>
      <c r="E21" s="31" t="str">
        <f>Roster!E22</f>
        <v>-</v>
      </c>
      <c r="F21" s="151"/>
      <c r="H21" s="282"/>
      <c r="J21" s="288">
        <f t="shared" si="0"/>
        <v>1</v>
      </c>
    </row>
    <row r="22" spans="1:10" x14ac:dyDescent="0.25">
      <c r="A22" s="45">
        <v>20</v>
      </c>
      <c r="B22" s="153">
        <f>Roster!B23</f>
        <v>20</v>
      </c>
      <c r="C22" s="152" t="str">
        <f>Roster!C23</f>
        <v>-</v>
      </c>
      <c r="D22" s="152" t="str">
        <f>Roster!D23</f>
        <v>-</v>
      </c>
      <c r="E22" s="31" t="str">
        <f>Roster!E23</f>
        <v>-</v>
      </c>
      <c r="F22" s="151"/>
      <c r="H22" s="282"/>
      <c r="J22" s="288">
        <f t="shared" si="0"/>
        <v>1</v>
      </c>
    </row>
    <row r="23" spans="1:10" x14ac:dyDescent="0.25">
      <c r="A23" s="45">
        <v>21</v>
      </c>
      <c r="B23" s="153">
        <f>Roster!B24</f>
        <v>21</v>
      </c>
      <c r="C23" s="152" t="str">
        <f>Roster!C24</f>
        <v>-</v>
      </c>
      <c r="D23" s="152" t="str">
        <f>Roster!D24</f>
        <v>-</v>
      </c>
      <c r="E23" s="31" t="str">
        <f>Roster!E24</f>
        <v>-</v>
      </c>
      <c r="F23" s="151"/>
      <c r="H23" s="282"/>
      <c r="J23" s="288">
        <f t="shared" si="0"/>
        <v>1</v>
      </c>
    </row>
    <row r="24" spans="1:10" x14ac:dyDescent="0.25">
      <c r="A24" s="45">
        <v>22</v>
      </c>
      <c r="B24" s="153">
        <f>Roster!B25</f>
        <v>22</v>
      </c>
      <c r="C24" s="152" t="str">
        <f>Roster!C25</f>
        <v>-</v>
      </c>
      <c r="D24" s="152" t="str">
        <f>Roster!D25</f>
        <v>-</v>
      </c>
      <c r="E24" s="31" t="str">
        <f>Roster!E25</f>
        <v>-</v>
      </c>
      <c r="F24" s="151"/>
      <c r="H24" s="282"/>
      <c r="J24" s="288">
        <f t="shared" si="0"/>
        <v>1</v>
      </c>
    </row>
    <row r="25" spans="1:10" x14ac:dyDescent="0.25">
      <c r="A25" s="45">
        <v>23</v>
      </c>
      <c r="B25" s="153">
        <f>Roster!B26</f>
        <v>23</v>
      </c>
      <c r="C25" s="152" t="str">
        <f>Roster!C26</f>
        <v>-</v>
      </c>
      <c r="D25" s="152" t="str">
        <f>Roster!D26</f>
        <v>-</v>
      </c>
      <c r="E25" s="31" t="str">
        <f>Roster!E26</f>
        <v>-</v>
      </c>
      <c r="F25" s="151"/>
      <c r="H25" s="282"/>
      <c r="J25" s="288">
        <f t="shared" si="0"/>
        <v>1</v>
      </c>
    </row>
    <row r="26" spans="1:10" x14ac:dyDescent="0.25">
      <c r="A26" s="45">
        <v>24</v>
      </c>
      <c r="B26" s="153">
        <f>Roster!B27</f>
        <v>24</v>
      </c>
      <c r="C26" s="152" t="str">
        <f>Roster!C27</f>
        <v>-</v>
      </c>
      <c r="D26" s="152" t="str">
        <f>Roster!D27</f>
        <v>-</v>
      </c>
      <c r="E26" s="31" t="str">
        <f>Roster!E27</f>
        <v>-</v>
      </c>
      <c r="F26" s="151"/>
      <c r="H26" s="282"/>
      <c r="J26" s="288">
        <f t="shared" si="0"/>
        <v>1</v>
      </c>
    </row>
    <row r="27" spans="1:10" x14ac:dyDescent="0.25">
      <c r="A27" s="45">
        <v>25</v>
      </c>
      <c r="B27" s="153">
        <f>Roster!B28</f>
        <v>25</v>
      </c>
      <c r="C27" s="152" t="str">
        <f>Roster!C28</f>
        <v>-</v>
      </c>
      <c r="D27" s="152" t="str">
        <f>Roster!D28</f>
        <v>-</v>
      </c>
      <c r="E27" s="31" t="str">
        <f>Roster!E28</f>
        <v>-</v>
      </c>
      <c r="F27" s="151"/>
      <c r="H27" s="282"/>
      <c r="J27" s="288">
        <f t="shared" si="0"/>
        <v>1</v>
      </c>
    </row>
    <row r="28" spans="1:10" x14ac:dyDescent="0.25">
      <c r="A28" s="45">
        <v>26</v>
      </c>
      <c r="B28" s="153">
        <f>Roster!B29</f>
        <v>26</v>
      </c>
      <c r="C28" s="152" t="str">
        <f>Roster!C29</f>
        <v>-</v>
      </c>
      <c r="D28" s="152" t="str">
        <f>Roster!D29</f>
        <v>-</v>
      </c>
      <c r="E28" s="31" t="str">
        <f>Roster!E29</f>
        <v>-</v>
      </c>
      <c r="F28" s="151"/>
      <c r="H28" s="282"/>
      <c r="J28" s="288">
        <f t="shared" si="0"/>
        <v>1</v>
      </c>
    </row>
    <row r="29" spans="1:10" x14ac:dyDescent="0.25">
      <c r="A29" s="45">
        <v>27</v>
      </c>
      <c r="B29" s="153">
        <f>Roster!B30</f>
        <v>27</v>
      </c>
      <c r="C29" s="152" t="str">
        <f>Roster!C30</f>
        <v>-</v>
      </c>
      <c r="D29" s="152" t="str">
        <f>Roster!D30</f>
        <v>-</v>
      </c>
      <c r="E29" s="31" t="str">
        <f>Roster!E30</f>
        <v>-</v>
      </c>
      <c r="F29" s="151"/>
      <c r="H29" s="282"/>
      <c r="J29" s="288">
        <f t="shared" si="0"/>
        <v>1</v>
      </c>
    </row>
    <row r="30" spans="1:10" x14ac:dyDescent="0.25">
      <c r="A30" s="45">
        <v>28</v>
      </c>
      <c r="B30" s="153">
        <f>Roster!B31</f>
        <v>28</v>
      </c>
      <c r="C30" s="152" t="str">
        <f>Roster!C31</f>
        <v>-</v>
      </c>
      <c r="D30" s="152" t="str">
        <f>Roster!D31</f>
        <v>-</v>
      </c>
      <c r="E30" s="31" t="str">
        <f>Roster!E31</f>
        <v>-</v>
      </c>
      <c r="F30" s="151"/>
      <c r="H30" s="282"/>
      <c r="J30" s="288">
        <f t="shared" si="0"/>
        <v>1</v>
      </c>
    </row>
    <row r="31" spans="1:10" x14ac:dyDescent="0.25">
      <c r="A31" s="45">
        <v>29</v>
      </c>
      <c r="B31" s="153">
        <f>Roster!B32</f>
        <v>29</v>
      </c>
      <c r="C31" s="152" t="str">
        <f>Roster!C32</f>
        <v>-</v>
      </c>
      <c r="D31" s="152" t="str">
        <f>Roster!D32</f>
        <v>-</v>
      </c>
      <c r="E31" s="31" t="str">
        <f>Roster!E32</f>
        <v>-</v>
      </c>
      <c r="F31" s="151"/>
      <c r="H31" s="282"/>
      <c r="J31" s="288">
        <f t="shared" si="0"/>
        <v>1</v>
      </c>
    </row>
    <row r="32" spans="1:10" x14ac:dyDescent="0.25">
      <c r="A32" s="45">
        <v>30</v>
      </c>
      <c r="B32" s="153">
        <f>Roster!B33</f>
        <v>30</v>
      </c>
      <c r="C32" s="152" t="str">
        <f>Roster!C33</f>
        <v>-</v>
      </c>
      <c r="D32" s="152" t="str">
        <f>Roster!D33</f>
        <v>-</v>
      </c>
      <c r="E32" s="31" t="str">
        <f>Roster!E33</f>
        <v>-</v>
      </c>
      <c r="F32" s="151"/>
      <c r="H32" s="282"/>
      <c r="J32" s="288">
        <f t="shared" si="0"/>
        <v>1</v>
      </c>
    </row>
    <row r="33" spans="1:10" x14ac:dyDescent="0.25">
      <c r="A33" s="45">
        <v>31</v>
      </c>
      <c r="B33" s="153">
        <f>Roster!B34</f>
        <v>31</v>
      </c>
      <c r="C33" s="152" t="str">
        <f>Roster!C34</f>
        <v>-</v>
      </c>
      <c r="D33" s="152" t="str">
        <f>Roster!D34</f>
        <v>-</v>
      </c>
      <c r="E33" s="31" t="str">
        <f>Roster!E34</f>
        <v>-</v>
      </c>
      <c r="F33" s="151"/>
      <c r="H33" s="282"/>
      <c r="J33" s="288">
        <f t="shared" si="0"/>
        <v>1</v>
      </c>
    </row>
    <row r="34" spans="1:10" x14ac:dyDescent="0.25">
      <c r="A34" s="45">
        <v>32</v>
      </c>
      <c r="B34" s="153">
        <f>Roster!B35</f>
        <v>32</v>
      </c>
      <c r="C34" s="152" t="str">
        <f>Roster!C35</f>
        <v>-</v>
      </c>
      <c r="D34" s="152" t="str">
        <f>Roster!D35</f>
        <v>-</v>
      </c>
      <c r="E34" s="31" t="str">
        <f>Roster!E35</f>
        <v>-</v>
      </c>
      <c r="F34" s="151"/>
      <c r="H34" s="282"/>
      <c r="J34" s="288">
        <f t="shared" si="0"/>
        <v>1</v>
      </c>
    </row>
    <row r="35" spans="1:10" x14ac:dyDescent="0.25">
      <c r="A35" s="45">
        <v>33</v>
      </c>
      <c r="B35" s="153">
        <f>Roster!B36</f>
        <v>33</v>
      </c>
      <c r="C35" s="152" t="str">
        <f>Roster!C36</f>
        <v>-</v>
      </c>
      <c r="D35" s="152" t="str">
        <f>Roster!D36</f>
        <v>-</v>
      </c>
      <c r="E35" s="31" t="str">
        <f>Roster!E36</f>
        <v>-</v>
      </c>
      <c r="F35" s="151"/>
      <c r="H35" s="282"/>
      <c r="J35" s="288">
        <f t="shared" si="0"/>
        <v>1</v>
      </c>
    </row>
    <row r="36" spans="1:10" x14ac:dyDescent="0.25">
      <c r="A36" s="45">
        <v>34</v>
      </c>
      <c r="B36" s="153">
        <f>Roster!B37</f>
        <v>34</v>
      </c>
      <c r="C36" s="152" t="str">
        <f>Roster!C37</f>
        <v>-</v>
      </c>
      <c r="D36" s="152" t="str">
        <f>Roster!D37</f>
        <v>-</v>
      </c>
      <c r="E36" s="31" t="str">
        <f>Roster!E37</f>
        <v>-</v>
      </c>
      <c r="F36" s="151"/>
      <c r="H36" s="282"/>
      <c r="J36" s="288">
        <f t="shared" si="0"/>
        <v>1</v>
      </c>
    </row>
    <row r="37" spans="1:10" x14ac:dyDescent="0.25">
      <c r="A37" s="45">
        <v>35</v>
      </c>
      <c r="B37" s="153">
        <f>Roster!B38</f>
        <v>35</v>
      </c>
      <c r="C37" s="152" t="str">
        <f>Roster!C38</f>
        <v>-</v>
      </c>
      <c r="D37" s="152" t="str">
        <f>Roster!D38</f>
        <v>-</v>
      </c>
      <c r="E37" s="31" t="str">
        <f>Roster!E38</f>
        <v>-</v>
      </c>
      <c r="F37" s="151"/>
      <c r="H37" s="282"/>
      <c r="J37" s="288">
        <f t="shared" si="0"/>
        <v>1</v>
      </c>
    </row>
    <row r="38" spans="1:10" x14ac:dyDescent="0.25">
      <c r="A38" s="45">
        <v>36</v>
      </c>
      <c r="B38" s="153">
        <f>Roster!B39</f>
        <v>36</v>
      </c>
      <c r="C38" s="152" t="str">
        <f>Roster!C39</f>
        <v>-</v>
      </c>
      <c r="D38" s="152" t="str">
        <f>Roster!D39</f>
        <v>-</v>
      </c>
      <c r="E38" s="31" t="str">
        <f>Roster!E39</f>
        <v>-</v>
      </c>
      <c r="F38" s="151"/>
      <c r="H38" s="282"/>
      <c r="J38" s="288">
        <f t="shared" si="0"/>
        <v>1</v>
      </c>
    </row>
    <row r="39" spans="1:10" x14ac:dyDescent="0.25">
      <c r="A39" s="45">
        <v>37</v>
      </c>
      <c r="B39" s="153">
        <f>Roster!B40</f>
        <v>37</v>
      </c>
      <c r="C39" s="152" t="str">
        <f>Roster!C40</f>
        <v>-</v>
      </c>
      <c r="D39" s="152" t="str">
        <f>Roster!D40</f>
        <v>-</v>
      </c>
      <c r="E39" s="31" t="str">
        <f>Roster!E40</f>
        <v>-</v>
      </c>
      <c r="F39" s="151"/>
      <c r="H39" s="282"/>
      <c r="J39" s="288">
        <f t="shared" si="0"/>
        <v>1</v>
      </c>
    </row>
    <row r="40" spans="1:10" x14ac:dyDescent="0.25">
      <c r="A40" s="45">
        <v>38</v>
      </c>
      <c r="B40" s="153">
        <f>Roster!B41</f>
        <v>38</v>
      </c>
      <c r="C40" s="152" t="str">
        <f>Roster!C41</f>
        <v>-</v>
      </c>
      <c r="D40" s="152" t="str">
        <f>Roster!D41</f>
        <v>-</v>
      </c>
      <c r="E40" s="31" t="str">
        <f>Roster!E41</f>
        <v>-</v>
      </c>
      <c r="F40" s="151"/>
      <c r="H40" s="282"/>
      <c r="J40" s="288">
        <f t="shared" si="0"/>
        <v>1</v>
      </c>
    </row>
    <row r="41" spans="1:10" x14ac:dyDescent="0.25">
      <c r="A41" s="45">
        <v>39</v>
      </c>
      <c r="B41" s="153">
        <f>Roster!B42</f>
        <v>39</v>
      </c>
      <c r="C41" s="152" t="str">
        <f>Roster!C42</f>
        <v>-</v>
      </c>
      <c r="D41" s="152" t="str">
        <f>Roster!D42</f>
        <v>-</v>
      </c>
      <c r="E41" s="31" t="str">
        <f>Roster!E42</f>
        <v>-</v>
      </c>
      <c r="F41" s="151"/>
      <c r="H41" s="282"/>
      <c r="J41" s="288">
        <f t="shared" si="0"/>
        <v>1</v>
      </c>
    </row>
    <row r="42" spans="1:10" x14ac:dyDescent="0.25">
      <c r="A42" s="45">
        <v>40</v>
      </c>
      <c r="B42" s="153">
        <f>Roster!B43</f>
        <v>40</v>
      </c>
      <c r="C42" s="152" t="str">
        <f>Roster!C43</f>
        <v>-</v>
      </c>
      <c r="D42" s="152" t="str">
        <f>Roster!D43</f>
        <v>-</v>
      </c>
      <c r="E42" s="31" t="str">
        <f>Roster!E43</f>
        <v>-</v>
      </c>
      <c r="F42" s="151"/>
      <c r="H42" s="282"/>
      <c r="J42" s="288">
        <f t="shared" si="0"/>
        <v>1</v>
      </c>
    </row>
    <row r="43" spans="1:10" x14ac:dyDescent="0.25">
      <c r="A43" s="45">
        <v>41</v>
      </c>
      <c r="B43" s="153">
        <f>Roster!B44</f>
        <v>41</v>
      </c>
      <c r="C43" s="152" t="str">
        <f>Roster!C44</f>
        <v>-</v>
      </c>
      <c r="D43" s="152" t="str">
        <f>Roster!D44</f>
        <v>-</v>
      </c>
      <c r="E43" s="31" t="str">
        <f>Roster!E44</f>
        <v>-</v>
      </c>
      <c r="F43" s="151"/>
      <c r="H43" s="282"/>
      <c r="J43" s="288">
        <f t="shared" si="0"/>
        <v>1</v>
      </c>
    </row>
    <row r="44" spans="1:10" x14ac:dyDescent="0.25">
      <c r="A44" s="45">
        <v>42</v>
      </c>
      <c r="B44" s="153">
        <f>Roster!B45</f>
        <v>42</v>
      </c>
      <c r="C44" s="152" t="str">
        <f>Roster!C45</f>
        <v>-</v>
      </c>
      <c r="D44" s="152" t="str">
        <f>Roster!D45</f>
        <v>-</v>
      </c>
      <c r="E44" s="31" t="str">
        <f>Roster!E45</f>
        <v>-</v>
      </c>
      <c r="F44" s="151"/>
      <c r="H44" s="282"/>
      <c r="J44" s="288">
        <f t="shared" si="0"/>
        <v>1</v>
      </c>
    </row>
    <row r="45" spans="1:10" x14ac:dyDescent="0.25">
      <c r="A45" s="45">
        <v>43</v>
      </c>
      <c r="B45" s="153">
        <f>Roster!B46</f>
        <v>43</v>
      </c>
      <c r="C45" s="152" t="str">
        <f>Roster!C46</f>
        <v>-</v>
      </c>
      <c r="D45" s="152" t="str">
        <f>Roster!D46</f>
        <v>-</v>
      </c>
      <c r="E45" s="31" t="str">
        <f>Roster!E46</f>
        <v>-</v>
      </c>
      <c r="F45" s="151"/>
      <c r="H45" s="282"/>
      <c r="J45" s="288">
        <f t="shared" si="0"/>
        <v>1</v>
      </c>
    </row>
    <row r="46" spans="1:10" x14ac:dyDescent="0.25">
      <c r="A46" s="45">
        <v>44</v>
      </c>
      <c r="B46" s="153">
        <f>Roster!B47</f>
        <v>44</v>
      </c>
      <c r="C46" s="152" t="str">
        <f>Roster!C47</f>
        <v>-</v>
      </c>
      <c r="D46" s="152" t="str">
        <f>Roster!D47</f>
        <v>-</v>
      </c>
      <c r="E46" s="31" t="str">
        <f>Roster!E47</f>
        <v>-</v>
      </c>
      <c r="F46" s="151"/>
      <c r="H46" s="282"/>
      <c r="J46" s="288">
        <f t="shared" si="0"/>
        <v>1</v>
      </c>
    </row>
    <row r="47" spans="1:10" x14ac:dyDescent="0.25">
      <c r="A47" s="45">
        <v>45</v>
      </c>
      <c r="B47" s="153">
        <f>Roster!B48</f>
        <v>45</v>
      </c>
      <c r="C47" s="152" t="str">
        <f>Roster!C48</f>
        <v>-</v>
      </c>
      <c r="D47" s="152" t="str">
        <f>Roster!D48</f>
        <v>-</v>
      </c>
      <c r="E47" s="31" t="str">
        <f>Roster!E48</f>
        <v>-</v>
      </c>
      <c r="F47" s="151"/>
      <c r="H47" s="282"/>
      <c r="J47" s="288">
        <f t="shared" si="0"/>
        <v>1</v>
      </c>
    </row>
    <row r="48" spans="1:10" x14ac:dyDescent="0.25">
      <c r="A48" s="45">
        <v>46</v>
      </c>
      <c r="B48" s="153">
        <f>Roster!B49</f>
        <v>46</v>
      </c>
      <c r="C48" s="152" t="str">
        <f>Roster!C49</f>
        <v>-</v>
      </c>
      <c r="D48" s="152" t="str">
        <f>Roster!D49</f>
        <v>-</v>
      </c>
      <c r="E48" s="31" t="str">
        <f>Roster!E49</f>
        <v>-</v>
      </c>
      <c r="F48" s="151"/>
      <c r="H48" s="282"/>
      <c r="J48" s="288">
        <f t="shared" si="0"/>
        <v>1</v>
      </c>
    </row>
    <row r="49" spans="1:10" x14ac:dyDescent="0.25">
      <c r="A49" s="45">
        <v>47</v>
      </c>
      <c r="B49" s="153">
        <f>Roster!B50</f>
        <v>47</v>
      </c>
      <c r="C49" s="152" t="str">
        <f>Roster!C50</f>
        <v>-</v>
      </c>
      <c r="D49" s="152" t="str">
        <f>Roster!D50</f>
        <v>-</v>
      </c>
      <c r="E49" s="31" t="str">
        <f>Roster!E50</f>
        <v>-</v>
      </c>
      <c r="F49" s="151"/>
      <c r="H49" s="282"/>
      <c r="J49" s="288">
        <f t="shared" si="0"/>
        <v>1</v>
      </c>
    </row>
    <row r="50" spans="1:10" x14ac:dyDescent="0.25">
      <c r="A50" s="45">
        <v>48</v>
      </c>
      <c r="B50" s="153">
        <f>Roster!B51</f>
        <v>48</v>
      </c>
      <c r="C50" s="152" t="str">
        <f>Roster!C51</f>
        <v>-</v>
      </c>
      <c r="D50" s="152" t="str">
        <f>Roster!D51</f>
        <v>-</v>
      </c>
      <c r="E50" s="31" t="str">
        <f>Roster!E51</f>
        <v>-</v>
      </c>
      <c r="F50" s="151"/>
      <c r="H50" s="282"/>
      <c r="J50" s="288">
        <f t="shared" si="0"/>
        <v>1</v>
      </c>
    </row>
    <row r="51" spans="1:10" x14ac:dyDescent="0.25">
      <c r="A51" s="45">
        <v>49</v>
      </c>
      <c r="B51" s="153">
        <f>Roster!B52</f>
        <v>49</v>
      </c>
      <c r="C51" s="152" t="str">
        <f>Roster!C52</f>
        <v>-</v>
      </c>
      <c r="D51" s="152" t="str">
        <f>Roster!D52</f>
        <v>-</v>
      </c>
      <c r="E51" s="31" t="str">
        <f>Roster!E52</f>
        <v>-</v>
      </c>
      <c r="F51" s="151"/>
      <c r="H51" s="282"/>
      <c r="J51" s="288">
        <f t="shared" si="0"/>
        <v>1</v>
      </c>
    </row>
    <row r="52" spans="1:10" x14ac:dyDescent="0.25">
      <c r="A52" s="45">
        <v>50</v>
      </c>
      <c r="B52" s="153">
        <f>Roster!B53</f>
        <v>50</v>
      </c>
      <c r="C52" s="152" t="str">
        <f>Roster!C53</f>
        <v>-</v>
      </c>
      <c r="D52" s="152" t="str">
        <f>Roster!D53</f>
        <v>-</v>
      </c>
      <c r="E52" s="31" t="str">
        <f>Roster!E53</f>
        <v>-</v>
      </c>
      <c r="F52" s="151"/>
      <c r="H52" s="282"/>
      <c r="J52" s="288">
        <f t="shared" si="0"/>
        <v>1</v>
      </c>
    </row>
    <row r="53" spans="1:10" x14ac:dyDescent="0.25">
      <c r="A53" s="45">
        <v>51</v>
      </c>
      <c r="B53" s="153">
        <f>Roster!B54</f>
        <v>51</v>
      </c>
      <c r="C53" s="152" t="str">
        <f>Roster!C54</f>
        <v>-</v>
      </c>
      <c r="D53" s="152" t="str">
        <f>Roster!D54</f>
        <v>-</v>
      </c>
      <c r="E53" s="31" t="str">
        <f>Roster!E54</f>
        <v>-</v>
      </c>
      <c r="F53" s="151"/>
      <c r="H53" s="282"/>
      <c r="J53" s="288">
        <f t="shared" si="0"/>
        <v>1</v>
      </c>
    </row>
    <row r="54" spans="1:10" x14ac:dyDescent="0.25">
      <c r="A54" s="45">
        <v>52</v>
      </c>
      <c r="B54" s="153">
        <f>Roster!B55</f>
        <v>52</v>
      </c>
      <c r="C54" s="152" t="str">
        <f>Roster!C55</f>
        <v>-</v>
      </c>
      <c r="D54" s="152" t="str">
        <f>Roster!D55</f>
        <v>-</v>
      </c>
      <c r="E54" s="31" t="str">
        <f>Roster!E55</f>
        <v>-</v>
      </c>
      <c r="F54" s="151"/>
      <c r="H54" s="282"/>
      <c r="J54" s="288">
        <f t="shared" si="0"/>
        <v>1</v>
      </c>
    </row>
    <row r="55" spans="1:10" x14ac:dyDescent="0.25">
      <c r="A55" s="45">
        <v>53</v>
      </c>
      <c r="B55" s="153">
        <f>Roster!B56</f>
        <v>53</v>
      </c>
      <c r="C55" s="152" t="str">
        <f>Roster!C56</f>
        <v>-</v>
      </c>
      <c r="D55" s="152" t="str">
        <f>Roster!D56</f>
        <v>-</v>
      </c>
      <c r="E55" s="31" t="str">
        <f>Roster!E56</f>
        <v>-</v>
      </c>
      <c r="F55" s="151"/>
      <c r="H55" s="282"/>
      <c r="J55" s="288">
        <f t="shared" si="0"/>
        <v>1</v>
      </c>
    </row>
    <row r="56" spans="1:10" x14ac:dyDescent="0.25">
      <c r="A56" s="45">
        <v>54</v>
      </c>
      <c r="B56" s="153">
        <f>Roster!B57</f>
        <v>54</v>
      </c>
      <c r="C56" s="152" t="str">
        <f>Roster!C57</f>
        <v>-</v>
      </c>
      <c r="D56" s="152" t="str">
        <f>Roster!D57</f>
        <v>-</v>
      </c>
      <c r="E56" s="31" t="str">
        <f>Roster!E57</f>
        <v>-</v>
      </c>
      <c r="F56" s="151"/>
      <c r="H56" s="282"/>
      <c r="J56" s="288">
        <f t="shared" si="0"/>
        <v>1</v>
      </c>
    </row>
    <row r="57" spans="1:10" x14ac:dyDescent="0.25">
      <c r="A57" s="45">
        <v>55</v>
      </c>
      <c r="B57" s="153">
        <f>Roster!B58</f>
        <v>55</v>
      </c>
      <c r="C57" s="152" t="str">
        <f>Roster!C58</f>
        <v>-</v>
      </c>
      <c r="D57" s="152" t="str">
        <f>Roster!D58</f>
        <v>-</v>
      </c>
      <c r="E57" s="31" t="str">
        <f>Roster!E58</f>
        <v>-</v>
      </c>
      <c r="F57" s="151"/>
      <c r="H57" s="282"/>
      <c r="J57" s="288">
        <f t="shared" si="0"/>
        <v>1</v>
      </c>
    </row>
    <row r="58" spans="1:10" x14ac:dyDescent="0.25">
      <c r="A58" s="45">
        <v>56</v>
      </c>
      <c r="B58" s="153">
        <f>Roster!B59</f>
        <v>56</v>
      </c>
      <c r="C58" s="152" t="str">
        <f>Roster!C59</f>
        <v>-</v>
      </c>
      <c r="D58" s="152" t="str">
        <f>Roster!D59</f>
        <v>-</v>
      </c>
      <c r="E58" s="31" t="str">
        <f>Roster!E59</f>
        <v>-</v>
      </c>
      <c r="F58" s="151"/>
      <c r="H58" s="282"/>
      <c r="J58" s="288">
        <f t="shared" si="0"/>
        <v>1</v>
      </c>
    </row>
    <row r="59" spans="1:10" x14ac:dyDescent="0.25">
      <c r="A59" s="45">
        <v>57</v>
      </c>
      <c r="B59" s="153">
        <f>Roster!B60</f>
        <v>57</v>
      </c>
      <c r="C59" s="152" t="str">
        <f>Roster!C60</f>
        <v>-</v>
      </c>
      <c r="D59" s="152" t="str">
        <f>Roster!D60</f>
        <v>-</v>
      </c>
      <c r="E59" s="31" t="str">
        <f>Roster!E60</f>
        <v>-</v>
      </c>
      <c r="F59" s="151"/>
      <c r="H59" s="282"/>
      <c r="J59" s="288">
        <f t="shared" si="0"/>
        <v>1</v>
      </c>
    </row>
    <row r="60" spans="1:10" x14ac:dyDescent="0.25">
      <c r="A60" s="45">
        <v>58</v>
      </c>
      <c r="B60" s="153">
        <f>Roster!B61</f>
        <v>58</v>
      </c>
      <c r="C60" s="152" t="str">
        <f>Roster!C61</f>
        <v>-</v>
      </c>
      <c r="D60" s="152" t="str">
        <f>Roster!D61</f>
        <v>-</v>
      </c>
      <c r="E60" s="31" t="str">
        <f>Roster!E61</f>
        <v>-</v>
      </c>
      <c r="F60" s="151"/>
      <c r="H60" s="282"/>
      <c r="J60" s="288">
        <f t="shared" si="0"/>
        <v>1</v>
      </c>
    </row>
    <row r="61" spans="1:10" x14ac:dyDescent="0.25">
      <c r="A61" s="45">
        <v>59</v>
      </c>
      <c r="B61" s="153">
        <f>Roster!B62</f>
        <v>59</v>
      </c>
      <c r="C61" s="152" t="str">
        <f>Roster!C62</f>
        <v>-</v>
      </c>
      <c r="D61" s="152" t="str">
        <f>Roster!D62</f>
        <v>-</v>
      </c>
      <c r="E61" s="31" t="str">
        <f>Roster!E62</f>
        <v>-</v>
      </c>
      <c r="F61" s="151"/>
      <c r="H61" s="282"/>
      <c r="J61" s="288">
        <f t="shared" si="0"/>
        <v>1</v>
      </c>
    </row>
    <row r="62" spans="1:10" x14ac:dyDescent="0.25">
      <c r="A62" s="45">
        <v>60</v>
      </c>
      <c r="B62" s="153">
        <f>Roster!B63</f>
        <v>60</v>
      </c>
      <c r="C62" s="152" t="str">
        <f>Roster!C63</f>
        <v>-</v>
      </c>
      <c r="D62" s="152" t="str">
        <f>Roster!D63</f>
        <v>-</v>
      </c>
      <c r="E62" s="31" t="str">
        <f>Roster!E63</f>
        <v>-</v>
      </c>
      <c r="F62" s="151"/>
      <c r="H62" s="282"/>
      <c r="J62" s="288">
        <f t="shared" si="0"/>
        <v>1</v>
      </c>
    </row>
    <row r="63" spans="1:10" x14ac:dyDescent="0.25">
      <c r="A63" s="45">
        <v>61</v>
      </c>
      <c r="B63" s="153">
        <f>Roster!B64</f>
        <v>61</v>
      </c>
      <c r="C63" s="152" t="str">
        <f>Roster!C64</f>
        <v>-</v>
      </c>
      <c r="D63" s="152" t="str">
        <f>Roster!D64</f>
        <v>-</v>
      </c>
      <c r="E63" s="31" t="str">
        <f>Roster!E64</f>
        <v>-</v>
      </c>
      <c r="F63" s="151"/>
      <c r="H63" s="282"/>
      <c r="J63" s="288">
        <f t="shared" si="0"/>
        <v>1</v>
      </c>
    </row>
    <row r="64" spans="1:10" x14ac:dyDescent="0.25">
      <c r="A64" s="45">
        <v>62</v>
      </c>
      <c r="B64" s="153">
        <f>Roster!B65</f>
        <v>62</v>
      </c>
      <c r="C64" s="152" t="str">
        <f>Roster!C65</f>
        <v>-</v>
      </c>
      <c r="D64" s="152" t="str">
        <f>Roster!D65</f>
        <v>-</v>
      </c>
      <c r="E64" s="31" t="str">
        <f>Roster!E65</f>
        <v>-</v>
      </c>
      <c r="F64" s="151"/>
      <c r="H64" s="282"/>
      <c r="J64" s="288">
        <f t="shared" si="0"/>
        <v>1</v>
      </c>
    </row>
    <row r="65" spans="1:10" x14ac:dyDescent="0.25">
      <c r="A65" s="45">
        <v>63</v>
      </c>
      <c r="B65" s="153">
        <f>Roster!B66</f>
        <v>63</v>
      </c>
      <c r="C65" s="152" t="str">
        <f>Roster!C66</f>
        <v>-</v>
      </c>
      <c r="D65" s="152" t="str">
        <f>Roster!D66</f>
        <v>-</v>
      </c>
      <c r="E65" s="31" t="str">
        <f>Roster!E66</f>
        <v>-</v>
      </c>
      <c r="F65" s="151"/>
      <c r="H65" s="282"/>
      <c r="J65" s="288">
        <f t="shared" si="0"/>
        <v>1</v>
      </c>
    </row>
    <row r="66" spans="1:10" x14ac:dyDescent="0.25">
      <c r="A66" s="45">
        <v>64</v>
      </c>
      <c r="B66" s="153">
        <f>Roster!B67</f>
        <v>64</v>
      </c>
      <c r="C66" s="152" t="str">
        <f>Roster!C67</f>
        <v>-</v>
      </c>
      <c r="D66" s="152" t="str">
        <f>Roster!D67</f>
        <v>-</v>
      </c>
      <c r="E66" s="31" t="str">
        <f>Roster!E67</f>
        <v>-</v>
      </c>
      <c r="F66" s="151"/>
      <c r="H66" s="282"/>
      <c r="J66" s="288">
        <f t="shared" si="0"/>
        <v>1</v>
      </c>
    </row>
    <row r="67" spans="1:10" x14ac:dyDescent="0.25">
      <c r="A67" s="45">
        <v>65</v>
      </c>
      <c r="B67" s="153">
        <f>Roster!B68</f>
        <v>65</v>
      </c>
      <c r="C67" s="152" t="str">
        <f>Roster!C68</f>
        <v>-</v>
      </c>
      <c r="D67" s="152" t="str">
        <f>Roster!D68</f>
        <v>-</v>
      </c>
      <c r="E67" s="31" t="str">
        <f>Roster!E68</f>
        <v>-</v>
      </c>
      <c r="F67" s="151"/>
      <c r="H67" s="282"/>
      <c r="J67" s="288">
        <f t="shared" si="0"/>
        <v>1</v>
      </c>
    </row>
    <row r="68" spans="1:10" x14ac:dyDescent="0.25">
      <c r="A68" s="45">
        <v>66</v>
      </c>
      <c r="B68" s="153">
        <f>Roster!B69</f>
        <v>66</v>
      </c>
      <c r="C68" s="152" t="str">
        <f>Roster!C69</f>
        <v>-</v>
      </c>
      <c r="D68" s="152" t="str">
        <f>Roster!D69</f>
        <v>-</v>
      </c>
      <c r="E68" s="31" t="str">
        <f>Roster!E69</f>
        <v>-</v>
      </c>
      <c r="F68" s="151"/>
      <c r="H68" s="282"/>
      <c r="J68" s="288">
        <f t="shared" ref="J68:J101" si="1">IF($H68 = "",1,2)</f>
        <v>1</v>
      </c>
    </row>
    <row r="69" spans="1:10" x14ac:dyDescent="0.25">
      <c r="A69" s="45">
        <v>67</v>
      </c>
      <c r="B69" s="153">
        <f>Roster!B70</f>
        <v>67</v>
      </c>
      <c r="C69" s="152" t="str">
        <f>Roster!C70</f>
        <v>-</v>
      </c>
      <c r="D69" s="152" t="str">
        <f>Roster!D70</f>
        <v>-</v>
      </c>
      <c r="E69" s="31" t="str">
        <f>Roster!E70</f>
        <v>-</v>
      </c>
      <c r="F69" s="151"/>
      <c r="H69" s="282"/>
      <c r="J69" s="288">
        <f t="shared" si="1"/>
        <v>1</v>
      </c>
    </row>
    <row r="70" spans="1:10" x14ac:dyDescent="0.25">
      <c r="A70" s="45">
        <v>68</v>
      </c>
      <c r="B70" s="153">
        <f>Roster!B71</f>
        <v>68</v>
      </c>
      <c r="C70" s="152" t="str">
        <f>Roster!C71</f>
        <v>-</v>
      </c>
      <c r="D70" s="152" t="str">
        <f>Roster!D71</f>
        <v>-</v>
      </c>
      <c r="E70" s="31" t="str">
        <f>Roster!E71</f>
        <v>-</v>
      </c>
      <c r="F70" s="151"/>
      <c r="H70" s="282"/>
      <c r="J70" s="288">
        <f t="shared" si="1"/>
        <v>1</v>
      </c>
    </row>
    <row r="71" spans="1:10" x14ac:dyDescent="0.25">
      <c r="A71" s="45">
        <v>69</v>
      </c>
      <c r="B71" s="153">
        <f>Roster!B72</f>
        <v>69</v>
      </c>
      <c r="C71" s="152" t="str">
        <f>Roster!C72</f>
        <v>-</v>
      </c>
      <c r="D71" s="152" t="str">
        <f>Roster!D72</f>
        <v>-</v>
      </c>
      <c r="E71" s="31" t="str">
        <f>Roster!E72</f>
        <v>-</v>
      </c>
      <c r="F71" s="151"/>
      <c r="H71" s="282"/>
      <c r="J71" s="288">
        <f t="shared" si="1"/>
        <v>1</v>
      </c>
    </row>
    <row r="72" spans="1:10" x14ac:dyDescent="0.25">
      <c r="A72" s="45">
        <v>70</v>
      </c>
      <c r="B72" s="153">
        <f>Roster!B73</f>
        <v>70</v>
      </c>
      <c r="C72" s="152" t="str">
        <f>Roster!C73</f>
        <v>-</v>
      </c>
      <c r="D72" s="152" t="str">
        <f>Roster!D73</f>
        <v>-</v>
      </c>
      <c r="E72" s="31" t="str">
        <f>Roster!E73</f>
        <v>-</v>
      </c>
      <c r="F72" s="151"/>
      <c r="H72" s="282"/>
      <c r="J72" s="288">
        <f t="shared" si="1"/>
        <v>1</v>
      </c>
    </row>
    <row r="73" spans="1:10" x14ac:dyDescent="0.25">
      <c r="A73" s="45">
        <v>71</v>
      </c>
      <c r="B73" s="153">
        <f>Roster!B74</f>
        <v>71</v>
      </c>
      <c r="C73" s="152" t="str">
        <f>Roster!C74</f>
        <v>-</v>
      </c>
      <c r="D73" s="152" t="str">
        <f>Roster!D74</f>
        <v>-</v>
      </c>
      <c r="E73" s="31" t="str">
        <f>Roster!E74</f>
        <v>-</v>
      </c>
      <c r="F73" s="151"/>
      <c r="H73" s="282"/>
      <c r="J73" s="288">
        <f t="shared" si="1"/>
        <v>1</v>
      </c>
    </row>
    <row r="74" spans="1:10" x14ac:dyDescent="0.25">
      <c r="A74" s="45">
        <v>72</v>
      </c>
      <c r="B74" s="153">
        <f>Roster!B75</f>
        <v>72</v>
      </c>
      <c r="C74" s="152" t="str">
        <f>Roster!C75</f>
        <v>-</v>
      </c>
      <c r="D74" s="152" t="str">
        <f>Roster!D75</f>
        <v>-</v>
      </c>
      <c r="E74" s="31" t="str">
        <f>Roster!E75</f>
        <v>-</v>
      </c>
      <c r="F74" s="151"/>
      <c r="H74" s="282"/>
      <c r="J74" s="288">
        <f t="shared" si="1"/>
        <v>1</v>
      </c>
    </row>
    <row r="75" spans="1:10" x14ac:dyDescent="0.25">
      <c r="A75" s="45">
        <v>73</v>
      </c>
      <c r="B75" s="153">
        <f>Roster!B76</f>
        <v>73</v>
      </c>
      <c r="C75" s="152" t="str">
        <f>Roster!C76</f>
        <v>-</v>
      </c>
      <c r="D75" s="152" t="str">
        <f>Roster!D76</f>
        <v>-</v>
      </c>
      <c r="E75" s="31" t="str">
        <f>Roster!E76</f>
        <v>-</v>
      </c>
      <c r="F75" s="151"/>
      <c r="H75" s="282"/>
      <c r="J75" s="288">
        <f t="shared" si="1"/>
        <v>1</v>
      </c>
    </row>
    <row r="76" spans="1:10" x14ac:dyDescent="0.25">
      <c r="A76" s="45">
        <v>74</v>
      </c>
      <c r="B76" s="153">
        <f>Roster!B77</f>
        <v>74</v>
      </c>
      <c r="C76" s="152" t="str">
        <f>Roster!C77</f>
        <v>-</v>
      </c>
      <c r="D76" s="152" t="str">
        <f>Roster!D77</f>
        <v>-</v>
      </c>
      <c r="E76" s="31" t="str">
        <f>Roster!E77</f>
        <v>-</v>
      </c>
      <c r="F76" s="151"/>
      <c r="H76" s="282"/>
      <c r="J76" s="288">
        <f t="shared" si="1"/>
        <v>1</v>
      </c>
    </row>
    <row r="77" spans="1:10" x14ac:dyDescent="0.25">
      <c r="A77" s="45">
        <v>75</v>
      </c>
      <c r="B77" s="153">
        <f>Roster!B78</f>
        <v>75</v>
      </c>
      <c r="C77" s="152" t="str">
        <f>Roster!C78</f>
        <v>-</v>
      </c>
      <c r="D77" s="152" t="str">
        <f>Roster!D78</f>
        <v>-</v>
      </c>
      <c r="E77" s="31" t="str">
        <f>Roster!E78</f>
        <v>-</v>
      </c>
      <c r="F77" s="151"/>
      <c r="H77" s="282"/>
      <c r="J77" s="288">
        <f t="shared" si="1"/>
        <v>1</v>
      </c>
    </row>
    <row r="78" spans="1:10" x14ac:dyDescent="0.25">
      <c r="A78" s="45">
        <v>76</v>
      </c>
      <c r="B78" s="153">
        <f>Roster!B79</f>
        <v>76</v>
      </c>
      <c r="C78" s="152" t="str">
        <f>Roster!C79</f>
        <v>-</v>
      </c>
      <c r="D78" s="152" t="str">
        <f>Roster!D79</f>
        <v>-</v>
      </c>
      <c r="E78" s="31" t="str">
        <f>Roster!E79</f>
        <v>-</v>
      </c>
      <c r="F78" s="151"/>
      <c r="H78" s="282"/>
      <c r="J78" s="288">
        <f t="shared" si="1"/>
        <v>1</v>
      </c>
    </row>
    <row r="79" spans="1:10" x14ac:dyDescent="0.25">
      <c r="A79" s="45">
        <v>77</v>
      </c>
      <c r="B79" s="153">
        <f>Roster!B80</f>
        <v>77</v>
      </c>
      <c r="C79" s="152" t="str">
        <f>Roster!C80</f>
        <v>-</v>
      </c>
      <c r="D79" s="152" t="str">
        <f>Roster!D80</f>
        <v>-</v>
      </c>
      <c r="E79" s="31" t="str">
        <f>Roster!E80</f>
        <v>-</v>
      </c>
      <c r="F79" s="151"/>
      <c r="H79" s="282"/>
      <c r="J79" s="288">
        <f t="shared" si="1"/>
        <v>1</v>
      </c>
    </row>
    <row r="80" spans="1:10" x14ac:dyDescent="0.25">
      <c r="A80" s="45">
        <v>78</v>
      </c>
      <c r="B80" s="153">
        <f>Roster!B81</f>
        <v>78</v>
      </c>
      <c r="C80" s="152" t="str">
        <f>Roster!C81</f>
        <v>-</v>
      </c>
      <c r="D80" s="152" t="str">
        <f>Roster!D81</f>
        <v>-</v>
      </c>
      <c r="E80" s="31" t="str">
        <f>Roster!E81</f>
        <v>-</v>
      </c>
      <c r="F80" s="151"/>
      <c r="H80" s="282"/>
      <c r="J80" s="288">
        <f t="shared" si="1"/>
        <v>1</v>
      </c>
    </row>
    <row r="81" spans="1:10" x14ac:dyDescent="0.25">
      <c r="A81" s="45">
        <v>79</v>
      </c>
      <c r="B81" s="153">
        <f>Roster!B82</f>
        <v>79</v>
      </c>
      <c r="C81" s="152" t="str">
        <f>Roster!C82</f>
        <v>-</v>
      </c>
      <c r="D81" s="152" t="str">
        <f>Roster!D82</f>
        <v>-</v>
      </c>
      <c r="E81" s="31" t="str">
        <f>Roster!E82</f>
        <v>-</v>
      </c>
      <c r="F81" s="151"/>
      <c r="H81" s="282"/>
      <c r="J81" s="288">
        <f t="shared" si="1"/>
        <v>1</v>
      </c>
    </row>
    <row r="82" spans="1:10" x14ac:dyDescent="0.25">
      <c r="A82" s="45">
        <v>80</v>
      </c>
      <c r="B82" s="153">
        <f>Roster!B83</f>
        <v>80</v>
      </c>
      <c r="C82" s="152" t="str">
        <f>Roster!C83</f>
        <v>-</v>
      </c>
      <c r="D82" s="152" t="str">
        <f>Roster!D83</f>
        <v>-</v>
      </c>
      <c r="E82" s="31" t="str">
        <f>Roster!E83</f>
        <v>-</v>
      </c>
      <c r="F82" s="151"/>
      <c r="H82" s="282"/>
      <c r="J82" s="288">
        <f t="shared" si="1"/>
        <v>1</v>
      </c>
    </row>
    <row r="83" spans="1:10" x14ac:dyDescent="0.25">
      <c r="A83" s="45">
        <v>81</v>
      </c>
      <c r="B83" s="153">
        <f>Roster!B84</f>
        <v>81</v>
      </c>
      <c r="C83" s="152" t="str">
        <f>Roster!C84</f>
        <v>-</v>
      </c>
      <c r="D83" s="152" t="str">
        <f>Roster!D84</f>
        <v>-</v>
      </c>
      <c r="E83" s="31" t="str">
        <f>Roster!E84</f>
        <v>-</v>
      </c>
      <c r="F83" s="151"/>
      <c r="H83" s="282"/>
      <c r="J83" s="288">
        <f t="shared" si="1"/>
        <v>1</v>
      </c>
    </row>
    <row r="84" spans="1:10" x14ac:dyDescent="0.25">
      <c r="A84" s="45">
        <v>82</v>
      </c>
      <c r="B84" s="153">
        <f>Roster!B85</f>
        <v>82</v>
      </c>
      <c r="C84" s="152" t="str">
        <f>Roster!C85</f>
        <v>-</v>
      </c>
      <c r="D84" s="152" t="str">
        <f>Roster!D85</f>
        <v>-</v>
      </c>
      <c r="E84" s="31" t="str">
        <f>Roster!E85</f>
        <v>-</v>
      </c>
      <c r="F84" s="151"/>
      <c r="H84" s="282"/>
      <c r="J84" s="288">
        <f t="shared" si="1"/>
        <v>1</v>
      </c>
    </row>
    <row r="85" spans="1:10" x14ac:dyDescent="0.25">
      <c r="A85" s="45">
        <v>83</v>
      </c>
      <c r="B85" s="153">
        <f>Roster!B86</f>
        <v>83</v>
      </c>
      <c r="C85" s="152" t="str">
        <f>Roster!C86</f>
        <v>-</v>
      </c>
      <c r="D85" s="152" t="str">
        <f>Roster!D86</f>
        <v>-</v>
      </c>
      <c r="E85" s="31" t="str">
        <f>Roster!E86</f>
        <v>-</v>
      </c>
      <c r="F85" s="151"/>
      <c r="H85" s="282"/>
      <c r="J85" s="288">
        <f t="shared" si="1"/>
        <v>1</v>
      </c>
    </row>
    <row r="86" spans="1:10" x14ac:dyDescent="0.25">
      <c r="A86" s="45">
        <v>84</v>
      </c>
      <c r="B86" s="153">
        <f>Roster!B87</f>
        <v>84</v>
      </c>
      <c r="C86" s="152" t="str">
        <f>Roster!C87</f>
        <v>-</v>
      </c>
      <c r="D86" s="152" t="str">
        <f>Roster!D87</f>
        <v>-</v>
      </c>
      <c r="E86" s="31" t="str">
        <f>Roster!E87</f>
        <v>-</v>
      </c>
      <c r="F86" s="151"/>
      <c r="H86" s="282"/>
      <c r="J86" s="288">
        <f t="shared" si="1"/>
        <v>1</v>
      </c>
    </row>
    <row r="87" spans="1:10" x14ac:dyDescent="0.25">
      <c r="A87" s="45">
        <v>85</v>
      </c>
      <c r="B87" s="153">
        <f>Roster!B88</f>
        <v>85</v>
      </c>
      <c r="C87" s="152" t="str">
        <f>Roster!C88</f>
        <v>-</v>
      </c>
      <c r="D87" s="152" t="str">
        <f>Roster!D88</f>
        <v>-</v>
      </c>
      <c r="E87" s="31" t="str">
        <f>Roster!E88</f>
        <v>-</v>
      </c>
      <c r="F87" s="151"/>
      <c r="H87" s="282"/>
      <c r="J87" s="288">
        <f t="shared" si="1"/>
        <v>1</v>
      </c>
    </row>
    <row r="88" spans="1:10" x14ac:dyDescent="0.25">
      <c r="A88" s="45">
        <v>86</v>
      </c>
      <c r="B88" s="153">
        <f>Roster!B89</f>
        <v>86</v>
      </c>
      <c r="C88" s="152" t="str">
        <f>Roster!C89</f>
        <v>-</v>
      </c>
      <c r="D88" s="152" t="str">
        <f>Roster!D89</f>
        <v>-</v>
      </c>
      <c r="E88" s="31" t="str">
        <f>Roster!E89</f>
        <v>-</v>
      </c>
      <c r="F88" s="151"/>
      <c r="H88" s="282"/>
      <c r="J88" s="288">
        <f t="shared" si="1"/>
        <v>1</v>
      </c>
    </row>
    <row r="89" spans="1:10" x14ac:dyDescent="0.25">
      <c r="A89" s="45">
        <v>87</v>
      </c>
      <c r="B89" s="153">
        <f>Roster!B90</f>
        <v>87</v>
      </c>
      <c r="C89" s="152" t="str">
        <f>Roster!C90</f>
        <v>-</v>
      </c>
      <c r="D89" s="152" t="str">
        <f>Roster!D90</f>
        <v>-</v>
      </c>
      <c r="E89" s="31" t="str">
        <f>Roster!E90</f>
        <v>-</v>
      </c>
      <c r="F89" s="151"/>
      <c r="H89" s="282"/>
      <c r="J89" s="288">
        <f t="shared" si="1"/>
        <v>1</v>
      </c>
    </row>
    <row r="90" spans="1:10" x14ac:dyDescent="0.25">
      <c r="A90" s="45">
        <v>88</v>
      </c>
      <c r="B90" s="153">
        <f>Roster!B91</f>
        <v>88</v>
      </c>
      <c r="C90" s="152" t="str">
        <f>Roster!C91</f>
        <v>-</v>
      </c>
      <c r="D90" s="152" t="str">
        <f>Roster!D91</f>
        <v>-</v>
      </c>
      <c r="E90" s="31" t="str">
        <f>Roster!E91</f>
        <v>-</v>
      </c>
      <c r="F90" s="151"/>
      <c r="H90" s="282"/>
      <c r="J90" s="288">
        <f t="shared" si="1"/>
        <v>1</v>
      </c>
    </row>
    <row r="91" spans="1:10" x14ac:dyDescent="0.25">
      <c r="A91" s="45">
        <v>89</v>
      </c>
      <c r="B91" s="153">
        <f>Roster!B92</f>
        <v>89</v>
      </c>
      <c r="C91" s="152" t="str">
        <f>Roster!C92</f>
        <v>-</v>
      </c>
      <c r="D91" s="152" t="str">
        <f>Roster!D92</f>
        <v>-</v>
      </c>
      <c r="E91" s="31" t="str">
        <f>Roster!E92</f>
        <v>-</v>
      </c>
      <c r="F91" s="151"/>
      <c r="H91" s="282"/>
      <c r="J91" s="288">
        <f t="shared" si="1"/>
        <v>1</v>
      </c>
    </row>
    <row r="92" spans="1:10" x14ac:dyDescent="0.25">
      <c r="A92" s="45">
        <v>90</v>
      </c>
      <c r="B92" s="153">
        <f>Roster!B93</f>
        <v>0</v>
      </c>
      <c r="C92" s="152" t="str">
        <f>C$104</f>
        <v>-</v>
      </c>
      <c r="D92" s="152" t="str">
        <f>D$104</f>
        <v>-</v>
      </c>
      <c r="E92" s="31" t="str">
        <f>E$104</f>
        <v>-</v>
      </c>
      <c r="F92" s="152" t="str">
        <f>F$104</f>
        <v>dddd</v>
      </c>
      <c r="H92" s="283" t="str">
        <f>H$104</f>
        <v>ssss</v>
      </c>
      <c r="J92" s="288">
        <f t="shared" si="1"/>
        <v>2</v>
      </c>
    </row>
    <row r="93" spans="1:10" x14ac:dyDescent="0.25">
      <c r="A93" s="45">
        <v>91</v>
      </c>
      <c r="B93" s="153">
        <f>Roster!B94</f>
        <v>91</v>
      </c>
      <c r="C93" s="152" t="str">
        <f>Roster!C94</f>
        <v>-</v>
      </c>
      <c r="D93" s="152" t="str">
        <f>Roster!D94</f>
        <v>-</v>
      </c>
      <c r="E93" s="31" t="str">
        <f>Roster!E94</f>
        <v>-</v>
      </c>
      <c r="F93" s="151"/>
      <c r="H93" s="282"/>
      <c r="J93" s="288">
        <f t="shared" si="1"/>
        <v>1</v>
      </c>
    </row>
    <row r="94" spans="1:10" x14ac:dyDescent="0.25">
      <c r="A94" s="45">
        <v>92</v>
      </c>
      <c r="B94" s="153">
        <f>Roster!B95</f>
        <v>92</v>
      </c>
      <c r="C94" s="152" t="str">
        <f>Roster!C95</f>
        <v>-</v>
      </c>
      <c r="D94" s="152" t="str">
        <f>Roster!D95</f>
        <v>-</v>
      </c>
      <c r="E94" s="31" t="str">
        <f>Roster!E95</f>
        <v>-</v>
      </c>
      <c r="F94" s="151"/>
      <c r="H94" s="282"/>
      <c r="J94" s="288">
        <f t="shared" si="1"/>
        <v>1</v>
      </c>
    </row>
    <row r="95" spans="1:10" x14ac:dyDescent="0.25">
      <c r="A95" s="45">
        <v>93</v>
      </c>
      <c r="B95" s="153">
        <f>Roster!B96</f>
        <v>93</v>
      </c>
      <c r="C95" s="152" t="str">
        <f>Roster!C96</f>
        <v>-</v>
      </c>
      <c r="D95" s="152" t="str">
        <f>Roster!D96</f>
        <v>-</v>
      </c>
      <c r="E95" s="31" t="str">
        <f>Roster!E96</f>
        <v>-</v>
      </c>
      <c r="F95" s="151"/>
      <c r="H95" s="282"/>
      <c r="J95" s="288">
        <f t="shared" si="1"/>
        <v>1</v>
      </c>
    </row>
    <row r="96" spans="1:10" x14ac:dyDescent="0.25">
      <c r="A96" s="45">
        <v>94</v>
      </c>
      <c r="B96" s="153">
        <f>Roster!B97</f>
        <v>94</v>
      </c>
      <c r="C96" s="152" t="str">
        <f>Roster!C97</f>
        <v>-</v>
      </c>
      <c r="D96" s="152" t="str">
        <f>Roster!D97</f>
        <v>-</v>
      </c>
      <c r="E96" s="31" t="str">
        <f>Roster!E97</f>
        <v>-</v>
      </c>
      <c r="F96" s="151"/>
      <c r="H96" s="282"/>
      <c r="J96" s="288">
        <f t="shared" si="1"/>
        <v>1</v>
      </c>
    </row>
    <row r="97" spans="1:10" x14ac:dyDescent="0.25">
      <c r="A97" s="45">
        <v>95</v>
      </c>
      <c r="B97" s="153">
        <f>Roster!B98</f>
        <v>95</v>
      </c>
      <c r="C97" s="152" t="str">
        <f>Roster!C98</f>
        <v>-</v>
      </c>
      <c r="D97" s="152" t="str">
        <f>Roster!D98</f>
        <v>-</v>
      </c>
      <c r="E97" s="31" t="str">
        <f>Roster!E98</f>
        <v>-</v>
      </c>
      <c r="F97" s="151"/>
      <c r="H97" s="282"/>
      <c r="J97" s="288">
        <f t="shared" si="1"/>
        <v>1</v>
      </c>
    </row>
    <row r="98" spans="1:10" x14ac:dyDescent="0.25">
      <c r="A98" s="45">
        <v>96</v>
      </c>
      <c r="B98" s="153">
        <f>Roster!B99</f>
        <v>96</v>
      </c>
      <c r="C98" s="152" t="str">
        <f>Roster!C99</f>
        <v>-</v>
      </c>
      <c r="D98" s="152" t="str">
        <f>Roster!D99</f>
        <v>-</v>
      </c>
      <c r="E98" s="31" t="str">
        <f>Roster!E99</f>
        <v>-</v>
      </c>
      <c r="F98" s="151"/>
      <c r="H98" s="282"/>
      <c r="J98" s="288">
        <f t="shared" si="1"/>
        <v>1</v>
      </c>
    </row>
    <row r="99" spans="1:10" x14ac:dyDescent="0.25">
      <c r="A99" s="45">
        <v>97</v>
      </c>
      <c r="B99" s="153">
        <f>Roster!B100</f>
        <v>97</v>
      </c>
      <c r="C99" s="152" t="str">
        <f>Roster!C100</f>
        <v>-</v>
      </c>
      <c r="D99" s="152" t="str">
        <f>Roster!D100</f>
        <v>-</v>
      </c>
      <c r="E99" s="31" t="str">
        <f>Roster!E100</f>
        <v>-</v>
      </c>
      <c r="F99" s="151"/>
      <c r="H99" s="282"/>
      <c r="J99" s="288">
        <f t="shared" si="1"/>
        <v>1</v>
      </c>
    </row>
    <row r="100" spans="1:10" x14ac:dyDescent="0.25">
      <c r="A100" s="45">
        <v>98</v>
      </c>
      <c r="B100" s="153">
        <f>Roster!B101</f>
        <v>98</v>
      </c>
      <c r="C100" s="152" t="str">
        <f>Roster!C101</f>
        <v>-</v>
      </c>
      <c r="D100" s="152" t="str">
        <f>Roster!D101</f>
        <v>-</v>
      </c>
      <c r="E100" s="31" t="str">
        <f>Roster!E101</f>
        <v>-</v>
      </c>
      <c r="F100" s="151"/>
      <c r="H100" s="282"/>
      <c r="J100" s="288">
        <f t="shared" si="1"/>
        <v>1</v>
      </c>
    </row>
    <row r="101" spans="1:10" x14ac:dyDescent="0.25">
      <c r="A101" s="45">
        <v>99</v>
      </c>
      <c r="B101" s="153" t="str">
        <f>Roster!B102</f>
        <v>00</v>
      </c>
      <c r="C101" s="152" t="str">
        <f>C$104</f>
        <v>-</v>
      </c>
      <c r="D101" s="152" t="str">
        <f>D$104</f>
        <v>-</v>
      </c>
      <c r="E101" s="31" t="str">
        <f>E$104</f>
        <v>-</v>
      </c>
      <c r="F101" s="152" t="str">
        <f>F$104</f>
        <v>dddd</v>
      </c>
      <c r="H101" s="283" t="str">
        <f>H$104</f>
        <v>ssss</v>
      </c>
      <c r="J101" s="288">
        <f t="shared" si="1"/>
        <v>2</v>
      </c>
    </row>
    <row r="102" spans="1:10" ht="15.75" thickBot="1" x14ac:dyDescent="0.3"/>
    <row r="103" spans="1:10" ht="15.75" thickBot="1" x14ac:dyDescent="0.3">
      <c r="A103" s="168" t="s">
        <v>841</v>
      </c>
      <c r="B103" s="169"/>
      <c r="C103" s="169"/>
      <c r="D103" s="169"/>
      <c r="E103" s="169"/>
      <c r="F103" s="169"/>
      <c r="G103" s="169"/>
      <c r="H103" s="284"/>
      <c r="I103" s="177"/>
      <c r="J103" s="279"/>
    </row>
    <row r="104" spans="1:10" x14ac:dyDescent="0.25">
      <c r="A104" s="178"/>
      <c r="B104" s="179">
        <f>Roster!B105</f>
        <v>0</v>
      </c>
      <c r="C104" s="180" t="str">
        <f>Roster!C102</f>
        <v>-</v>
      </c>
      <c r="D104" s="180" t="str">
        <f>Roster!D102</f>
        <v>-</v>
      </c>
      <c r="E104" s="71" t="str">
        <f>Roster!E102</f>
        <v>-</v>
      </c>
      <c r="F104" s="181" t="s">
        <v>1053</v>
      </c>
      <c r="H104" s="285" t="s">
        <v>1054</v>
      </c>
      <c r="J104" s="45">
        <v>1</v>
      </c>
    </row>
    <row r="105" spans="1:10" x14ac:dyDescent="0.25">
      <c r="G105" s="139"/>
    </row>
    <row r="106" spans="1:10" x14ac:dyDescent="0.25">
      <c r="G106" s="139"/>
    </row>
  </sheetData>
  <customSheetViews>
    <customSheetView guid="{35139CDC-7B22-4BB4-A27E-0C639571C225}" hiddenColumns="1">
      <selection activeCell="I1" sqref="I1"/>
      <pageMargins left="0.7" right="0.7" top="0.75" bottom="0.75" header="0.3" footer="0.3"/>
    </customSheetView>
    <customSheetView guid="{42F19D52-E208-414F-9E2E-506DF902926F}" hiddenColumns="1">
      <selection activeCell="I1" sqref="I1"/>
      <pageMargins left="0.7" right="0.7" top="0.75" bottom="0.75" header="0.3" footer="0.3"/>
    </customSheetView>
    <customSheetView guid="{BE266B8E-38B0-4631-9C30-67CA48A8BD7F}">
      <selection activeCell="I2" sqref="I2:I101"/>
      <pageMargins left="0.7" right="0.7" top="0.75" bottom="0.75" header="0.3" footer="0.3"/>
    </customSheetView>
    <customSheetView guid="{9DC468DE-D883-45B4-B188-265B9DA68425}">
      <selection activeCell="I1" sqref="I1"/>
      <pageMargins left="0.7" right="0.7" top="0.75" bottom="0.75" header="0.3" footer="0.3"/>
    </customSheetView>
    <customSheetView guid="{6A3B2C41-2DBC-4B17-AB58-12C85E3A6B8A}">
      <pageMargins left="0.7" right="0.7" top="0.75" bottom="0.75" header="0.3" footer="0.3"/>
    </customSheetView>
    <customSheetView guid="{46B088B4-7F51-4D35-9F00-2268626FA819}" topLeftCell="A2">
      <selection activeCell="I2" sqref="I2:I101"/>
      <pageMargins left="0.7" right="0.7" top="0.75" bottom="0.75" header="0.3" footer="0.3"/>
    </customSheetView>
    <customSheetView guid="{42945F95-5627-491B-A345-A07B64F7E806}">
      <selection activeCell="H4" sqref="H4"/>
      <pageMargins left="0.7" right="0.7" top="0.75" bottom="0.75" header="0.3" footer="0.3"/>
    </customSheetView>
    <customSheetView guid="{BD1DF852-269B-4C2F-AF89-1FA576EA4603}">
      <selection activeCell="B2" sqref="B2"/>
      <pageMargins left="0.7" right="0.7" top="0.75" bottom="0.75" header="0.3" footer="0.3"/>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autoPageBreaks="0"/>
  </sheetPr>
  <dimension ref="A1:G380"/>
  <sheetViews>
    <sheetView workbookViewId="0"/>
  </sheetViews>
  <sheetFormatPr defaultRowHeight="15" x14ac:dyDescent="0.25"/>
  <cols>
    <col min="1" max="1" width="32.7109375" customWidth="1"/>
    <col min="2" max="2" width="2.7109375" customWidth="1"/>
    <col min="3" max="3" width="32.7109375" customWidth="1"/>
    <col min="4" max="4" width="2.7109375" customWidth="1"/>
    <col min="5" max="5" width="60.28515625" bestFit="1" customWidth="1"/>
    <col min="6" max="7" width="30.7109375" customWidth="1"/>
  </cols>
  <sheetData>
    <row r="1" spans="1:7" x14ac:dyDescent="0.25">
      <c r="A1" s="17" t="s">
        <v>88</v>
      </c>
      <c r="C1" s="17" t="s">
        <v>89</v>
      </c>
      <c r="E1" s="17" t="s">
        <v>90</v>
      </c>
      <c r="F1" s="17" t="s">
        <v>840</v>
      </c>
      <c r="G1" s="17" t="s">
        <v>998</v>
      </c>
    </row>
    <row r="2" spans="1:7" x14ac:dyDescent="0.25">
      <c r="A2" t="s">
        <v>846</v>
      </c>
      <c r="C2" t="s">
        <v>760</v>
      </c>
      <c r="E2" s="165" t="s">
        <v>281</v>
      </c>
      <c r="F2" t="s">
        <v>585</v>
      </c>
      <c r="G2" t="s">
        <v>531</v>
      </c>
    </row>
    <row r="3" spans="1:7" x14ac:dyDescent="0.25">
      <c r="A3" t="s">
        <v>1146</v>
      </c>
      <c r="C3" t="s">
        <v>748</v>
      </c>
      <c r="E3" s="165" t="s">
        <v>283</v>
      </c>
      <c r="F3" t="s">
        <v>306</v>
      </c>
      <c r="G3" t="s">
        <v>285</v>
      </c>
    </row>
    <row r="4" spans="1:7" x14ac:dyDescent="0.25">
      <c r="A4" t="s">
        <v>1147</v>
      </c>
      <c r="C4" t="s">
        <v>92</v>
      </c>
      <c r="E4" s="165" t="s">
        <v>308</v>
      </c>
      <c r="F4" t="s">
        <v>322</v>
      </c>
      <c r="G4" t="s">
        <v>999</v>
      </c>
    </row>
    <row r="5" spans="1:7" x14ac:dyDescent="0.25">
      <c r="A5" t="s">
        <v>91</v>
      </c>
      <c r="C5" t="s">
        <v>749</v>
      </c>
      <c r="E5" s="165" t="s">
        <v>485</v>
      </c>
      <c r="F5" t="s">
        <v>504</v>
      </c>
      <c r="G5" t="s">
        <v>487</v>
      </c>
    </row>
    <row r="6" spans="1:7" x14ac:dyDescent="0.25">
      <c r="A6" t="s">
        <v>93</v>
      </c>
      <c r="C6" t="s">
        <v>750</v>
      </c>
      <c r="E6" s="165" t="s">
        <v>446</v>
      </c>
      <c r="F6" t="s">
        <v>448</v>
      </c>
      <c r="G6" t="s">
        <v>1000</v>
      </c>
    </row>
    <row r="7" spans="1:7" x14ac:dyDescent="0.25">
      <c r="A7" t="s">
        <v>95</v>
      </c>
      <c r="C7" t="s">
        <v>96</v>
      </c>
      <c r="E7" s="165" t="s">
        <v>454</v>
      </c>
      <c r="F7" t="s">
        <v>460</v>
      </c>
      <c r="G7" t="s">
        <v>1001</v>
      </c>
    </row>
    <row r="8" spans="1:7" x14ac:dyDescent="0.25">
      <c r="A8" t="s">
        <v>14</v>
      </c>
      <c r="C8" t="s">
        <v>751</v>
      </c>
      <c r="E8" s="165" t="s">
        <v>686</v>
      </c>
      <c r="F8" t="s">
        <v>690</v>
      </c>
      <c r="G8" t="s">
        <v>1005</v>
      </c>
    </row>
    <row r="9" spans="1:7" x14ac:dyDescent="0.25">
      <c r="A9" t="s">
        <v>100</v>
      </c>
      <c r="C9" t="s">
        <v>98</v>
      </c>
      <c r="E9" s="165" t="s">
        <v>682</v>
      </c>
      <c r="F9" t="s">
        <v>685</v>
      </c>
      <c r="G9" t="s">
        <v>1002</v>
      </c>
    </row>
    <row r="10" spans="1:7" x14ac:dyDescent="0.25">
      <c r="A10" t="s">
        <v>102</v>
      </c>
      <c r="C10" t="s">
        <v>101</v>
      </c>
      <c r="E10" s="165" t="s">
        <v>155</v>
      </c>
      <c r="F10" t="s">
        <v>153</v>
      </c>
      <c r="G10" t="s">
        <v>147</v>
      </c>
    </row>
    <row r="11" spans="1:7" x14ac:dyDescent="0.25">
      <c r="A11" t="s">
        <v>829</v>
      </c>
      <c r="C11" t="s">
        <v>103</v>
      </c>
      <c r="E11" s="165" t="s">
        <v>162</v>
      </c>
      <c r="F11" t="s">
        <v>170</v>
      </c>
      <c r="G11" t="s">
        <v>165</v>
      </c>
    </row>
    <row r="12" spans="1:7" x14ac:dyDescent="0.25">
      <c r="A12" t="s">
        <v>104</v>
      </c>
      <c r="C12" t="s">
        <v>852</v>
      </c>
      <c r="E12" s="165" t="s">
        <v>527</v>
      </c>
      <c r="F12" t="s">
        <v>388</v>
      </c>
      <c r="G12" t="s">
        <v>346</v>
      </c>
    </row>
    <row r="13" spans="1:7" x14ac:dyDescent="0.25">
      <c r="A13" t="s">
        <v>107</v>
      </c>
      <c r="C13" t="s">
        <v>752</v>
      </c>
      <c r="E13" t="s">
        <v>1064</v>
      </c>
      <c r="F13" t="s">
        <v>126</v>
      </c>
      <c r="G13" t="s">
        <v>1003</v>
      </c>
    </row>
    <row r="14" spans="1:7" x14ac:dyDescent="0.25">
      <c r="A14" t="s">
        <v>110</v>
      </c>
      <c r="C14" t="s">
        <v>753</v>
      </c>
      <c r="E14" t="s">
        <v>82</v>
      </c>
      <c r="F14" t="s">
        <v>1068</v>
      </c>
      <c r="G14" t="s">
        <v>1065</v>
      </c>
    </row>
    <row r="15" spans="1:7" x14ac:dyDescent="0.25">
      <c r="A15" t="s">
        <v>113</v>
      </c>
      <c r="C15" t="s">
        <v>754</v>
      </c>
    </row>
    <row r="16" spans="1:7" x14ac:dyDescent="0.25">
      <c r="A16" t="s">
        <v>116</v>
      </c>
      <c r="C16" t="s">
        <v>105</v>
      </c>
      <c r="E16" t="s">
        <v>1075</v>
      </c>
    </row>
    <row r="17" spans="1:5" x14ac:dyDescent="0.25">
      <c r="A17" t="s">
        <v>118</v>
      </c>
      <c r="C17" t="s">
        <v>853</v>
      </c>
      <c r="E17" t="s">
        <v>1065</v>
      </c>
    </row>
    <row r="18" spans="1:5" x14ac:dyDescent="0.25">
      <c r="A18" t="s">
        <v>121</v>
      </c>
      <c r="C18" t="s">
        <v>108</v>
      </c>
      <c r="E18" t="s">
        <v>1066</v>
      </c>
    </row>
    <row r="19" spans="1:5" x14ac:dyDescent="0.25">
      <c r="A19" t="s">
        <v>124</v>
      </c>
      <c r="C19" t="s">
        <v>854</v>
      </c>
      <c r="E19" t="s">
        <v>1067</v>
      </c>
    </row>
    <row r="20" spans="1:5" x14ac:dyDescent="0.25">
      <c r="A20" t="s">
        <v>127</v>
      </c>
      <c r="C20" t="s">
        <v>755</v>
      </c>
      <c r="E20" t="s">
        <v>1068</v>
      </c>
    </row>
    <row r="21" spans="1:5" x14ac:dyDescent="0.25">
      <c r="A21" t="s">
        <v>129</v>
      </c>
      <c r="C21" t="s">
        <v>111</v>
      </c>
      <c r="E21" t="s">
        <v>1069</v>
      </c>
    </row>
    <row r="22" spans="1:5" x14ac:dyDescent="0.25">
      <c r="A22" t="s">
        <v>130</v>
      </c>
      <c r="C22" t="s">
        <v>855</v>
      </c>
      <c r="E22" t="s">
        <v>1070</v>
      </c>
    </row>
    <row r="23" spans="1:5" x14ac:dyDescent="0.25">
      <c r="A23" t="s">
        <v>132</v>
      </c>
      <c r="C23" t="s">
        <v>757</v>
      </c>
      <c r="E23" t="s">
        <v>1071</v>
      </c>
    </row>
    <row r="24" spans="1:5" x14ac:dyDescent="0.25">
      <c r="A24" t="s">
        <v>133</v>
      </c>
      <c r="C24" t="s">
        <v>756</v>
      </c>
      <c r="E24" t="s">
        <v>1072</v>
      </c>
    </row>
    <row r="25" spans="1:5" x14ac:dyDescent="0.25">
      <c r="A25" t="s">
        <v>135</v>
      </c>
      <c r="C25" t="s">
        <v>114</v>
      </c>
      <c r="E25" t="s">
        <v>1073</v>
      </c>
    </row>
    <row r="26" spans="1:5" x14ac:dyDescent="0.25">
      <c r="A26" t="s">
        <v>136</v>
      </c>
      <c r="C26" t="s">
        <v>119</v>
      </c>
      <c r="E26" t="s">
        <v>1074</v>
      </c>
    </row>
    <row r="27" spans="1:5" x14ac:dyDescent="0.25">
      <c r="A27" t="s">
        <v>138</v>
      </c>
      <c r="C27" t="s">
        <v>856</v>
      </c>
      <c r="E27" t="s">
        <v>82</v>
      </c>
    </row>
    <row r="28" spans="1:5" x14ac:dyDescent="0.25">
      <c r="A28" t="s">
        <v>818</v>
      </c>
      <c r="C28" t="s">
        <v>122</v>
      </c>
      <c r="E28" t="s">
        <v>1003</v>
      </c>
    </row>
    <row r="29" spans="1:5" x14ac:dyDescent="0.25">
      <c r="A29" t="s">
        <v>140</v>
      </c>
      <c r="C29" t="s">
        <v>758</v>
      </c>
      <c r="E29" t="s">
        <v>112</v>
      </c>
    </row>
    <row r="30" spans="1:5" x14ac:dyDescent="0.25">
      <c r="A30" t="s">
        <v>142</v>
      </c>
      <c r="C30" t="s">
        <v>125</v>
      </c>
      <c r="E30" t="s">
        <v>115</v>
      </c>
    </row>
    <row r="31" spans="1:5" x14ac:dyDescent="0.25">
      <c r="A31" t="s">
        <v>144</v>
      </c>
      <c r="C31" t="s">
        <v>857</v>
      </c>
      <c r="E31" t="s">
        <v>117</v>
      </c>
    </row>
    <row r="32" spans="1:5" x14ac:dyDescent="0.25">
      <c r="A32" t="s">
        <v>146</v>
      </c>
      <c r="C32" t="s">
        <v>128</v>
      </c>
      <c r="E32" t="s">
        <v>99</v>
      </c>
    </row>
    <row r="33" spans="1:5" x14ac:dyDescent="0.25">
      <c r="A33" t="s">
        <v>148</v>
      </c>
      <c r="C33" t="s">
        <v>858</v>
      </c>
      <c r="E33" t="s">
        <v>83</v>
      </c>
    </row>
    <row r="34" spans="1:5" x14ac:dyDescent="0.25">
      <c r="A34" t="s">
        <v>150</v>
      </c>
      <c r="C34" t="s">
        <v>131</v>
      </c>
      <c r="E34" t="s">
        <v>85</v>
      </c>
    </row>
    <row r="35" spans="1:5" x14ac:dyDescent="0.25">
      <c r="A35" t="s">
        <v>152</v>
      </c>
      <c r="C35" t="s">
        <v>859</v>
      </c>
      <c r="E35" t="s">
        <v>106</v>
      </c>
    </row>
    <row r="36" spans="1:5" x14ac:dyDescent="0.25">
      <c r="A36" t="s">
        <v>154</v>
      </c>
      <c r="C36" t="s">
        <v>759</v>
      </c>
      <c r="E36" t="s">
        <v>109</v>
      </c>
    </row>
    <row r="37" spans="1:5" x14ac:dyDescent="0.25">
      <c r="A37" t="s">
        <v>156</v>
      </c>
      <c r="C37" t="s">
        <v>761</v>
      </c>
      <c r="E37" t="s">
        <v>120</v>
      </c>
    </row>
    <row r="38" spans="1:5" x14ac:dyDescent="0.25">
      <c r="A38" t="s">
        <v>819</v>
      </c>
      <c r="C38" t="s">
        <v>134</v>
      </c>
      <c r="E38" t="s">
        <v>123</v>
      </c>
    </row>
    <row r="39" spans="1:5" x14ac:dyDescent="0.25">
      <c r="A39" t="s">
        <v>158</v>
      </c>
      <c r="C39" t="s">
        <v>860</v>
      </c>
      <c r="E39" t="s">
        <v>126</v>
      </c>
    </row>
    <row r="40" spans="1:5" x14ac:dyDescent="0.25">
      <c r="A40" t="s">
        <v>161</v>
      </c>
      <c r="C40" t="s">
        <v>762</v>
      </c>
      <c r="E40" t="s">
        <v>94</v>
      </c>
    </row>
    <row r="41" spans="1:5" x14ac:dyDescent="0.25">
      <c r="A41" t="s">
        <v>163</v>
      </c>
      <c r="C41" t="s">
        <v>763</v>
      </c>
      <c r="E41" t="s">
        <v>97</v>
      </c>
    </row>
    <row r="42" spans="1:5" x14ac:dyDescent="0.25">
      <c r="A42" t="s">
        <v>164</v>
      </c>
      <c r="C42" t="s">
        <v>137</v>
      </c>
      <c r="E42" t="s">
        <v>141</v>
      </c>
    </row>
    <row r="43" spans="1:5" x14ac:dyDescent="0.25">
      <c r="A43" t="s">
        <v>166</v>
      </c>
      <c r="C43" t="s">
        <v>764</v>
      </c>
      <c r="E43" t="s">
        <v>139</v>
      </c>
    </row>
    <row r="44" spans="1:5" x14ac:dyDescent="0.25">
      <c r="A44" t="s">
        <v>159</v>
      </c>
      <c r="C44" t="s">
        <v>765</v>
      </c>
      <c r="E44" t="s">
        <v>143</v>
      </c>
    </row>
    <row r="45" spans="1:5" x14ac:dyDescent="0.25">
      <c r="A45" t="s">
        <v>160</v>
      </c>
      <c r="E45" t="s">
        <v>145</v>
      </c>
    </row>
    <row r="46" spans="1:5" x14ac:dyDescent="0.25">
      <c r="A46" t="s">
        <v>167</v>
      </c>
      <c r="E46" t="s">
        <v>147</v>
      </c>
    </row>
    <row r="47" spans="1:5" x14ac:dyDescent="0.25">
      <c r="A47" t="s">
        <v>169</v>
      </c>
      <c r="E47" t="s">
        <v>149</v>
      </c>
    </row>
    <row r="48" spans="1:5" x14ac:dyDescent="0.25">
      <c r="A48" t="s">
        <v>171</v>
      </c>
      <c r="E48" t="s">
        <v>151</v>
      </c>
    </row>
    <row r="49" spans="1:5" x14ac:dyDescent="0.25">
      <c r="A49" t="s">
        <v>173</v>
      </c>
      <c r="E49" t="s">
        <v>153</v>
      </c>
    </row>
    <row r="50" spans="1:5" x14ac:dyDescent="0.25">
      <c r="A50" t="s">
        <v>175</v>
      </c>
      <c r="E50" t="s">
        <v>155</v>
      </c>
    </row>
    <row r="51" spans="1:5" x14ac:dyDescent="0.25">
      <c r="A51" t="s">
        <v>847</v>
      </c>
      <c r="C51" s="164"/>
      <c r="E51" t="s">
        <v>157</v>
      </c>
    </row>
    <row r="52" spans="1:5" x14ac:dyDescent="0.25">
      <c r="A52" t="s">
        <v>176</v>
      </c>
      <c r="E52" t="s">
        <v>1076</v>
      </c>
    </row>
    <row r="53" spans="1:5" x14ac:dyDescent="0.25">
      <c r="A53" t="s">
        <v>178</v>
      </c>
      <c r="E53" t="s">
        <v>1077</v>
      </c>
    </row>
    <row r="54" spans="1:5" x14ac:dyDescent="0.25">
      <c r="A54" t="s">
        <v>179</v>
      </c>
      <c r="E54" t="s">
        <v>162</v>
      </c>
    </row>
    <row r="55" spans="1:5" x14ac:dyDescent="0.25">
      <c r="A55" t="s">
        <v>181</v>
      </c>
      <c r="E55" t="s">
        <v>165</v>
      </c>
    </row>
    <row r="56" spans="1:5" x14ac:dyDescent="0.25">
      <c r="A56" t="s">
        <v>183</v>
      </c>
      <c r="E56" t="s">
        <v>87</v>
      </c>
    </row>
    <row r="57" spans="1:5" x14ac:dyDescent="0.25">
      <c r="A57" t="s">
        <v>185</v>
      </c>
      <c r="E57" t="s">
        <v>168</v>
      </c>
    </row>
    <row r="58" spans="1:5" x14ac:dyDescent="0.25">
      <c r="A58" t="s">
        <v>187</v>
      </c>
      <c r="E58" t="s">
        <v>170</v>
      </c>
    </row>
    <row r="59" spans="1:5" x14ac:dyDescent="0.25">
      <c r="A59" t="s">
        <v>189</v>
      </c>
      <c r="E59" t="s">
        <v>172</v>
      </c>
    </row>
    <row r="60" spans="1:5" x14ac:dyDescent="0.25">
      <c r="A60" t="s">
        <v>190</v>
      </c>
      <c r="E60" t="s">
        <v>174</v>
      </c>
    </row>
    <row r="61" spans="1:5" x14ac:dyDescent="0.25">
      <c r="A61" t="s">
        <v>191</v>
      </c>
      <c r="E61" t="s">
        <v>177</v>
      </c>
    </row>
    <row r="62" spans="1:5" x14ac:dyDescent="0.25">
      <c r="A62" t="s">
        <v>192</v>
      </c>
      <c r="E62" t="s">
        <v>86</v>
      </c>
    </row>
    <row r="63" spans="1:5" x14ac:dyDescent="0.25">
      <c r="A63" t="s">
        <v>194</v>
      </c>
      <c r="E63" t="s">
        <v>180</v>
      </c>
    </row>
    <row r="64" spans="1:5" x14ac:dyDescent="0.25">
      <c r="A64" t="s">
        <v>196</v>
      </c>
      <c r="E64" t="s">
        <v>188</v>
      </c>
    </row>
    <row r="65" spans="1:5" x14ac:dyDescent="0.25">
      <c r="A65" t="s">
        <v>198</v>
      </c>
      <c r="E65" t="s">
        <v>1078</v>
      </c>
    </row>
    <row r="66" spans="1:5" x14ac:dyDescent="0.25">
      <c r="A66" t="s">
        <v>200</v>
      </c>
      <c r="E66" t="s">
        <v>1079</v>
      </c>
    </row>
    <row r="67" spans="1:5" x14ac:dyDescent="0.25">
      <c r="A67" t="s">
        <v>202</v>
      </c>
      <c r="E67" t="s">
        <v>1080</v>
      </c>
    </row>
    <row r="68" spans="1:5" x14ac:dyDescent="0.25">
      <c r="A68" t="s">
        <v>820</v>
      </c>
      <c r="E68" t="s">
        <v>1081</v>
      </c>
    </row>
    <row r="69" spans="1:5" x14ac:dyDescent="0.25">
      <c r="A69" t="s">
        <v>204</v>
      </c>
      <c r="E69" t="s">
        <v>1082</v>
      </c>
    </row>
    <row r="70" spans="1:5" x14ac:dyDescent="0.25">
      <c r="A70" t="s">
        <v>206</v>
      </c>
      <c r="E70" t="s">
        <v>1083</v>
      </c>
    </row>
    <row r="71" spans="1:5" x14ac:dyDescent="0.25">
      <c r="A71" t="s">
        <v>208</v>
      </c>
      <c r="E71" t="s">
        <v>1084</v>
      </c>
    </row>
    <row r="72" spans="1:5" x14ac:dyDescent="0.25">
      <c r="A72" t="s">
        <v>210</v>
      </c>
      <c r="E72" t="s">
        <v>1085</v>
      </c>
    </row>
    <row r="73" spans="1:5" x14ac:dyDescent="0.25">
      <c r="A73" t="s">
        <v>212</v>
      </c>
      <c r="E73" t="s">
        <v>182</v>
      </c>
    </row>
    <row r="74" spans="1:5" x14ac:dyDescent="0.25">
      <c r="A74" t="s">
        <v>214</v>
      </c>
      <c r="E74" t="s">
        <v>184</v>
      </c>
    </row>
    <row r="75" spans="1:5" x14ac:dyDescent="0.25">
      <c r="A75" t="s">
        <v>821</v>
      </c>
      <c r="E75" t="s">
        <v>186</v>
      </c>
    </row>
    <row r="76" spans="1:5" x14ac:dyDescent="0.25">
      <c r="A76" t="s">
        <v>216</v>
      </c>
      <c r="E76" t="s">
        <v>1086</v>
      </c>
    </row>
    <row r="77" spans="1:5" x14ac:dyDescent="0.25">
      <c r="A77" t="s">
        <v>219</v>
      </c>
      <c r="E77" t="s">
        <v>1087</v>
      </c>
    </row>
    <row r="78" spans="1:5" x14ac:dyDescent="0.25">
      <c r="A78" t="s">
        <v>221</v>
      </c>
      <c r="E78" t="s">
        <v>1088</v>
      </c>
    </row>
    <row r="79" spans="1:5" x14ac:dyDescent="0.25">
      <c r="A79" t="s">
        <v>223</v>
      </c>
      <c r="E79" t="s">
        <v>1089</v>
      </c>
    </row>
    <row r="80" spans="1:5" x14ac:dyDescent="0.25">
      <c r="A80" t="s">
        <v>225</v>
      </c>
      <c r="E80" t="s">
        <v>1090</v>
      </c>
    </row>
    <row r="81" spans="1:5" x14ac:dyDescent="0.25">
      <c r="A81" t="s">
        <v>235</v>
      </c>
      <c r="E81" t="s">
        <v>1154</v>
      </c>
    </row>
    <row r="82" spans="1:5" x14ac:dyDescent="0.25">
      <c r="A82" t="s">
        <v>237</v>
      </c>
      <c r="E82" t="s">
        <v>1155</v>
      </c>
    </row>
    <row r="83" spans="1:5" x14ac:dyDescent="0.25">
      <c r="A83" t="s">
        <v>1161</v>
      </c>
      <c r="E83" t="s">
        <v>193</v>
      </c>
    </row>
    <row r="84" spans="1:5" x14ac:dyDescent="0.25">
      <c r="A84" t="s">
        <v>227</v>
      </c>
      <c r="E84" t="s">
        <v>195</v>
      </c>
    </row>
    <row r="85" spans="1:5" x14ac:dyDescent="0.25">
      <c r="A85" t="s">
        <v>229</v>
      </c>
      <c r="E85" t="s">
        <v>197</v>
      </c>
    </row>
    <row r="86" spans="1:5" x14ac:dyDescent="0.25">
      <c r="A86" t="s">
        <v>231</v>
      </c>
      <c r="E86" t="s">
        <v>199</v>
      </c>
    </row>
    <row r="87" spans="1:5" x14ac:dyDescent="0.25">
      <c r="A87" t="s">
        <v>233</v>
      </c>
      <c r="E87" t="s">
        <v>1091</v>
      </c>
    </row>
    <row r="88" spans="1:5" x14ac:dyDescent="0.25">
      <c r="A88" t="s">
        <v>239</v>
      </c>
      <c r="E88" t="s">
        <v>1092</v>
      </c>
    </row>
    <row r="89" spans="1:5" x14ac:dyDescent="0.25">
      <c r="A89" t="s">
        <v>241</v>
      </c>
      <c r="E89" t="s">
        <v>1093</v>
      </c>
    </row>
    <row r="90" spans="1:5" x14ac:dyDescent="0.25">
      <c r="A90" t="s">
        <v>243</v>
      </c>
      <c r="E90" t="s">
        <v>1094</v>
      </c>
    </row>
    <row r="91" spans="1:5" x14ac:dyDescent="0.25">
      <c r="A91" t="s">
        <v>245</v>
      </c>
      <c r="E91" t="s">
        <v>1095</v>
      </c>
    </row>
    <row r="92" spans="1:5" x14ac:dyDescent="0.25">
      <c r="A92" t="s">
        <v>247</v>
      </c>
      <c r="E92" t="s">
        <v>220</v>
      </c>
    </row>
    <row r="93" spans="1:5" x14ac:dyDescent="0.25">
      <c r="A93" t="s">
        <v>249</v>
      </c>
      <c r="E93" t="s">
        <v>222</v>
      </c>
    </row>
    <row r="94" spans="1:5" x14ac:dyDescent="0.25">
      <c r="A94" t="s">
        <v>251</v>
      </c>
      <c r="E94" t="s">
        <v>224</v>
      </c>
    </row>
    <row r="95" spans="1:5" x14ac:dyDescent="0.25">
      <c r="A95" t="s">
        <v>253</v>
      </c>
      <c r="E95" t="s">
        <v>226</v>
      </c>
    </row>
    <row r="96" spans="1:5" x14ac:dyDescent="0.25">
      <c r="A96" t="s">
        <v>255</v>
      </c>
      <c r="E96" t="s">
        <v>228</v>
      </c>
    </row>
    <row r="97" spans="1:5" x14ac:dyDescent="0.25">
      <c r="A97" t="s">
        <v>256</v>
      </c>
      <c r="E97" t="s">
        <v>230</v>
      </c>
    </row>
    <row r="98" spans="1:5" x14ac:dyDescent="0.25">
      <c r="A98" t="s">
        <v>258</v>
      </c>
      <c r="E98" t="s">
        <v>232</v>
      </c>
    </row>
    <row r="99" spans="1:5" x14ac:dyDescent="0.25">
      <c r="A99" t="s">
        <v>260</v>
      </c>
      <c r="E99" t="s">
        <v>234</v>
      </c>
    </row>
    <row r="100" spans="1:5" x14ac:dyDescent="0.25">
      <c r="A100" t="s">
        <v>262</v>
      </c>
      <c r="E100" t="s">
        <v>236</v>
      </c>
    </row>
    <row r="101" spans="1:5" x14ac:dyDescent="0.25">
      <c r="A101" t="s">
        <v>264</v>
      </c>
      <c r="E101" t="s">
        <v>238</v>
      </c>
    </row>
    <row r="102" spans="1:5" x14ac:dyDescent="0.25">
      <c r="A102" t="s">
        <v>268</v>
      </c>
      <c r="E102" t="s">
        <v>201</v>
      </c>
    </row>
    <row r="103" spans="1:5" x14ac:dyDescent="0.25">
      <c r="A103" t="s">
        <v>270</v>
      </c>
      <c r="E103" t="s">
        <v>203</v>
      </c>
    </row>
    <row r="104" spans="1:5" x14ac:dyDescent="0.25">
      <c r="A104" t="s">
        <v>266</v>
      </c>
      <c r="E104" t="s">
        <v>205</v>
      </c>
    </row>
    <row r="105" spans="1:5" x14ac:dyDescent="0.25">
      <c r="A105" t="s">
        <v>272</v>
      </c>
      <c r="E105" t="s">
        <v>207</v>
      </c>
    </row>
    <row r="106" spans="1:5" x14ac:dyDescent="0.25">
      <c r="A106" t="s">
        <v>274</v>
      </c>
      <c r="E106" t="s">
        <v>209</v>
      </c>
    </row>
    <row r="107" spans="1:5" x14ac:dyDescent="0.25">
      <c r="A107" t="s">
        <v>276</v>
      </c>
      <c r="E107" t="s">
        <v>211</v>
      </c>
    </row>
    <row r="108" spans="1:5" x14ac:dyDescent="0.25">
      <c r="A108" t="s">
        <v>278</v>
      </c>
      <c r="E108" t="s">
        <v>213</v>
      </c>
    </row>
    <row r="109" spans="1:5" x14ac:dyDescent="0.25">
      <c r="A109" t="s">
        <v>280</v>
      </c>
      <c r="E109" t="s">
        <v>215</v>
      </c>
    </row>
    <row r="110" spans="1:5" x14ac:dyDescent="0.25">
      <c r="A110" t="s">
        <v>282</v>
      </c>
      <c r="E110" t="s">
        <v>217</v>
      </c>
    </row>
    <row r="111" spans="1:5" x14ac:dyDescent="0.25">
      <c r="A111" t="s">
        <v>284</v>
      </c>
      <c r="E111" t="s">
        <v>218</v>
      </c>
    </row>
    <row r="112" spans="1:5" x14ac:dyDescent="0.25">
      <c r="A112" t="s">
        <v>286</v>
      </c>
      <c r="E112" t="s">
        <v>248</v>
      </c>
    </row>
    <row r="113" spans="1:5" x14ac:dyDescent="0.25">
      <c r="A113" t="s">
        <v>288</v>
      </c>
      <c r="E113" t="s">
        <v>250</v>
      </c>
    </row>
    <row r="114" spans="1:5" x14ac:dyDescent="0.25">
      <c r="A114" t="s">
        <v>290</v>
      </c>
      <c r="E114" t="s">
        <v>252</v>
      </c>
    </row>
    <row r="115" spans="1:5" x14ac:dyDescent="0.25">
      <c r="A115" t="s">
        <v>830</v>
      </c>
      <c r="E115" t="s">
        <v>254</v>
      </c>
    </row>
    <row r="116" spans="1:5" x14ac:dyDescent="0.25">
      <c r="A116" t="s">
        <v>292</v>
      </c>
      <c r="E116" t="s">
        <v>240</v>
      </c>
    </row>
    <row r="117" spans="1:5" x14ac:dyDescent="0.25">
      <c r="A117" t="s">
        <v>294</v>
      </c>
      <c r="E117" t="s">
        <v>242</v>
      </c>
    </row>
    <row r="118" spans="1:5" x14ac:dyDescent="0.25">
      <c r="A118" t="s">
        <v>823</v>
      </c>
      <c r="E118" t="s">
        <v>244</v>
      </c>
    </row>
    <row r="119" spans="1:5" x14ac:dyDescent="0.25">
      <c r="A119" t="s">
        <v>297</v>
      </c>
      <c r="E119" t="s">
        <v>246</v>
      </c>
    </row>
    <row r="120" spans="1:5" x14ac:dyDescent="0.25">
      <c r="A120" t="s">
        <v>299</v>
      </c>
      <c r="E120" t="s">
        <v>281</v>
      </c>
    </row>
    <row r="121" spans="1:5" x14ac:dyDescent="0.25">
      <c r="A121" t="s">
        <v>301</v>
      </c>
      <c r="E121" t="s">
        <v>527</v>
      </c>
    </row>
    <row r="122" spans="1:5" x14ac:dyDescent="0.25">
      <c r="A122" t="s">
        <v>303</v>
      </c>
      <c r="E122" t="s">
        <v>529</v>
      </c>
    </row>
    <row r="123" spans="1:5" x14ac:dyDescent="0.25">
      <c r="A123" t="s">
        <v>305</v>
      </c>
      <c r="E123" t="s">
        <v>531</v>
      </c>
    </row>
    <row r="124" spans="1:5" x14ac:dyDescent="0.25">
      <c r="A124" t="s">
        <v>307</v>
      </c>
      <c r="E124" t="s">
        <v>533</v>
      </c>
    </row>
    <row r="125" spans="1:5" x14ac:dyDescent="0.25">
      <c r="A125" t="s">
        <v>309</v>
      </c>
      <c r="E125" t="s">
        <v>536</v>
      </c>
    </row>
    <row r="126" spans="1:5" x14ac:dyDescent="0.25">
      <c r="A126" t="s">
        <v>311</v>
      </c>
      <c r="E126" t="s">
        <v>538</v>
      </c>
    </row>
    <row r="127" spans="1:5" x14ac:dyDescent="0.25">
      <c r="A127" t="s">
        <v>313</v>
      </c>
      <c r="E127" t="s">
        <v>540</v>
      </c>
    </row>
    <row r="128" spans="1:5" x14ac:dyDescent="0.25">
      <c r="A128" t="s">
        <v>315</v>
      </c>
      <c r="E128" t="s">
        <v>542</v>
      </c>
    </row>
    <row r="129" spans="1:5" x14ac:dyDescent="0.25">
      <c r="A129" t="s">
        <v>317</v>
      </c>
      <c r="E129" t="s">
        <v>544</v>
      </c>
    </row>
    <row r="130" spans="1:5" x14ac:dyDescent="0.25">
      <c r="A130" t="s">
        <v>319</v>
      </c>
      <c r="E130" t="s">
        <v>546</v>
      </c>
    </row>
    <row r="131" spans="1:5" x14ac:dyDescent="0.25">
      <c r="A131" t="s">
        <v>321</v>
      </c>
      <c r="E131" t="s">
        <v>548</v>
      </c>
    </row>
    <row r="132" spans="1:5" x14ac:dyDescent="0.25">
      <c r="A132" t="s">
        <v>323</v>
      </c>
      <c r="E132" t="s">
        <v>550</v>
      </c>
    </row>
    <row r="133" spans="1:5" x14ac:dyDescent="0.25">
      <c r="A133" t="s">
        <v>324</v>
      </c>
      <c r="E133" t="s">
        <v>552</v>
      </c>
    </row>
    <row r="134" spans="1:5" x14ac:dyDescent="0.25">
      <c r="A134" t="s">
        <v>325</v>
      </c>
      <c r="E134" t="s">
        <v>556</v>
      </c>
    </row>
    <row r="135" spans="1:5" x14ac:dyDescent="0.25">
      <c r="A135" t="s">
        <v>326</v>
      </c>
      <c r="E135" t="s">
        <v>567</v>
      </c>
    </row>
    <row r="136" spans="1:5" x14ac:dyDescent="0.25">
      <c r="A136" t="s">
        <v>331</v>
      </c>
      <c r="E136" t="s">
        <v>574</v>
      </c>
    </row>
    <row r="137" spans="1:5" x14ac:dyDescent="0.25">
      <c r="A137" t="s">
        <v>327</v>
      </c>
      <c r="E137" t="s">
        <v>575</v>
      </c>
    </row>
    <row r="138" spans="1:5" x14ac:dyDescent="0.25">
      <c r="A138" t="s">
        <v>329</v>
      </c>
      <c r="E138" t="s">
        <v>577</v>
      </c>
    </row>
    <row r="139" spans="1:5" x14ac:dyDescent="0.25">
      <c r="A139" t="s">
        <v>333</v>
      </c>
      <c r="E139" t="s">
        <v>583</v>
      </c>
    </row>
    <row r="140" spans="1:5" x14ac:dyDescent="0.25">
      <c r="A140" t="s">
        <v>335</v>
      </c>
      <c r="E140" t="s">
        <v>579</v>
      </c>
    </row>
    <row r="141" spans="1:5" x14ac:dyDescent="0.25">
      <c r="A141" t="s">
        <v>337</v>
      </c>
      <c r="E141" t="s">
        <v>581</v>
      </c>
    </row>
    <row r="142" spans="1:5" x14ac:dyDescent="0.25">
      <c r="A142" t="s">
        <v>339</v>
      </c>
      <c r="E142" t="s">
        <v>585</v>
      </c>
    </row>
    <row r="143" spans="1:5" x14ac:dyDescent="0.25">
      <c r="A143" t="s">
        <v>343</v>
      </c>
      <c r="E143" t="s">
        <v>257</v>
      </c>
    </row>
    <row r="144" spans="1:5" x14ac:dyDescent="0.25">
      <c r="A144" t="s">
        <v>341</v>
      </c>
      <c r="E144" t="s">
        <v>259</v>
      </c>
    </row>
    <row r="145" spans="1:5" x14ac:dyDescent="0.25">
      <c r="A145" t="s">
        <v>345</v>
      </c>
      <c r="E145" t="s">
        <v>261</v>
      </c>
    </row>
    <row r="146" spans="1:5" x14ac:dyDescent="0.25">
      <c r="A146" t="s">
        <v>347</v>
      </c>
      <c r="E146" t="s">
        <v>263</v>
      </c>
    </row>
    <row r="147" spans="1:5" x14ac:dyDescent="0.25">
      <c r="A147" t="s">
        <v>349</v>
      </c>
      <c r="E147" t="s">
        <v>265</v>
      </c>
    </row>
    <row r="148" spans="1:5" x14ac:dyDescent="0.25">
      <c r="A148" t="s">
        <v>351</v>
      </c>
      <c r="E148" t="s">
        <v>267</v>
      </c>
    </row>
    <row r="149" spans="1:5" x14ac:dyDescent="0.25">
      <c r="A149" t="s">
        <v>353</v>
      </c>
      <c r="E149" t="s">
        <v>269</v>
      </c>
    </row>
    <row r="150" spans="1:5" x14ac:dyDescent="0.25">
      <c r="A150" t="s">
        <v>355</v>
      </c>
      <c r="E150" t="s">
        <v>271</v>
      </c>
    </row>
    <row r="151" spans="1:5" x14ac:dyDescent="0.25">
      <c r="A151" t="s">
        <v>357</v>
      </c>
      <c r="E151" t="s">
        <v>273</v>
      </c>
    </row>
    <row r="152" spans="1:5" x14ac:dyDescent="0.25">
      <c r="A152" t="s">
        <v>361</v>
      </c>
      <c r="E152" t="s">
        <v>275</v>
      </c>
    </row>
    <row r="153" spans="1:5" x14ac:dyDescent="0.25">
      <c r="A153" t="s">
        <v>822</v>
      </c>
      <c r="E153" t="s">
        <v>277</v>
      </c>
    </row>
    <row r="154" spans="1:5" x14ac:dyDescent="0.25">
      <c r="A154" t="s">
        <v>359</v>
      </c>
      <c r="E154" t="s">
        <v>279</v>
      </c>
    </row>
    <row r="155" spans="1:5" x14ac:dyDescent="0.25">
      <c r="A155" t="s">
        <v>363</v>
      </c>
      <c r="E155" t="s">
        <v>283</v>
      </c>
    </row>
    <row r="156" spans="1:5" x14ac:dyDescent="0.25">
      <c r="A156" t="s">
        <v>365</v>
      </c>
      <c r="E156" t="s">
        <v>285</v>
      </c>
    </row>
    <row r="157" spans="1:5" x14ac:dyDescent="0.25">
      <c r="A157" t="s">
        <v>367</v>
      </c>
      <c r="E157" t="s">
        <v>287</v>
      </c>
    </row>
    <row r="158" spans="1:5" x14ac:dyDescent="0.25">
      <c r="A158" t="s">
        <v>369</v>
      </c>
      <c r="E158" t="s">
        <v>289</v>
      </c>
    </row>
    <row r="159" spans="1:5" x14ac:dyDescent="0.25">
      <c r="A159" t="s">
        <v>371</v>
      </c>
      <c r="E159" t="s">
        <v>291</v>
      </c>
    </row>
    <row r="160" spans="1:5" x14ac:dyDescent="0.25">
      <c r="A160" t="s">
        <v>373</v>
      </c>
      <c r="E160" t="s">
        <v>293</v>
      </c>
    </row>
    <row r="161" spans="1:5" x14ac:dyDescent="0.25">
      <c r="A161" t="s">
        <v>375</v>
      </c>
      <c r="E161" t="s">
        <v>295</v>
      </c>
    </row>
    <row r="162" spans="1:5" x14ac:dyDescent="0.25">
      <c r="A162" t="s">
        <v>831</v>
      </c>
      <c r="E162" t="s">
        <v>296</v>
      </c>
    </row>
    <row r="163" spans="1:5" x14ac:dyDescent="0.25">
      <c r="A163" t="s">
        <v>377</v>
      </c>
      <c r="E163" t="s">
        <v>298</v>
      </c>
    </row>
    <row r="164" spans="1:5" x14ac:dyDescent="0.25">
      <c r="A164" t="s">
        <v>379</v>
      </c>
      <c r="E164" t="s">
        <v>300</v>
      </c>
    </row>
    <row r="165" spans="1:5" x14ac:dyDescent="0.25">
      <c r="A165" t="s">
        <v>824</v>
      </c>
      <c r="E165" t="s">
        <v>302</v>
      </c>
    </row>
    <row r="166" spans="1:5" x14ac:dyDescent="0.25">
      <c r="A166" t="s">
        <v>381</v>
      </c>
      <c r="E166" t="s">
        <v>304</v>
      </c>
    </row>
    <row r="167" spans="1:5" x14ac:dyDescent="0.25">
      <c r="A167" t="s">
        <v>383</v>
      </c>
      <c r="E167" t="s">
        <v>306</v>
      </c>
    </row>
    <row r="168" spans="1:5" x14ac:dyDescent="0.25">
      <c r="A168" t="s">
        <v>385</v>
      </c>
      <c r="E168" t="s">
        <v>308</v>
      </c>
    </row>
    <row r="169" spans="1:5" x14ac:dyDescent="0.25">
      <c r="A169" t="s">
        <v>387</v>
      </c>
      <c r="E169" t="s">
        <v>999</v>
      </c>
    </row>
    <row r="170" spans="1:5" x14ac:dyDescent="0.25">
      <c r="A170" t="s">
        <v>389</v>
      </c>
      <c r="E170" t="s">
        <v>310</v>
      </c>
    </row>
    <row r="171" spans="1:5" x14ac:dyDescent="0.25">
      <c r="A171" t="s">
        <v>390</v>
      </c>
      <c r="E171" t="s">
        <v>312</v>
      </c>
    </row>
    <row r="172" spans="1:5" x14ac:dyDescent="0.25">
      <c r="A172" t="s">
        <v>391</v>
      </c>
      <c r="E172" t="s">
        <v>314</v>
      </c>
    </row>
    <row r="173" spans="1:5" x14ac:dyDescent="0.25">
      <c r="A173" t="s">
        <v>845</v>
      </c>
      <c r="E173" t="s">
        <v>316</v>
      </c>
    </row>
    <row r="174" spans="1:5" x14ac:dyDescent="0.25">
      <c r="A174" t="s">
        <v>392</v>
      </c>
      <c r="E174" t="s">
        <v>318</v>
      </c>
    </row>
    <row r="175" spans="1:5" x14ac:dyDescent="0.25">
      <c r="A175" t="s">
        <v>393</v>
      </c>
      <c r="E175" t="s">
        <v>320</v>
      </c>
    </row>
    <row r="176" spans="1:5" x14ac:dyDescent="0.25">
      <c r="A176" t="s">
        <v>395</v>
      </c>
      <c r="E176" t="s">
        <v>322</v>
      </c>
    </row>
    <row r="177" spans="1:5" x14ac:dyDescent="0.25">
      <c r="A177" t="s">
        <v>397</v>
      </c>
      <c r="E177" t="s">
        <v>328</v>
      </c>
    </row>
    <row r="178" spans="1:5" x14ac:dyDescent="0.25">
      <c r="A178" t="s">
        <v>399</v>
      </c>
      <c r="E178" t="s">
        <v>330</v>
      </c>
    </row>
    <row r="179" spans="1:5" x14ac:dyDescent="0.25">
      <c r="A179" t="s">
        <v>401</v>
      </c>
      <c r="E179" t="s">
        <v>332</v>
      </c>
    </row>
    <row r="180" spans="1:5" x14ac:dyDescent="0.25">
      <c r="A180" t="s">
        <v>403</v>
      </c>
      <c r="E180" t="s">
        <v>334</v>
      </c>
    </row>
    <row r="181" spans="1:5" x14ac:dyDescent="0.25">
      <c r="A181" t="s">
        <v>405</v>
      </c>
      <c r="E181" t="s">
        <v>336</v>
      </c>
    </row>
    <row r="182" spans="1:5" x14ac:dyDescent="0.25">
      <c r="A182" t="s">
        <v>407</v>
      </c>
      <c r="E182" t="s">
        <v>338</v>
      </c>
    </row>
    <row r="183" spans="1:5" x14ac:dyDescent="0.25">
      <c r="A183" t="s">
        <v>409</v>
      </c>
      <c r="E183" t="s">
        <v>340</v>
      </c>
    </row>
    <row r="184" spans="1:5" x14ac:dyDescent="0.25">
      <c r="A184" t="s">
        <v>411</v>
      </c>
      <c r="E184" t="s">
        <v>342</v>
      </c>
    </row>
    <row r="185" spans="1:5" x14ac:dyDescent="0.25">
      <c r="A185" t="s">
        <v>413</v>
      </c>
      <c r="E185" t="s">
        <v>344</v>
      </c>
    </row>
    <row r="186" spans="1:5" x14ac:dyDescent="0.25">
      <c r="A186" t="s">
        <v>415</v>
      </c>
      <c r="E186" t="s">
        <v>346</v>
      </c>
    </row>
    <row r="187" spans="1:5" x14ac:dyDescent="0.25">
      <c r="A187" t="s">
        <v>417</v>
      </c>
      <c r="E187" t="s">
        <v>348</v>
      </c>
    </row>
    <row r="188" spans="1:5" x14ac:dyDescent="0.25">
      <c r="A188" t="s">
        <v>419</v>
      </c>
      <c r="E188" t="s">
        <v>350</v>
      </c>
    </row>
    <row r="189" spans="1:5" x14ac:dyDescent="0.25">
      <c r="A189" t="s">
        <v>421</v>
      </c>
      <c r="E189" t="s">
        <v>352</v>
      </c>
    </row>
    <row r="190" spans="1:5" x14ac:dyDescent="0.25">
      <c r="A190" t="s">
        <v>423</v>
      </c>
      <c r="E190" t="s">
        <v>354</v>
      </c>
    </row>
    <row r="191" spans="1:5" x14ac:dyDescent="0.25">
      <c r="A191" t="s">
        <v>425</v>
      </c>
      <c r="E191" t="s">
        <v>356</v>
      </c>
    </row>
    <row r="192" spans="1:5" x14ac:dyDescent="0.25">
      <c r="A192" t="s">
        <v>427</v>
      </c>
      <c r="E192" t="s">
        <v>358</v>
      </c>
    </row>
    <row r="193" spans="1:5" x14ac:dyDescent="0.25">
      <c r="A193" t="s">
        <v>429</v>
      </c>
      <c r="E193" t="s">
        <v>360</v>
      </c>
    </row>
    <row r="194" spans="1:5" x14ac:dyDescent="0.25">
      <c r="A194" t="s">
        <v>431</v>
      </c>
      <c r="E194" t="s">
        <v>362</v>
      </c>
    </row>
    <row r="195" spans="1:5" x14ac:dyDescent="0.25">
      <c r="A195" t="s">
        <v>433</v>
      </c>
      <c r="E195" t="s">
        <v>364</v>
      </c>
    </row>
    <row r="196" spans="1:5" x14ac:dyDescent="0.25">
      <c r="A196" t="s">
        <v>835</v>
      </c>
      <c r="E196" t="s">
        <v>366</v>
      </c>
    </row>
    <row r="197" spans="1:5" x14ac:dyDescent="0.25">
      <c r="A197" t="s">
        <v>435</v>
      </c>
      <c r="E197" t="s">
        <v>368</v>
      </c>
    </row>
    <row r="198" spans="1:5" x14ac:dyDescent="0.25">
      <c r="A198" t="s">
        <v>437</v>
      </c>
      <c r="E198" t="s">
        <v>370</v>
      </c>
    </row>
    <row r="199" spans="1:5" x14ac:dyDescent="0.25">
      <c r="A199" t="s">
        <v>439</v>
      </c>
      <c r="E199" t="s">
        <v>372</v>
      </c>
    </row>
    <row r="200" spans="1:5" x14ac:dyDescent="0.25">
      <c r="A200" t="s">
        <v>441</v>
      </c>
      <c r="E200" t="s">
        <v>374</v>
      </c>
    </row>
    <row r="201" spans="1:5" x14ac:dyDescent="0.25">
      <c r="A201" t="s">
        <v>443</v>
      </c>
      <c r="E201" t="s">
        <v>376</v>
      </c>
    </row>
    <row r="202" spans="1:5" x14ac:dyDescent="0.25">
      <c r="A202" t="s">
        <v>445</v>
      </c>
      <c r="E202" t="s">
        <v>378</v>
      </c>
    </row>
    <row r="203" spans="1:5" x14ac:dyDescent="0.25">
      <c r="A203" t="s">
        <v>447</v>
      </c>
      <c r="E203" t="s">
        <v>380</v>
      </c>
    </row>
    <row r="204" spans="1:5" x14ac:dyDescent="0.25">
      <c r="A204" t="s">
        <v>461</v>
      </c>
      <c r="E204" t="s">
        <v>382</v>
      </c>
    </row>
    <row r="205" spans="1:5" x14ac:dyDescent="0.25">
      <c r="A205" t="s">
        <v>463</v>
      </c>
      <c r="E205" t="s">
        <v>384</v>
      </c>
    </row>
    <row r="206" spans="1:5" x14ac:dyDescent="0.25">
      <c r="A206" t="s">
        <v>464</v>
      </c>
      <c r="E206" t="s">
        <v>386</v>
      </c>
    </row>
    <row r="207" spans="1:5" x14ac:dyDescent="0.25">
      <c r="A207" t="s">
        <v>465</v>
      </c>
      <c r="E207" t="s">
        <v>388</v>
      </c>
    </row>
    <row r="208" spans="1:5" x14ac:dyDescent="0.25">
      <c r="A208" t="s">
        <v>466</v>
      </c>
      <c r="E208" t="s">
        <v>394</v>
      </c>
    </row>
    <row r="209" spans="1:5" x14ac:dyDescent="0.25">
      <c r="A209" t="s">
        <v>467</v>
      </c>
      <c r="E209" t="s">
        <v>396</v>
      </c>
    </row>
    <row r="210" spans="1:5" x14ac:dyDescent="0.25">
      <c r="A210" t="s">
        <v>468</v>
      </c>
      <c r="E210" t="s">
        <v>398</v>
      </c>
    </row>
    <row r="211" spans="1:5" x14ac:dyDescent="0.25">
      <c r="A211" t="s">
        <v>470</v>
      </c>
      <c r="E211" t="s">
        <v>400</v>
      </c>
    </row>
    <row r="212" spans="1:5" x14ac:dyDescent="0.25">
      <c r="A212" t="s">
        <v>449</v>
      </c>
      <c r="E212" t="s">
        <v>438</v>
      </c>
    </row>
    <row r="213" spans="1:5" x14ac:dyDescent="0.25">
      <c r="A213" t="s">
        <v>450</v>
      </c>
      <c r="E213" t="s">
        <v>410</v>
      </c>
    </row>
    <row r="214" spans="1:5" x14ac:dyDescent="0.25">
      <c r="A214" t="s">
        <v>451</v>
      </c>
      <c r="E214" t="s">
        <v>412</v>
      </c>
    </row>
    <row r="215" spans="1:5" x14ac:dyDescent="0.25">
      <c r="A215" t="s">
        <v>452</v>
      </c>
      <c r="E215" t="s">
        <v>414</v>
      </c>
    </row>
    <row r="216" spans="1:5" x14ac:dyDescent="0.25">
      <c r="A216" t="s">
        <v>453</v>
      </c>
      <c r="E216" t="s">
        <v>416</v>
      </c>
    </row>
    <row r="217" spans="1:5" x14ac:dyDescent="0.25">
      <c r="A217" t="s">
        <v>455</v>
      </c>
      <c r="E217" t="s">
        <v>418</v>
      </c>
    </row>
    <row r="218" spans="1:5" x14ac:dyDescent="0.25">
      <c r="A218" t="s">
        <v>457</v>
      </c>
      <c r="E218" t="s">
        <v>420</v>
      </c>
    </row>
    <row r="219" spans="1:5" x14ac:dyDescent="0.25">
      <c r="A219" t="s">
        <v>459</v>
      </c>
      <c r="E219" t="s">
        <v>422</v>
      </c>
    </row>
    <row r="220" spans="1:5" x14ac:dyDescent="0.25">
      <c r="A220" t="s">
        <v>472</v>
      </c>
      <c r="E220" t="s">
        <v>424</v>
      </c>
    </row>
    <row r="221" spans="1:5" x14ac:dyDescent="0.25">
      <c r="A221" t="s">
        <v>474</v>
      </c>
      <c r="E221" t="s">
        <v>426</v>
      </c>
    </row>
    <row r="222" spans="1:5" x14ac:dyDescent="0.25">
      <c r="A222" t="s">
        <v>476</v>
      </c>
      <c r="E222" t="s">
        <v>428</v>
      </c>
    </row>
    <row r="223" spans="1:5" x14ac:dyDescent="0.25">
      <c r="A223" t="s">
        <v>478</v>
      </c>
      <c r="E223" t="s">
        <v>402</v>
      </c>
    </row>
    <row r="224" spans="1:5" x14ac:dyDescent="0.25">
      <c r="A224" t="s">
        <v>480</v>
      </c>
      <c r="E224" t="s">
        <v>404</v>
      </c>
    </row>
    <row r="225" spans="1:5" x14ac:dyDescent="0.25">
      <c r="A225" t="s">
        <v>481</v>
      </c>
      <c r="E225" t="s">
        <v>406</v>
      </c>
    </row>
    <row r="226" spans="1:5" x14ac:dyDescent="0.25">
      <c r="A226" t="s">
        <v>482</v>
      </c>
      <c r="E226" t="s">
        <v>408</v>
      </c>
    </row>
    <row r="227" spans="1:5" x14ac:dyDescent="0.25">
      <c r="A227" t="s">
        <v>483</v>
      </c>
      <c r="E227" t="s">
        <v>430</v>
      </c>
    </row>
    <row r="228" spans="1:5" x14ac:dyDescent="0.25">
      <c r="A228" t="s">
        <v>484</v>
      </c>
      <c r="E228" t="s">
        <v>432</v>
      </c>
    </row>
    <row r="229" spans="1:5" x14ac:dyDescent="0.25">
      <c r="A229" t="s">
        <v>486</v>
      </c>
      <c r="E229" t="s">
        <v>434</v>
      </c>
    </row>
    <row r="230" spans="1:5" x14ac:dyDescent="0.25">
      <c r="A230" t="s">
        <v>488</v>
      </c>
      <c r="E230" t="s">
        <v>436</v>
      </c>
    </row>
    <row r="231" spans="1:5" x14ac:dyDescent="0.25">
      <c r="A231" t="s">
        <v>490</v>
      </c>
      <c r="E231" t="s">
        <v>440</v>
      </c>
    </row>
    <row r="232" spans="1:5" x14ac:dyDescent="0.25">
      <c r="A232" t="s">
        <v>492</v>
      </c>
      <c r="E232" t="s">
        <v>1000</v>
      </c>
    </row>
    <row r="233" spans="1:5" x14ac:dyDescent="0.25">
      <c r="A233" t="s">
        <v>496</v>
      </c>
      <c r="E233" t="s">
        <v>442</v>
      </c>
    </row>
    <row r="234" spans="1:5" x14ac:dyDescent="0.25">
      <c r="A234" t="s">
        <v>494</v>
      </c>
      <c r="E234" t="s">
        <v>444</v>
      </c>
    </row>
    <row r="235" spans="1:5" x14ac:dyDescent="0.25">
      <c r="A235" t="s">
        <v>497</v>
      </c>
      <c r="E235" t="s">
        <v>446</v>
      </c>
    </row>
    <row r="236" spans="1:5" x14ac:dyDescent="0.25">
      <c r="A236" t="s">
        <v>499</v>
      </c>
      <c r="E236" t="s">
        <v>448</v>
      </c>
    </row>
    <row r="237" spans="1:5" x14ac:dyDescent="0.25">
      <c r="A237" t="s">
        <v>501</v>
      </c>
      <c r="E237" t="s">
        <v>454</v>
      </c>
    </row>
    <row r="238" spans="1:5" x14ac:dyDescent="0.25">
      <c r="A238" t="s">
        <v>503</v>
      </c>
      <c r="E238" t="s">
        <v>1001</v>
      </c>
    </row>
    <row r="239" spans="1:5" x14ac:dyDescent="0.25">
      <c r="A239" t="s">
        <v>505</v>
      </c>
      <c r="E239" t="s">
        <v>456</v>
      </c>
    </row>
    <row r="240" spans="1:5" x14ac:dyDescent="0.25">
      <c r="A240" t="s">
        <v>507</v>
      </c>
      <c r="E240" t="s">
        <v>458</v>
      </c>
    </row>
    <row r="241" spans="1:5" x14ac:dyDescent="0.25">
      <c r="A241" t="s">
        <v>509</v>
      </c>
      <c r="E241" t="s">
        <v>460</v>
      </c>
    </row>
    <row r="242" spans="1:5" x14ac:dyDescent="0.25">
      <c r="A242" t="s">
        <v>825</v>
      </c>
      <c r="E242" t="s">
        <v>462</v>
      </c>
    </row>
    <row r="243" spans="1:5" x14ac:dyDescent="0.25">
      <c r="A243" t="s">
        <v>511</v>
      </c>
      <c r="E243" t="s">
        <v>469</v>
      </c>
    </row>
    <row r="244" spans="1:5" x14ac:dyDescent="0.25">
      <c r="A244" t="s">
        <v>513</v>
      </c>
      <c r="E244" t="s">
        <v>471</v>
      </c>
    </row>
    <row r="245" spans="1:5" x14ac:dyDescent="0.25">
      <c r="A245" t="s">
        <v>515</v>
      </c>
      <c r="E245" t="s">
        <v>473</v>
      </c>
    </row>
    <row r="246" spans="1:5" x14ac:dyDescent="0.25">
      <c r="A246" t="s">
        <v>517</v>
      </c>
      <c r="E246" t="s">
        <v>475</v>
      </c>
    </row>
    <row r="247" spans="1:5" x14ac:dyDescent="0.25">
      <c r="A247" t="s">
        <v>519</v>
      </c>
      <c r="E247" t="s">
        <v>477</v>
      </c>
    </row>
    <row r="248" spans="1:5" x14ac:dyDescent="0.25">
      <c r="A248" t="s">
        <v>521</v>
      </c>
      <c r="E248" t="s">
        <v>479</v>
      </c>
    </row>
    <row r="249" spans="1:5" x14ac:dyDescent="0.25">
      <c r="A249" t="s">
        <v>522</v>
      </c>
      <c r="E249" t="s">
        <v>485</v>
      </c>
    </row>
    <row r="250" spans="1:5" x14ac:dyDescent="0.25">
      <c r="A250" t="s">
        <v>523</v>
      </c>
      <c r="E250" t="s">
        <v>487</v>
      </c>
    </row>
    <row r="251" spans="1:5" x14ac:dyDescent="0.25">
      <c r="A251" t="s">
        <v>524</v>
      </c>
      <c r="E251" t="s">
        <v>489</v>
      </c>
    </row>
    <row r="252" spans="1:5" x14ac:dyDescent="0.25">
      <c r="A252" t="s">
        <v>525</v>
      </c>
      <c r="E252" t="s">
        <v>491</v>
      </c>
    </row>
    <row r="253" spans="1:5" x14ac:dyDescent="0.25">
      <c r="A253" t="s">
        <v>526</v>
      </c>
      <c r="E253" t="s">
        <v>493</v>
      </c>
    </row>
    <row r="254" spans="1:5" x14ac:dyDescent="0.25">
      <c r="A254" t="s">
        <v>528</v>
      </c>
      <c r="E254" t="s">
        <v>495</v>
      </c>
    </row>
    <row r="255" spans="1:5" x14ac:dyDescent="0.25">
      <c r="A255" t="s">
        <v>530</v>
      </c>
      <c r="E255" t="s">
        <v>84</v>
      </c>
    </row>
    <row r="256" spans="1:5" x14ac:dyDescent="0.25">
      <c r="A256" t="s">
        <v>532</v>
      </c>
      <c r="E256" t="s">
        <v>498</v>
      </c>
    </row>
    <row r="257" spans="1:5" x14ac:dyDescent="0.25">
      <c r="A257" t="s">
        <v>534</v>
      </c>
      <c r="E257" t="s">
        <v>500</v>
      </c>
    </row>
    <row r="258" spans="1:5" x14ac:dyDescent="0.25">
      <c r="A258" t="s">
        <v>537</v>
      </c>
      <c r="E258" t="s">
        <v>502</v>
      </c>
    </row>
    <row r="259" spans="1:5" x14ac:dyDescent="0.25">
      <c r="A259" t="s">
        <v>535</v>
      </c>
      <c r="E259" t="s">
        <v>504</v>
      </c>
    </row>
    <row r="260" spans="1:5" x14ac:dyDescent="0.25">
      <c r="A260" t="s">
        <v>541</v>
      </c>
      <c r="E260" t="s">
        <v>506</v>
      </c>
    </row>
    <row r="261" spans="1:5" x14ac:dyDescent="0.25">
      <c r="A261" t="s">
        <v>543</v>
      </c>
      <c r="E261" t="s">
        <v>512</v>
      </c>
    </row>
    <row r="262" spans="1:5" x14ac:dyDescent="0.25">
      <c r="A262" t="s">
        <v>545</v>
      </c>
      <c r="E262" t="s">
        <v>514</v>
      </c>
    </row>
    <row r="263" spans="1:5" x14ac:dyDescent="0.25">
      <c r="A263" t="s">
        <v>547</v>
      </c>
      <c r="E263" t="s">
        <v>1096</v>
      </c>
    </row>
    <row r="264" spans="1:5" x14ac:dyDescent="0.25">
      <c r="A264" t="s">
        <v>539</v>
      </c>
      <c r="E264" t="s">
        <v>516</v>
      </c>
    </row>
    <row r="265" spans="1:5" x14ac:dyDescent="0.25">
      <c r="A265" t="s">
        <v>549</v>
      </c>
      <c r="E265" t="s">
        <v>518</v>
      </c>
    </row>
    <row r="266" spans="1:5" x14ac:dyDescent="0.25">
      <c r="A266" t="s">
        <v>551</v>
      </c>
      <c r="E266" t="s">
        <v>520</v>
      </c>
    </row>
    <row r="267" spans="1:5" x14ac:dyDescent="0.25">
      <c r="A267" t="s">
        <v>849</v>
      </c>
      <c r="E267" t="s">
        <v>508</v>
      </c>
    </row>
    <row r="268" spans="1:5" x14ac:dyDescent="0.25">
      <c r="A268" t="s">
        <v>553</v>
      </c>
      <c r="E268" t="s">
        <v>510</v>
      </c>
    </row>
    <row r="269" spans="1:5" x14ac:dyDescent="0.25">
      <c r="A269" t="s">
        <v>554</v>
      </c>
      <c r="E269" t="s">
        <v>587</v>
      </c>
    </row>
    <row r="270" spans="1:5" x14ac:dyDescent="0.25">
      <c r="A270" t="s">
        <v>555</v>
      </c>
      <c r="E270" t="s">
        <v>1097</v>
      </c>
    </row>
    <row r="271" spans="1:5" x14ac:dyDescent="0.25">
      <c r="A271" t="s">
        <v>563</v>
      </c>
      <c r="E271" t="s">
        <v>1098</v>
      </c>
    </row>
    <row r="272" spans="1:5" x14ac:dyDescent="0.25">
      <c r="A272" t="s">
        <v>564</v>
      </c>
      <c r="E272" t="s">
        <v>589</v>
      </c>
    </row>
    <row r="273" spans="1:5" x14ac:dyDescent="0.25">
      <c r="A273" t="s">
        <v>565</v>
      </c>
      <c r="E273" t="s">
        <v>1099</v>
      </c>
    </row>
    <row r="274" spans="1:5" x14ac:dyDescent="0.25">
      <c r="A274" t="s">
        <v>566</v>
      </c>
      <c r="E274" t="s">
        <v>599</v>
      </c>
    </row>
    <row r="275" spans="1:5" x14ac:dyDescent="0.25">
      <c r="A275" t="s">
        <v>568</v>
      </c>
      <c r="E275" t="s">
        <v>607</v>
      </c>
    </row>
    <row r="276" spans="1:5" x14ac:dyDescent="0.25">
      <c r="A276" t="s">
        <v>569</v>
      </c>
      <c r="E276" t="s">
        <v>609</v>
      </c>
    </row>
    <row r="277" spans="1:5" x14ac:dyDescent="0.25">
      <c r="A277" t="s">
        <v>558</v>
      </c>
      <c r="E277" t="s">
        <v>611</v>
      </c>
    </row>
    <row r="278" spans="1:5" x14ac:dyDescent="0.25">
      <c r="A278" t="s">
        <v>557</v>
      </c>
      <c r="E278" t="s">
        <v>601</v>
      </c>
    </row>
    <row r="279" spans="1:5" x14ac:dyDescent="0.25">
      <c r="A279" t="s">
        <v>559</v>
      </c>
      <c r="E279" t="s">
        <v>603</v>
      </c>
    </row>
    <row r="280" spans="1:5" x14ac:dyDescent="0.25">
      <c r="A280" t="s">
        <v>560</v>
      </c>
      <c r="E280" t="s">
        <v>605</v>
      </c>
    </row>
    <row r="281" spans="1:5" x14ac:dyDescent="0.25">
      <c r="A281" t="s">
        <v>561</v>
      </c>
      <c r="E281" t="s">
        <v>613</v>
      </c>
    </row>
    <row r="282" spans="1:5" x14ac:dyDescent="0.25">
      <c r="A282" t="s">
        <v>562</v>
      </c>
      <c r="E282" t="s">
        <v>615</v>
      </c>
    </row>
    <row r="283" spans="1:5" x14ac:dyDescent="0.25">
      <c r="A283" t="s">
        <v>573</v>
      </c>
      <c r="E283" t="s">
        <v>617</v>
      </c>
    </row>
    <row r="284" spans="1:5" x14ac:dyDescent="0.25">
      <c r="A284" t="s">
        <v>850</v>
      </c>
      <c r="E284" t="s">
        <v>619</v>
      </c>
    </row>
    <row r="285" spans="1:5" x14ac:dyDescent="0.25">
      <c r="A285" t="s">
        <v>576</v>
      </c>
      <c r="E285" t="s">
        <v>621</v>
      </c>
    </row>
    <row r="286" spans="1:5" x14ac:dyDescent="0.25">
      <c r="A286" t="s">
        <v>826</v>
      </c>
      <c r="E286" t="s">
        <v>623</v>
      </c>
    </row>
    <row r="287" spans="1:5" x14ac:dyDescent="0.25">
      <c r="A287" t="s">
        <v>578</v>
      </c>
      <c r="E287" t="s">
        <v>625</v>
      </c>
    </row>
    <row r="288" spans="1:5" x14ac:dyDescent="0.25">
      <c r="A288" t="s">
        <v>570</v>
      </c>
      <c r="E288" t="s">
        <v>627</v>
      </c>
    </row>
    <row r="289" spans="1:5" x14ac:dyDescent="0.25">
      <c r="A289" t="s">
        <v>571</v>
      </c>
      <c r="E289" t="s">
        <v>1100</v>
      </c>
    </row>
    <row r="290" spans="1:5" x14ac:dyDescent="0.25">
      <c r="A290" t="s">
        <v>572</v>
      </c>
      <c r="E290" t="s">
        <v>1101</v>
      </c>
    </row>
    <row r="291" spans="1:5" x14ac:dyDescent="0.25">
      <c r="A291" t="s">
        <v>827</v>
      </c>
      <c r="E291" t="s">
        <v>1102</v>
      </c>
    </row>
    <row r="292" spans="1:5" x14ac:dyDescent="0.25">
      <c r="A292" t="s">
        <v>580</v>
      </c>
      <c r="E292" t="s">
        <v>1103</v>
      </c>
    </row>
    <row r="293" spans="1:5" x14ac:dyDescent="0.25">
      <c r="A293" t="s">
        <v>582</v>
      </c>
      <c r="E293" t="s">
        <v>1104</v>
      </c>
    </row>
    <row r="294" spans="1:5" x14ac:dyDescent="0.25">
      <c r="A294" t="s">
        <v>584</v>
      </c>
      <c r="E294" t="s">
        <v>1105</v>
      </c>
    </row>
    <row r="295" spans="1:5" x14ac:dyDescent="0.25">
      <c r="A295" t="s">
        <v>586</v>
      </c>
      <c r="E295" t="s">
        <v>1106</v>
      </c>
    </row>
    <row r="296" spans="1:5" x14ac:dyDescent="0.25">
      <c r="A296" t="s">
        <v>588</v>
      </c>
      <c r="E296" t="s">
        <v>1107</v>
      </c>
    </row>
    <row r="297" spans="1:5" x14ac:dyDescent="0.25">
      <c r="A297" t="s">
        <v>590</v>
      </c>
      <c r="E297" t="s">
        <v>1108</v>
      </c>
    </row>
    <row r="298" spans="1:5" x14ac:dyDescent="0.25">
      <c r="A298" t="s">
        <v>591</v>
      </c>
      <c r="E298" t="s">
        <v>1109</v>
      </c>
    </row>
    <row r="299" spans="1:5" x14ac:dyDescent="0.25">
      <c r="A299" t="s">
        <v>817</v>
      </c>
      <c r="E299" t="s">
        <v>1110</v>
      </c>
    </row>
    <row r="300" spans="1:5" x14ac:dyDescent="0.25">
      <c r="A300" t="s">
        <v>592</v>
      </c>
      <c r="E300" t="s">
        <v>642</v>
      </c>
    </row>
    <row r="301" spans="1:5" x14ac:dyDescent="0.25">
      <c r="A301" t="s">
        <v>593</v>
      </c>
      <c r="E301" t="s">
        <v>644</v>
      </c>
    </row>
    <row r="302" spans="1:5" x14ac:dyDescent="0.25">
      <c r="A302" t="s">
        <v>594</v>
      </c>
      <c r="E302" t="s">
        <v>646</v>
      </c>
    </row>
    <row r="303" spans="1:5" x14ac:dyDescent="0.25">
      <c r="A303" t="s">
        <v>595</v>
      </c>
      <c r="E303" t="s">
        <v>648</v>
      </c>
    </row>
    <row r="304" spans="1:5" x14ac:dyDescent="0.25">
      <c r="A304" t="s">
        <v>596</v>
      </c>
      <c r="E304" t="s">
        <v>650</v>
      </c>
    </row>
    <row r="305" spans="1:5" x14ac:dyDescent="0.25">
      <c r="A305" t="s">
        <v>597</v>
      </c>
      <c r="E305" t="s">
        <v>652</v>
      </c>
    </row>
    <row r="306" spans="1:5" x14ac:dyDescent="0.25">
      <c r="A306" t="s">
        <v>598</v>
      </c>
      <c r="E306" t="s">
        <v>654</v>
      </c>
    </row>
    <row r="307" spans="1:5" x14ac:dyDescent="0.25">
      <c r="A307" t="s">
        <v>600</v>
      </c>
      <c r="E307" t="s">
        <v>660</v>
      </c>
    </row>
    <row r="308" spans="1:5" x14ac:dyDescent="0.25">
      <c r="A308" t="s">
        <v>602</v>
      </c>
      <c r="E308" t="s">
        <v>662</v>
      </c>
    </row>
    <row r="309" spans="1:5" x14ac:dyDescent="0.25">
      <c r="A309" t="s">
        <v>604</v>
      </c>
      <c r="E309" t="s">
        <v>670</v>
      </c>
    </row>
    <row r="310" spans="1:5" x14ac:dyDescent="0.25">
      <c r="A310" t="s">
        <v>606</v>
      </c>
      <c r="E310" t="s">
        <v>672</v>
      </c>
    </row>
    <row r="311" spans="1:5" x14ac:dyDescent="0.25">
      <c r="A311" t="s">
        <v>608</v>
      </c>
      <c r="E311" t="s">
        <v>664</v>
      </c>
    </row>
    <row r="312" spans="1:5" x14ac:dyDescent="0.25">
      <c r="A312" t="s">
        <v>610</v>
      </c>
      <c r="E312" t="s">
        <v>666</v>
      </c>
    </row>
    <row r="313" spans="1:5" x14ac:dyDescent="0.25">
      <c r="A313" t="s">
        <v>616</v>
      </c>
      <c r="E313" t="s">
        <v>668</v>
      </c>
    </row>
    <row r="314" spans="1:5" x14ac:dyDescent="0.25">
      <c r="A314" t="s">
        <v>618</v>
      </c>
      <c r="E314" t="s">
        <v>1111</v>
      </c>
    </row>
    <row r="315" spans="1:5" x14ac:dyDescent="0.25">
      <c r="A315" t="s">
        <v>620</v>
      </c>
      <c r="E315" t="s">
        <v>1112</v>
      </c>
    </row>
    <row r="316" spans="1:5" x14ac:dyDescent="0.25">
      <c r="A316" t="s">
        <v>1153</v>
      </c>
      <c r="E316" t="s">
        <v>1113</v>
      </c>
    </row>
    <row r="317" spans="1:5" x14ac:dyDescent="0.25">
      <c r="A317" t="s">
        <v>622</v>
      </c>
      <c r="E317" t="s">
        <v>1114</v>
      </c>
    </row>
    <row r="318" spans="1:5" x14ac:dyDescent="0.25">
      <c r="A318" t="s">
        <v>612</v>
      </c>
      <c r="E318" t="s">
        <v>1115</v>
      </c>
    </row>
    <row r="319" spans="1:5" x14ac:dyDescent="0.25">
      <c r="A319" t="s">
        <v>614</v>
      </c>
      <c r="E319" t="s">
        <v>686</v>
      </c>
    </row>
    <row r="320" spans="1:5" x14ac:dyDescent="0.25">
      <c r="A320" t="s">
        <v>1145</v>
      </c>
      <c r="E320" t="s">
        <v>1005</v>
      </c>
    </row>
    <row r="321" spans="1:5" x14ac:dyDescent="0.25">
      <c r="A321" t="s">
        <v>834</v>
      </c>
      <c r="E321" t="s">
        <v>687</v>
      </c>
    </row>
    <row r="322" spans="1:5" x14ac:dyDescent="0.25">
      <c r="A322" t="s">
        <v>861</v>
      </c>
      <c r="E322" t="s">
        <v>688</v>
      </c>
    </row>
    <row r="323" spans="1:5" x14ac:dyDescent="0.25">
      <c r="A323" t="s">
        <v>624</v>
      </c>
      <c r="E323" t="s">
        <v>1116</v>
      </c>
    </row>
    <row r="324" spans="1:5" x14ac:dyDescent="0.25">
      <c r="A324" t="s">
        <v>833</v>
      </c>
      <c r="E324" t="s">
        <v>689</v>
      </c>
    </row>
    <row r="325" spans="1:5" x14ac:dyDescent="0.25">
      <c r="A325" t="s">
        <v>832</v>
      </c>
      <c r="E325" t="s">
        <v>690</v>
      </c>
    </row>
    <row r="326" spans="1:5" x14ac:dyDescent="0.25">
      <c r="A326" t="s">
        <v>839</v>
      </c>
      <c r="E326" t="s">
        <v>691</v>
      </c>
    </row>
    <row r="327" spans="1:5" x14ac:dyDescent="0.25">
      <c r="A327" t="s">
        <v>626</v>
      </c>
      <c r="E327" t="s">
        <v>692</v>
      </c>
    </row>
    <row r="328" spans="1:5" x14ac:dyDescent="0.25">
      <c r="A328" t="s">
        <v>628</v>
      </c>
      <c r="E328" t="s">
        <v>682</v>
      </c>
    </row>
    <row r="329" spans="1:5" x14ac:dyDescent="0.25">
      <c r="A329" t="s">
        <v>629</v>
      </c>
      <c r="E329" t="s">
        <v>1002</v>
      </c>
    </row>
    <row r="330" spans="1:5" x14ac:dyDescent="0.25">
      <c r="A330" t="s">
        <v>828</v>
      </c>
      <c r="E330" t="s">
        <v>683</v>
      </c>
    </row>
    <row r="331" spans="1:5" x14ac:dyDescent="0.25">
      <c r="A331" t="s">
        <v>630</v>
      </c>
      <c r="E331" t="s">
        <v>684</v>
      </c>
    </row>
    <row r="332" spans="1:5" x14ac:dyDescent="0.25">
      <c r="A332" t="s">
        <v>631</v>
      </c>
      <c r="E332" t="s">
        <v>685</v>
      </c>
    </row>
    <row r="333" spans="1:5" x14ac:dyDescent="0.25">
      <c r="A333" t="s">
        <v>632</v>
      </c>
      <c r="E333" t="s">
        <v>693</v>
      </c>
    </row>
    <row r="334" spans="1:5" x14ac:dyDescent="0.25">
      <c r="A334" t="s">
        <v>637</v>
      </c>
      <c r="E334" t="s">
        <v>677</v>
      </c>
    </row>
    <row r="335" spans="1:5" x14ac:dyDescent="0.25">
      <c r="A335" t="s">
        <v>638</v>
      </c>
      <c r="E335" t="s">
        <v>679</v>
      </c>
    </row>
    <row r="336" spans="1:5" x14ac:dyDescent="0.25">
      <c r="A336" t="s">
        <v>851</v>
      </c>
      <c r="E336" t="s">
        <v>680</v>
      </c>
    </row>
    <row r="337" spans="1:5" x14ac:dyDescent="0.25">
      <c r="A337" t="s">
        <v>633</v>
      </c>
      <c r="E337" t="s">
        <v>681</v>
      </c>
    </row>
    <row r="338" spans="1:5" x14ac:dyDescent="0.25">
      <c r="A338" t="s">
        <v>634</v>
      </c>
      <c r="E338" t="s">
        <v>1117</v>
      </c>
    </row>
    <row r="339" spans="1:5" x14ac:dyDescent="0.25">
      <c r="A339" t="s">
        <v>635</v>
      </c>
      <c r="E339" t="s">
        <v>1118</v>
      </c>
    </row>
    <row r="340" spans="1:5" x14ac:dyDescent="0.25">
      <c r="A340" t="s">
        <v>636</v>
      </c>
      <c r="E340" t="s">
        <v>1119</v>
      </c>
    </row>
    <row r="341" spans="1:5" x14ac:dyDescent="0.25">
      <c r="A341" t="s">
        <v>639</v>
      </c>
      <c r="E341" t="s">
        <v>1120</v>
      </c>
    </row>
    <row r="342" spans="1:5" x14ac:dyDescent="0.25">
      <c r="A342" t="s">
        <v>640</v>
      </c>
      <c r="E342" t="s">
        <v>1121</v>
      </c>
    </row>
    <row r="343" spans="1:5" x14ac:dyDescent="0.25">
      <c r="A343" t="s">
        <v>641</v>
      </c>
      <c r="E343" t="s">
        <v>1122</v>
      </c>
    </row>
    <row r="344" spans="1:5" x14ac:dyDescent="0.25">
      <c r="A344" t="s">
        <v>836</v>
      </c>
      <c r="E344" t="s">
        <v>1123</v>
      </c>
    </row>
    <row r="345" spans="1:5" x14ac:dyDescent="0.25">
      <c r="A345" t="s">
        <v>837</v>
      </c>
      <c r="E345" t="s">
        <v>1124</v>
      </c>
    </row>
    <row r="346" spans="1:5" x14ac:dyDescent="0.25">
      <c r="A346" t="s">
        <v>643</v>
      </c>
      <c r="E346" t="s">
        <v>1125</v>
      </c>
    </row>
    <row r="347" spans="1:5" x14ac:dyDescent="0.25">
      <c r="A347" t="s">
        <v>645</v>
      </c>
      <c r="E347" t="s">
        <v>1126</v>
      </c>
    </row>
    <row r="348" spans="1:5" x14ac:dyDescent="0.25">
      <c r="A348" t="s">
        <v>647</v>
      </c>
      <c r="E348" t="s">
        <v>694</v>
      </c>
    </row>
    <row r="349" spans="1:5" x14ac:dyDescent="0.25">
      <c r="A349" t="s">
        <v>649</v>
      </c>
      <c r="E349" t="s">
        <v>695</v>
      </c>
    </row>
    <row r="350" spans="1:5" x14ac:dyDescent="0.25">
      <c r="A350" t="s">
        <v>651</v>
      </c>
      <c r="E350" t="s">
        <v>696</v>
      </c>
    </row>
    <row r="351" spans="1:5" x14ac:dyDescent="0.25">
      <c r="A351" t="s">
        <v>653</v>
      </c>
      <c r="E351" t="s">
        <v>697</v>
      </c>
    </row>
    <row r="352" spans="1:5" x14ac:dyDescent="0.25">
      <c r="A352" t="s">
        <v>655</v>
      </c>
      <c r="E352" t="s">
        <v>698</v>
      </c>
    </row>
    <row r="353" spans="1:5" x14ac:dyDescent="0.25">
      <c r="A353" t="s">
        <v>656</v>
      </c>
      <c r="E353" t="s">
        <v>699</v>
      </c>
    </row>
    <row r="354" spans="1:5" x14ac:dyDescent="0.25">
      <c r="A354" t="s">
        <v>663</v>
      </c>
      <c r="E354" t="s">
        <v>700</v>
      </c>
    </row>
    <row r="355" spans="1:5" x14ac:dyDescent="0.25">
      <c r="A355" t="s">
        <v>657</v>
      </c>
      <c r="E355" t="s">
        <v>1127</v>
      </c>
    </row>
    <row r="356" spans="1:5" x14ac:dyDescent="0.25">
      <c r="A356" t="s">
        <v>658</v>
      </c>
      <c r="E356" t="s">
        <v>1128</v>
      </c>
    </row>
    <row r="357" spans="1:5" x14ac:dyDescent="0.25">
      <c r="A357" t="s">
        <v>659</v>
      </c>
      <c r="E357" t="s">
        <v>1129</v>
      </c>
    </row>
    <row r="358" spans="1:5" x14ac:dyDescent="0.25">
      <c r="A358" t="s">
        <v>661</v>
      </c>
      <c r="E358" t="s">
        <v>1130</v>
      </c>
    </row>
    <row r="359" spans="1:5" x14ac:dyDescent="0.25">
      <c r="A359" t="s">
        <v>665</v>
      </c>
      <c r="E359" t="s">
        <v>701</v>
      </c>
    </row>
    <row r="360" spans="1:5" x14ac:dyDescent="0.25">
      <c r="A360" t="s">
        <v>667</v>
      </c>
      <c r="E360" t="s">
        <v>702</v>
      </c>
    </row>
    <row r="361" spans="1:5" x14ac:dyDescent="0.25">
      <c r="A361" t="s">
        <v>669</v>
      </c>
      <c r="E361" t="s">
        <v>703</v>
      </c>
    </row>
    <row r="362" spans="1:5" x14ac:dyDescent="0.25">
      <c r="A362" t="s">
        <v>671</v>
      </c>
      <c r="E362" t="s">
        <v>704</v>
      </c>
    </row>
    <row r="363" spans="1:5" x14ac:dyDescent="0.25">
      <c r="A363" t="s">
        <v>673</v>
      </c>
      <c r="E363" t="s">
        <v>705</v>
      </c>
    </row>
    <row r="364" spans="1:5" x14ac:dyDescent="0.25">
      <c r="A364" t="s">
        <v>674</v>
      </c>
      <c r="E364" t="s">
        <v>706</v>
      </c>
    </row>
    <row r="365" spans="1:5" x14ac:dyDescent="0.25">
      <c r="A365" t="s">
        <v>675</v>
      </c>
      <c r="E365" t="s">
        <v>707</v>
      </c>
    </row>
    <row r="366" spans="1:5" x14ac:dyDescent="0.25">
      <c r="A366" t="s">
        <v>848</v>
      </c>
      <c r="E366" t="s">
        <v>708</v>
      </c>
    </row>
    <row r="367" spans="1:5" x14ac:dyDescent="0.25">
      <c r="A367" t="s">
        <v>838</v>
      </c>
      <c r="E367" t="s">
        <v>709</v>
      </c>
    </row>
    <row r="368" spans="1:5" x14ac:dyDescent="0.25">
      <c r="A368" t="s">
        <v>676</v>
      </c>
      <c r="E368" t="s">
        <v>710</v>
      </c>
    </row>
    <row r="369" spans="1:5" x14ac:dyDescent="0.25">
      <c r="A369" t="s">
        <v>678</v>
      </c>
      <c r="E369" t="s">
        <v>711</v>
      </c>
    </row>
    <row r="370" spans="1:5" x14ac:dyDescent="0.25">
      <c r="E370" t="s">
        <v>712</v>
      </c>
    </row>
    <row r="371" spans="1:5" x14ac:dyDescent="0.25">
      <c r="E371" t="s">
        <v>713</v>
      </c>
    </row>
    <row r="372" spans="1:5" x14ac:dyDescent="0.25">
      <c r="E372" t="s">
        <v>714</v>
      </c>
    </row>
    <row r="373" spans="1:5" x14ac:dyDescent="0.25">
      <c r="E373" t="s">
        <v>715</v>
      </c>
    </row>
    <row r="374" spans="1:5" x14ac:dyDescent="0.25">
      <c r="E374" t="s">
        <v>716</v>
      </c>
    </row>
    <row r="375" spans="1:5" x14ac:dyDescent="0.25">
      <c r="E375" t="s">
        <v>717</v>
      </c>
    </row>
    <row r="376" spans="1:5" x14ac:dyDescent="0.25">
      <c r="E376" t="s">
        <v>722</v>
      </c>
    </row>
    <row r="377" spans="1:5" x14ac:dyDescent="0.25">
      <c r="E377" t="s">
        <v>718</v>
      </c>
    </row>
    <row r="378" spans="1:5" x14ac:dyDescent="0.25">
      <c r="E378" t="s">
        <v>719</v>
      </c>
    </row>
    <row r="379" spans="1:5" x14ac:dyDescent="0.25">
      <c r="E379" t="s">
        <v>720</v>
      </c>
    </row>
    <row r="380" spans="1:5" x14ac:dyDescent="0.25">
      <c r="A380" s="164"/>
      <c r="E380" t="s">
        <v>721</v>
      </c>
    </row>
  </sheetData>
  <sortState xmlns:xlrd2="http://schemas.microsoft.com/office/spreadsheetml/2017/richdata2" ref="E18:E489">
    <sortCondition ref="E18:E489"/>
  </sortState>
  <customSheetViews>
    <customSheetView guid="{35139CDC-7B22-4BB4-A27E-0C639571C225}">
      <pageMargins left="0.7" right="0.7" top="0.75" bottom="0.75" header="0.3" footer="0.3"/>
      <pageSetup orientation="portrait" r:id="rId1"/>
    </customSheetView>
    <customSheetView guid="{42F19D52-E208-414F-9E2E-506DF902926F}">
      <pageMargins left="0.7" right="0.7" top="0.75" bottom="0.75" header="0.3" footer="0.3"/>
      <pageSetup orientation="portrait" r:id="rId2"/>
    </customSheetView>
    <customSheetView guid="{BE266B8E-38B0-4631-9C30-67CA48A8BD7F}">
      <selection activeCell="A316" sqref="A316"/>
      <pageMargins left="0.7" right="0.7" top="0.75" bottom="0.75" header="0.3" footer="0.3"/>
      <pageSetup orientation="portrait" r:id="rId3"/>
    </customSheetView>
    <customSheetView guid="{9DC468DE-D883-45B4-B188-265B9DA68425}">
      <selection activeCell="E3" sqref="E3"/>
      <pageMargins left="0.7" right="0.7" top="0.75" bottom="0.75" header="0.3" footer="0.3"/>
      <pageSetup orientation="portrait" r:id="rId4"/>
    </customSheetView>
    <customSheetView guid="{6A3B2C41-2DBC-4B17-AB58-12C85E3A6B8A}">
      <pageMargins left="0.7" right="0.7" top="0.75" bottom="0.75" header="0.3" footer="0.3"/>
      <pageSetup orientation="portrait" r:id="rId5"/>
    </customSheetView>
    <customSheetView guid="{6960175A-17E1-4BDD-98F7-6E9A590B8B7F}">
      <selection activeCell="E3" sqref="E3"/>
      <pageMargins left="0.7" right="0.7" top="0.75" bottom="0.75" header="0.3" footer="0.3"/>
      <pageSetup orientation="portrait" r:id="rId6"/>
    </customSheetView>
    <customSheetView guid="{DB365F32-166D-4348-BCE9-F0F1DB0B73A9}">
      <selection activeCell="E3" sqref="E3"/>
      <pageMargins left="0.7" right="0.7" top="0.75" bottom="0.75" header="0.3" footer="0.3"/>
      <pageSetup orientation="portrait" r:id="rId7"/>
    </customSheetView>
    <customSheetView guid="{6EDF2E63-E51E-449A-B1C5-EFB1FD6A259C}">
      <selection activeCell="E3" sqref="E3"/>
      <pageMargins left="0.7" right="0.7" top="0.75" bottom="0.75" header="0.3" footer="0.3"/>
      <pageSetup orientation="portrait" r:id="rId8"/>
    </customSheetView>
    <customSheetView guid="{46B088B4-7F51-4D35-9F00-2268626FA819}">
      <selection activeCell="E3" sqref="E3"/>
      <pageMargins left="0.7" right="0.7" top="0.75" bottom="0.75" header="0.3" footer="0.3"/>
      <pageSetup orientation="portrait" r:id="rId9"/>
    </customSheetView>
    <customSheetView guid="{42945F95-5627-491B-A345-A07B64F7E806}">
      <selection activeCell="G9" sqref="G9"/>
      <pageMargins left="0.7" right="0.7" top="0.75" bottom="0.75" header="0.3" footer="0.3"/>
      <pageSetup orientation="portrait" r:id="rId10"/>
    </customSheetView>
    <customSheetView guid="{BD1DF852-269B-4C2F-AF89-1FA576EA4603}">
      <selection activeCell="A2" sqref="A2"/>
      <pageMargins left="0.7" right="0.7" top="0.75" bottom="0.75" header="0.3" footer="0.3"/>
      <pageSetup orientation="portrait" r:id="rId11"/>
    </customSheetView>
  </customSheetViews>
  <pageMargins left="0.7" right="0.7" top="0.75" bottom="0.75" header="0.3" footer="0.3"/>
  <pageSetup orientation="portrait"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5F6030A2FA2A4681A58F0B5BFA097B" ma:contentTypeVersion="15" ma:contentTypeDescription="Create a new document." ma:contentTypeScope="" ma:versionID="9ccf3d798e321272ea5ddef59cb57c1e">
  <xsd:schema xmlns:xsd="http://www.w3.org/2001/XMLSchema" xmlns:xs="http://www.w3.org/2001/XMLSchema" xmlns:p="http://schemas.microsoft.com/office/2006/metadata/properties" xmlns:ns2="a7bc11af-f039-4d93-8f95-80c6608d4e90" xmlns:ns3="95c3dddf-4ab4-484b-bfa1-fbb03971aec5" targetNamespace="http://schemas.microsoft.com/office/2006/metadata/properties" ma:root="true" ma:fieldsID="f47df3452ccc0938be0908612faccc61" ns2:_="" ns3:_="">
    <xsd:import namespace="a7bc11af-f039-4d93-8f95-80c6608d4e90"/>
    <xsd:import namespace="95c3dddf-4ab4-484b-bfa1-fbb03971aec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c11af-f039-4d93-8f95-80c6608d4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5c46f5-07aa-4fd7-9d87-3e3f7311e79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c3dddf-4ab4-484b-bfa1-fbb03971aec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277bc63-6253-43c3-95f5-2ec04d7c738c}" ma:internalName="TaxCatchAll" ma:showField="CatchAllData" ma:web="95c3dddf-4ab4-484b-bfa1-fbb03971aec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7bc11af-f039-4d93-8f95-80c6608d4e90">
      <Terms xmlns="http://schemas.microsoft.com/office/infopath/2007/PartnerControls"/>
    </lcf76f155ced4ddcb4097134ff3c332f>
    <TaxCatchAll xmlns="95c3dddf-4ab4-484b-bfa1-fbb03971aec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5CF80C-74C2-4F51-9C65-1DB4054924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c11af-f039-4d93-8f95-80c6608d4e90"/>
    <ds:schemaRef ds:uri="95c3dddf-4ab4-484b-bfa1-fbb03971aec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405446-8E86-4328-82F1-3D6A332C6500}">
  <ds:schemaRefs>
    <ds:schemaRef ds:uri="http://schemas.microsoft.com/office/infopath/2007/PartnerControls"/>
    <ds:schemaRef ds:uri="http://purl.org/dc/elements/1.1/"/>
    <ds:schemaRef ds:uri="http://schemas.microsoft.com/office/2006/metadata/properties"/>
    <ds:schemaRef ds:uri="http://purl.org/dc/terms/"/>
    <ds:schemaRef ds:uri="a7bc11af-f039-4d93-8f95-80c6608d4e90"/>
    <ds:schemaRef ds:uri="http://schemas.openxmlformats.org/package/2006/metadata/core-properties"/>
    <ds:schemaRef ds:uri="http://schemas.microsoft.com/office/2006/documentManagement/types"/>
    <ds:schemaRef ds:uri="95c3dddf-4ab4-484b-bfa1-fbb03971aec5"/>
    <ds:schemaRef ds:uri="http://www.w3.org/XML/1998/namespace"/>
    <ds:schemaRef ds:uri="http://purl.org/dc/dcmitype/"/>
  </ds:schemaRefs>
</ds:datastoreItem>
</file>

<file path=customXml/itemProps3.xml><?xml version="1.0" encoding="utf-8"?>
<ds:datastoreItem xmlns:ds="http://schemas.openxmlformats.org/officeDocument/2006/customXml" ds:itemID="{BC0448CF-90B3-48D6-A733-16A6C419621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234</vt:i4>
      </vt:variant>
    </vt:vector>
  </HeadingPairs>
  <TitlesOfParts>
    <vt:vector size="245" baseType="lpstr">
      <vt:lpstr>Team Info</vt:lpstr>
      <vt:lpstr>MAIN</vt:lpstr>
      <vt:lpstr>Team Personnel</vt:lpstr>
      <vt:lpstr>Roster</vt:lpstr>
      <vt:lpstr>Stats</vt:lpstr>
      <vt:lpstr>Upcoming Schedule</vt:lpstr>
      <vt:lpstr>Team Heroes</vt:lpstr>
      <vt:lpstr>Team Users</vt:lpstr>
      <vt:lpstr>Player Heroes</vt:lpstr>
      <vt:lpstr>Player Users</vt:lpstr>
      <vt:lpstr>LOGOS</vt:lpstr>
      <vt:lpstr>ACTIONSHOT</vt:lpstr>
      <vt:lpstr>AGE</vt:lpstr>
      <vt:lpstr>AGE_TEXT</vt:lpstr>
      <vt:lpstr>ah</vt:lpstr>
      <vt:lpstr>BA</vt:lpstr>
      <vt:lpstr>BATS</vt:lpstr>
      <vt:lpstr>BIO_HEADER</vt:lpstr>
      <vt:lpstr>CAT_1</vt:lpstr>
      <vt:lpstr>CAT_1_HILITE</vt:lpstr>
      <vt:lpstr>CAT_2</vt:lpstr>
      <vt:lpstr>CAT_2_HILITE</vt:lpstr>
      <vt:lpstr>CAT_3</vt:lpstr>
      <vt:lpstr>CAT_3_HILITE</vt:lpstr>
      <vt:lpstr>CAT_4</vt:lpstr>
      <vt:lpstr>CAT_4_HILITE</vt:lpstr>
      <vt:lpstr>COACH_DEF_FIRST</vt:lpstr>
      <vt:lpstr>COACH_DEF_LAST</vt:lpstr>
      <vt:lpstr>COACH_DEF_TEXT</vt:lpstr>
      <vt:lpstr>COACH_HEAD_DROP</vt:lpstr>
      <vt:lpstr>COACH_HEAD_FIRST</vt:lpstr>
      <vt:lpstr>COACH_HEAD_FULL</vt:lpstr>
      <vt:lpstr>COACH_HEAD_HEADER</vt:lpstr>
      <vt:lpstr>COACH_HEAD_LAST</vt:lpstr>
      <vt:lpstr>COACH_HEAD_TEXT</vt:lpstr>
      <vt:lpstr>COACH_OFF_DROP</vt:lpstr>
      <vt:lpstr>COACH_OFF_FIRST</vt:lpstr>
      <vt:lpstr>COACH_OFF_HEADER</vt:lpstr>
      <vt:lpstr>COACH_OFF_LAST</vt:lpstr>
      <vt:lpstr>COACH_OFF_TEXT</vt:lpstr>
      <vt:lpstr>COACH_RESUME_DROP</vt:lpstr>
      <vt:lpstr>COACH_RESUME_LINE1</vt:lpstr>
      <vt:lpstr>COACH_RESUME_LINE2</vt:lpstr>
      <vt:lpstr>COACH_RESUME_LINE3</vt:lpstr>
      <vt:lpstr>COACH_RESUME_LINE4</vt:lpstr>
      <vt:lpstr>COACH_RESUME_ROWS</vt:lpstr>
      <vt:lpstr>COACH_RESUME_SUBTITLE</vt:lpstr>
      <vt:lpstr>COACH_RESUME_TITLE</vt:lpstr>
      <vt:lpstr>CONFERENCE_LOGOS</vt:lpstr>
      <vt:lpstr>ESPN100</vt:lpstr>
      <vt:lpstr>HEADER</vt:lpstr>
      <vt:lpstr>HEADSHOT</vt:lpstr>
      <vt:lpstr>HEIGHT</vt:lpstr>
      <vt:lpstr>HERO_1_DROP</vt:lpstr>
      <vt:lpstr>HERO_1_HEADER</vt:lpstr>
      <vt:lpstr>HERO_1_INFO</vt:lpstr>
      <vt:lpstr>HERO_USER</vt:lpstr>
      <vt:lpstr>HERO_USER2</vt:lpstr>
      <vt:lpstr>HOMETOWN</vt:lpstr>
      <vt:lpstr>HR_NEXT</vt:lpstr>
      <vt:lpstr>HR_TOTAL</vt:lpstr>
      <vt:lpstr>INPUT_RANGE</vt:lpstr>
      <vt:lpstr>JERSEY</vt:lpstr>
      <vt:lpstr>MAJOR</vt:lpstr>
      <vt:lpstr>MAJOR_FULL</vt:lpstr>
      <vt:lpstr>NAME_FINIT</vt:lpstr>
      <vt:lpstr>NAME_FIRST</vt:lpstr>
      <vt:lpstr>NAME_FIRST_CAPS</vt:lpstr>
      <vt:lpstr>NAME_FULL</vt:lpstr>
      <vt:lpstr>NAME_FULL_CAPS</vt:lpstr>
      <vt:lpstr>NAME_LAST</vt:lpstr>
      <vt:lpstr>NAME_LAST_CAPS</vt:lpstr>
      <vt:lpstr>NAME_NUM</vt:lpstr>
      <vt:lpstr>NAME_NUM_CAPS</vt:lpstr>
      <vt:lpstr>NAME_RANGE</vt:lpstr>
      <vt:lpstr>NETWORK_LOGOS</vt:lpstr>
      <vt:lpstr>NETWORK_LOGOS_BLACK</vt:lpstr>
      <vt:lpstr>NETWORK_LOGOS_WHITE</vt:lpstr>
      <vt:lpstr>NUM_RANGE</vt:lpstr>
      <vt:lpstr>PITCH_APP</vt:lpstr>
      <vt:lpstr>PITCH_BB</vt:lpstr>
      <vt:lpstr>PITCH_ERA</vt:lpstr>
      <vt:lpstr>PITCH_GS</vt:lpstr>
      <vt:lpstr>PITCH_HITS</vt:lpstr>
      <vt:lpstr>PITCH_IP</vt:lpstr>
      <vt:lpstr>PITCH_K</vt:lpstr>
      <vt:lpstr>PITCH_KBB</vt:lpstr>
      <vt:lpstr>PITCH_SAVES</vt:lpstr>
      <vt:lpstr>PITCH_SAVES2</vt:lpstr>
      <vt:lpstr>PITCH_WHIP</vt:lpstr>
      <vt:lpstr>PITCH_WL</vt:lpstr>
      <vt:lpstr>PLAYER_USER_ROWS</vt:lpstr>
      <vt:lpstr>PLAYER_USER_TEXT1</vt:lpstr>
      <vt:lpstr>PLAYER_USER_TEXT2</vt:lpstr>
      <vt:lpstr>POS</vt:lpstr>
      <vt:lpstr>PROMO_TOWER</vt:lpstr>
      <vt:lpstr>ROSTER</vt:lpstr>
      <vt:lpstr>SCHED_AT_VS</vt:lpstr>
      <vt:lpstr>SCHED_DATE</vt:lpstr>
      <vt:lpstr>SCHED_LOGO</vt:lpstr>
      <vt:lpstr>SCHED_NETWORK</vt:lpstr>
      <vt:lpstr>SCHED_OPPONENT</vt:lpstr>
      <vt:lpstr>SCHED_SUBTITLE</vt:lpstr>
      <vt:lpstr>SCHED_TIME</vt:lpstr>
      <vt:lpstr>SCHED_TITLE</vt:lpstr>
      <vt:lpstr>SEASON_SEL</vt:lpstr>
      <vt:lpstr>SEASON_SEL_COLON</vt:lpstr>
      <vt:lpstr>SPORT_SELECT</vt:lpstr>
      <vt:lpstr>STAT_3PT_PCT</vt:lpstr>
      <vt:lpstr>STAT_FT_PCT</vt:lpstr>
      <vt:lpstr>STAT_HIGHLIGHT_NOTE</vt:lpstr>
      <vt:lpstr>TEAM_1_LINE_DROP</vt:lpstr>
      <vt:lpstr>TEAM_2_LINE_DROP</vt:lpstr>
      <vt:lpstr>TEAM_2_LINE_HEADER</vt:lpstr>
      <vt:lpstr>TEAM_2_LINE_INFO_LINE_1</vt:lpstr>
      <vt:lpstr>TEAM_2_LINE_INFO_LINE_2</vt:lpstr>
      <vt:lpstr>TEAM_CITY_COLLEGE</vt:lpstr>
      <vt:lpstr>TEAM_DASH_NAME</vt:lpstr>
      <vt:lpstr>TEAM_FULL_NAME</vt:lpstr>
      <vt:lpstr>TEAM_HEADER_INFO</vt:lpstr>
      <vt:lpstr>TEAM_INFO_LINE_1</vt:lpstr>
      <vt:lpstr>TEAM_LOGOS</vt:lpstr>
      <vt:lpstr>TEAM_LOGOTEXT</vt:lpstr>
      <vt:lpstr>TEAM_NICKNAME</vt:lpstr>
      <vt:lpstr>TEAM_RANK</vt:lpstr>
      <vt:lpstr>TEAM_RANK_NAME</vt:lpstr>
      <vt:lpstr>TEAM_RANK_NAME_NICKNAME</vt:lpstr>
      <vt:lpstr>TEAM_RANK_NAME_RECORD</vt:lpstr>
      <vt:lpstr>TEAM_RECORD_OVERALL</vt:lpstr>
      <vt:lpstr>TEAM_SPLIT</vt:lpstr>
      <vt:lpstr>TEAM_SWATCH_SELECT</vt:lpstr>
      <vt:lpstr>TEAM_SWATCH_SELECT_DASH</vt:lpstr>
      <vt:lpstr>TEAM_TRICODE</vt:lpstr>
      <vt:lpstr>TEAM_USER_ROWS</vt:lpstr>
      <vt:lpstr>TEAM_USER_TEXT</vt:lpstr>
      <vt:lpstr>TEAM_USERS2</vt:lpstr>
      <vt:lpstr>THROWS</vt:lpstr>
      <vt:lpstr>TODAY_TONIGHT_SEL</vt:lpstr>
      <vt:lpstr>TODAY_TONIGHT_SEL_COLON</vt:lpstr>
      <vt:lpstr>USER_CAT1</vt:lpstr>
      <vt:lpstr>USER_CAT2</vt:lpstr>
      <vt:lpstr>WEIGHT</vt:lpstr>
      <vt:lpstr>WEIGHT_LBS</vt:lpstr>
      <vt:lpstr>YEAR</vt:lpstr>
      <vt:lpstr>YEAR_LONG</vt:lpstr>
      <vt:lpstr>YEAR_LONG_CAPS</vt:lpstr>
      <vt:lpstr>YEAR_SHORT</vt:lpstr>
      <vt:lpstr>ZZZ_PLAYER1</vt:lpstr>
      <vt:lpstr>ZZZ_PLAYER10</vt:lpstr>
      <vt:lpstr>ZZZ_PLAYER11</vt:lpstr>
      <vt:lpstr>ZZZ_PLAYER12</vt:lpstr>
      <vt:lpstr>ZZZ_PLAYER13</vt:lpstr>
      <vt:lpstr>ZZZ_PLAYER14</vt:lpstr>
      <vt:lpstr>ZZZ_PLAYER15</vt:lpstr>
      <vt:lpstr>ZZZ_PLAYER16</vt:lpstr>
      <vt:lpstr>ZZZ_PLAYER17</vt:lpstr>
      <vt:lpstr>ZZZ_PLAYER18</vt:lpstr>
      <vt:lpstr>ZZZ_PLAYER2</vt:lpstr>
      <vt:lpstr>ZZZ_PLAYER20</vt:lpstr>
      <vt:lpstr>ZZZ_PLAYER21</vt:lpstr>
      <vt:lpstr>ZZZ_PLAYER22</vt:lpstr>
      <vt:lpstr>ZZZ_PLAYER23</vt:lpstr>
      <vt:lpstr>ZZZ_PLAYER24</vt:lpstr>
      <vt:lpstr>ZZZ_PLAYER25</vt:lpstr>
      <vt:lpstr>ZZZ_PLAYER26</vt:lpstr>
      <vt:lpstr>ZZZ_PLAYER27</vt:lpstr>
      <vt:lpstr>ZZZ_PLAYER28</vt:lpstr>
      <vt:lpstr>ZZZ_PLAYER29</vt:lpstr>
      <vt:lpstr>ZZZ_PLAYER3</vt:lpstr>
      <vt:lpstr>ZZZ_PLAYER30</vt:lpstr>
      <vt:lpstr>ZZZ_PLAYER31</vt:lpstr>
      <vt:lpstr>ZZZ_PLAYER32</vt:lpstr>
      <vt:lpstr>ZZZ_PLAYER33</vt:lpstr>
      <vt:lpstr>ZZZ_PLAYER34</vt:lpstr>
      <vt:lpstr>ZZZ_PLAYER35</vt:lpstr>
      <vt:lpstr>ZZZ_PLAYER36</vt:lpstr>
      <vt:lpstr>ZZZ_PLAYER37</vt:lpstr>
      <vt:lpstr>ZZZ_PLAYER38</vt:lpstr>
      <vt:lpstr>ZZZ_PLAYER39</vt:lpstr>
      <vt:lpstr>ZZZ_PLAYER4</vt:lpstr>
      <vt:lpstr>ZZZ_PLAYER40</vt:lpstr>
      <vt:lpstr>ZZZ_PLAYER41</vt:lpstr>
      <vt:lpstr>ZZZ_PLAYER42</vt:lpstr>
      <vt:lpstr>ZZZ_PLAYER43</vt:lpstr>
      <vt:lpstr>ZZZ_PLAYER44</vt:lpstr>
      <vt:lpstr>ZZZ_PLAYER45</vt:lpstr>
      <vt:lpstr>ZZZ_PLAYER46</vt:lpstr>
      <vt:lpstr>ZZZ_PLAYER47</vt:lpstr>
      <vt:lpstr>ZZZ_PLAYER48</vt:lpstr>
      <vt:lpstr>ZZZ_PLAYER49</vt:lpstr>
      <vt:lpstr>ZZZ_PLAYER5</vt:lpstr>
      <vt:lpstr>ZZZ_PLAYER50</vt:lpstr>
      <vt:lpstr>ZZZ_PLAYER51</vt:lpstr>
      <vt:lpstr>ZZZ_PLAYER52</vt:lpstr>
      <vt:lpstr>ZZZ_PLAYER53</vt:lpstr>
      <vt:lpstr>ZZZ_PLAYER54</vt:lpstr>
      <vt:lpstr>ZZZ_PLAYER55</vt:lpstr>
      <vt:lpstr>ZZZ_PLAYER56</vt:lpstr>
      <vt:lpstr>ZZZ_PLAYER57</vt:lpstr>
      <vt:lpstr>ZZZ_PLAYER58</vt:lpstr>
      <vt:lpstr>ZZZ_PLAYER59</vt:lpstr>
      <vt:lpstr>ZZZ_PLAYER6</vt:lpstr>
      <vt:lpstr>ZZZ_PLAYER60</vt:lpstr>
      <vt:lpstr>ZZZ_PLAYER61</vt:lpstr>
      <vt:lpstr>ZZZ_PLAYER62</vt:lpstr>
      <vt:lpstr>ZZZ_PLAYER63</vt:lpstr>
      <vt:lpstr>ZZZ_PLAYER64</vt:lpstr>
      <vt:lpstr>ZZZ_PLAYER65</vt:lpstr>
      <vt:lpstr>ZZZ_PLAYER66</vt:lpstr>
      <vt:lpstr>ZZZ_PLAYER67</vt:lpstr>
      <vt:lpstr>ZZZ_PLAYER68</vt:lpstr>
      <vt:lpstr>ZZZ_PLAYER69</vt:lpstr>
      <vt:lpstr>ZZZ_PLAYER7</vt:lpstr>
      <vt:lpstr>ZZZ_PLAYER70</vt:lpstr>
      <vt:lpstr>ZZZ_PLAYER71</vt:lpstr>
      <vt:lpstr>ZZZ_PLAYER72</vt:lpstr>
      <vt:lpstr>ZZZ_PLAYER73</vt:lpstr>
      <vt:lpstr>ZZZ_PLAYER74</vt:lpstr>
      <vt:lpstr>ZZZ_PLAYER75</vt:lpstr>
      <vt:lpstr>ZZZ_PLAYER76</vt:lpstr>
      <vt:lpstr>ZZZ_PLAYER77</vt:lpstr>
      <vt:lpstr>ZZZ_PLAYER78</vt:lpstr>
      <vt:lpstr>ZZZ_PLAYER79</vt:lpstr>
      <vt:lpstr>ZZZ_PLAYER8</vt:lpstr>
      <vt:lpstr>ZZZ_PLAYER80</vt:lpstr>
      <vt:lpstr>ZZZ_PLAYER81</vt:lpstr>
      <vt:lpstr>ZZZ_PLAYER82</vt:lpstr>
      <vt:lpstr>ZZZ_PLAYER83</vt:lpstr>
      <vt:lpstr>ZZZ_PLAYER84</vt:lpstr>
      <vt:lpstr>ZZZ_PLAYER85</vt:lpstr>
      <vt:lpstr>ZZZ_PLAYER86</vt:lpstr>
      <vt:lpstr>ZZZ_PLAYER87</vt:lpstr>
      <vt:lpstr>ZZZ_PLAYER88</vt:lpstr>
      <vt:lpstr>ZZZ_PLAYER89</vt:lpstr>
      <vt:lpstr>ZZZ_PLAYER9</vt:lpstr>
      <vt:lpstr>ZZZ_PLAYER90</vt:lpstr>
      <vt:lpstr>ZZZ_PLAYER91</vt:lpstr>
      <vt:lpstr>ZZZ_PLAYER92</vt:lpstr>
      <vt:lpstr>ZZZ_PLAYER93</vt:lpstr>
      <vt:lpstr>ZZZ_PLAYER94</vt:lpstr>
      <vt:lpstr>ZZZ_PLAYER95</vt:lpstr>
      <vt:lpstr>ZZZ_PLAYER96</vt:lpstr>
      <vt:lpstr>ZZZ_PLAYER97</vt:lpstr>
      <vt:lpstr>ZZZ_PLAYER98</vt:lpstr>
      <vt:lpstr>ZZZ_PLAYER99</vt:lpstr>
    </vt:vector>
  </TitlesOfParts>
  <Manager/>
  <Company>ESPN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Brian D Bell</dc:creator>
  <cp:keywords/>
  <dc:description/>
  <cp:lastModifiedBy>Chavez, Cris</cp:lastModifiedBy>
  <cp:revision/>
  <dcterms:created xsi:type="dcterms:W3CDTF">2019-06-06T15:21:47Z</dcterms:created>
  <dcterms:modified xsi:type="dcterms:W3CDTF">2026-02-05T22:48:08Z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0x010100745F6030A2FA2A4681A58F0B5BFA097B</vt:lpwstr>
  </property>
  <property fmtid="{D5CDD505-2E9C-101B-9397-08002B2CF9AE}" pid="3" name="WorkbookGuid">
    <vt:lpwstr>7c086590-7386-4ea0-b82c-1635c8a74072</vt:lpwstr>
  </property>
  <property fmtid="{D5CDD505-2E9C-101B-9397-08002B2CF9AE}" pid="4" name="MediaServiceImageTags">
    <vt:lpwstr/>
  </property>
  <property fmtid="{D5CDD505-2E9C-101B-9397-08002B2CF9AE}" pid="5" name="MSIP_Label_c62e0584-010f-4004-8a6a-d5c118c8b4bd_Enabled">
    <vt:lpwstr>true</vt:lpwstr>
  </property>
  <property fmtid="{D5CDD505-2E9C-101B-9397-08002B2CF9AE}" pid="6" name="MSIP_Label_c62e0584-010f-4004-8a6a-d5c118c8b4bd_SetDate">
    <vt:lpwstr>2026-01-29T18:38:02Z</vt:lpwstr>
  </property>
  <property fmtid="{D5CDD505-2E9C-101B-9397-08002B2CF9AE}" pid="7" name="MSIP_Label_c62e0584-010f-4004-8a6a-d5c118c8b4bd_Method">
    <vt:lpwstr>Standard</vt:lpwstr>
  </property>
  <property fmtid="{D5CDD505-2E9C-101B-9397-08002B2CF9AE}" pid="8" name="MSIP_Label_c62e0584-010f-4004-8a6a-d5c118c8b4bd_Name">
    <vt:lpwstr>Internal</vt:lpwstr>
  </property>
  <property fmtid="{D5CDD505-2E9C-101B-9397-08002B2CF9AE}" pid="9" name="MSIP_Label_c62e0584-010f-4004-8a6a-d5c118c8b4bd_SiteId">
    <vt:lpwstr>56b731a8-a2ac-4c32-bf6b-616810e913c6</vt:lpwstr>
  </property>
  <property fmtid="{D5CDD505-2E9C-101B-9397-08002B2CF9AE}" pid="10" name="MSIP_Label_c62e0584-010f-4004-8a6a-d5c118c8b4bd_ActionId">
    <vt:lpwstr>3910b0e7-14d3-4f11-8484-830a1aa25826</vt:lpwstr>
  </property>
  <property fmtid="{D5CDD505-2E9C-101B-9397-08002B2CF9AE}" pid="11" name="MSIP_Label_c62e0584-010f-4004-8a6a-d5c118c8b4bd_ContentBits">
    <vt:lpwstr>0</vt:lpwstr>
  </property>
  <property fmtid="{D5CDD505-2E9C-101B-9397-08002B2CF9AE}" pid="12" name="MSIP_Label_c62e0584-010f-4004-8a6a-d5c118c8b4bd_Tag">
    <vt:lpwstr>10, 3, 0, 1</vt:lpwstr>
  </property>
</Properties>
</file>