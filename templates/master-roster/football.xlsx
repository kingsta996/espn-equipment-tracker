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D:\Data\Football\NEW SHEETS\"/>
    </mc:Choice>
  </mc:AlternateContent>
  <xr:revisionPtr revIDLastSave="0" documentId="13_ncr:1_{59EE1419-7769-4AFF-8E66-228CB70B8FC8}" xr6:coauthVersionLast="47" xr6:coauthVersionMax="47" xr10:uidLastSave="{00000000-0000-0000-0000-000000000000}"/>
  <bookViews>
    <workbookView xWindow="-108" yWindow="-108" windowWidth="23256" windowHeight="12456" tabRatio="703" firstSheet="5" activeTab="5" xr2:uid="{00000000-000D-0000-FFFF-FFFF00000000}"/>
  </bookViews>
  <sheets>
    <sheet name="Team Info" sheetId="11" r:id="rId1"/>
    <sheet name="Team Personnel" sheetId="2" r:id="rId2"/>
    <sheet name="Roster" sheetId="3" r:id="rId3"/>
    <sheet name="Player Stats" sheetId="10" r:id="rId4"/>
    <sheet name="Team Stats" sheetId="5" r:id="rId5"/>
    <sheet name="Schedule" sheetId="7" r:id="rId6"/>
    <sheet name="Bumps &amp; Front Ends" sheetId="9" r:id="rId7"/>
    <sheet name="LOGOS" sheetId="8" r:id="rId8"/>
  </sheets>
  <definedNames>
    <definedName name="_xlnm._FilterDatabase">Roster!$A$2:$J$150</definedName>
    <definedName name="ACTIONSHOT">Roster!$P$2:$P$150</definedName>
    <definedName name="AGE">Roster!$L$2:$L$152</definedName>
    <definedName name="BIO_FACT">Roster!$J$2:$J$152</definedName>
    <definedName name="CAREER_STAT_NO">'Player Stats'!$R$8:$R$156</definedName>
    <definedName name="CAREER_STAT1">'Player Stats'!$S$8:$S$156</definedName>
    <definedName name="CAREER_STAT1_HILITE">'Player Stats'!$T$8:$T$156</definedName>
    <definedName name="CAREER_STAT2">'Player Stats'!$U$8:$U$156</definedName>
    <definedName name="CAREER_STAT2_HILITE">'Player Stats'!$V$8:$V$156</definedName>
    <definedName name="CAREER_STAT3">'Player Stats'!$W$8:$W$156</definedName>
    <definedName name="CAREER_STAT3_HILITE">'Player Stats'!$X$8:$X$156</definedName>
    <definedName name="CAREER_STAT4">'Player Stats'!$Y$8:$Y$156</definedName>
    <definedName name="CAREER_STAT4_HILITE">'Player Stats'!$Z$8:$Z$156</definedName>
    <definedName name="CAREER_STAT5">'Player Stats'!$AA$8:$AA$156</definedName>
    <definedName name="CAREER_STAT5_HILITE">'Player Stats'!ABN$8:$AB$156</definedName>
    <definedName name="CAREER_STAT6">'Player Stats'!$AC$8:$AC$156</definedName>
    <definedName name="CAREER_STAT6_HILITE">'Player Stats'!$AD$8:$AD$156</definedName>
    <definedName name="CARRER_STAT_DROP">'Player Stats'!$AE$8:$AES$156</definedName>
    <definedName name="COACH_DEF_FIRST">'Team Personnel'!$B$23:$B$33</definedName>
    <definedName name="COACH_DEF_LAST">'Team Personnel'!$C$23:$C$33</definedName>
    <definedName name="COACH_DEF_TEXT">'Team Personnel'!$D$23:$D$33</definedName>
    <definedName name="COACH_HEAD_DROP">'Team Personnel'!$E$1:$E$11</definedName>
    <definedName name="COACH_HEAD_FIRST">'Team Personnel'!$B$1:$B$11</definedName>
    <definedName name="COACH_HEAD_LAST">'Team Personnel'!$C$1:$C$11</definedName>
    <definedName name="COACH_HEAD_TEXT">'Team Personnel'!$D$1:$D$11</definedName>
    <definedName name="COACH_OFF_FIRST">'Team Personnel'!$B$12:$B$22</definedName>
    <definedName name="COACH_OFF_LAST">'Team Personnel'!$C$12:$C$22</definedName>
    <definedName name="COACH_OFF_TEXT">'Team Personnel'!$D$12:$D$22</definedName>
    <definedName name="COACH_RESUME_DROP">'Team Personnel'!$I$16:$I$17</definedName>
    <definedName name="COACH_RESUME_LINE1">'Team Personnel'!$I$7:$I$8</definedName>
    <definedName name="COACH_RESUME_LINE2">'Team Personnel'!$I$10:$I$11</definedName>
    <definedName name="COACH_RESUME_LINE3">'Team Personnel'!$I$13:$I$14</definedName>
    <definedName name="COACH_RESUME_SUBTITLE">'Team Personnel'!$I$4:$I$5</definedName>
    <definedName name="COACH_RESUME_TITLE">'Team Personnel'!$I$1:$I$2</definedName>
    <definedName name="CONFERENCE_LOGOS">LOGOS!$C$1:$C$50</definedName>
    <definedName name="DRAFT_INFO">Roster!#REF!</definedName>
    <definedName name="HEADSHOT">Roster!$O$2:$O$152</definedName>
    <definedName name="HEIGHT">Roster!$F$2:$F$152</definedName>
    <definedName name="HOMETOWN">Roster!$H$2:$H$152</definedName>
    <definedName name="JERSEY">Roster!$B$2:$B$152</definedName>
    <definedName name="NAME_FINIT">Roster!$R$2:$R$152</definedName>
    <definedName name="NAME_FINIT_CAPS">Roster!$S$2:$S$150</definedName>
    <definedName name="NAME_FIRST">Roster!$C$2:$C$152</definedName>
    <definedName name="NAME_FIRST_CAPS">Roster!$V$2:$V$150</definedName>
    <definedName name="NAME_FULL">Roster!$Q$2:$Q$152</definedName>
    <definedName name="NAME_FULL_CAPS">Roster!$U$2:$U$150</definedName>
    <definedName name="NAME_LAST">Roster!$D$2:$D$152</definedName>
    <definedName name="NAME_LAST_CAPS">Roster!$W$2:$W$150</definedName>
    <definedName name="NAME_NUM">Roster!$Z$2:$Z$150</definedName>
    <definedName name="NAME_NUM_CAPS">Roster!$Y$2:$Y$150</definedName>
    <definedName name="NETWORK_LOGOS">LOGOS!$E$1:$E$499</definedName>
    <definedName name="POS">Roster!$E$2:$E$152</definedName>
    <definedName name="POS_FULL">Roster!$M$2:$M$152</definedName>
    <definedName name="PROMO_TOWER">Schedule!$A$12:$C$21</definedName>
    <definedName name="ROSTER">Roster!$A$2:$Z$160</definedName>
    <definedName name="SCHED_AT_VS">Schedule!$B$2:$B$15</definedName>
    <definedName name="SCHED_DATE">Schedule!$D$2:$D$15</definedName>
    <definedName name="SCHED_NETWORK">Schedule!$K$1:$K$15</definedName>
    <definedName name="SCHED_OPPONENT">Schedule!$C$2:$C$15</definedName>
    <definedName name="SCHED_TIME">Schedule!$E$2:$E$15</definedName>
    <definedName name="SEASON_SEL">'Team Info'!$E$5:$E$7</definedName>
    <definedName name="SEASON_SEL_COLON">'Team Info'!$E$13:$E$15</definedName>
    <definedName name="SEASON_STAT_AVG">'Team Stats'!$B$1:$B$34</definedName>
    <definedName name="SEASON_STAT_COMBINED">'Team Stats'!$G$1:$G$34</definedName>
    <definedName name="SEASON_STAT_COMBINED_CAPS">'Team Stats'!$K$1:$K$34</definedName>
    <definedName name="SEASON_STAT_DROP">'Player Stats'!$Q$8:$Q$156</definedName>
    <definedName name="SEASON_STAT_INFO">'Team Stats'!$E$1:$E$34</definedName>
    <definedName name="SEASON_STAT_INFO_CAPS">'Team Stats'!$I$1:$I$34</definedName>
    <definedName name="SEASON_STAT_NO">'Player Stats'!$D$8:$D$156</definedName>
    <definedName name="SEASON_STAT_RANK">'Team Stats'!$C$1:$C$34</definedName>
    <definedName name="SEASON_STAT_RANK_PAREN">'Team Stats'!$F$1:$F$34</definedName>
    <definedName name="SEASON_STAT_RANK_PAREN_CAPS">'Team Stats'!$J$1:$J$34</definedName>
    <definedName name="SEASON_STAT1">'Player Stats'!$E$8:$E$156</definedName>
    <definedName name="SEASON_STAT1_HILITE">'Player Stats'!$F$8:$F$156</definedName>
    <definedName name="SEASON_STAT2">'Player Stats'!$G$8:$G$156</definedName>
    <definedName name="SEASON_STAT2_HILITE">'Player Stats'!$H$8:$H$156</definedName>
    <definedName name="SEASON_STAT3">'Player Stats'!$I$8:$I$156</definedName>
    <definedName name="SEASON_STAT3_HILITE">'Player Stats'!$J$8:$J$156</definedName>
    <definedName name="SEASON_STAT4">'Player Stats'!$K$8:$K$156</definedName>
    <definedName name="SEASON_STAT4_HILITE">'Player Stats'!$L$8:$L$156</definedName>
    <definedName name="SEASON_STAT5">'Player Stats'!$M$8:$M$156</definedName>
    <definedName name="SEASON_STAT5_HILITE">'Player Stats'!$N$8:$N$156</definedName>
    <definedName name="SEASON_STAT6">'Player Stats'!$O$8:$O$156</definedName>
    <definedName name="SEASON_STAT6_HILITE">'Player Stats'!$P$8:$P$156</definedName>
    <definedName name="TEAM_BUMPS">'Bumps &amp; Front Ends'!$A$2:$H$17</definedName>
    <definedName name="TEAM_CITY_COLLEGE">'Team Info'!$C$5:$C$6</definedName>
    <definedName name="TEAM_DASH_NAME">'Team Info'!$C$17:$C$18</definedName>
    <definedName name="TEAM_FE">'Bumps &amp; Front Ends'!$A$21:$H$36</definedName>
    <definedName name="TEAM_FULL_NAME">'Team Info'!$C$14:$C$15</definedName>
    <definedName name="TEAM_LOGOS">LOGOS!$A$1:$A$404</definedName>
    <definedName name="TEAM_LOGOTEXT">'Team Info'!$C$29:$C$30</definedName>
    <definedName name="TEAM_NICKNAME">'Team Info'!$C$8:$C$9</definedName>
    <definedName name="TEAM_RANK">'Team Info'!$C$2:$C$3</definedName>
    <definedName name="TEAM_RANK_NAME">'Team Info'!$C$20:$C$21</definedName>
    <definedName name="TEAM_RANK_NAME_NICKNAME">'Team Info'!$C$23:$C$24</definedName>
    <definedName name="TEAM_RANK_NAME_RECORD">'Team Info'!$C$26:$C$27</definedName>
    <definedName name="TEAM_RECORD_OVERALL">'Team Info'!$C$32:$C$33</definedName>
    <definedName name="TEAM_TRICODE">'Team Info'!$C$11:$C$12</definedName>
    <definedName name="TODAY_TONIGHT_SEL">'Team Info'!$E$1:$E$3</definedName>
    <definedName name="TODAY_TONIGHT_SEL_COLON">'Team Info'!$E$9:$E$11</definedName>
    <definedName name="UPCOMING_SCHED_AT_VS">Schedule!$B$21:$B$26</definedName>
    <definedName name="UPCOMING_SCHED_DATE">Schedule!$D$21:$D$26</definedName>
    <definedName name="UPCOMING_SCHED_OPPONENT">Schedule!$C$21:$C$26</definedName>
    <definedName name="UPCOMING_SCHED_OPPONENT_LOGO">Schedule!$F$21:$F$26</definedName>
    <definedName name="WEIGHT">Roster!$G$2:$G$152</definedName>
    <definedName name="YEAR">Roster!$I$2:$I$152</definedName>
    <definedName name="YEAR_LONG">Roster!$N$2:$N$152</definedName>
    <definedName name="YEAR_LONG_CAPS">Roster!$X$2:$X$150</definedName>
    <definedName name="YEAR_SHORT">Roster!$T$2:$T$152</definedName>
    <definedName name="Z_12DFDD2B_A5C3_4657_A08B_4578ADAFCE9C_.wvu.FilterData" localSheetId="3">'Player Stats'!$A$1:$A$156</definedName>
    <definedName name="Z_12DFDD2B_A5C3_4657_A08B_4578ADAFCE9C_.wvu.FilterData">#REF!</definedName>
    <definedName name="Z_1D52386C_FCCD_4FCA_91AC_ADAA02B03C57_.wvu.FilterData">Roster!$A$2:$J$150</definedName>
    <definedName name="Z_1D9A851A_AB00_4F5F_A9E8_E1D0DD45E8C9_.wvu.Cols" localSheetId="6" hidden="1">'Bumps &amp; Front Ends'!$J:$K</definedName>
    <definedName name="Z_1D9A851A_AB00_4F5F_A9E8_E1D0DD45E8C9_.wvu.Cols" localSheetId="2" hidden="1">Roster!$L:$AD</definedName>
    <definedName name="Z_1D9A851A_AB00_4F5F_A9E8_E1D0DD45E8C9_.wvu.Cols" localSheetId="5" hidden="1">Schedule!$E:$E,Schedule!$I:$K</definedName>
    <definedName name="Z_1D9A851A_AB00_4F5F_A9E8_E1D0DD45E8C9_.wvu.Cols" localSheetId="1" hidden="1">'Team Personnel'!$I:$I</definedName>
    <definedName name="Z_1D9A851A_AB00_4F5F_A9E8_E1D0DD45E8C9_.wvu.Cols" localSheetId="4" hidden="1">'Team Stats'!$I:$K</definedName>
    <definedName name="Z_1D9A851A_AB00_4F5F_A9E8_E1D0DD45E8C9_.wvu.FilterData" localSheetId="2" hidden="1">Roster!$A$2:$J$150</definedName>
    <definedName name="Z_70533415_B255_4E4B_BD1B_222113DCA8F8_.wvu.Cols" localSheetId="6" hidden="1">'Bumps &amp; Front Ends'!$J:$K</definedName>
    <definedName name="Z_70533415_B255_4E4B_BD1B_222113DCA8F8_.wvu.Cols" localSheetId="2" hidden="1">Roster!$L:$AD</definedName>
    <definedName name="Z_70533415_B255_4E4B_BD1B_222113DCA8F8_.wvu.Cols" localSheetId="5" hidden="1">Schedule!$E:$E,Schedule!$I:$K</definedName>
    <definedName name="Z_70533415_B255_4E4B_BD1B_222113DCA8F8_.wvu.Cols" localSheetId="1" hidden="1">'Team Personnel'!$I:$I</definedName>
    <definedName name="Z_70533415_B255_4E4B_BD1B_222113DCA8F8_.wvu.Cols" localSheetId="4" hidden="1">'Team Stats'!$I:$K</definedName>
    <definedName name="Z_70533415_B255_4E4B_BD1B_222113DCA8F8_.wvu.FilterData" localSheetId="2" hidden="1">Roster!$A$2:$J$150</definedName>
    <definedName name="Z_706B170E_5520_469F_B13E_35DA6E3D1646_.wvu.Cols" localSheetId="6" hidden="1">'Bumps &amp; Front Ends'!$J:$K</definedName>
    <definedName name="Z_706B170E_5520_469F_B13E_35DA6E3D1646_.wvu.Cols" localSheetId="2" hidden="1">Roster!$L:$AD</definedName>
    <definedName name="Z_706B170E_5520_469F_B13E_35DA6E3D1646_.wvu.Cols" localSheetId="5" hidden="1">Schedule!$E:$E,Schedule!$I:$K</definedName>
    <definedName name="Z_706B170E_5520_469F_B13E_35DA6E3D1646_.wvu.Cols" localSheetId="1" hidden="1">'Team Personnel'!$I:$I</definedName>
    <definedName name="Z_706B170E_5520_469F_B13E_35DA6E3D1646_.wvu.Cols" localSheetId="4" hidden="1">'Team Stats'!$I:$K</definedName>
    <definedName name="Z_706B170E_5520_469F_B13E_35DA6E3D1646_.wvu.FilterData" localSheetId="2" hidden="1">Roster!$A$2:$J$150</definedName>
    <definedName name="Z_88E4902B_1443_461B_A72D_73CDB04FDAA8_.wvu.Cols" localSheetId="6" hidden="1">'Bumps &amp; Front Ends'!$J:$K</definedName>
    <definedName name="Z_88E4902B_1443_461B_A72D_73CDB04FDAA8_.wvu.Cols" localSheetId="2" hidden="1">Roster!$L:$AD</definedName>
    <definedName name="Z_88E4902B_1443_461B_A72D_73CDB04FDAA8_.wvu.Cols" localSheetId="5" hidden="1">Schedule!$E:$E,Schedule!$I:$K</definedName>
    <definedName name="Z_88E4902B_1443_461B_A72D_73CDB04FDAA8_.wvu.Cols" localSheetId="1" hidden="1">'Team Personnel'!$I:$I</definedName>
    <definedName name="Z_88E4902B_1443_461B_A72D_73CDB04FDAA8_.wvu.Cols" localSheetId="4" hidden="1">'Team Stats'!$I:$K</definedName>
    <definedName name="Z_88E4902B_1443_461B_A72D_73CDB04FDAA8_.wvu.FilterData" localSheetId="2" hidden="1">Roster!$A$2:$J$150</definedName>
    <definedName name="Z_93E87895_29A5_4BF1_ABB6_923EB62AFAF1_.wvu.FilterData">Roster!$A$2:$J$150</definedName>
    <definedName name="Z_E613E68A_9F52_48A2_AEAA_F19329CB83A3_.wvu.FilterData">Roster!$A$2:$J$150</definedName>
  </definedNames>
  <calcPr calcId="191028"/>
  <customWorkbookViews>
    <customWorkbookView name="Bell, Brian D. - Personal View" guid="{706B170E-5520-469F-B13E-35DA6E3D1646}" mergeInterval="0" personalView="1" xWindow="11" yWindow="36" windowWidth="1920" windowHeight="1004" tabRatio="500" activeSheetId="1"/>
    <customWorkbookView name="Bell, Brian - Personal View" guid="{88E4902B-1443-461B-A72D-73CDB04FDAA8}" mergeInterval="0" personalView="1" maximized="1" xWindow="-16" yWindow="-16" windowWidth="3872" windowHeight="2332" tabRatio="500" activeSheetId="1"/>
    <customWorkbookView name="Brian Bell - Personal View" guid="{1D9A851A-AB00-4F5F-A9E8-E1D0DD45E8C9}" mergeInterval="0" personalView="1" maximized="1" xWindow="1912" yWindow="-8" windowWidth="1936" windowHeight="1048" tabRatio="500" activeSheetId="1"/>
    <customWorkbookView name="Mattingly, Ryan - Personal View" guid="{70533415-B255-4E4B-BD1B-222113DCA8F8}" mergeInterval="0" personalView="1" maximized="1" xWindow="1909" yWindow="-1104" windowWidth="3862" windowHeight="2110" tabRatio="500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9" l="1"/>
  <c r="B3" i="9"/>
  <c r="F23" i="9" l="1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22" i="9"/>
  <c r="G17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3" i="9"/>
  <c r="C33" i="11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3" i="3"/>
  <c r="A24" i="2" l="1"/>
  <c r="A13" i="2"/>
  <c r="A2" i="2"/>
  <c r="C30" i="11"/>
  <c r="C18" i="11"/>
  <c r="C15" i="11"/>
  <c r="C12" i="11"/>
  <c r="C9" i="11"/>
  <c r="E7" i="11"/>
  <c r="E6" i="11"/>
  <c r="E15" i="11" s="1"/>
  <c r="C6" i="11"/>
  <c r="E3" i="11"/>
  <c r="C3" i="11"/>
  <c r="E2" i="11"/>
  <c r="E11" i="11" s="1"/>
  <c r="C21" i="11" l="1"/>
  <c r="E10" i="11"/>
  <c r="C27" i="11"/>
  <c r="E14" i="11"/>
  <c r="C24" i="11"/>
  <c r="C22" i="9"/>
  <c r="A22" i="7"/>
  <c r="D22" i="7" s="1"/>
  <c r="B22" i="7" l="1"/>
  <c r="C22" i="7"/>
  <c r="A23" i="7"/>
  <c r="E34" i="5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C36" i="9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B23" i="7" l="1"/>
  <c r="D23" i="7"/>
  <c r="C23" i="7"/>
  <c r="A24" i="7"/>
  <c r="B24" i="7" l="1"/>
  <c r="D24" i="7"/>
  <c r="C24" i="7"/>
  <c r="A25" i="7"/>
  <c r="B25" i="7" l="1"/>
  <c r="D25" i="7"/>
  <c r="C25" i="7"/>
  <c r="A26" i="7"/>
  <c r="B26" i="7" l="1"/>
  <c r="D26" i="7"/>
  <c r="C26" i="7"/>
  <c r="E7" i="5" l="1"/>
  <c r="F2" i="5"/>
  <c r="E3" i="5"/>
  <c r="E2" i="5"/>
  <c r="C3" i="2" l="1"/>
  <c r="C4" i="2" s="1"/>
  <c r="C5" i="2" s="1"/>
  <c r="C6" i="2" s="1"/>
  <c r="C7" i="2" s="1"/>
  <c r="C8" i="2" s="1"/>
  <c r="C9" i="2" s="1"/>
  <c r="C10" i="2" s="1"/>
  <c r="C11" i="2" s="1"/>
  <c r="B3" i="2"/>
  <c r="B4" i="2" s="1"/>
  <c r="B5" i="2" s="1"/>
  <c r="B6" i="2" s="1"/>
  <c r="B7" i="2" s="1"/>
  <c r="B8" i="2" s="1"/>
  <c r="B9" i="2" s="1"/>
  <c r="B10" i="2" s="1"/>
  <c r="B11" i="2" s="1"/>
  <c r="F34" i="5" l="1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H36" i="9" l="1"/>
  <c r="D36" i="9"/>
  <c r="E36" i="9" s="1"/>
  <c r="H35" i="9"/>
  <c r="D35" i="9"/>
  <c r="C35" i="9"/>
  <c r="H34" i="9"/>
  <c r="D34" i="9"/>
  <c r="C34" i="9"/>
  <c r="H33" i="9"/>
  <c r="D33" i="9"/>
  <c r="C33" i="9"/>
  <c r="H32" i="9"/>
  <c r="D32" i="9"/>
  <c r="C32" i="9"/>
  <c r="H31" i="9"/>
  <c r="D31" i="9"/>
  <c r="C31" i="9"/>
  <c r="H30" i="9"/>
  <c r="D30" i="9"/>
  <c r="C30" i="9"/>
  <c r="H29" i="9"/>
  <c r="D29" i="9"/>
  <c r="C29" i="9"/>
  <c r="H28" i="9"/>
  <c r="D28" i="9"/>
  <c r="C28" i="9"/>
  <c r="H27" i="9"/>
  <c r="D27" i="9"/>
  <c r="C27" i="9"/>
  <c r="H26" i="9"/>
  <c r="D26" i="9"/>
  <c r="C26" i="9"/>
  <c r="H25" i="9"/>
  <c r="D25" i="9"/>
  <c r="C25" i="9"/>
  <c r="H24" i="9"/>
  <c r="D24" i="9"/>
  <c r="C24" i="9"/>
  <c r="H23" i="9"/>
  <c r="D23" i="9"/>
  <c r="C23" i="9"/>
  <c r="H22" i="9"/>
  <c r="D22" i="9"/>
  <c r="B23" i="9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I2" i="7"/>
  <c r="K3" i="7" s="1"/>
  <c r="G34" i="5"/>
  <c r="K34" i="5" s="1"/>
  <c r="J33" i="5"/>
  <c r="E33" i="5"/>
  <c r="G33" i="5" s="1"/>
  <c r="J32" i="5"/>
  <c r="E32" i="5"/>
  <c r="I32" i="5" s="1"/>
  <c r="J31" i="5"/>
  <c r="E31" i="5"/>
  <c r="I31" i="5" s="1"/>
  <c r="E30" i="5"/>
  <c r="I30" i="5" s="1"/>
  <c r="J29" i="5"/>
  <c r="E29" i="5"/>
  <c r="I29" i="5" s="1"/>
  <c r="J28" i="5"/>
  <c r="E28" i="5"/>
  <c r="J27" i="5"/>
  <c r="G27" i="5"/>
  <c r="K27" i="5" s="1"/>
  <c r="J26" i="5"/>
  <c r="I26" i="5"/>
  <c r="J25" i="5"/>
  <c r="I25" i="5"/>
  <c r="J24" i="5"/>
  <c r="I24" i="5"/>
  <c r="J23" i="5"/>
  <c r="E23" i="5"/>
  <c r="I23" i="5" s="1"/>
  <c r="J22" i="5"/>
  <c r="E22" i="5"/>
  <c r="J21" i="5"/>
  <c r="E21" i="5"/>
  <c r="I21" i="5" s="1"/>
  <c r="J20" i="5"/>
  <c r="E20" i="5"/>
  <c r="I20" i="5" s="1"/>
  <c r="J19" i="5"/>
  <c r="E19" i="5"/>
  <c r="E18" i="5"/>
  <c r="I18" i="5" s="1"/>
  <c r="J17" i="5"/>
  <c r="E17" i="5"/>
  <c r="I17" i="5" s="1"/>
  <c r="J16" i="5"/>
  <c r="E16" i="5"/>
  <c r="J15" i="5"/>
  <c r="I15" i="5"/>
  <c r="E14" i="5"/>
  <c r="I14" i="5" s="1"/>
  <c r="J13" i="5"/>
  <c r="E13" i="5"/>
  <c r="G13" i="5" s="1"/>
  <c r="K13" i="5" s="1"/>
  <c r="J12" i="5"/>
  <c r="E12" i="5"/>
  <c r="I12" i="5" s="1"/>
  <c r="J11" i="5"/>
  <c r="E11" i="5"/>
  <c r="I11" i="5" s="1"/>
  <c r="J10" i="5"/>
  <c r="E10" i="5"/>
  <c r="G10" i="5" s="1"/>
  <c r="K10" i="5" s="1"/>
  <c r="J9" i="5"/>
  <c r="E9" i="5"/>
  <c r="I9" i="5" s="1"/>
  <c r="J8" i="5"/>
  <c r="E8" i="5"/>
  <c r="I8" i="5" s="1"/>
  <c r="J7" i="5"/>
  <c r="G7" i="5"/>
  <c r="K7" i="5" s="1"/>
  <c r="J6" i="5"/>
  <c r="E6" i="5"/>
  <c r="I6" i="5" s="1"/>
  <c r="J5" i="5"/>
  <c r="I5" i="5"/>
  <c r="J4" i="5"/>
  <c r="J3" i="5"/>
  <c r="I3" i="5"/>
  <c r="J2" i="5"/>
  <c r="X151" i="3"/>
  <c r="W151" i="3"/>
  <c r="V151" i="3"/>
  <c r="U151" i="3"/>
  <c r="W150" i="3"/>
  <c r="V150" i="3"/>
  <c r="T150" i="3"/>
  <c r="R150" i="3"/>
  <c r="S150" i="3" s="1"/>
  <c r="Q150" i="3"/>
  <c r="C156" i="10" s="1"/>
  <c r="N150" i="3"/>
  <c r="X150" i="3" s="1"/>
  <c r="M150" i="3"/>
  <c r="W149" i="3"/>
  <c r="V149" i="3"/>
  <c r="T149" i="3"/>
  <c r="R149" i="3"/>
  <c r="S149" i="3" s="1"/>
  <c r="Q149" i="3"/>
  <c r="C155" i="10" s="1"/>
  <c r="N149" i="3"/>
  <c r="X149" i="3" s="1"/>
  <c r="M149" i="3"/>
  <c r="W148" i="3"/>
  <c r="V148" i="3"/>
  <c r="T148" i="3"/>
  <c r="R148" i="3"/>
  <c r="S148" i="3" s="1"/>
  <c r="Q148" i="3"/>
  <c r="N148" i="3"/>
  <c r="X148" i="3" s="1"/>
  <c r="M148" i="3"/>
  <c r="W147" i="3"/>
  <c r="V147" i="3"/>
  <c r="T147" i="3"/>
  <c r="R147" i="3"/>
  <c r="S147" i="3" s="1"/>
  <c r="Q147" i="3"/>
  <c r="N147" i="3"/>
  <c r="X147" i="3" s="1"/>
  <c r="M147" i="3"/>
  <c r="W146" i="3"/>
  <c r="V146" i="3"/>
  <c r="T146" i="3"/>
  <c r="R146" i="3"/>
  <c r="S146" i="3" s="1"/>
  <c r="Q146" i="3"/>
  <c r="N146" i="3"/>
  <c r="X146" i="3" s="1"/>
  <c r="M146" i="3"/>
  <c r="W145" i="3"/>
  <c r="V145" i="3"/>
  <c r="T145" i="3"/>
  <c r="R145" i="3"/>
  <c r="S145" i="3" s="1"/>
  <c r="Q145" i="3"/>
  <c r="N145" i="3"/>
  <c r="X145" i="3" s="1"/>
  <c r="M145" i="3"/>
  <c r="W144" i="3"/>
  <c r="V144" i="3"/>
  <c r="T144" i="3"/>
  <c r="R144" i="3"/>
  <c r="S144" i="3" s="1"/>
  <c r="Q144" i="3"/>
  <c r="C150" i="10" s="1"/>
  <c r="N144" i="3"/>
  <c r="X144" i="3" s="1"/>
  <c r="M144" i="3"/>
  <c r="W143" i="3"/>
  <c r="V143" i="3"/>
  <c r="T143" i="3"/>
  <c r="R143" i="3"/>
  <c r="S143" i="3" s="1"/>
  <c r="Q143" i="3"/>
  <c r="N143" i="3"/>
  <c r="X143" i="3" s="1"/>
  <c r="M143" i="3"/>
  <c r="W142" i="3"/>
  <c r="V142" i="3"/>
  <c r="T142" i="3"/>
  <c r="R142" i="3"/>
  <c r="S142" i="3" s="1"/>
  <c r="Q142" i="3"/>
  <c r="N142" i="3"/>
  <c r="X142" i="3" s="1"/>
  <c r="M142" i="3"/>
  <c r="W141" i="3"/>
  <c r="V141" i="3"/>
  <c r="T141" i="3"/>
  <c r="R141" i="3"/>
  <c r="S141" i="3" s="1"/>
  <c r="Q141" i="3"/>
  <c r="C147" i="10" s="1"/>
  <c r="N141" i="3"/>
  <c r="X141" i="3" s="1"/>
  <c r="M141" i="3"/>
  <c r="W140" i="3"/>
  <c r="V140" i="3"/>
  <c r="T140" i="3"/>
  <c r="R140" i="3"/>
  <c r="S140" i="3" s="1"/>
  <c r="Q140" i="3"/>
  <c r="C146" i="10" s="1"/>
  <c r="N140" i="3"/>
  <c r="X140" i="3" s="1"/>
  <c r="M140" i="3"/>
  <c r="W139" i="3"/>
  <c r="V139" i="3"/>
  <c r="T139" i="3"/>
  <c r="R139" i="3"/>
  <c r="S139" i="3" s="1"/>
  <c r="Q139" i="3"/>
  <c r="C145" i="10" s="1"/>
  <c r="N139" i="3"/>
  <c r="X139" i="3" s="1"/>
  <c r="M139" i="3"/>
  <c r="W138" i="3"/>
  <c r="V138" i="3"/>
  <c r="T138" i="3"/>
  <c r="R138" i="3"/>
  <c r="S138" i="3" s="1"/>
  <c r="Q138" i="3"/>
  <c r="C144" i="10" s="1"/>
  <c r="N138" i="3"/>
  <c r="X138" i="3" s="1"/>
  <c r="M138" i="3"/>
  <c r="W137" i="3"/>
  <c r="V137" i="3"/>
  <c r="T137" i="3"/>
  <c r="R137" i="3"/>
  <c r="S137" i="3" s="1"/>
  <c r="Q137" i="3"/>
  <c r="N137" i="3"/>
  <c r="X137" i="3" s="1"/>
  <c r="M137" i="3"/>
  <c r="W136" i="3"/>
  <c r="V136" i="3"/>
  <c r="T136" i="3"/>
  <c r="R136" i="3"/>
  <c r="S136" i="3" s="1"/>
  <c r="Q136" i="3"/>
  <c r="N136" i="3"/>
  <c r="X136" i="3" s="1"/>
  <c r="M136" i="3"/>
  <c r="W135" i="3"/>
  <c r="V135" i="3"/>
  <c r="T135" i="3"/>
  <c r="R135" i="3"/>
  <c r="S135" i="3" s="1"/>
  <c r="Q135" i="3"/>
  <c r="N135" i="3"/>
  <c r="X135" i="3" s="1"/>
  <c r="M135" i="3"/>
  <c r="W134" i="3"/>
  <c r="V134" i="3"/>
  <c r="T134" i="3"/>
  <c r="R134" i="3"/>
  <c r="S134" i="3" s="1"/>
  <c r="Q134" i="3"/>
  <c r="C140" i="10" s="1"/>
  <c r="N134" i="3"/>
  <c r="X134" i="3" s="1"/>
  <c r="M134" i="3"/>
  <c r="W133" i="3"/>
  <c r="V133" i="3"/>
  <c r="T133" i="3"/>
  <c r="R133" i="3"/>
  <c r="S133" i="3" s="1"/>
  <c r="Q133" i="3"/>
  <c r="N133" i="3"/>
  <c r="X133" i="3" s="1"/>
  <c r="M133" i="3"/>
  <c r="W132" i="3"/>
  <c r="V132" i="3"/>
  <c r="T132" i="3"/>
  <c r="R132" i="3"/>
  <c r="S132" i="3" s="1"/>
  <c r="Q132" i="3"/>
  <c r="C138" i="10" s="1"/>
  <c r="N132" i="3"/>
  <c r="X132" i="3" s="1"/>
  <c r="M132" i="3"/>
  <c r="W131" i="3"/>
  <c r="V131" i="3"/>
  <c r="T131" i="3"/>
  <c r="R131" i="3"/>
  <c r="S131" i="3" s="1"/>
  <c r="Q131" i="3"/>
  <c r="N131" i="3"/>
  <c r="X131" i="3" s="1"/>
  <c r="M131" i="3"/>
  <c r="W130" i="3"/>
  <c r="V130" i="3"/>
  <c r="T130" i="3"/>
  <c r="R130" i="3"/>
  <c r="S130" i="3" s="1"/>
  <c r="Q130" i="3"/>
  <c r="N130" i="3"/>
  <c r="X130" i="3" s="1"/>
  <c r="M130" i="3"/>
  <c r="W129" i="3"/>
  <c r="V129" i="3"/>
  <c r="T129" i="3"/>
  <c r="R129" i="3"/>
  <c r="S129" i="3" s="1"/>
  <c r="Q129" i="3"/>
  <c r="C135" i="10" s="1"/>
  <c r="N129" i="3"/>
  <c r="X129" i="3" s="1"/>
  <c r="M129" i="3"/>
  <c r="W128" i="3"/>
  <c r="V128" i="3"/>
  <c r="T128" i="3"/>
  <c r="R128" i="3"/>
  <c r="S128" i="3" s="1"/>
  <c r="Q128" i="3"/>
  <c r="C134" i="10" s="1"/>
  <c r="N128" i="3"/>
  <c r="X128" i="3" s="1"/>
  <c r="M128" i="3"/>
  <c r="W127" i="3"/>
  <c r="V127" i="3"/>
  <c r="T127" i="3"/>
  <c r="R127" i="3"/>
  <c r="S127" i="3" s="1"/>
  <c r="Q127" i="3"/>
  <c r="N127" i="3"/>
  <c r="X127" i="3" s="1"/>
  <c r="M127" i="3"/>
  <c r="W126" i="3"/>
  <c r="V126" i="3"/>
  <c r="T126" i="3"/>
  <c r="R126" i="3"/>
  <c r="S126" i="3" s="1"/>
  <c r="Q126" i="3"/>
  <c r="C132" i="10" s="1"/>
  <c r="N126" i="3"/>
  <c r="X126" i="3" s="1"/>
  <c r="W125" i="3"/>
  <c r="V125" i="3"/>
  <c r="T125" i="3"/>
  <c r="R125" i="3"/>
  <c r="S125" i="3" s="1"/>
  <c r="Q125" i="3"/>
  <c r="N125" i="3"/>
  <c r="X125" i="3" s="1"/>
  <c r="W124" i="3"/>
  <c r="V124" i="3"/>
  <c r="T124" i="3"/>
  <c r="R124" i="3"/>
  <c r="S124" i="3" s="1"/>
  <c r="Q124" i="3"/>
  <c r="N124" i="3"/>
  <c r="X124" i="3" s="1"/>
  <c r="W123" i="3"/>
  <c r="V123" i="3"/>
  <c r="T123" i="3"/>
  <c r="R123" i="3"/>
  <c r="S123" i="3" s="1"/>
  <c r="Q123" i="3"/>
  <c r="N123" i="3"/>
  <c r="X123" i="3" s="1"/>
  <c r="W122" i="3"/>
  <c r="V122" i="3"/>
  <c r="T122" i="3"/>
  <c r="R122" i="3"/>
  <c r="S122" i="3" s="1"/>
  <c r="Q122" i="3"/>
  <c r="N122" i="3"/>
  <c r="X122" i="3" s="1"/>
  <c r="W121" i="3"/>
  <c r="V121" i="3"/>
  <c r="T121" i="3"/>
  <c r="R121" i="3"/>
  <c r="S121" i="3" s="1"/>
  <c r="Q121" i="3"/>
  <c r="C127" i="10" s="1"/>
  <c r="N121" i="3"/>
  <c r="X121" i="3" s="1"/>
  <c r="W120" i="3"/>
  <c r="V120" i="3"/>
  <c r="T120" i="3"/>
  <c r="R120" i="3"/>
  <c r="S120" i="3" s="1"/>
  <c r="Q120" i="3"/>
  <c r="N120" i="3"/>
  <c r="X120" i="3" s="1"/>
  <c r="W119" i="3"/>
  <c r="V119" i="3"/>
  <c r="T119" i="3"/>
  <c r="R119" i="3"/>
  <c r="S119" i="3" s="1"/>
  <c r="Q119" i="3"/>
  <c r="N119" i="3"/>
  <c r="X119" i="3" s="1"/>
  <c r="W118" i="3"/>
  <c r="V118" i="3"/>
  <c r="T118" i="3"/>
  <c r="R118" i="3"/>
  <c r="S118" i="3" s="1"/>
  <c r="Q118" i="3"/>
  <c r="C124" i="10" s="1"/>
  <c r="N118" i="3"/>
  <c r="X118" i="3" s="1"/>
  <c r="W117" i="3"/>
  <c r="V117" i="3"/>
  <c r="T117" i="3"/>
  <c r="R117" i="3"/>
  <c r="S117" i="3" s="1"/>
  <c r="Q117" i="3"/>
  <c r="C123" i="10" s="1"/>
  <c r="N117" i="3"/>
  <c r="X117" i="3" s="1"/>
  <c r="W116" i="3"/>
  <c r="V116" i="3"/>
  <c r="T116" i="3"/>
  <c r="R116" i="3"/>
  <c r="S116" i="3" s="1"/>
  <c r="Q116" i="3"/>
  <c r="N116" i="3"/>
  <c r="X116" i="3" s="1"/>
  <c r="W115" i="3"/>
  <c r="V115" i="3"/>
  <c r="T115" i="3"/>
  <c r="R115" i="3"/>
  <c r="S115" i="3" s="1"/>
  <c r="Q115" i="3"/>
  <c r="N115" i="3"/>
  <c r="X115" i="3" s="1"/>
  <c r="M115" i="3"/>
  <c r="W114" i="3"/>
  <c r="V114" i="3"/>
  <c r="T114" i="3"/>
  <c r="R114" i="3"/>
  <c r="S114" i="3" s="1"/>
  <c r="Q114" i="3"/>
  <c r="N114" i="3"/>
  <c r="X114" i="3" s="1"/>
  <c r="M114" i="3"/>
  <c r="W113" i="3"/>
  <c r="V113" i="3"/>
  <c r="T113" i="3"/>
  <c r="R113" i="3"/>
  <c r="S113" i="3" s="1"/>
  <c r="Q113" i="3"/>
  <c r="N113" i="3"/>
  <c r="X113" i="3" s="1"/>
  <c r="W112" i="3"/>
  <c r="V112" i="3"/>
  <c r="T112" i="3"/>
  <c r="R112" i="3"/>
  <c r="S112" i="3" s="1"/>
  <c r="Q112" i="3"/>
  <c r="C118" i="10" s="1"/>
  <c r="N112" i="3"/>
  <c r="X112" i="3" s="1"/>
  <c r="W111" i="3"/>
  <c r="V111" i="3"/>
  <c r="T111" i="3"/>
  <c r="R111" i="3"/>
  <c r="S111" i="3" s="1"/>
  <c r="Q111" i="3"/>
  <c r="N111" i="3"/>
  <c r="X111" i="3" s="1"/>
  <c r="W110" i="3"/>
  <c r="V110" i="3"/>
  <c r="T110" i="3"/>
  <c r="R110" i="3"/>
  <c r="S110" i="3" s="1"/>
  <c r="Q110" i="3"/>
  <c r="N110" i="3"/>
  <c r="X110" i="3" s="1"/>
  <c r="W109" i="3"/>
  <c r="V109" i="3"/>
  <c r="T109" i="3"/>
  <c r="R109" i="3"/>
  <c r="S109" i="3" s="1"/>
  <c r="Q109" i="3"/>
  <c r="N109" i="3"/>
  <c r="X109" i="3" s="1"/>
  <c r="W108" i="3"/>
  <c r="V108" i="3"/>
  <c r="T108" i="3"/>
  <c r="R108" i="3"/>
  <c r="S108" i="3" s="1"/>
  <c r="Q108" i="3"/>
  <c r="C114" i="10" s="1"/>
  <c r="N108" i="3"/>
  <c r="X108" i="3" s="1"/>
  <c r="W107" i="3"/>
  <c r="V107" i="3"/>
  <c r="T107" i="3"/>
  <c r="R107" i="3"/>
  <c r="S107" i="3" s="1"/>
  <c r="Q107" i="3"/>
  <c r="C113" i="10" s="1"/>
  <c r="N107" i="3"/>
  <c r="X107" i="3" s="1"/>
  <c r="W106" i="3"/>
  <c r="V106" i="3"/>
  <c r="T106" i="3"/>
  <c r="R106" i="3"/>
  <c r="S106" i="3" s="1"/>
  <c r="Q106" i="3"/>
  <c r="C112" i="10" s="1"/>
  <c r="N106" i="3"/>
  <c r="X106" i="3" s="1"/>
  <c r="W105" i="3"/>
  <c r="V105" i="3"/>
  <c r="T105" i="3"/>
  <c r="R105" i="3"/>
  <c r="S105" i="3" s="1"/>
  <c r="Q105" i="3"/>
  <c r="N105" i="3"/>
  <c r="X105" i="3" s="1"/>
  <c r="W104" i="3"/>
  <c r="V104" i="3"/>
  <c r="T104" i="3"/>
  <c r="R104" i="3"/>
  <c r="S104" i="3" s="1"/>
  <c r="Q104" i="3"/>
  <c r="C110" i="10" s="1"/>
  <c r="N104" i="3"/>
  <c r="X104" i="3" s="1"/>
  <c r="W103" i="3"/>
  <c r="V103" i="3"/>
  <c r="T103" i="3"/>
  <c r="R103" i="3"/>
  <c r="S103" i="3" s="1"/>
  <c r="Q103" i="3"/>
  <c r="N103" i="3"/>
  <c r="X103" i="3" s="1"/>
  <c r="W102" i="3"/>
  <c r="V102" i="3"/>
  <c r="T102" i="3"/>
  <c r="R102" i="3"/>
  <c r="S102" i="3" s="1"/>
  <c r="Q102" i="3"/>
  <c r="C108" i="10" s="1"/>
  <c r="N102" i="3"/>
  <c r="X102" i="3" s="1"/>
  <c r="W101" i="3"/>
  <c r="V101" i="3"/>
  <c r="T101" i="3"/>
  <c r="R101" i="3"/>
  <c r="S101" i="3" s="1"/>
  <c r="Q101" i="3"/>
  <c r="N101" i="3"/>
  <c r="X101" i="3" s="1"/>
  <c r="W100" i="3"/>
  <c r="V100" i="3"/>
  <c r="T100" i="3"/>
  <c r="R100" i="3"/>
  <c r="S100" i="3" s="1"/>
  <c r="Q100" i="3"/>
  <c r="C106" i="10" s="1"/>
  <c r="N100" i="3"/>
  <c r="X100" i="3" s="1"/>
  <c r="W99" i="3"/>
  <c r="V99" i="3"/>
  <c r="T99" i="3"/>
  <c r="R99" i="3"/>
  <c r="S99" i="3" s="1"/>
  <c r="Q99" i="3"/>
  <c r="N99" i="3"/>
  <c r="X99" i="3" s="1"/>
  <c r="W98" i="3"/>
  <c r="V98" i="3"/>
  <c r="T98" i="3"/>
  <c r="R98" i="3"/>
  <c r="S98" i="3" s="1"/>
  <c r="Q98" i="3"/>
  <c r="N98" i="3"/>
  <c r="X98" i="3" s="1"/>
  <c r="W97" i="3"/>
  <c r="V97" i="3"/>
  <c r="T97" i="3"/>
  <c r="R97" i="3"/>
  <c r="S97" i="3" s="1"/>
  <c r="Q97" i="3"/>
  <c r="C103" i="10" s="1"/>
  <c r="N97" i="3"/>
  <c r="X97" i="3" s="1"/>
  <c r="W96" i="3"/>
  <c r="V96" i="3"/>
  <c r="T96" i="3"/>
  <c r="R96" i="3"/>
  <c r="S96" i="3" s="1"/>
  <c r="Q96" i="3"/>
  <c r="N96" i="3"/>
  <c r="X96" i="3" s="1"/>
  <c r="W95" i="3"/>
  <c r="V95" i="3"/>
  <c r="T95" i="3"/>
  <c r="R95" i="3"/>
  <c r="S95" i="3" s="1"/>
  <c r="Q95" i="3"/>
  <c r="N95" i="3"/>
  <c r="X95" i="3" s="1"/>
  <c r="W94" i="3"/>
  <c r="V94" i="3"/>
  <c r="T94" i="3"/>
  <c r="R94" i="3"/>
  <c r="S94" i="3" s="1"/>
  <c r="Q94" i="3"/>
  <c r="C100" i="10" s="1"/>
  <c r="N94" i="3"/>
  <c r="X94" i="3" s="1"/>
  <c r="W93" i="3"/>
  <c r="V93" i="3"/>
  <c r="T93" i="3"/>
  <c r="R93" i="3"/>
  <c r="S93" i="3" s="1"/>
  <c r="Q93" i="3"/>
  <c r="N93" i="3"/>
  <c r="X93" i="3" s="1"/>
  <c r="W92" i="3"/>
  <c r="V92" i="3"/>
  <c r="T92" i="3"/>
  <c r="R92" i="3"/>
  <c r="S92" i="3" s="1"/>
  <c r="Q92" i="3"/>
  <c r="N92" i="3"/>
  <c r="X92" i="3" s="1"/>
  <c r="W91" i="3"/>
  <c r="V91" i="3"/>
  <c r="T91" i="3"/>
  <c r="R91" i="3"/>
  <c r="S91" i="3" s="1"/>
  <c r="Q91" i="3"/>
  <c r="N91" i="3"/>
  <c r="X91" i="3" s="1"/>
  <c r="W90" i="3"/>
  <c r="V90" i="3"/>
  <c r="T90" i="3"/>
  <c r="R90" i="3"/>
  <c r="S90" i="3" s="1"/>
  <c r="Q90" i="3"/>
  <c r="N90" i="3"/>
  <c r="X90" i="3" s="1"/>
  <c r="W89" i="3"/>
  <c r="V89" i="3"/>
  <c r="T89" i="3"/>
  <c r="R89" i="3"/>
  <c r="S89" i="3" s="1"/>
  <c r="Q89" i="3"/>
  <c r="C95" i="10" s="1"/>
  <c r="N89" i="3"/>
  <c r="X89" i="3" s="1"/>
  <c r="W88" i="3"/>
  <c r="V88" i="3"/>
  <c r="T88" i="3"/>
  <c r="R88" i="3"/>
  <c r="S88" i="3" s="1"/>
  <c r="Q88" i="3"/>
  <c r="N88" i="3"/>
  <c r="X88" i="3" s="1"/>
  <c r="W87" i="3"/>
  <c r="V87" i="3"/>
  <c r="T87" i="3"/>
  <c r="R87" i="3"/>
  <c r="S87" i="3" s="1"/>
  <c r="Q87" i="3"/>
  <c r="N87" i="3"/>
  <c r="X87" i="3" s="1"/>
  <c r="W86" i="3"/>
  <c r="V86" i="3"/>
  <c r="T86" i="3"/>
  <c r="R86" i="3"/>
  <c r="S86" i="3" s="1"/>
  <c r="Q86" i="3"/>
  <c r="C92" i="10" s="1"/>
  <c r="N86" i="3"/>
  <c r="X86" i="3" s="1"/>
  <c r="W85" i="3"/>
  <c r="V85" i="3"/>
  <c r="T85" i="3"/>
  <c r="R85" i="3"/>
  <c r="S85" i="3" s="1"/>
  <c r="Q85" i="3"/>
  <c r="C91" i="10" s="1"/>
  <c r="N85" i="3"/>
  <c r="X85" i="3" s="1"/>
  <c r="W84" i="3"/>
  <c r="V84" i="3"/>
  <c r="T84" i="3"/>
  <c r="R84" i="3"/>
  <c r="S84" i="3" s="1"/>
  <c r="Q84" i="3"/>
  <c r="N84" i="3"/>
  <c r="X84" i="3" s="1"/>
  <c r="W83" i="3"/>
  <c r="V83" i="3"/>
  <c r="T83" i="3"/>
  <c r="R83" i="3"/>
  <c r="S83" i="3" s="1"/>
  <c r="Q83" i="3"/>
  <c r="N83" i="3"/>
  <c r="X83" i="3" s="1"/>
  <c r="W82" i="3"/>
  <c r="V82" i="3"/>
  <c r="T82" i="3"/>
  <c r="R82" i="3"/>
  <c r="S82" i="3" s="1"/>
  <c r="Q82" i="3"/>
  <c r="N82" i="3"/>
  <c r="X82" i="3" s="1"/>
  <c r="W81" i="3"/>
  <c r="V81" i="3"/>
  <c r="T81" i="3"/>
  <c r="R81" i="3"/>
  <c r="S81" i="3" s="1"/>
  <c r="Q81" i="3"/>
  <c r="N81" i="3"/>
  <c r="X81" i="3" s="1"/>
  <c r="W80" i="3"/>
  <c r="V80" i="3"/>
  <c r="T80" i="3"/>
  <c r="R80" i="3"/>
  <c r="S80" i="3" s="1"/>
  <c r="Q80" i="3"/>
  <c r="C86" i="10" s="1"/>
  <c r="N80" i="3"/>
  <c r="X80" i="3" s="1"/>
  <c r="W79" i="3"/>
  <c r="V79" i="3"/>
  <c r="T79" i="3"/>
  <c r="R79" i="3"/>
  <c r="S79" i="3" s="1"/>
  <c r="Q79" i="3"/>
  <c r="N79" i="3"/>
  <c r="X79" i="3" s="1"/>
  <c r="W78" i="3"/>
  <c r="V78" i="3"/>
  <c r="T78" i="3"/>
  <c r="R78" i="3"/>
  <c r="S78" i="3" s="1"/>
  <c r="Q78" i="3"/>
  <c r="N78" i="3"/>
  <c r="X78" i="3" s="1"/>
  <c r="W77" i="3"/>
  <c r="V77" i="3"/>
  <c r="T77" i="3"/>
  <c r="R77" i="3"/>
  <c r="S77" i="3" s="1"/>
  <c r="Q77" i="3"/>
  <c r="N77" i="3"/>
  <c r="X77" i="3" s="1"/>
  <c r="W76" i="3"/>
  <c r="V76" i="3"/>
  <c r="T76" i="3"/>
  <c r="R76" i="3"/>
  <c r="S76" i="3" s="1"/>
  <c r="Q76" i="3"/>
  <c r="C82" i="10" s="1"/>
  <c r="N76" i="3"/>
  <c r="X76" i="3" s="1"/>
  <c r="W75" i="3"/>
  <c r="V75" i="3"/>
  <c r="T75" i="3"/>
  <c r="R75" i="3"/>
  <c r="S75" i="3" s="1"/>
  <c r="Q75" i="3"/>
  <c r="C81" i="10" s="1"/>
  <c r="N75" i="3"/>
  <c r="X75" i="3" s="1"/>
  <c r="W74" i="3"/>
  <c r="V74" i="3"/>
  <c r="T74" i="3"/>
  <c r="R74" i="3"/>
  <c r="S74" i="3" s="1"/>
  <c r="Q74" i="3"/>
  <c r="C80" i="10" s="1"/>
  <c r="N74" i="3"/>
  <c r="X74" i="3" s="1"/>
  <c r="W73" i="3"/>
  <c r="V73" i="3"/>
  <c r="T73" i="3"/>
  <c r="R73" i="3"/>
  <c r="S73" i="3" s="1"/>
  <c r="Q73" i="3"/>
  <c r="N73" i="3"/>
  <c r="X73" i="3" s="1"/>
  <c r="W72" i="3"/>
  <c r="V72" i="3"/>
  <c r="T72" i="3"/>
  <c r="R72" i="3"/>
  <c r="S72" i="3" s="1"/>
  <c r="Q72" i="3"/>
  <c r="C78" i="10" s="1"/>
  <c r="N72" i="3"/>
  <c r="X72" i="3" s="1"/>
  <c r="W71" i="3"/>
  <c r="V71" i="3"/>
  <c r="T71" i="3"/>
  <c r="R71" i="3"/>
  <c r="S71" i="3" s="1"/>
  <c r="Q71" i="3"/>
  <c r="N71" i="3"/>
  <c r="X71" i="3" s="1"/>
  <c r="W70" i="3"/>
  <c r="V70" i="3"/>
  <c r="T70" i="3"/>
  <c r="R70" i="3"/>
  <c r="S70" i="3" s="1"/>
  <c r="Q70" i="3"/>
  <c r="C76" i="10" s="1"/>
  <c r="N70" i="3"/>
  <c r="X70" i="3" s="1"/>
  <c r="W69" i="3"/>
  <c r="V69" i="3"/>
  <c r="T69" i="3"/>
  <c r="R69" i="3"/>
  <c r="S69" i="3" s="1"/>
  <c r="Q69" i="3"/>
  <c r="N69" i="3"/>
  <c r="X69" i="3" s="1"/>
  <c r="W68" i="3"/>
  <c r="V68" i="3"/>
  <c r="T68" i="3"/>
  <c r="R68" i="3"/>
  <c r="S68" i="3" s="1"/>
  <c r="Q68" i="3"/>
  <c r="C74" i="10" s="1"/>
  <c r="N68" i="3"/>
  <c r="X68" i="3" s="1"/>
  <c r="W67" i="3"/>
  <c r="V67" i="3"/>
  <c r="T67" i="3"/>
  <c r="R67" i="3"/>
  <c r="S67" i="3" s="1"/>
  <c r="Q67" i="3"/>
  <c r="C73" i="10" s="1"/>
  <c r="N67" i="3"/>
  <c r="X67" i="3" s="1"/>
  <c r="W66" i="3"/>
  <c r="V66" i="3"/>
  <c r="T66" i="3"/>
  <c r="R66" i="3"/>
  <c r="S66" i="3" s="1"/>
  <c r="Q66" i="3"/>
  <c r="N66" i="3"/>
  <c r="X66" i="3" s="1"/>
  <c r="W65" i="3"/>
  <c r="V65" i="3"/>
  <c r="T65" i="3"/>
  <c r="R65" i="3"/>
  <c r="S65" i="3" s="1"/>
  <c r="Q65" i="3"/>
  <c r="C71" i="10" s="1"/>
  <c r="N65" i="3"/>
  <c r="X65" i="3" s="1"/>
  <c r="W64" i="3"/>
  <c r="V64" i="3"/>
  <c r="T64" i="3"/>
  <c r="R64" i="3"/>
  <c r="S64" i="3" s="1"/>
  <c r="Q64" i="3"/>
  <c r="C70" i="10" s="1"/>
  <c r="N64" i="3"/>
  <c r="X64" i="3" s="1"/>
  <c r="W63" i="3"/>
  <c r="V63" i="3"/>
  <c r="T63" i="3"/>
  <c r="R63" i="3"/>
  <c r="S63" i="3" s="1"/>
  <c r="Q63" i="3"/>
  <c r="N63" i="3"/>
  <c r="X63" i="3" s="1"/>
  <c r="W62" i="3"/>
  <c r="V62" i="3"/>
  <c r="T62" i="3"/>
  <c r="R62" i="3"/>
  <c r="S62" i="3" s="1"/>
  <c r="Q62" i="3"/>
  <c r="C68" i="10" s="1"/>
  <c r="N62" i="3"/>
  <c r="X62" i="3" s="1"/>
  <c r="W61" i="3"/>
  <c r="V61" i="3"/>
  <c r="T61" i="3"/>
  <c r="R61" i="3"/>
  <c r="S61" i="3" s="1"/>
  <c r="Q61" i="3"/>
  <c r="N61" i="3"/>
  <c r="X61" i="3" s="1"/>
  <c r="W60" i="3"/>
  <c r="V60" i="3"/>
  <c r="T60" i="3"/>
  <c r="R60" i="3"/>
  <c r="S60" i="3" s="1"/>
  <c r="Q60" i="3"/>
  <c r="N60" i="3"/>
  <c r="X60" i="3" s="1"/>
  <c r="W59" i="3"/>
  <c r="V59" i="3"/>
  <c r="T59" i="3"/>
  <c r="R59" i="3"/>
  <c r="S59" i="3" s="1"/>
  <c r="Q59" i="3"/>
  <c r="N59" i="3"/>
  <c r="X59" i="3" s="1"/>
  <c r="W58" i="3"/>
  <c r="V58" i="3"/>
  <c r="T58" i="3"/>
  <c r="R58" i="3"/>
  <c r="S58" i="3" s="1"/>
  <c r="Q58" i="3"/>
  <c r="N58" i="3"/>
  <c r="X58" i="3" s="1"/>
  <c r="W57" i="3"/>
  <c r="V57" i="3"/>
  <c r="T57" i="3"/>
  <c r="R57" i="3"/>
  <c r="S57" i="3" s="1"/>
  <c r="Q57" i="3"/>
  <c r="C63" i="10" s="1"/>
  <c r="N57" i="3"/>
  <c r="X57" i="3" s="1"/>
  <c r="W56" i="3"/>
  <c r="V56" i="3"/>
  <c r="T56" i="3"/>
  <c r="R56" i="3"/>
  <c r="S56" i="3" s="1"/>
  <c r="Q56" i="3"/>
  <c r="N56" i="3"/>
  <c r="X56" i="3" s="1"/>
  <c r="W55" i="3"/>
  <c r="V55" i="3"/>
  <c r="T55" i="3"/>
  <c r="R55" i="3"/>
  <c r="S55" i="3" s="1"/>
  <c r="Q55" i="3"/>
  <c r="N55" i="3"/>
  <c r="X55" i="3" s="1"/>
  <c r="W54" i="3"/>
  <c r="V54" i="3"/>
  <c r="T54" i="3"/>
  <c r="R54" i="3"/>
  <c r="S54" i="3" s="1"/>
  <c r="Q54" i="3"/>
  <c r="C60" i="10" s="1"/>
  <c r="N54" i="3"/>
  <c r="X54" i="3" s="1"/>
  <c r="W53" i="3"/>
  <c r="V53" i="3"/>
  <c r="T53" i="3"/>
  <c r="R53" i="3"/>
  <c r="S53" i="3" s="1"/>
  <c r="Q53" i="3"/>
  <c r="C59" i="10" s="1"/>
  <c r="N53" i="3"/>
  <c r="X53" i="3" s="1"/>
  <c r="W52" i="3"/>
  <c r="V52" i="3"/>
  <c r="T52" i="3"/>
  <c r="R52" i="3"/>
  <c r="S52" i="3" s="1"/>
  <c r="Q52" i="3"/>
  <c r="N52" i="3"/>
  <c r="X52" i="3" s="1"/>
  <c r="W51" i="3"/>
  <c r="V51" i="3"/>
  <c r="T51" i="3"/>
  <c r="R51" i="3"/>
  <c r="S51" i="3" s="1"/>
  <c r="Q51" i="3"/>
  <c r="C57" i="10" s="1"/>
  <c r="N51" i="3"/>
  <c r="X51" i="3" s="1"/>
  <c r="W50" i="3"/>
  <c r="V50" i="3"/>
  <c r="T50" i="3"/>
  <c r="R50" i="3"/>
  <c r="S50" i="3" s="1"/>
  <c r="Q50" i="3"/>
  <c r="N50" i="3"/>
  <c r="X50" i="3" s="1"/>
  <c r="W49" i="3"/>
  <c r="V49" i="3"/>
  <c r="T49" i="3"/>
  <c r="R49" i="3"/>
  <c r="S49" i="3" s="1"/>
  <c r="Q49" i="3"/>
  <c r="N49" i="3"/>
  <c r="X49" i="3" s="1"/>
  <c r="W48" i="3"/>
  <c r="V48" i="3"/>
  <c r="T48" i="3"/>
  <c r="R48" i="3"/>
  <c r="S48" i="3" s="1"/>
  <c r="Q48" i="3"/>
  <c r="N48" i="3"/>
  <c r="X48" i="3" s="1"/>
  <c r="W47" i="3"/>
  <c r="V47" i="3"/>
  <c r="T47" i="3"/>
  <c r="R47" i="3"/>
  <c r="S47" i="3" s="1"/>
  <c r="Q47" i="3"/>
  <c r="N47" i="3"/>
  <c r="X47" i="3" s="1"/>
  <c r="W46" i="3"/>
  <c r="V46" i="3"/>
  <c r="T46" i="3"/>
  <c r="R46" i="3"/>
  <c r="S46" i="3" s="1"/>
  <c r="Q46" i="3"/>
  <c r="C52" i="10" s="1"/>
  <c r="N46" i="3"/>
  <c r="X46" i="3" s="1"/>
  <c r="W45" i="3"/>
  <c r="V45" i="3"/>
  <c r="T45" i="3"/>
  <c r="R45" i="3"/>
  <c r="S45" i="3" s="1"/>
  <c r="Q45" i="3"/>
  <c r="N45" i="3"/>
  <c r="X45" i="3" s="1"/>
  <c r="W44" i="3"/>
  <c r="V44" i="3"/>
  <c r="T44" i="3"/>
  <c r="R44" i="3"/>
  <c r="S44" i="3" s="1"/>
  <c r="Q44" i="3"/>
  <c r="C50" i="10" s="1"/>
  <c r="N44" i="3"/>
  <c r="X44" i="3" s="1"/>
  <c r="W43" i="3"/>
  <c r="V43" i="3"/>
  <c r="T43" i="3"/>
  <c r="R43" i="3"/>
  <c r="S43" i="3" s="1"/>
  <c r="Q43" i="3"/>
  <c r="N43" i="3"/>
  <c r="X43" i="3" s="1"/>
  <c r="W42" i="3"/>
  <c r="V42" i="3"/>
  <c r="T42" i="3"/>
  <c r="R42" i="3"/>
  <c r="S42" i="3" s="1"/>
  <c r="Q42" i="3"/>
  <c r="C48" i="10" s="1"/>
  <c r="N42" i="3"/>
  <c r="X42" i="3" s="1"/>
  <c r="W41" i="3"/>
  <c r="V41" i="3"/>
  <c r="T41" i="3"/>
  <c r="R41" i="3"/>
  <c r="S41" i="3" s="1"/>
  <c r="Q41" i="3"/>
  <c r="N41" i="3"/>
  <c r="X41" i="3" s="1"/>
  <c r="W40" i="3"/>
  <c r="V40" i="3"/>
  <c r="T40" i="3"/>
  <c r="R40" i="3"/>
  <c r="S40" i="3" s="1"/>
  <c r="Q40" i="3"/>
  <c r="C46" i="10" s="1"/>
  <c r="N40" i="3"/>
  <c r="X40" i="3" s="1"/>
  <c r="W39" i="3"/>
  <c r="V39" i="3"/>
  <c r="T39" i="3"/>
  <c r="R39" i="3"/>
  <c r="S39" i="3" s="1"/>
  <c r="Q39" i="3"/>
  <c r="N39" i="3"/>
  <c r="X39" i="3" s="1"/>
  <c r="W38" i="3"/>
  <c r="V38" i="3"/>
  <c r="T38" i="3"/>
  <c r="R38" i="3"/>
  <c r="S38" i="3" s="1"/>
  <c r="Q38" i="3"/>
  <c r="C44" i="10" s="1"/>
  <c r="N38" i="3"/>
  <c r="X38" i="3" s="1"/>
  <c r="W37" i="3"/>
  <c r="V37" i="3"/>
  <c r="T37" i="3"/>
  <c r="R37" i="3"/>
  <c r="S37" i="3" s="1"/>
  <c r="Q37" i="3"/>
  <c r="N37" i="3"/>
  <c r="X37" i="3" s="1"/>
  <c r="W36" i="3"/>
  <c r="V36" i="3"/>
  <c r="T36" i="3"/>
  <c r="R36" i="3"/>
  <c r="S36" i="3" s="1"/>
  <c r="Q36" i="3"/>
  <c r="C42" i="10" s="1"/>
  <c r="N36" i="3"/>
  <c r="X36" i="3" s="1"/>
  <c r="AD35" i="3"/>
  <c r="W35" i="3"/>
  <c r="V35" i="3"/>
  <c r="T35" i="3"/>
  <c r="R35" i="3"/>
  <c r="S35" i="3" s="1"/>
  <c r="Q35" i="3"/>
  <c r="N35" i="3"/>
  <c r="X35" i="3" s="1"/>
  <c r="AD34" i="3"/>
  <c r="W34" i="3"/>
  <c r="V34" i="3"/>
  <c r="T34" i="3"/>
  <c r="R34" i="3"/>
  <c r="S34" i="3" s="1"/>
  <c r="Q34" i="3"/>
  <c r="N34" i="3"/>
  <c r="X34" i="3" s="1"/>
  <c r="AD33" i="3"/>
  <c r="W33" i="3"/>
  <c r="V33" i="3"/>
  <c r="T33" i="3"/>
  <c r="R33" i="3"/>
  <c r="S33" i="3" s="1"/>
  <c r="Q33" i="3"/>
  <c r="N33" i="3"/>
  <c r="X33" i="3" s="1"/>
  <c r="AD32" i="3"/>
  <c r="W32" i="3"/>
  <c r="V32" i="3"/>
  <c r="T32" i="3"/>
  <c r="R32" i="3"/>
  <c r="S32" i="3" s="1"/>
  <c r="Q32" i="3"/>
  <c r="C38" i="10" s="1"/>
  <c r="N32" i="3"/>
  <c r="X32" i="3" s="1"/>
  <c r="AD31" i="3"/>
  <c r="W31" i="3"/>
  <c r="V31" i="3"/>
  <c r="T31" i="3"/>
  <c r="R31" i="3"/>
  <c r="S31" i="3" s="1"/>
  <c r="Q31" i="3"/>
  <c r="N31" i="3"/>
  <c r="X31" i="3" s="1"/>
  <c r="AD30" i="3"/>
  <c r="W30" i="3"/>
  <c r="V30" i="3"/>
  <c r="T30" i="3"/>
  <c r="R30" i="3"/>
  <c r="S30" i="3" s="1"/>
  <c r="Q30" i="3"/>
  <c r="C36" i="10" s="1"/>
  <c r="N30" i="3"/>
  <c r="X30" i="3" s="1"/>
  <c r="AD29" i="3"/>
  <c r="W29" i="3"/>
  <c r="V29" i="3"/>
  <c r="T29" i="3"/>
  <c r="R29" i="3"/>
  <c r="S29" i="3" s="1"/>
  <c r="Q29" i="3"/>
  <c r="N29" i="3"/>
  <c r="X29" i="3" s="1"/>
  <c r="AD28" i="3"/>
  <c r="W28" i="3"/>
  <c r="V28" i="3"/>
  <c r="T28" i="3"/>
  <c r="R28" i="3"/>
  <c r="S28" i="3" s="1"/>
  <c r="Q28" i="3"/>
  <c r="C34" i="10" s="1"/>
  <c r="N28" i="3"/>
  <c r="X28" i="3" s="1"/>
  <c r="AD27" i="3"/>
  <c r="W27" i="3"/>
  <c r="V27" i="3"/>
  <c r="T27" i="3"/>
  <c r="R27" i="3"/>
  <c r="S27" i="3" s="1"/>
  <c r="Q27" i="3"/>
  <c r="N27" i="3"/>
  <c r="X27" i="3" s="1"/>
  <c r="AD26" i="3"/>
  <c r="W26" i="3"/>
  <c r="V26" i="3"/>
  <c r="T26" i="3"/>
  <c r="R26" i="3"/>
  <c r="S26" i="3" s="1"/>
  <c r="Q26" i="3"/>
  <c r="C32" i="10" s="1"/>
  <c r="N26" i="3"/>
  <c r="X26" i="3" s="1"/>
  <c r="AD25" i="3"/>
  <c r="W25" i="3"/>
  <c r="V25" i="3"/>
  <c r="T25" i="3"/>
  <c r="R25" i="3"/>
  <c r="S25" i="3" s="1"/>
  <c r="Q25" i="3"/>
  <c r="N25" i="3"/>
  <c r="X25" i="3" s="1"/>
  <c r="AD24" i="3"/>
  <c r="W24" i="3"/>
  <c r="V24" i="3"/>
  <c r="T24" i="3"/>
  <c r="R24" i="3"/>
  <c r="S24" i="3" s="1"/>
  <c r="Q24" i="3"/>
  <c r="N24" i="3"/>
  <c r="X24" i="3" s="1"/>
  <c r="AD23" i="3"/>
  <c r="W23" i="3"/>
  <c r="V23" i="3"/>
  <c r="T23" i="3"/>
  <c r="R23" i="3"/>
  <c r="S23" i="3" s="1"/>
  <c r="Q23" i="3"/>
  <c r="N23" i="3"/>
  <c r="X23" i="3" s="1"/>
  <c r="AD22" i="3"/>
  <c r="W22" i="3"/>
  <c r="V22" i="3"/>
  <c r="T22" i="3"/>
  <c r="R22" i="3"/>
  <c r="S22" i="3" s="1"/>
  <c r="Q22" i="3"/>
  <c r="C28" i="10" s="1"/>
  <c r="N22" i="3"/>
  <c r="X22" i="3" s="1"/>
  <c r="AD21" i="3"/>
  <c r="W21" i="3"/>
  <c r="V21" i="3"/>
  <c r="T21" i="3"/>
  <c r="R21" i="3"/>
  <c r="S21" i="3" s="1"/>
  <c r="Q21" i="3"/>
  <c r="N21" i="3"/>
  <c r="X21" i="3" s="1"/>
  <c r="AD20" i="3"/>
  <c r="W20" i="3"/>
  <c r="V20" i="3"/>
  <c r="T20" i="3"/>
  <c r="R20" i="3"/>
  <c r="S20" i="3" s="1"/>
  <c r="Q20" i="3"/>
  <c r="C26" i="10" s="1"/>
  <c r="N20" i="3"/>
  <c r="X20" i="3" s="1"/>
  <c r="AD19" i="3"/>
  <c r="W19" i="3"/>
  <c r="V19" i="3"/>
  <c r="T19" i="3"/>
  <c r="R19" i="3"/>
  <c r="S19" i="3" s="1"/>
  <c r="Q19" i="3"/>
  <c r="N19" i="3"/>
  <c r="X19" i="3" s="1"/>
  <c r="AD18" i="3"/>
  <c r="W18" i="3"/>
  <c r="V18" i="3"/>
  <c r="T18" i="3"/>
  <c r="R18" i="3"/>
  <c r="S18" i="3" s="1"/>
  <c r="Q18" i="3"/>
  <c r="N18" i="3"/>
  <c r="X18" i="3" s="1"/>
  <c r="AD17" i="3"/>
  <c r="M119" i="3" s="1"/>
  <c r="W17" i="3"/>
  <c r="V17" i="3"/>
  <c r="T17" i="3"/>
  <c r="R17" i="3"/>
  <c r="S17" i="3" s="1"/>
  <c r="Q17" i="3"/>
  <c r="N17" i="3"/>
  <c r="X17" i="3" s="1"/>
  <c r="AD16" i="3"/>
  <c r="W16" i="3"/>
  <c r="V16" i="3"/>
  <c r="T16" i="3"/>
  <c r="R16" i="3"/>
  <c r="S16" i="3" s="1"/>
  <c r="Q16" i="3"/>
  <c r="N16" i="3"/>
  <c r="X16" i="3" s="1"/>
  <c r="AD15" i="3"/>
  <c r="W15" i="3"/>
  <c r="V15" i="3"/>
  <c r="T15" i="3"/>
  <c r="R15" i="3"/>
  <c r="S15" i="3" s="1"/>
  <c r="Q15" i="3"/>
  <c r="N15" i="3"/>
  <c r="X15" i="3" s="1"/>
  <c r="AD14" i="3"/>
  <c r="W14" i="3"/>
  <c r="V14" i="3"/>
  <c r="T14" i="3"/>
  <c r="R14" i="3"/>
  <c r="S14" i="3" s="1"/>
  <c r="Q14" i="3"/>
  <c r="C20" i="10" s="1"/>
  <c r="N14" i="3"/>
  <c r="X14" i="3" s="1"/>
  <c r="AD13" i="3"/>
  <c r="W13" i="3"/>
  <c r="V13" i="3"/>
  <c r="T13" i="3"/>
  <c r="R13" i="3"/>
  <c r="S13" i="3" s="1"/>
  <c r="Q13" i="3"/>
  <c r="N13" i="3"/>
  <c r="X13" i="3" s="1"/>
  <c r="AD12" i="3"/>
  <c r="W12" i="3"/>
  <c r="V12" i="3"/>
  <c r="T12" i="3"/>
  <c r="R12" i="3"/>
  <c r="S12" i="3" s="1"/>
  <c r="Q12" i="3"/>
  <c r="C18" i="10" s="1"/>
  <c r="N12" i="3"/>
  <c r="X12" i="3" s="1"/>
  <c r="AD11" i="3"/>
  <c r="W11" i="3"/>
  <c r="V11" i="3"/>
  <c r="T11" i="3"/>
  <c r="R11" i="3"/>
  <c r="S11" i="3" s="1"/>
  <c r="Q11" i="3"/>
  <c r="N11" i="3"/>
  <c r="X11" i="3" s="1"/>
  <c r="AD10" i="3"/>
  <c r="W10" i="3"/>
  <c r="V10" i="3"/>
  <c r="T10" i="3"/>
  <c r="R10" i="3"/>
  <c r="S10" i="3" s="1"/>
  <c r="Q10" i="3"/>
  <c r="N10" i="3"/>
  <c r="X10" i="3" s="1"/>
  <c r="AD9" i="3"/>
  <c r="M104" i="3" s="1"/>
  <c r="W9" i="3"/>
  <c r="V9" i="3"/>
  <c r="T9" i="3"/>
  <c r="R9" i="3"/>
  <c r="S9" i="3" s="1"/>
  <c r="Q9" i="3"/>
  <c r="N9" i="3"/>
  <c r="X9" i="3" s="1"/>
  <c r="AD8" i="3"/>
  <c r="W8" i="3"/>
  <c r="V8" i="3"/>
  <c r="T8" i="3"/>
  <c r="R8" i="3"/>
  <c r="S8" i="3" s="1"/>
  <c r="Q8" i="3"/>
  <c r="N8" i="3"/>
  <c r="X8" i="3" s="1"/>
  <c r="AD7" i="3"/>
  <c r="W7" i="3"/>
  <c r="V7" i="3"/>
  <c r="T7" i="3"/>
  <c r="R7" i="3"/>
  <c r="S7" i="3" s="1"/>
  <c r="Q7" i="3"/>
  <c r="N7" i="3"/>
  <c r="X7" i="3" s="1"/>
  <c r="AD6" i="3"/>
  <c r="W6" i="3"/>
  <c r="V6" i="3"/>
  <c r="T6" i="3"/>
  <c r="R6" i="3"/>
  <c r="S6" i="3" s="1"/>
  <c r="Q6" i="3"/>
  <c r="N6" i="3"/>
  <c r="X6" i="3" s="1"/>
  <c r="AD5" i="3"/>
  <c r="M76" i="3" s="1"/>
  <c r="W5" i="3"/>
  <c r="V5" i="3"/>
  <c r="T5" i="3"/>
  <c r="R5" i="3"/>
  <c r="S5" i="3" s="1"/>
  <c r="Q5" i="3"/>
  <c r="N5" i="3"/>
  <c r="X5" i="3" s="1"/>
  <c r="AD4" i="3"/>
  <c r="M83" i="3" s="1"/>
  <c r="W4" i="3"/>
  <c r="V4" i="3"/>
  <c r="T4" i="3"/>
  <c r="R4" i="3"/>
  <c r="S4" i="3" s="1"/>
  <c r="Q4" i="3"/>
  <c r="N4" i="3"/>
  <c r="X4" i="3" s="1"/>
  <c r="AD3" i="3"/>
  <c r="W3" i="3"/>
  <c r="V3" i="3"/>
  <c r="T3" i="3"/>
  <c r="R3" i="3"/>
  <c r="S3" i="3" s="1"/>
  <c r="Q3" i="3"/>
  <c r="C3" i="9" s="1"/>
  <c r="N3" i="3"/>
  <c r="X3" i="3" s="1"/>
  <c r="A25" i="2"/>
  <c r="I17" i="2"/>
  <c r="I14" i="2"/>
  <c r="A17" i="2"/>
  <c r="I11" i="2"/>
  <c r="I8" i="2"/>
  <c r="I5" i="2"/>
  <c r="I2" i="2"/>
  <c r="A3" i="2"/>
  <c r="A4" i="2" s="1"/>
  <c r="A5" i="2" s="1"/>
  <c r="A6" i="2" s="1"/>
  <c r="A7" i="2" s="1"/>
  <c r="A8" i="2" s="1"/>
  <c r="A9" i="2" s="1"/>
  <c r="A10" i="2" s="1"/>
  <c r="A11" i="2" s="1"/>
  <c r="M89" i="3" l="1"/>
  <c r="M57" i="3"/>
  <c r="M31" i="3"/>
  <c r="M59" i="3"/>
  <c r="M52" i="3"/>
  <c r="M77" i="3"/>
  <c r="M86" i="3"/>
  <c r="M45" i="3"/>
  <c r="M51" i="3"/>
  <c r="M55" i="3"/>
  <c r="Z11" i="3"/>
  <c r="C17" i="10"/>
  <c r="Z115" i="3"/>
  <c r="C121" i="10"/>
  <c r="Z119" i="3"/>
  <c r="C125" i="10"/>
  <c r="U123" i="3"/>
  <c r="Y123" i="3" s="1"/>
  <c r="C129" i="10"/>
  <c r="U127" i="3"/>
  <c r="Y127" i="3" s="1"/>
  <c r="C133" i="10"/>
  <c r="Z29" i="3"/>
  <c r="C35" i="10"/>
  <c r="U48" i="3"/>
  <c r="Y48" i="3" s="1"/>
  <c r="C54" i="10"/>
  <c r="C10" i="9"/>
  <c r="Z52" i="3"/>
  <c r="C58" i="10"/>
  <c r="Z56" i="3"/>
  <c r="C62" i="10"/>
  <c r="Z145" i="3"/>
  <c r="C151" i="10"/>
  <c r="Z15" i="3"/>
  <c r="C21" i="10"/>
  <c r="Z8" i="3"/>
  <c r="C14" i="10"/>
  <c r="C11" i="9"/>
  <c r="Z84" i="3"/>
  <c r="C90" i="10"/>
  <c r="Z131" i="3"/>
  <c r="C137" i="10"/>
  <c r="Z33" i="3"/>
  <c r="C39" i="10"/>
  <c r="Z88" i="3"/>
  <c r="C94" i="10"/>
  <c r="Z92" i="3"/>
  <c r="C98" i="10"/>
  <c r="Z96" i="3"/>
  <c r="C102" i="10"/>
  <c r="Z19" i="3"/>
  <c r="C25" i="10"/>
  <c r="Z142" i="3"/>
  <c r="C148" i="10"/>
  <c r="Z45" i="3"/>
  <c r="C51" i="10"/>
  <c r="Z49" i="3"/>
  <c r="C55" i="10"/>
  <c r="Z143" i="3"/>
  <c r="C149" i="10"/>
  <c r="Z13" i="3"/>
  <c r="C19" i="10"/>
  <c r="U60" i="3"/>
  <c r="Y60" i="3" s="1"/>
  <c r="C66" i="10"/>
  <c r="Z116" i="3"/>
  <c r="C122" i="10"/>
  <c r="Z120" i="3"/>
  <c r="C126" i="10"/>
  <c r="Z124" i="3"/>
  <c r="C130" i="10"/>
  <c r="Z37" i="3"/>
  <c r="C43" i="10"/>
  <c r="Z41" i="3"/>
  <c r="C47" i="10"/>
  <c r="Z135" i="3"/>
  <c r="C141" i="10"/>
  <c r="Z61" i="3"/>
  <c r="C67" i="10"/>
  <c r="U69" i="3"/>
  <c r="Y69" i="3" s="1"/>
  <c r="C75" i="10"/>
  <c r="Z73" i="3"/>
  <c r="C79" i="10"/>
  <c r="Z23" i="3"/>
  <c r="C29" i="10"/>
  <c r="Z77" i="3"/>
  <c r="C83" i="10"/>
  <c r="U146" i="3"/>
  <c r="Y146" i="3" s="1"/>
  <c r="C152" i="10"/>
  <c r="U16" i="3"/>
  <c r="Y16" i="3" s="1"/>
  <c r="C22" i="10"/>
  <c r="U9" i="3"/>
  <c r="Y9" i="3" s="1"/>
  <c r="C13" i="9"/>
  <c r="C15" i="10"/>
  <c r="Z93" i="3"/>
  <c r="C99" i="10"/>
  <c r="Z101" i="3"/>
  <c r="C107" i="10"/>
  <c r="Z105" i="3"/>
  <c r="C111" i="10"/>
  <c r="U109" i="3"/>
  <c r="Y109" i="3" s="1"/>
  <c r="C115" i="10"/>
  <c r="Z113" i="3"/>
  <c r="C119" i="10"/>
  <c r="C5" i="9"/>
  <c r="C40" i="10"/>
  <c r="Z81" i="3"/>
  <c r="C87" i="10"/>
  <c r="Z27" i="3"/>
  <c r="C33" i="10"/>
  <c r="Z125" i="3"/>
  <c r="C131" i="10"/>
  <c r="U58" i="3"/>
  <c r="Y58" i="3" s="1"/>
  <c r="C64" i="10"/>
  <c r="U78" i="3"/>
  <c r="Y78" i="3" s="1"/>
  <c r="C84" i="10"/>
  <c r="U147" i="3"/>
  <c r="Y147" i="3" s="1"/>
  <c r="C153" i="10"/>
  <c r="Z90" i="3"/>
  <c r="C96" i="10"/>
  <c r="U110" i="3"/>
  <c r="Y110" i="3" s="1"/>
  <c r="C116" i="10"/>
  <c r="Z50" i="3"/>
  <c r="C56" i="10"/>
  <c r="C12" i="9"/>
  <c r="U136" i="3"/>
  <c r="Y136" i="3" s="1"/>
  <c r="C142" i="10"/>
  <c r="Z31" i="3"/>
  <c r="C37" i="10"/>
  <c r="Z24" i="3"/>
  <c r="C30" i="10"/>
  <c r="Z17" i="3"/>
  <c r="C23" i="10"/>
  <c r="C15" i="9"/>
  <c r="Z114" i="3"/>
  <c r="C120" i="10"/>
  <c r="Z133" i="3"/>
  <c r="C139" i="10"/>
  <c r="U66" i="3"/>
  <c r="Y66" i="3" s="1"/>
  <c r="C72" i="10"/>
  <c r="U82" i="3"/>
  <c r="Y82" i="3" s="1"/>
  <c r="C88" i="10"/>
  <c r="U98" i="3"/>
  <c r="Y98" i="3" s="1"/>
  <c r="C104" i="10"/>
  <c r="C14" i="9"/>
  <c r="C16" i="10"/>
  <c r="Z35" i="3"/>
  <c r="C41" i="10"/>
  <c r="Z122" i="3"/>
  <c r="C128" i="10"/>
  <c r="C12" i="10"/>
  <c r="C6" i="9"/>
  <c r="C9" i="9"/>
  <c r="C49" i="10"/>
  <c r="Z21" i="3"/>
  <c r="C27" i="10"/>
  <c r="Z47" i="3"/>
  <c r="C53" i="10"/>
  <c r="Z130" i="3"/>
  <c r="C136" i="10"/>
  <c r="Z83" i="3"/>
  <c r="C89" i="10"/>
  <c r="Z87" i="3"/>
  <c r="C93" i="10"/>
  <c r="U91" i="3"/>
  <c r="Y91" i="3" s="1"/>
  <c r="C97" i="10"/>
  <c r="U95" i="3"/>
  <c r="Y95" i="3" s="1"/>
  <c r="C101" i="10"/>
  <c r="U99" i="3"/>
  <c r="Y99" i="3" s="1"/>
  <c r="C105" i="10"/>
  <c r="Z103" i="3"/>
  <c r="C109" i="10"/>
  <c r="Z111" i="3"/>
  <c r="C117" i="10"/>
  <c r="Z148" i="3"/>
  <c r="C154" i="10"/>
  <c r="Z39" i="3"/>
  <c r="C7" i="9"/>
  <c r="C45" i="10"/>
  <c r="Z55" i="3"/>
  <c r="C61" i="10"/>
  <c r="Z59" i="3"/>
  <c r="C65" i="10"/>
  <c r="U63" i="3"/>
  <c r="Y63" i="3" s="1"/>
  <c r="C69" i="10"/>
  <c r="Z71" i="3"/>
  <c r="C77" i="10"/>
  <c r="Z137" i="3"/>
  <c r="C143" i="10"/>
  <c r="Z7" i="3"/>
  <c r="C8" i="9"/>
  <c r="C13" i="10"/>
  <c r="Z79" i="3"/>
  <c r="C85" i="10"/>
  <c r="Z25" i="3"/>
  <c r="C31" i="10"/>
  <c r="Z18" i="3"/>
  <c r="C24" i="10"/>
  <c r="E25" i="9"/>
  <c r="E27" i="9"/>
  <c r="C4" i="9"/>
  <c r="C11" i="10"/>
  <c r="E28" i="9"/>
  <c r="E29" i="9"/>
  <c r="E33" i="9"/>
  <c r="E24" i="9"/>
  <c r="E35" i="9"/>
  <c r="E26" i="9"/>
  <c r="E30" i="9"/>
  <c r="E31" i="9"/>
  <c r="E32" i="9"/>
  <c r="E23" i="9"/>
  <c r="E34" i="9"/>
  <c r="C10" i="10"/>
  <c r="C17" i="9"/>
  <c r="C16" i="9"/>
  <c r="Z3" i="3"/>
  <c r="C9" i="10"/>
  <c r="U64" i="3"/>
  <c r="Y64" i="3" s="1"/>
  <c r="Z72" i="3"/>
  <c r="U121" i="3"/>
  <c r="Y121" i="3" s="1"/>
  <c r="I10" i="5"/>
  <c r="G2" i="5"/>
  <c r="K2" i="5" s="1"/>
  <c r="I7" i="5"/>
  <c r="G23" i="5"/>
  <c r="K23" i="5" s="1"/>
  <c r="G18" i="5"/>
  <c r="K18" i="5" s="1"/>
  <c r="G20" i="5"/>
  <c r="K20" i="5" s="1"/>
  <c r="G24" i="5"/>
  <c r="K24" i="5" s="1"/>
  <c r="Z32" i="3"/>
  <c r="U129" i="3"/>
  <c r="Y129" i="3" s="1"/>
  <c r="Z57" i="3"/>
  <c r="U47" i="3"/>
  <c r="Y47" i="3" s="1"/>
  <c r="I27" i="5"/>
  <c r="G5" i="5"/>
  <c r="K5" i="5" s="1"/>
  <c r="I13" i="5"/>
  <c r="I28" i="5"/>
  <c r="G28" i="5"/>
  <c r="G3" i="5"/>
  <c r="I2" i="5"/>
  <c r="G6" i="5"/>
  <c r="K6" i="5" s="1"/>
  <c r="G30" i="5"/>
  <c r="K30" i="5" s="1"/>
  <c r="I4" i="5"/>
  <c r="G4" i="5"/>
  <c r="K4" i="5" s="1"/>
  <c r="I16" i="5"/>
  <c r="G16" i="5"/>
  <c r="K16" i="5" s="1"/>
  <c r="G25" i="5"/>
  <c r="K25" i="5" s="1"/>
  <c r="G15" i="5"/>
  <c r="K15" i="5" s="1"/>
  <c r="G29" i="5"/>
  <c r="K29" i="5" s="1"/>
  <c r="G19" i="5"/>
  <c r="K19" i="5" s="1"/>
  <c r="G32" i="5"/>
  <c r="K32" i="5" s="1"/>
  <c r="I34" i="5"/>
  <c r="G26" i="5"/>
  <c r="K26" i="5" s="1"/>
  <c r="G21" i="5"/>
  <c r="K21" i="5" s="1"/>
  <c r="G11" i="5"/>
  <c r="K11" i="5" s="1"/>
  <c r="I22" i="5"/>
  <c r="G22" i="5"/>
  <c r="K22" i="5" s="1"/>
  <c r="G31" i="5"/>
  <c r="K31" i="5" s="1"/>
  <c r="G14" i="5"/>
  <c r="K14" i="5" s="1"/>
  <c r="G8" i="5"/>
  <c r="K8" i="5" s="1"/>
  <c r="G9" i="5"/>
  <c r="K9" i="5" s="1"/>
  <c r="G17" i="5"/>
  <c r="K17" i="5" s="1"/>
  <c r="G12" i="5"/>
  <c r="K12" i="5" s="1"/>
  <c r="U8" i="3"/>
  <c r="Y8" i="3" s="1"/>
  <c r="U149" i="3"/>
  <c r="Y149" i="3" s="1"/>
  <c r="U112" i="3"/>
  <c r="Y112" i="3" s="1"/>
  <c r="Z149" i="3"/>
  <c r="U21" i="3"/>
  <c r="Y21" i="3" s="1"/>
  <c r="U57" i="3"/>
  <c r="Y57" i="3" s="1"/>
  <c r="Z112" i="3"/>
  <c r="U141" i="3"/>
  <c r="Y141" i="3" s="1"/>
  <c r="U116" i="3"/>
  <c r="Y116" i="3" s="1"/>
  <c r="U144" i="3"/>
  <c r="Y144" i="3" s="1"/>
  <c r="U68" i="3"/>
  <c r="Y68" i="3" s="1"/>
  <c r="Z141" i="3"/>
  <c r="Z147" i="3"/>
  <c r="U28" i="3"/>
  <c r="Y28" i="3" s="1"/>
  <c r="U13" i="3"/>
  <c r="Y13" i="3" s="1"/>
  <c r="U22" i="3"/>
  <c r="Y22" i="3" s="1"/>
  <c r="Z28" i="3"/>
  <c r="Z89" i="3"/>
  <c r="Z127" i="3"/>
  <c r="U130" i="3"/>
  <c r="Y130" i="3" s="1"/>
  <c r="Z4" i="3"/>
  <c r="U76" i="3"/>
  <c r="Y76" i="3" s="1"/>
  <c r="Z48" i="3"/>
  <c r="U32" i="3"/>
  <c r="Y32" i="3" s="1"/>
  <c r="Z16" i="3"/>
  <c r="Z78" i="3"/>
  <c r="Z95" i="3"/>
  <c r="Z123" i="3"/>
  <c r="Z144" i="3"/>
  <c r="Z146" i="3"/>
  <c r="U148" i="3"/>
  <c r="Y148" i="3" s="1"/>
  <c r="U108" i="3"/>
  <c r="Y108" i="3" s="1"/>
  <c r="Z109" i="3"/>
  <c r="Z117" i="3"/>
  <c r="U139" i="3"/>
  <c r="Y139" i="3" s="1"/>
  <c r="U140" i="3"/>
  <c r="Y140" i="3" s="1"/>
  <c r="J30" i="5"/>
  <c r="J34" i="5"/>
  <c r="U35" i="3"/>
  <c r="Y35" i="3" s="1"/>
  <c r="U114" i="3"/>
  <c r="Y114" i="3" s="1"/>
  <c r="U115" i="3"/>
  <c r="Y115" i="3" s="1"/>
  <c r="U142" i="3"/>
  <c r="Y142" i="3" s="1"/>
  <c r="U33" i="3"/>
  <c r="Y33" i="3" s="1"/>
  <c r="U44" i="3"/>
  <c r="Y44" i="3" s="1"/>
  <c r="U45" i="3"/>
  <c r="Y45" i="3" s="1"/>
  <c r="U51" i="3"/>
  <c r="Y51" i="3" s="1"/>
  <c r="Z63" i="3"/>
  <c r="U92" i="3"/>
  <c r="Y92" i="3" s="1"/>
  <c r="Z129" i="3"/>
  <c r="U131" i="3"/>
  <c r="Y131" i="3" s="1"/>
  <c r="U132" i="3"/>
  <c r="Y132" i="3" s="1"/>
  <c r="Z138" i="3"/>
  <c r="U143" i="3"/>
  <c r="Y143" i="3" s="1"/>
  <c r="K4" i="7"/>
  <c r="U6" i="3"/>
  <c r="Y6" i="3" s="1"/>
  <c r="U80" i="3"/>
  <c r="Y80" i="3" s="1"/>
  <c r="U97" i="3"/>
  <c r="Y97" i="3" s="1"/>
  <c r="U133" i="3"/>
  <c r="Y133" i="3" s="1"/>
  <c r="J14" i="5"/>
  <c r="J18" i="5"/>
  <c r="K6" i="7"/>
  <c r="Z20" i="3"/>
  <c r="Z34" i="3"/>
  <c r="Z136" i="3"/>
  <c r="K7" i="7"/>
  <c r="U7" i="3"/>
  <c r="Y7" i="3" s="1"/>
  <c r="Z30" i="3"/>
  <c r="U67" i="3"/>
  <c r="Y67" i="3" s="1"/>
  <c r="Z69" i="3"/>
  <c r="Z74" i="3"/>
  <c r="Z132" i="3"/>
  <c r="K8" i="7"/>
  <c r="Z6" i="3"/>
  <c r="U38" i="3"/>
  <c r="Y38" i="3" s="1"/>
  <c r="Z51" i="3"/>
  <c r="Z91" i="3"/>
  <c r="I19" i="5"/>
  <c r="K9" i="7"/>
  <c r="U25" i="3"/>
  <c r="Y25" i="3" s="1"/>
  <c r="U26" i="3"/>
  <c r="Y26" i="3" s="1"/>
  <c r="Z68" i="3"/>
  <c r="Z80" i="3"/>
  <c r="Z97" i="3"/>
  <c r="U101" i="3"/>
  <c r="Y101" i="3" s="1"/>
  <c r="K33" i="5"/>
  <c r="K13" i="7"/>
  <c r="M21" i="3"/>
  <c r="M3" i="3"/>
  <c r="Z85" i="3"/>
  <c r="U3" i="3"/>
  <c r="Y3" i="3" s="1"/>
  <c r="E22" i="9"/>
  <c r="Z10" i="3"/>
  <c r="Z65" i="3"/>
  <c r="Z99" i="3"/>
  <c r="U84" i="3"/>
  <c r="Y84" i="3" s="1"/>
  <c r="U96" i="3"/>
  <c r="Y96" i="3" s="1"/>
  <c r="Z42" i="3"/>
  <c r="U15" i="3"/>
  <c r="Y15" i="3" s="1"/>
  <c r="U34" i="3"/>
  <c r="Y34" i="3" s="1"/>
  <c r="Z82" i="3"/>
  <c r="Z22" i="3"/>
  <c r="U27" i="3"/>
  <c r="Y27" i="3" s="1"/>
  <c r="U102" i="3"/>
  <c r="Y102" i="3" s="1"/>
  <c r="U111" i="3"/>
  <c r="Y111" i="3" s="1"/>
  <c r="Z98" i="3"/>
  <c r="U50" i="3"/>
  <c r="Y50" i="3" s="1"/>
  <c r="Z26" i="3"/>
  <c r="Z36" i="3"/>
  <c r="Z53" i="3"/>
  <c r="U20" i="3"/>
  <c r="Y20" i="3" s="1"/>
  <c r="U77" i="3"/>
  <c r="Y77" i="3" s="1"/>
  <c r="U85" i="3"/>
  <c r="Y85" i="3" s="1"/>
  <c r="U94" i="3"/>
  <c r="Y94" i="3" s="1"/>
  <c r="U37" i="3"/>
  <c r="Y37" i="3" s="1"/>
  <c r="U46" i="3"/>
  <c r="Y46" i="3" s="1"/>
  <c r="U100" i="3"/>
  <c r="Y100" i="3" s="1"/>
  <c r="U18" i="3"/>
  <c r="Y18" i="3" s="1"/>
  <c r="U11" i="3"/>
  <c r="Y11" i="3" s="1"/>
  <c r="U30" i="3"/>
  <c r="Y30" i="3" s="1"/>
  <c r="U83" i="3"/>
  <c r="Y83" i="3" s="1"/>
  <c r="U4" i="3"/>
  <c r="Y4" i="3" s="1"/>
  <c r="Z40" i="3"/>
  <c r="Z66" i="3"/>
  <c r="U23" i="3"/>
  <c r="Y23" i="3" s="1"/>
  <c r="Z46" i="3"/>
  <c r="U89" i="3"/>
  <c r="Y89" i="3" s="1"/>
  <c r="U117" i="3"/>
  <c r="Y117" i="3" s="1"/>
  <c r="U126" i="3"/>
  <c r="Y126" i="3" s="1"/>
  <c r="Z100" i="3"/>
  <c r="Z106" i="3"/>
  <c r="U14" i="3"/>
  <c r="Y14" i="3" s="1"/>
  <c r="U52" i="3"/>
  <c r="Y52" i="3" s="1"/>
  <c r="U124" i="3"/>
  <c r="Y124" i="3" s="1"/>
  <c r="U31" i="3"/>
  <c r="Y31" i="3" s="1"/>
  <c r="U59" i="3"/>
  <c r="Y59" i="3" s="1"/>
  <c r="U62" i="3"/>
  <c r="Y62" i="3" s="1"/>
  <c r="Z110" i="3"/>
  <c r="U5" i="3"/>
  <c r="Y5" i="3" s="1"/>
  <c r="U36" i="3"/>
  <c r="Y36" i="3" s="1"/>
  <c r="U19" i="3"/>
  <c r="Y19" i="3" s="1"/>
  <c r="U12" i="3"/>
  <c r="Y12" i="3" s="1"/>
  <c r="U24" i="3"/>
  <c r="Y24" i="3" s="1"/>
  <c r="Z121" i="3"/>
  <c r="Z12" i="3"/>
  <c r="U65" i="3"/>
  <c r="Y65" i="3" s="1"/>
  <c r="Z14" i="3"/>
  <c r="Z67" i="3"/>
  <c r="U70" i="3"/>
  <c r="Y70" i="3" s="1"/>
  <c r="U79" i="3"/>
  <c r="Y79" i="3" s="1"/>
  <c r="Z104" i="3"/>
  <c r="U17" i="3"/>
  <c r="Y17" i="3" s="1"/>
  <c r="U10" i="3"/>
  <c r="Y10" i="3" s="1"/>
  <c r="U29" i="3"/>
  <c r="Y29" i="3" s="1"/>
  <c r="U53" i="3"/>
  <c r="Y53" i="3" s="1"/>
  <c r="A14" i="2"/>
  <c r="A15" i="2"/>
  <c r="A16" i="2"/>
  <c r="A19" i="2"/>
  <c r="A20" i="2"/>
  <c r="A21" i="2"/>
  <c r="A18" i="2"/>
  <c r="A22" i="2"/>
  <c r="A27" i="2"/>
  <c r="A30" i="2"/>
  <c r="A33" i="2"/>
  <c r="A26" i="2"/>
  <c r="A31" i="2"/>
  <c r="A29" i="2"/>
  <c r="A28" i="2"/>
  <c r="A32" i="2"/>
  <c r="M38" i="3"/>
  <c r="M102" i="3"/>
  <c r="M53" i="3"/>
  <c r="U61" i="3"/>
  <c r="Y61" i="3" s="1"/>
  <c r="M85" i="3"/>
  <c r="U93" i="3"/>
  <c r="Y93" i="3" s="1"/>
  <c r="M117" i="3"/>
  <c r="U125" i="3"/>
  <c r="Y125" i="3" s="1"/>
  <c r="K5" i="7"/>
  <c r="M70" i="3"/>
  <c r="M4" i="3"/>
  <c r="M6" i="3"/>
  <c r="M8" i="3"/>
  <c r="M10" i="3"/>
  <c r="M12" i="3"/>
  <c r="M14" i="3"/>
  <c r="M16" i="3"/>
  <c r="M18" i="3"/>
  <c r="M20" i="3"/>
  <c r="M22" i="3"/>
  <c r="M24" i="3"/>
  <c r="M26" i="3"/>
  <c r="M28" i="3"/>
  <c r="M30" i="3"/>
  <c r="M32" i="3"/>
  <c r="M34" i="3"/>
  <c r="M36" i="3"/>
  <c r="M68" i="3"/>
  <c r="M100" i="3"/>
  <c r="U74" i="3"/>
  <c r="Y74" i="3" s="1"/>
  <c r="M98" i="3"/>
  <c r="U106" i="3"/>
  <c r="Y106" i="3" s="1"/>
  <c r="U138" i="3"/>
  <c r="Y138" i="3" s="1"/>
  <c r="U42" i="3"/>
  <c r="Y42" i="3" s="1"/>
  <c r="M66" i="3"/>
  <c r="M81" i="3"/>
  <c r="M113" i="3"/>
  <c r="K3" i="5"/>
  <c r="U40" i="3"/>
  <c r="Y40" i="3" s="1"/>
  <c r="M64" i="3"/>
  <c r="U72" i="3"/>
  <c r="Y72" i="3" s="1"/>
  <c r="M96" i="3"/>
  <c r="U104" i="3"/>
  <c r="Y104" i="3" s="1"/>
  <c r="K10" i="7"/>
  <c r="M49" i="3"/>
  <c r="Z44" i="3"/>
  <c r="M47" i="3"/>
  <c r="U55" i="3"/>
  <c r="Y55" i="3" s="1"/>
  <c r="Z76" i="3"/>
  <c r="M79" i="3"/>
  <c r="U87" i="3"/>
  <c r="Y87" i="3" s="1"/>
  <c r="Z108" i="3"/>
  <c r="M111" i="3"/>
  <c r="U119" i="3"/>
  <c r="Y119" i="3" s="1"/>
  <c r="Z140" i="3"/>
  <c r="K11" i="7"/>
  <c r="M62" i="3"/>
  <c r="M94" i="3"/>
  <c r="M126" i="3"/>
  <c r="U134" i="3"/>
  <c r="Y134" i="3" s="1"/>
  <c r="K12" i="7"/>
  <c r="M60" i="3"/>
  <c r="M92" i="3"/>
  <c r="M124" i="3"/>
  <c r="M43" i="3"/>
  <c r="M75" i="3"/>
  <c r="M107" i="3"/>
  <c r="M122" i="3"/>
  <c r="M109" i="3"/>
  <c r="M58" i="3"/>
  <c r="M90" i="3"/>
  <c r="Z38" i="3"/>
  <c r="M41" i="3"/>
  <c r="U49" i="3"/>
  <c r="Y49" i="3" s="1"/>
  <c r="Z70" i="3"/>
  <c r="M73" i="3"/>
  <c r="U81" i="3"/>
  <c r="Y81" i="3" s="1"/>
  <c r="Z102" i="3"/>
  <c r="M105" i="3"/>
  <c r="U113" i="3"/>
  <c r="Y113" i="3" s="1"/>
  <c r="Z134" i="3"/>
  <c r="U145" i="3"/>
  <c r="Y145" i="3" s="1"/>
  <c r="M56" i="3"/>
  <c r="M88" i="3"/>
  <c r="M120" i="3"/>
  <c r="U128" i="3"/>
  <c r="Y128" i="3" s="1"/>
  <c r="M39" i="3"/>
  <c r="M71" i="3"/>
  <c r="M103" i="3"/>
  <c r="M118" i="3"/>
  <c r="M7" i="3"/>
  <c r="M5" i="3"/>
  <c r="M15" i="3"/>
  <c r="M29" i="3"/>
  <c r="U107" i="3"/>
  <c r="Y107" i="3" s="1"/>
  <c r="I33" i="5"/>
  <c r="U41" i="3"/>
  <c r="Y41" i="3" s="1"/>
  <c r="Z62" i="3"/>
  <c r="M65" i="3"/>
  <c r="U73" i="3"/>
  <c r="Y73" i="3" s="1"/>
  <c r="Z94" i="3"/>
  <c r="M97" i="3"/>
  <c r="U105" i="3"/>
  <c r="Y105" i="3" s="1"/>
  <c r="Z126" i="3"/>
  <c r="U137" i="3"/>
  <c r="Y137" i="3" s="1"/>
  <c r="K28" i="5"/>
  <c r="M27" i="3"/>
  <c r="U90" i="3"/>
  <c r="Y90" i="3" s="1"/>
  <c r="M48" i="3"/>
  <c r="U56" i="3"/>
  <c r="Y56" i="3" s="1"/>
  <c r="M80" i="3"/>
  <c r="U88" i="3"/>
  <c r="Y88" i="3" s="1"/>
  <c r="M112" i="3"/>
  <c r="U120" i="3"/>
  <c r="Y120" i="3" s="1"/>
  <c r="M23" i="3"/>
  <c r="M50" i="3"/>
  <c r="U39" i="3"/>
  <c r="Y39" i="3" s="1"/>
  <c r="Z60" i="3"/>
  <c r="M63" i="3"/>
  <c r="U71" i="3"/>
  <c r="Y71" i="3" s="1"/>
  <c r="M95" i="3"/>
  <c r="U103" i="3"/>
  <c r="Y103" i="3" s="1"/>
  <c r="U135" i="3"/>
  <c r="Y135" i="3" s="1"/>
  <c r="M33" i="3"/>
  <c r="M116" i="3"/>
  <c r="U122" i="3"/>
  <c r="Y122" i="3" s="1"/>
  <c r="Z43" i="3"/>
  <c r="M46" i="3"/>
  <c r="U54" i="3"/>
  <c r="Y54" i="3" s="1"/>
  <c r="Z75" i="3"/>
  <c r="M78" i="3"/>
  <c r="U86" i="3"/>
  <c r="Y86" i="3" s="1"/>
  <c r="Z107" i="3"/>
  <c r="M110" i="3"/>
  <c r="U118" i="3"/>
  <c r="Y118" i="3" s="1"/>
  <c r="Z139" i="3"/>
  <c r="U150" i="3"/>
  <c r="Y150" i="3" s="1"/>
  <c r="M17" i="3"/>
  <c r="Z64" i="3"/>
  <c r="U75" i="3"/>
  <c r="Y75" i="3" s="1"/>
  <c r="Z58" i="3"/>
  <c r="M61" i="3"/>
  <c r="M93" i="3"/>
  <c r="M125" i="3"/>
  <c r="M54" i="3"/>
  <c r="M69" i="3"/>
  <c r="M11" i="3"/>
  <c r="M84" i="3"/>
  <c r="M99" i="3"/>
  <c r="M82" i="3"/>
  <c r="M44" i="3"/>
  <c r="M108" i="3"/>
  <c r="M101" i="3"/>
  <c r="M19" i="3"/>
  <c r="Z128" i="3"/>
  <c r="M91" i="3"/>
  <c r="M123" i="3"/>
  <c r="M37" i="3"/>
  <c r="M9" i="3"/>
  <c r="M35" i="3"/>
  <c r="U43" i="3"/>
  <c r="Y43" i="3" s="1"/>
  <c r="M42" i="3"/>
  <c r="M74" i="3"/>
  <c r="M106" i="3"/>
  <c r="M13" i="3"/>
  <c r="Z54" i="3"/>
  <c r="Z86" i="3"/>
  <c r="Z118" i="3"/>
  <c r="M121" i="3"/>
  <c r="Z150" i="3"/>
  <c r="M67" i="3"/>
  <c r="M72" i="3"/>
  <c r="K2" i="7"/>
  <c r="M25" i="3"/>
  <c r="M40" i="3"/>
  <c r="Z5" i="3"/>
  <c r="Z9" i="3"/>
  <c r="M87" i="3"/>
</calcChain>
</file>

<file path=xl/sharedStrings.xml><?xml version="1.0" encoding="utf-8"?>
<sst xmlns="http://schemas.openxmlformats.org/spreadsheetml/2006/main" count="1195" uniqueCount="1045">
  <si>
    <t>ESPN Team Sheet - v2025.1.0</t>
  </si>
  <si>
    <t>Updated 7/29/25</t>
  </si>
  <si>
    <t>TEAM INFO</t>
  </si>
  <si>
    <t>TODAY_TONIGHT_SEL</t>
  </si>
  <si>
    <t xml:space="preserve"> TEAM INFO</t>
  </si>
  <si>
    <t>Home</t>
  </si>
  <si>
    <t>TEAM_RANK</t>
  </si>
  <si>
    <t xml:space="preserve"> Team Rank</t>
  </si>
  <si>
    <t xml:space="preserve"> Team City / College</t>
  </si>
  <si>
    <t>VANDERBILT</t>
  </si>
  <si>
    <t xml:space="preserve"> Team Nickname</t>
  </si>
  <si>
    <t>COMMODORES</t>
  </si>
  <si>
    <t>TEAM_CITY_COLLEGE</t>
  </si>
  <si>
    <t>SEASON_SEL</t>
  </si>
  <si>
    <t xml:space="preserve"> Team Tricode</t>
  </si>
  <si>
    <t>VAN</t>
  </si>
  <si>
    <t xml:space="preserve"> Team Dashboard Name</t>
  </si>
  <si>
    <t xml:space="preserve">  Logo / Swatch Name</t>
  </si>
  <si>
    <t>TEAM_NICKNAME</t>
  </si>
  <si>
    <t>TODAY/SEASON SEL</t>
  </si>
  <si>
    <t xml:space="preserve">  Record</t>
  </si>
  <si>
    <t>5-2</t>
  </si>
  <si>
    <t>TODAY_TONIGHT_SEL_COLON</t>
  </si>
  <si>
    <t>Season</t>
  </si>
  <si>
    <t>Last Season</t>
  </si>
  <si>
    <t>TODAY / SEASON SELECTION</t>
  </si>
  <si>
    <t>TEAM_TRICODE</t>
  </si>
  <si>
    <t>Today / Tonight Selection</t>
  </si>
  <si>
    <t>Today</t>
  </si>
  <si>
    <t>Season / Last Season</t>
  </si>
  <si>
    <t>SEASON_SEL_COLON</t>
  </si>
  <si>
    <t>Tonight</t>
  </si>
  <si>
    <t>TEAM_FULL_NAME</t>
  </si>
  <si>
    <t>TEAM_DASH_NAME</t>
  </si>
  <si>
    <t>AWAY/HOME SEL</t>
  </si>
  <si>
    <t>Away</t>
  </si>
  <si>
    <t>TEAM_RANK_NAME</t>
  </si>
  <si>
    <t>TEAM_RANK_NAME_NICKNAME</t>
  </si>
  <si>
    <t>TEAM_RANK_NAME_RECORD</t>
  </si>
  <si>
    <t>TEAM_LOGOTEXT</t>
  </si>
  <si>
    <t>TEAM_RECORD_OVERALL</t>
  </si>
  <si>
    <t>SAVE</t>
  </si>
  <si>
    <t>FIRST NAME</t>
  </si>
  <si>
    <t>LAST NAME</t>
  </si>
  <si>
    <t>COACH FACT (ALL CAPS FOR CFB // Upper-Lower for SEC)</t>
  </si>
  <si>
    <t>DROPLINE (ALL CAPS FOR CFB // Upper-Lower for SEC)</t>
  </si>
  <si>
    <t>COACH_RESUME_TITLE</t>
  </si>
  <si>
    <t>HEAD</t>
  </si>
  <si>
    <t>COACH</t>
  </si>
  <si>
    <t>COACH FACT</t>
  </si>
  <si>
    <t>STICKER ONLY - NO DROPLINE</t>
  </si>
  <si>
    <t>COACH DROPLINE</t>
  </si>
  <si>
    <t>COACH_RESUME_SUBTITLE</t>
  </si>
  <si>
    <t>COACH_RESUME_LINE1</t>
  </si>
  <si>
    <t>COACH_RESUME_LINE2</t>
  </si>
  <si>
    <t>STICKER ONLY</t>
  </si>
  <si>
    <t>OFFENSIVE</t>
  </si>
  <si>
    <t>COACH POSITION</t>
  </si>
  <si>
    <t>COACH_RESUME_LINE3</t>
  </si>
  <si>
    <t>COACH_RESUME_DROP</t>
  </si>
  <si>
    <t>DEFENSIVE</t>
  </si>
  <si>
    <t>AWAY TEAM - SAVE TO 170s, 180s, 190s</t>
  </si>
  <si>
    <t>HOME TEAM - SAVE TO 270s, 280s, 290s</t>
  </si>
  <si>
    <t>Column A must stay in sequential order from 1-99 for XPN games, jersey #0 must be reassigned to another call-up number in column B;  Inactive players are assigned -1 in column A</t>
  </si>
  <si>
    <t>JERSEY</t>
  </si>
  <si>
    <t>DISPLAY</t>
  </si>
  <si>
    <t>POS</t>
  </si>
  <si>
    <t>HEIGHT</t>
  </si>
  <si>
    <t>WEIGHT</t>
  </si>
  <si>
    <t>HOMETOWN</t>
  </si>
  <si>
    <t>YEAR</t>
  </si>
  <si>
    <t>Bio Fact (ALL CAPS FOR CFB // Upper-Lower for SEC)</t>
  </si>
  <si>
    <t>Position</t>
  </si>
  <si>
    <t>Year</t>
  </si>
  <si>
    <t>Headshot</t>
  </si>
  <si>
    <t>Actionshot</t>
  </si>
  <si>
    <t>Full Name</t>
  </si>
  <si>
    <t>Initial Name</t>
  </si>
  <si>
    <t>Initial Name CAPS</t>
  </si>
  <si>
    <t>Full Name CAPS</t>
  </si>
  <si>
    <t>First Name CAPS</t>
  </si>
  <si>
    <t>Last Name CAPS</t>
  </si>
  <si>
    <t>Year CAPS</t>
  </si>
  <si>
    <t>Num Name CAPS</t>
  </si>
  <si>
    <t>Num Name</t>
  </si>
  <si>
    <t>Positions</t>
  </si>
  <si>
    <t>Upper-Lower</t>
  </si>
  <si>
    <t>CAPS</t>
  </si>
  <si>
    <t>First Name</t>
  </si>
  <si>
    <t>Last Name</t>
  </si>
  <si>
    <t>WR</t>
  </si>
  <si>
    <t>6'1"</t>
  </si>
  <si>
    <t>Atlanta, GA</t>
  </si>
  <si>
    <t>QB</t>
  </si>
  <si>
    <t>Quarterback</t>
  </si>
  <si>
    <t>Wide Receiver</t>
  </si>
  <si>
    <t>TE</t>
  </si>
  <si>
    <t>Tight End</t>
  </si>
  <si>
    <t>RB</t>
  </si>
  <si>
    <t>Running Back</t>
  </si>
  <si>
    <t>FB</t>
  </si>
  <si>
    <t>Fullback</t>
  </si>
  <si>
    <t>HB</t>
  </si>
  <si>
    <t>Halfback</t>
  </si>
  <si>
    <t>OL</t>
  </si>
  <si>
    <t>Offensive Line</t>
  </si>
  <si>
    <t>C</t>
  </si>
  <si>
    <t>Center</t>
  </si>
  <si>
    <t>OG</t>
  </si>
  <si>
    <t>Offensive Guard</t>
  </si>
  <si>
    <t>OT</t>
  </si>
  <si>
    <t>Offensive Tackle</t>
  </si>
  <si>
    <t>LG</t>
  </si>
  <si>
    <t>Left Guard</t>
  </si>
  <si>
    <t>LT</t>
  </si>
  <si>
    <t>Left Tackle</t>
  </si>
  <si>
    <t>RG</t>
  </si>
  <si>
    <t>Right Guard</t>
  </si>
  <si>
    <t>RT</t>
  </si>
  <si>
    <t>Right Tackle</t>
  </si>
  <si>
    <t>DL</t>
  </si>
  <si>
    <t>Defensive Line</t>
  </si>
  <si>
    <t>NT</t>
  </si>
  <si>
    <t>Nose Tackle</t>
  </si>
  <si>
    <t>DT</t>
  </si>
  <si>
    <t>Defensive Tackle</t>
  </si>
  <si>
    <t>DE</t>
  </si>
  <si>
    <t>Linebacker</t>
  </si>
  <si>
    <t>MLB</t>
  </si>
  <si>
    <t>Middle Linebacker</t>
  </si>
  <si>
    <t>OLB</t>
  </si>
  <si>
    <t>Outside Linebacker</t>
  </si>
  <si>
    <t>ILB</t>
  </si>
  <si>
    <t>Inside Linebacker</t>
  </si>
  <si>
    <t>DB</t>
  </si>
  <si>
    <t>Defensive Back</t>
  </si>
  <si>
    <t>CB</t>
  </si>
  <si>
    <t>Cornerback</t>
  </si>
  <si>
    <t>S</t>
  </si>
  <si>
    <t>Safety</t>
  </si>
  <si>
    <t>FS</t>
  </si>
  <si>
    <t>Free Safety</t>
  </si>
  <si>
    <t>SS</t>
  </si>
  <si>
    <t>Strong Safety</t>
  </si>
  <si>
    <t>K</t>
  </si>
  <si>
    <t>Kicker</t>
  </si>
  <si>
    <t>P</t>
  </si>
  <si>
    <t>Punter</t>
  </si>
  <si>
    <t>KR</t>
  </si>
  <si>
    <t>Kick Returner</t>
  </si>
  <si>
    <t>PR</t>
  </si>
  <si>
    <t>Punt Returner</t>
  </si>
  <si>
    <t>LS</t>
  </si>
  <si>
    <t>Long Snapper</t>
  </si>
  <si>
    <t>H</t>
  </si>
  <si>
    <t>Holder</t>
  </si>
  <si>
    <t>LB</t>
  </si>
  <si>
    <t>THIS TAB IS FOR</t>
  </si>
  <si>
    <t>Passing</t>
  </si>
  <si>
    <t>xx% (or x/x)</t>
  </si>
  <si>
    <t>x Yds</t>
  </si>
  <si>
    <t>x TD</t>
  </si>
  <si>
    <t>x INT</t>
  </si>
  <si>
    <t># OF STATS:
Type in 3 or 2 if less than 4 in the graphic</t>
  </si>
  <si>
    <t>XPRESSION USE ONLY</t>
  </si>
  <si>
    <t>Rushing</t>
  </si>
  <si>
    <t>x Rush</t>
  </si>
  <si>
    <t>x Avg</t>
  </si>
  <si>
    <t>Datalinked to ranges below</t>
  </si>
  <si>
    <t>Receiving</t>
  </si>
  <si>
    <t>x Rec</t>
  </si>
  <si>
    <t>COLUMN HIGHLIGHT:
Type in 1 in column right of stat to highlight</t>
  </si>
  <si>
    <t>Season - 1100-1700</t>
  </si>
  <si>
    <t>Punting</t>
  </si>
  <si>
    <t>x Punts</t>
  </si>
  <si>
    <t>x Long</t>
  </si>
  <si>
    <t>x  Inside 20</t>
  </si>
  <si>
    <t>Career - 2100-2600</t>
  </si>
  <si>
    <t>Field Goal</t>
  </si>
  <si>
    <t>x/x FG</t>
  </si>
  <si>
    <t>xx.x%</t>
  </si>
  <si>
    <t>Defensive</t>
  </si>
  <si>
    <t>Tkls</t>
  </si>
  <si>
    <t>TFL</t>
  </si>
  <si>
    <t>Sacks</t>
  </si>
  <si>
    <t>PBU</t>
  </si>
  <si>
    <t>INT</t>
  </si>
  <si>
    <t>Values are entered without stat category text, if deviating from the defaults above you'll need to adjust the category text in Xpression</t>
  </si>
  <si>
    <t>Jersey</t>
  </si>
  <si>
    <t>Display Jersey</t>
  </si>
  <si>
    <t>Player Name Here</t>
  </si>
  <si>
    <t># OF STATS</t>
  </si>
  <si>
    <t>SEASON STAT 1</t>
  </si>
  <si>
    <t>Hilite1</t>
  </si>
  <si>
    <t>SEASON STAT 2</t>
  </si>
  <si>
    <t>Hilite2</t>
  </si>
  <si>
    <t>SEASON STAT 3</t>
  </si>
  <si>
    <t>Hilite3</t>
  </si>
  <si>
    <t>SEASON STAT 4</t>
  </si>
  <si>
    <t>Hilite4</t>
  </si>
  <si>
    <t>SEASON STAT 5</t>
  </si>
  <si>
    <t>Hilite5</t>
  </si>
  <si>
    <t>SEASON STAT 6</t>
  </si>
  <si>
    <t>Hilite6</t>
  </si>
  <si>
    <t>SEASON STAT DROP</t>
  </si>
  <si>
    <t>CAREER STAT 1</t>
  </si>
  <si>
    <t>CAREER STAT 2</t>
  </si>
  <si>
    <t>CAREER STAT 3</t>
  </si>
  <si>
    <t>CAREER STAT 4</t>
  </si>
  <si>
    <t>CAREER STAT 5</t>
  </si>
  <si>
    <t>CAREER STAT 6</t>
  </si>
  <si>
    <t>CAREER STAT DROP</t>
  </si>
  <si>
    <t>Leads team</t>
  </si>
  <si>
    <t>TEAM STATS</t>
  </si>
  <si>
    <t>AVG</t>
  </si>
  <si>
    <t>FBS OR CONF RANK</t>
  </si>
  <si>
    <t>SEASON STAT INFO</t>
  </si>
  <si>
    <t>RANK</t>
  </si>
  <si>
    <t>COMBINED</t>
  </si>
  <si>
    <t>Points Per Game</t>
  </si>
  <si>
    <t>34.6</t>
  </si>
  <si>
    <t>T-26th in FBS</t>
  </si>
  <si>
    <t>Yards Per Game</t>
  </si>
  <si>
    <t>345.7</t>
  </si>
  <si>
    <t>6th in SEC</t>
  </si>
  <si>
    <t>Rush Yds Per Game</t>
  </si>
  <si>
    <t>YPG</t>
  </si>
  <si>
    <t>Pass Yds Per Game</t>
  </si>
  <si>
    <t>Red Zone scoring (all scores)</t>
  </si>
  <si>
    <t>Red Zone Drives</t>
  </si>
  <si>
    <t>Red Zone FG</t>
  </si>
  <si>
    <t>Red Zone TD</t>
  </si>
  <si>
    <t>Sacks allowed</t>
  </si>
  <si>
    <t>Time of Possession</t>
  </si>
  <si>
    <t>3rd Down Conv</t>
  </si>
  <si>
    <t>4th Down Conv (use "of")</t>
  </si>
  <si>
    <t>Turnovers</t>
  </si>
  <si>
    <t>Penalty Yds Per Game</t>
  </si>
  <si>
    <t>1st Qtr Points</t>
  </si>
  <si>
    <t>2nd Qtr Points</t>
  </si>
  <si>
    <t>3rd Qtr Points</t>
  </si>
  <si>
    <t>4th Qtr Points</t>
  </si>
  <si>
    <t>Opp 1st Qtr Points</t>
  </si>
  <si>
    <t>Opp 2nd Qtr Points</t>
  </si>
  <si>
    <t>Opp 3rd Qtr Points</t>
  </si>
  <si>
    <t>Opp 4th Qtr Points</t>
  </si>
  <si>
    <t>Points Allowed Per Game</t>
  </si>
  <si>
    <t>PPG</t>
  </si>
  <si>
    <t>Opp Yards Per Game</t>
  </si>
  <si>
    <t>Opp Rush Yds Per Game</t>
  </si>
  <si>
    <t>Opp Pass Yds Per Game</t>
  </si>
  <si>
    <t>Red Zone Def. TD % Allowed</t>
  </si>
  <si>
    <t>3rd Down Defense</t>
  </si>
  <si>
    <t>4th down Defense (use "of")</t>
  </si>
  <si>
    <t>Team sacks</t>
  </si>
  <si>
    <t>Turnover margin</t>
  </si>
  <si>
    <t>Team Interceptions</t>
  </si>
  <si>
    <t>Team Takeaways</t>
  </si>
  <si>
    <t>SCHEDULE - FULLSCREEN</t>
  </si>
  <si>
    <t>TEMPLATE 9106</t>
  </si>
  <si>
    <t>NETWORK_LOGO_PATH</t>
  </si>
  <si>
    <t>SCHED_NETWORK</t>
  </si>
  <si>
    <t>WEEK</t>
  </si>
  <si>
    <t>at</t>
  </si>
  <si>
    <t>OPPONENT</t>
  </si>
  <si>
    <t>DATE</t>
  </si>
  <si>
    <t xml:space="preserve">TIME </t>
  </si>
  <si>
    <t>NETWORK LOGO</t>
  </si>
  <si>
    <t>Florida State</t>
  </si>
  <si>
    <t>Aug 30</t>
  </si>
  <si>
    <t>ABC</t>
  </si>
  <si>
    <t/>
  </si>
  <si>
    <t>UL Monroe</t>
  </si>
  <si>
    <t>Sept 6</t>
  </si>
  <si>
    <t>SEC_NETWORK</t>
  </si>
  <si>
    <t>23 Wisconsin</t>
  </si>
  <si>
    <t>Sept 13</t>
  </si>
  <si>
    <t>BLANK_LOGO</t>
  </si>
  <si>
    <t>Idle</t>
  </si>
  <si>
    <t>2 Georgia</t>
  </si>
  <si>
    <t>Sept 27</t>
  </si>
  <si>
    <t>Vanderbilt</t>
  </si>
  <si>
    <t>Oct 4</t>
  </si>
  <si>
    <t>Missouri</t>
  </si>
  <si>
    <t>Oct 11</t>
  </si>
  <si>
    <t>17 Tennessee</t>
  </si>
  <si>
    <t>Oct 18</t>
  </si>
  <si>
    <t>9 South Carolina</t>
  </si>
  <si>
    <t>Oct 25</t>
  </si>
  <si>
    <t>14 LSU</t>
  </si>
  <si>
    <t>Nov 8</t>
  </si>
  <si>
    <t>Oklahoma</t>
  </si>
  <si>
    <t>Nov 15</t>
  </si>
  <si>
    <t>Eastern Illinois</t>
  </si>
  <si>
    <t>Nov 23</t>
  </si>
  <si>
    <t>ESPN</t>
  </si>
  <si>
    <t>SAVES TO 750 (AWAY) OR 850 (HOME)</t>
  </si>
  <si>
    <t>CURRENT WEEK</t>
  </si>
  <si>
    <t>UPCOMING GAMES - BLITZ</t>
  </si>
  <si>
    <t>TEMPLATE 9956</t>
  </si>
  <si>
    <t>OPPONENT LOGO</t>
  </si>
  <si>
    <t>UL_MONROE</t>
  </si>
  <si>
    <t>WISCONSIN</t>
  </si>
  <si>
    <t>GEORGIA</t>
  </si>
  <si>
    <t>SAVES TO 751 (AWAY) OR 851 (HOME)</t>
  </si>
  <si>
    <t>PLAYER BUMPS</t>
  </si>
  <si>
    <t>TEMPLATE: 9043</t>
  </si>
  <si>
    <t>HEADER</t>
  </si>
  <si>
    <t>NOTE (ALL CAPS CFB // Upper-Lower SEC)</t>
  </si>
  <si>
    <t>HEADSHOT IMAGE</t>
  </si>
  <si>
    <t>LOGO</t>
  </si>
  <si>
    <t>Optional Header</t>
  </si>
  <si>
    <t>Note goes here</t>
  </si>
  <si>
    <t>OFF</t>
  </si>
  <si>
    <t>ACTION SHOT</t>
  </si>
  <si>
    <t>PORTRAIT</t>
  </si>
  <si>
    <t>AWAY TEAM - SAVE TO 8700s</t>
  </si>
  <si>
    <t>HOME TEAM - SAVE TO 8800s</t>
  </si>
  <si>
    <t>20 - Upper/Lower; 24=CAPS</t>
  </si>
  <si>
    <t>PLAYER FRONT ENDS</t>
  </si>
  <si>
    <t>TEMPLATE: 9351</t>
  </si>
  <si>
    <t>PORTRAIT IMAGE</t>
  </si>
  <si>
    <t>IMAGE</t>
  </si>
  <si>
    <t>ON</t>
  </si>
  <si>
    <t>AWAY TEAM - SAVE TO 86000s</t>
  </si>
  <si>
    <t>HOME TEAM - SAVE TO 87000s</t>
  </si>
  <si>
    <t>TEAM_LOGOS</t>
  </si>
  <si>
    <t>CONFERENCE_LOGOS</t>
  </si>
  <si>
    <t>NETWORK_LOGOS</t>
  </si>
  <si>
    <t>ABILENE_CHRISTIAN</t>
  </si>
  <si>
    <t>AMERICAN</t>
  </si>
  <si>
    <t>AAC_ESPN+_HORIZONTAL</t>
  </si>
  <si>
    <t>AIR_FORCE</t>
  </si>
  <si>
    <t>ATLANTIC_COAST</t>
  </si>
  <si>
    <t>AAC_ESPN+_HORIZONTALBLACK</t>
  </si>
  <si>
    <t>AKRON</t>
  </si>
  <si>
    <t>BIG_12</t>
  </si>
  <si>
    <t>ALABAMA</t>
  </si>
  <si>
    <t>BIG_SKY</t>
  </si>
  <si>
    <t>ABC_BLACK</t>
  </si>
  <si>
    <t>ALABAMA_AM</t>
  </si>
  <si>
    <t>BIG_SOUTH</t>
  </si>
  <si>
    <t>ACC_ESPN_NETWORK</t>
  </si>
  <si>
    <t>ALABAMA_ST</t>
  </si>
  <si>
    <t>BIG_TEN</t>
  </si>
  <si>
    <t>ACC_ESPN_NETWORK_BLACK</t>
  </si>
  <si>
    <t>ALCORN_ST</t>
  </si>
  <si>
    <t>CONFERENCE_USA</t>
  </si>
  <si>
    <t>ACC_NETWORK</t>
  </si>
  <si>
    <t>AMERICAN_UNIVERSITY</t>
  </si>
  <si>
    <t>GREAT_WEST</t>
  </si>
  <si>
    <t>ACC_NETWORK_BLACK</t>
  </si>
  <si>
    <t>APPALACHIAN_ST</t>
  </si>
  <si>
    <t>IVY_LEAGUE</t>
  </si>
  <si>
    <t>ACC_ON_ESPN</t>
  </si>
  <si>
    <t>ARIZONA</t>
  </si>
  <si>
    <t>MEAC</t>
  </si>
  <si>
    <t>BIG12_ESPN</t>
  </si>
  <si>
    <t>ARIZONA_ST</t>
  </si>
  <si>
    <t>MIDAMERICAN</t>
  </si>
  <si>
    <t>ARKANSAS</t>
  </si>
  <si>
    <t>MISSOURI_VALLEY</t>
  </si>
  <si>
    <t>ESPN_BLACK</t>
  </si>
  <si>
    <t>ARKANSAS_PINE_BLUFF</t>
  </si>
  <si>
    <t>MOUNTAIN_WEST</t>
  </si>
  <si>
    <t>ESPN+</t>
  </si>
  <si>
    <t>ARKANSAS_ST</t>
  </si>
  <si>
    <t>NORTHEAST</t>
  </si>
  <si>
    <t>ESPN+_BLACK</t>
  </si>
  <si>
    <t>ARMY</t>
  </si>
  <si>
    <t>OHIO_VALLEY</t>
  </si>
  <si>
    <t>ESPN2</t>
  </si>
  <si>
    <t>AUBURN</t>
  </si>
  <si>
    <t>PACIFIC_12</t>
  </si>
  <si>
    <t>ESPN2_BLACK</t>
  </si>
  <si>
    <t>AUSTIN_PEAY</t>
  </si>
  <si>
    <t>PATRIOT_LEAGUE</t>
  </si>
  <si>
    <t>ESPN3</t>
  </si>
  <si>
    <t>BALL_ST</t>
  </si>
  <si>
    <t>SOUTHEASTERN</t>
  </si>
  <si>
    <t>ESPN3_BLACK</t>
  </si>
  <si>
    <t>BAYLOR</t>
  </si>
  <si>
    <t>SOUTHLAND</t>
  </si>
  <si>
    <t>ESPNAPP</t>
  </si>
  <si>
    <t>BELLARMINE</t>
  </si>
  <si>
    <t>SUNBELT</t>
  </si>
  <si>
    <t>ESPNAPP_BLACK</t>
  </si>
  <si>
    <t>BELMONT</t>
  </si>
  <si>
    <t>SWAC</t>
  </si>
  <si>
    <t>ESPNEWS</t>
  </si>
  <si>
    <t>BETHUNE_COOKMAN</t>
  </si>
  <si>
    <t>ESPNEWS_BLACK</t>
  </si>
  <si>
    <t>BOISE_ST</t>
  </si>
  <si>
    <t>ESPNU</t>
  </si>
  <si>
    <t>BOSTON_COLLEGE</t>
  </si>
  <si>
    <t>ESPNU_BLACK</t>
  </si>
  <si>
    <t>BOSTON_UNIVERSITY</t>
  </si>
  <si>
    <t>SEC_NETWORK.PNG</t>
  </si>
  <si>
    <t>BOWLING_GREEN</t>
  </si>
  <si>
    <t>SEC_NETWORK_BLACK.PNG</t>
  </si>
  <si>
    <t>BRADLEY</t>
  </si>
  <si>
    <t>BROWN</t>
  </si>
  <si>
    <t>AAC_ESPN+_HORIZONTALDARKGRAY</t>
  </si>
  <si>
    <t>BRYANT</t>
  </si>
  <si>
    <t>AAC_ESPN+_HORIZONTALLIGHTGRAY</t>
  </si>
  <si>
    <t>BUCKNELL</t>
  </si>
  <si>
    <t>AAC_ESPN+_HORIZONTALWHITE</t>
  </si>
  <si>
    <t>BUFFALO</t>
  </si>
  <si>
    <t>AAC_ESPN+_VERTICAL</t>
  </si>
  <si>
    <t>BYU</t>
  </si>
  <si>
    <t>AAC_ESPN+_VERTICALBLACK</t>
  </si>
  <si>
    <t>CALIFORNIA</t>
  </si>
  <si>
    <t>AAC_ESPN+_VERTICALDARKGRAY</t>
  </si>
  <si>
    <t>CALIFORNIA_BAPTIST</t>
  </si>
  <si>
    <t>AAC_ESPN+_VERTICALLIGHTGRAY</t>
  </si>
  <si>
    <t>CAL_POLY</t>
  </si>
  <si>
    <t>AAC_ESPN+_VERTICALWHITE</t>
  </si>
  <si>
    <t>CAL_ST_BAKERSFIELD</t>
  </si>
  <si>
    <t>ABC_ESPN_MIRROR_WHITE</t>
  </si>
  <si>
    <t>CAL_ST_FULLERTON</t>
  </si>
  <si>
    <t>AAC_ESPN+_WATERMARK</t>
  </si>
  <si>
    <t>CAL_ST_NORTHRIDGE</t>
  </si>
  <si>
    <t>AAC_ESPN_COBRAND</t>
  </si>
  <si>
    <t>CAMPBELL</t>
  </si>
  <si>
    <t>ABCAPPMIRROR</t>
  </si>
  <si>
    <t>CANISIUS</t>
  </si>
  <si>
    <t>ABCAPPMIRROR_WHITE</t>
  </si>
  <si>
    <t>CENTRAL_ARKANSAS</t>
  </si>
  <si>
    <t>ABC_ESPN2_MIRROR</t>
  </si>
  <si>
    <t>CENTRAL_CONNECTICUT_ST</t>
  </si>
  <si>
    <t>ABC_ESPN2_MIRROR_BLACK</t>
  </si>
  <si>
    <t>CENTRAL_MICHIGAN</t>
  </si>
  <si>
    <t>ABC_ESPN2_MIRROR_WHITE</t>
  </si>
  <si>
    <t>CHARLESTON_SOUTHERN</t>
  </si>
  <si>
    <t>ABC_ESPN3_MIRROR</t>
  </si>
  <si>
    <t>CHARLOTTE</t>
  </si>
  <si>
    <t>ABC_ESPN3_MIRROR_WHITE</t>
  </si>
  <si>
    <t>CHATTANOOGA</t>
  </si>
  <si>
    <t>ABC_ESPN_MIRROR</t>
  </si>
  <si>
    <t>CHICAGO_ST</t>
  </si>
  <si>
    <t>ABC_ESPN_MIRROR_BLACK</t>
  </si>
  <si>
    <t>CINCINNATI</t>
  </si>
  <si>
    <t>ABC_LIGHTGRAY</t>
  </si>
  <si>
    <t>CLEMSON</t>
  </si>
  <si>
    <t>ABC_WHITE</t>
  </si>
  <si>
    <t>CLEVELAND_ST</t>
  </si>
  <si>
    <t>ABC_GRAY</t>
  </si>
  <si>
    <t>COASTAL_CAROLINA</t>
  </si>
  <si>
    <t>ACC_DIGITALNETWORK</t>
  </si>
  <si>
    <t>COLGATE</t>
  </si>
  <si>
    <t>ACC_DIGITAL_NETWORK</t>
  </si>
  <si>
    <t>COLLEGE_OF_CHARLESTON</t>
  </si>
  <si>
    <t>ACC_ESPN</t>
  </si>
  <si>
    <t>COLORADO</t>
  </si>
  <si>
    <t>ACC_ESPN_NETWORK_GRAY</t>
  </si>
  <si>
    <t>COLORADO_ST</t>
  </si>
  <si>
    <t>ACC_ESPN_NETWORK_LIGHTGRAY</t>
  </si>
  <si>
    <t>COLUMBIA</t>
  </si>
  <si>
    <t>ACC_ESPN_NETWORK_WHITE</t>
  </si>
  <si>
    <t>CONNECTICUT</t>
  </si>
  <si>
    <t>ACC_NETWORK_EXTRA</t>
  </si>
  <si>
    <t>COPPIN_ST</t>
  </si>
  <si>
    <t>ACC_NETWORK_EXTRA_BLACK</t>
  </si>
  <si>
    <t>CORNELL</t>
  </si>
  <si>
    <t>ACC_NETWORK_EXTRA_GRAY</t>
  </si>
  <si>
    <t>DARTMOUTH</t>
  </si>
  <si>
    <t>ACC_NETWORK_EXTRA_LIGHTGRAY</t>
  </si>
  <si>
    <t>DAVIDSON</t>
  </si>
  <si>
    <t>ACC_NETWORK_EXTRA_WHITE</t>
  </si>
  <si>
    <t>DAYTON</t>
  </si>
  <si>
    <t>ACC_NETWORK_GRAY</t>
  </si>
  <si>
    <t>DELAWARE</t>
  </si>
  <si>
    <t>ACC_NETWORK_LIGHTGRAY</t>
  </si>
  <si>
    <t>DELAWARE_ST</t>
  </si>
  <si>
    <t>ACC_NETWORK_WHITE</t>
  </si>
  <si>
    <t>DENVER</t>
  </si>
  <si>
    <t>ACC_WHITE</t>
  </si>
  <si>
    <t>DETROIT_MERCY</t>
  </si>
  <si>
    <t>AMERICAEAST</t>
  </si>
  <si>
    <t>DIXIE_ST</t>
  </si>
  <si>
    <t>AMERICAEAST_ESPN_BLACK</t>
  </si>
  <si>
    <t>DRAKE</t>
  </si>
  <si>
    <t>AMERICAEAST_ESPN_DARKGRAY</t>
  </si>
  <si>
    <t>DREXEL</t>
  </si>
  <si>
    <t>AMERICAEAST_ESPN_LIGHTGRAY</t>
  </si>
  <si>
    <t>DUKE</t>
  </si>
  <si>
    <t>AMERICAEAST_ESPN_PRIMARY</t>
  </si>
  <si>
    <t>DUQUESNE</t>
  </si>
  <si>
    <t>AMERICAEAST_ESPN_WHITE</t>
  </si>
  <si>
    <t>EASTERN_ILLINOIS</t>
  </si>
  <si>
    <t>AMERICAEAST_SECONDARY</t>
  </si>
  <si>
    <t>EASTERN_KENTUCKY</t>
  </si>
  <si>
    <t>AMERICAEAST_SECONDARYKNOCKOUT</t>
  </si>
  <si>
    <t>EASTERN_MICHIGAN</t>
  </si>
  <si>
    <t>AMERICAN_BLACK</t>
  </si>
  <si>
    <t>EASTERN_WASHINGTON</t>
  </si>
  <si>
    <t>AMERICAN_GRAY</t>
  </si>
  <si>
    <t>EAST_CAROLINA</t>
  </si>
  <si>
    <t>AMERICAN_WHITE</t>
  </si>
  <si>
    <t>EAST_TENNESSEE_ST</t>
  </si>
  <si>
    <t>AMERICA_EAST_ESPN3</t>
  </si>
  <si>
    <t>ELON</t>
  </si>
  <si>
    <t>ASUN_ESPN_BLACK</t>
  </si>
  <si>
    <t>EVANSVILLE</t>
  </si>
  <si>
    <t>ASUN_ESPN_DARKGRAY</t>
  </si>
  <si>
    <t>FAIRFIELD</t>
  </si>
  <si>
    <t>ASUN_ESPN_LIGHTGRAY</t>
  </si>
  <si>
    <t>FAIRLEIGH_DICKINSON</t>
  </si>
  <si>
    <t>ASUN_ESPN_PRIMARY</t>
  </si>
  <si>
    <t>FLORIDA</t>
  </si>
  <si>
    <t>ASUN_ESPN_WHITE</t>
  </si>
  <si>
    <t>FLORIDA_AM</t>
  </si>
  <si>
    <t>BIGEAST_NETWORK</t>
  </si>
  <si>
    <t>FLORIDA_ATLANTIC</t>
  </si>
  <si>
    <t>BIGEAST_NETWORK_GRAY</t>
  </si>
  <si>
    <t>FLORIDA_GULF_COAST</t>
  </si>
  <si>
    <t>BIGEAST_NETWORK_LIGHTGRAY</t>
  </si>
  <si>
    <t>FLORIDA_INTERNATIONAL</t>
  </si>
  <si>
    <t>BIGEAST_NETWORK_WHITE</t>
  </si>
  <si>
    <t>FLORIDA_ST</t>
  </si>
  <si>
    <t>BIGSOUTH_ESPN_BLACK</t>
  </si>
  <si>
    <t>FORDHAM</t>
  </si>
  <si>
    <t>BIGSOUTH_ESPN_DARKGRAY</t>
  </si>
  <si>
    <t>FRESNO_ST</t>
  </si>
  <si>
    <t>BIGSOUTH_ESPN_LIGHTGRAY</t>
  </si>
  <si>
    <t>FURMAN</t>
  </si>
  <si>
    <t>BIGSOUTH_ESPN_PRIMARY</t>
  </si>
  <si>
    <t>GARDNER_WEBB</t>
  </si>
  <si>
    <t>BIGSOUTH_ESPN_WHITE</t>
  </si>
  <si>
    <t>GEORGETOWN</t>
  </si>
  <si>
    <t>BIGTENABC_BLACK</t>
  </si>
  <si>
    <t>GEORGE_MASON</t>
  </si>
  <si>
    <t>BIGTENABC_COLORPOSITIVE</t>
  </si>
  <si>
    <t>GEORGE_WASHINGTON</t>
  </si>
  <si>
    <t>BIGTENABC_GRAY</t>
  </si>
  <si>
    <t>BIGTENABC_LIGHTGRAY</t>
  </si>
  <si>
    <t>GEORGIA_SOUTHERN</t>
  </si>
  <si>
    <t>BIGTENABC_WHITE</t>
  </si>
  <si>
    <t>GEORGIA_ST</t>
  </si>
  <si>
    <t>BIGTENESPN_BLACK</t>
  </si>
  <si>
    <t>GEORGIA_TECH</t>
  </si>
  <si>
    <t>BIGTENESPN_COLORPOSITIVE</t>
  </si>
  <si>
    <t>GONZAGA</t>
  </si>
  <si>
    <t>BIGTENESPN_GRAY</t>
  </si>
  <si>
    <t>GRAMBLING_ST</t>
  </si>
  <si>
    <t>BIGTENESPN_LIGHTGRAY</t>
  </si>
  <si>
    <t>GRAND_CANYON</t>
  </si>
  <si>
    <t>BIGTENESPN_WHITE</t>
  </si>
  <si>
    <t>GREEN_BAY</t>
  </si>
  <si>
    <t>BIGTEN_ABC</t>
  </si>
  <si>
    <t>HAMPTON</t>
  </si>
  <si>
    <t>BIGTEN_ABC_BLACK</t>
  </si>
  <si>
    <t>HAMPTON_W</t>
  </si>
  <si>
    <t>BIGTEN_ABC_GRAY</t>
  </si>
  <si>
    <t>HARVARD</t>
  </si>
  <si>
    <t>BIGTEN_ABC_LIGHTGRAY</t>
  </si>
  <si>
    <t>HAWAII</t>
  </si>
  <si>
    <t>BIGTEN_ABC_WHITE</t>
  </si>
  <si>
    <t>HIGHPOINT</t>
  </si>
  <si>
    <t>BIGTEN_ESPN</t>
  </si>
  <si>
    <t>HOFSTRA</t>
  </si>
  <si>
    <t>BIGTEN_ESPN_BLACK</t>
  </si>
  <si>
    <t>HOLY_CROSS</t>
  </si>
  <si>
    <t>BIGTEN_ESPN_GRAY</t>
  </si>
  <si>
    <t>HOUSTON</t>
  </si>
  <si>
    <t>BIGTEN_ESPN_LIGHTGRAY</t>
  </si>
  <si>
    <t>HOUSTON_BAPTIST</t>
  </si>
  <si>
    <t>BIGTEN_ESPN_WHITE</t>
  </si>
  <si>
    <t>HOWARD</t>
  </si>
  <si>
    <t>CBSNETWORK</t>
  </si>
  <si>
    <t>IDAHO</t>
  </si>
  <si>
    <t>CBSNETWORK_GRAY</t>
  </si>
  <si>
    <t>IDAHO_ST</t>
  </si>
  <si>
    <t>CBSNETWORK_LIGHTGRAY</t>
  </si>
  <si>
    <t>ILLINOIS</t>
  </si>
  <si>
    <t>CBSNETWORK_WHITE</t>
  </si>
  <si>
    <t>ILLINOIS_CHICAGO</t>
  </si>
  <si>
    <t>CBS_SPORTS</t>
  </si>
  <si>
    <t>ILLINOIS_ST</t>
  </si>
  <si>
    <t>CBS_SPORTS_GRAY</t>
  </si>
  <si>
    <t>INCARNATE_WORD</t>
  </si>
  <si>
    <t>CBS_SPORTS_NK</t>
  </si>
  <si>
    <t>INDIANA</t>
  </si>
  <si>
    <t>CBS_SPORTS_WHITE</t>
  </si>
  <si>
    <t>INDIANA_ST</t>
  </si>
  <si>
    <t>ESPN+_COLORNEGATIVE</t>
  </si>
  <si>
    <t>IONA</t>
  </si>
  <si>
    <t>ESPN+_GRAY</t>
  </si>
  <si>
    <t>IOWA</t>
  </si>
  <si>
    <t>ESPN+_ICON</t>
  </si>
  <si>
    <t>IOWA_ST</t>
  </si>
  <si>
    <t>ESPN+_ICON_BLACK</t>
  </si>
  <si>
    <t>IUPUI</t>
  </si>
  <si>
    <t>ESPN+_ICON_COLORNEGATIVE</t>
  </si>
  <si>
    <t>JACKSONVILLE</t>
  </si>
  <si>
    <t>ESPN+_ICON_GRAY</t>
  </si>
  <si>
    <t>JACKSONVILLE_ST</t>
  </si>
  <si>
    <t>ESPN+_ICON_LIGHTGRAY</t>
  </si>
  <si>
    <t>JACKSON_ST</t>
  </si>
  <si>
    <t>ESPN+_ICON_WHITE</t>
  </si>
  <si>
    <t>JAMES_MADISON</t>
  </si>
  <si>
    <t>ESPN+_LIGHTGRAY</t>
  </si>
  <si>
    <t>KANSAS</t>
  </si>
  <si>
    <t>ESPN+_WHITE</t>
  </si>
  <si>
    <t>KANSAS_ST</t>
  </si>
  <si>
    <t>ESPN2_ESPNAPP_MIRROR</t>
  </si>
  <si>
    <t>KENNESAW_ST</t>
  </si>
  <si>
    <t>ESPN2_ESPNAPP_MIRRORWHITE</t>
  </si>
  <si>
    <t>KENTUCKY</t>
  </si>
  <si>
    <t>ESPN2_ESPNEWS_WHITE</t>
  </si>
  <si>
    <t>KENT_ST</t>
  </si>
  <si>
    <t>ESPN2_ESPNU_WHITE</t>
  </si>
  <si>
    <t>LAFAYETTE</t>
  </si>
  <si>
    <t>ESPN2_GRAY</t>
  </si>
  <si>
    <t>LAMAR</t>
  </si>
  <si>
    <t>ESPN2_GREY</t>
  </si>
  <si>
    <t>LASALLE</t>
  </si>
  <si>
    <t>ESPN2_LIGHTGRAY</t>
  </si>
  <si>
    <t>LEHIGH</t>
  </si>
  <si>
    <t>ESPN2_RED</t>
  </si>
  <si>
    <t>LIBERTY</t>
  </si>
  <si>
    <t>ESPN2_WATCHESPN_MIRROR</t>
  </si>
  <si>
    <t>LIPSCOMB</t>
  </si>
  <si>
    <t>ESPN2_WATCHESPN_MIRROR_WHITE</t>
  </si>
  <si>
    <t>LITTLE_ROCK</t>
  </si>
  <si>
    <t>ESPN2_WHITE</t>
  </si>
  <si>
    <t>LONGWOOD</t>
  </si>
  <si>
    <t>ESPN3_ESPNAPP_MIRROR</t>
  </si>
  <si>
    <t>LONG_BEACH_ST</t>
  </si>
  <si>
    <t>ESPN3_ESPNAPP_MIRRORWHITE</t>
  </si>
  <si>
    <t>LOUISIANA</t>
  </si>
  <si>
    <t>ESPN3_GRAY</t>
  </si>
  <si>
    <t>LOUISIANA_TECH</t>
  </si>
  <si>
    <t>ESPN3_LIGHTGRAY</t>
  </si>
  <si>
    <t>LOUISVILLE</t>
  </si>
  <si>
    <t>ESPN3_WATCHESPN_MIRROR</t>
  </si>
  <si>
    <t>LOYOLA_CHICAGO</t>
  </si>
  <si>
    <t>ESPN3_WATCHESPN_MIRROR_WHITE</t>
  </si>
  <si>
    <t>LOYOLA_MARYLAND</t>
  </si>
  <si>
    <t>ESPN3_WHITE</t>
  </si>
  <si>
    <t>LOYOLA_MARYMOUNT</t>
  </si>
  <si>
    <t>ESPNAPP_1LINE</t>
  </si>
  <si>
    <t>LSU</t>
  </si>
  <si>
    <t>ESPNAPP_1LINE_BLACK</t>
  </si>
  <si>
    <t>MANHATTAN</t>
  </si>
  <si>
    <t>ESPNAPP_1LINE_BWNEGATIVE</t>
  </si>
  <si>
    <t>MARIST</t>
  </si>
  <si>
    <t>ESPNAPP_1LINE_BWPOSITIVE</t>
  </si>
  <si>
    <t>MARSHALL</t>
  </si>
  <si>
    <t>ESPNAPP_1LINE_COLORNEGATIVE</t>
  </si>
  <si>
    <t>MARYLAND</t>
  </si>
  <si>
    <t>ESPNAPP_1LINE_GRAY</t>
  </si>
  <si>
    <t>MARYLAND_EASTERN_SHORE</t>
  </si>
  <si>
    <t>ESPNAPP_1LINE_LIGHTGRAY</t>
  </si>
  <si>
    <t>MASSACHUSETTS</t>
  </si>
  <si>
    <t>ESPNAPP_1LINE_WHITE</t>
  </si>
  <si>
    <t>MCNEESE_ST</t>
  </si>
  <si>
    <t>ESPNAPP_BLACK_512</t>
  </si>
  <si>
    <t>MEMPHIS</t>
  </si>
  <si>
    <t>ESPNAPP_BWNEGATIVE</t>
  </si>
  <si>
    <t>MERCER</t>
  </si>
  <si>
    <t>ESPNAPP_BWPOSITIVE</t>
  </si>
  <si>
    <t>MERRIMACK</t>
  </si>
  <si>
    <t>ESPNAPP_COLORNEGATIVE</t>
  </si>
  <si>
    <t>MIAMI_FL</t>
  </si>
  <si>
    <t>ESPNAPP_ENVIVO</t>
  </si>
  <si>
    <t>MIAMI_OH</t>
  </si>
  <si>
    <t>ESPNAPP_ENVIVO_BLACK</t>
  </si>
  <si>
    <t>MICHIGAN</t>
  </si>
  <si>
    <t>ESPNAPP_ENVIVO_BWNEGATIVE</t>
  </si>
  <si>
    <t>MICHIGAN_ST</t>
  </si>
  <si>
    <t>ESPNAPP_ENVIVO_BWPOSITIVE</t>
  </si>
  <si>
    <t>MIDDLE_TENNESSEE</t>
  </si>
  <si>
    <t>ESPNAPP_ENVIVO_COLORNEGATIVE</t>
  </si>
  <si>
    <t>MILWAUKEE</t>
  </si>
  <si>
    <t>ESPNAPP_ENVIVO_GRAY</t>
  </si>
  <si>
    <t>MINNESOTA</t>
  </si>
  <si>
    <t>ESPNAPP_ENVIVO_LIGHTGRAY</t>
  </si>
  <si>
    <t>MISSISSIPPI_ST</t>
  </si>
  <si>
    <t>ESPNAPP_ENVIVO_WHITE</t>
  </si>
  <si>
    <t>MISSISSIPPI_VALLEY_ST</t>
  </si>
  <si>
    <t>ESPNAPP_GRAY</t>
  </si>
  <si>
    <t>MISSOURI</t>
  </si>
  <si>
    <t>ESPNAPP_ICON_OVERDARK</t>
  </si>
  <si>
    <t>MISSOURI_ST</t>
  </si>
  <si>
    <t>ESPNAPP_ICON_OVERLIGHT</t>
  </si>
  <si>
    <t>MONMOUTH</t>
  </si>
  <si>
    <t>ESPNAPP_KNOCKOUT</t>
  </si>
  <si>
    <t>MONTANA</t>
  </si>
  <si>
    <t>ESPNAPP_LIGHTGRAY</t>
  </si>
  <si>
    <t>MONTANA_ST</t>
  </si>
  <si>
    <t>ESPNAPP_SPANISH</t>
  </si>
  <si>
    <t>MOREHEAD_ST</t>
  </si>
  <si>
    <t>ESPNAPP_WATCHESPN_NOTEXTCOMBO1</t>
  </si>
  <si>
    <t>MORGAN_ST</t>
  </si>
  <si>
    <t>ESPNAPP_WATCHESPN_NOTEXTCOMBO2</t>
  </si>
  <si>
    <t>MOUNT_ST_MARYS</t>
  </si>
  <si>
    <t>ESPNAPP_WHITE</t>
  </si>
  <si>
    <t>MURRAY_ST</t>
  </si>
  <si>
    <t>ESPNCLASSIC</t>
  </si>
  <si>
    <t>NAVY</t>
  </si>
  <si>
    <t>ESPNCLASSIC_GRAY</t>
  </si>
  <si>
    <t>NC_ST</t>
  </si>
  <si>
    <t>ESPNCLASSIC_LIGHTGRAY</t>
  </si>
  <si>
    <t>NEBRASKA</t>
  </si>
  <si>
    <t>ESPNCLASSIC_WHITE</t>
  </si>
  <si>
    <t>NEVADA</t>
  </si>
  <si>
    <t>ESPNDEPORTES_DARKBG</t>
  </si>
  <si>
    <t>NEW_MEXICO</t>
  </si>
  <si>
    <t>ESPNDEPORTES_HORIZONTAL</t>
  </si>
  <si>
    <t>NEW_MEXICO_ST</t>
  </si>
  <si>
    <t>ESPNDEPORTES_HORIZONTAL_GRAY</t>
  </si>
  <si>
    <t>NEW_ORLEANS</t>
  </si>
  <si>
    <t>ESPNDEPORTES_HORIZONTAL_LIGHTGRAY</t>
  </si>
  <si>
    <t>NIAGARA</t>
  </si>
  <si>
    <t>ESPNDEPORTES_HORIZONTAL_WHITE</t>
  </si>
  <si>
    <t>NICHOLLS_ST</t>
  </si>
  <si>
    <t>ESPNDEPORTES_LIGHTGRAY</t>
  </si>
  <si>
    <t>NJIT</t>
  </si>
  <si>
    <t>ESPNDEPORTES_RADIO</t>
  </si>
  <si>
    <t>NORFOLK_ST</t>
  </si>
  <si>
    <t>ESPNDEPORTES_RADIO_GRAY</t>
  </si>
  <si>
    <t>NORTHEASTERN</t>
  </si>
  <si>
    <t>ESPNDEPORTES_RADIO_LIGHTGRAY</t>
  </si>
  <si>
    <t>NORTHERN_ARIZONA</t>
  </si>
  <si>
    <t>ESPNDEPORTES_RADIO_WHITE</t>
  </si>
  <si>
    <t>NORTHERN_COLORADO</t>
  </si>
  <si>
    <t>ESPNDOTCOM</t>
  </si>
  <si>
    <t>NORTHERN_ILLINOIS</t>
  </si>
  <si>
    <t>ESPNDOTCOM_GRAY</t>
  </si>
  <si>
    <t>NORTHERN_IOWA</t>
  </si>
  <si>
    <t>ESPNDOTCOM_LIGHTGRAY</t>
  </si>
  <si>
    <t>NORTHERN_KENTUCKY</t>
  </si>
  <si>
    <t>ESPNDOTCOM_WHITE</t>
  </si>
  <si>
    <t>NORTHWESTERN</t>
  </si>
  <si>
    <t>ESPNEWS_GRAY</t>
  </si>
  <si>
    <t>NORTHWESTERN_ST</t>
  </si>
  <si>
    <t>ESPNEWS_LIGHTGRAY</t>
  </si>
  <si>
    <t>NORTH_ALABAMA</t>
  </si>
  <si>
    <t>ESPNEWS_RED</t>
  </si>
  <si>
    <t>NORTH_CAROLINA</t>
  </si>
  <si>
    <t>ESPNEWS_WHITE</t>
  </si>
  <si>
    <t>NORTH_CAROLINA_AT</t>
  </si>
  <si>
    <t>ESPNFULLCOURT_LIGHTGRAY</t>
  </si>
  <si>
    <t>NORTH_CAROLINA_CENTRAL</t>
  </si>
  <si>
    <t>ESPNGAMEPLAN_LIGHTGRAY</t>
  </si>
  <si>
    <t>NORTH_DAKOTA</t>
  </si>
  <si>
    <t>ESPNPLUS</t>
  </si>
  <si>
    <t>NORTH_DAKOTA_ST</t>
  </si>
  <si>
    <t>ESPNPLUS_BLACK</t>
  </si>
  <si>
    <t>NORTH_FLORIDA</t>
  </si>
  <si>
    <t>ESPNPLUS_GRAY</t>
  </si>
  <si>
    <t>NORTH_TEXAS</t>
  </si>
  <si>
    <t>ESPNPLUS_LIGHTGRAY</t>
  </si>
  <si>
    <t>NOTRE_DAME</t>
  </si>
  <si>
    <t>ESPNPLUS_WHITE</t>
  </si>
  <si>
    <t>OAKLAND</t>
  </si>
  <si>
    <t>ESPNU_ESPNAPP_MIRROR</t>
  </si>
  <si>
    <t>OHIO</t>
  </si>
  <si>
    <t>ESPNU_ESPNAPP_MIRRORWHITE</t>
  </si>
  <si>
    <t>OHIO_ST</t>
  </si>
  <si>
    <t>ESPNU_ESPNEWS_WHITE</t>
  </si>
  <si>
    <t>OKLAHOMA</t>
  </si>
  <si>
    <t>ESPNU_GRAY</t>
  </si>
  <si>
    <t>OKLAHOMA_ST</t>
  </si>
  <si>
    <t>ESPNU_LIGHTGRAY</t>
  </si>
  <si>
    <t>OLD_DOMINION</t>
  </si>
  <si>
    <t>ESPNU_VERTICAL</t>
  </si>
  <si>
    <t>OLE_MISS</t>
  </si>
  <si>
    <t>ESPNU_WATCHESPN_MIRROR</t>
  </si>
  <si>
    <t>OMAHA</t>
  </si>
  <si>
    <t>ESPNU_WATCHESPN_MIRROR_WHITE</t>
  </si>
  <si>
    <t>ORAL_ROBERTS</t>
  </si>
  <si>
    <t>ESPNU_WHITE</t>
  </si>
  <si>
    <t>OREGON</t>
  </si>
  <si>
    <t>ESPNW</t>
  </si>
  <si>
    <t>OREGON_ST</t>
  </si>
  <si>
    <t>ESPNWCOM_RED_HORIZONTAL</t>
  </si>
  <si>
    <t>PACIFIC</t>
  </si>
  <si>
    <t>ESPNWCOM_RED_STACKED</t>
  </si>
  <si>
    <t>PENNSYLVANIA</t>
  </si>
  <si>
    <t>ESPNW_GRAY</t>
  </si>
  <si>
    <t>PENN_ST</t>
  </si>
  <si>
    <t>ESPNW_LIGHTGRAY</t>
  </si>
  <si>
    <t>PEPPERDINE</t>
  </si>
  <si>
    <t>ESPNW_NO_KEY</t>
  </si>
  <si>
    <t>PITTSBURGH</t>
  </si>
  <si>
    <t>ESPNW_RED_HORIZONTAL</t>
  </si>
  <si>
    <t>PORTLAND</t>
  </si>
  <si>
    <t>ESPNW_RED_STACKED</t>
  </si>
  <si>
    <t>PORTLAND_ST</t>
  </si>
  <si>
    <t>ESPNW_WHITE</t>
  </si>
  <si>
    <t>PRAIRIE_VIEW</t>
  </si>
  <si>
    <t>ESPN_APP</t>
  </si>
  <si>
    <t>PRESBYTERIAN</t>
  </si>
  <si>
    <t>ESPN_APP_ICON</t>
  </si>
  <si>
    <t>PRINCETON</t>
  </si>
  <si>
    <t>ESPN_COLLEGE_BPI</t>
  </si>
  <si>
    <t>PURDUE</t>
  </si>
  <si>
    <t>ESPN_DEPORTESRADIO_LIGHTGRAY</t>
  </si>
  <si>
    <t>PURDUE_FORT_WAYNE</t>
  </si>
  <si>
    <t>ESPN_ESPN2_MIRROR_RED</t>
  </si>
  <si>
    <t>QUINNIPIAC</t>
  </si>
  <si>
    <t>ESPN_ESPN2_MIRROR_WHITE</t>
  </si>
  <si>
    <t>RADFORD</t>
  </si>
  <si>
    <t>ESPN_ESPN2_WHITE</t>
  </si>
  <si>
    <t>RHODE_ISLAND</t>
  </si>
  <si>
    <t>ESPN_ESPNAPP_MIRROR</t>
  </si>
  <si>
    <t>RICE</t>
  </si>
  <si>
    <t>ESPN_ESPNAPP_MIRRORWHITE</t>
  </si>
  <si>
    <t>RICHMOND</t>
  </si>
  <si>
    <t>ESPN_ESPNEWS_WHITE</t>
  </si>
  <si>
    <t>RIDER</t>
  </si>
  <si>
    <t>ESPN_ESPNU_WHITE</t>
  </si>
  <si>
    <t>ROBERT_MORRIS</t>
  </si>
  <si>
    <t>ESPN_GRAY</t>
  </si>
  <si>
    <t>RUTGERS</t>
  </si>
  <si>
    <t>ESPN_LIGHTGRAY</t>
  </si>
  <si>
    <t>SACRAMENTO_ST</t>
  </si>
  <si>
    <t>ESPN_Plus_Bug</t>
  </si>
  <si>
    <t>SACRED_HEART</t>
  </si>
  <si>
    <t>ESPN_SECNETWORK_MIRROR</t>
  </si>
  <si>
    <t>SAINT_JOSEPHS</t>
  </si>
  <si>
    <t>ESPN_WATCHESPN_MIRROR</t>
  </si>
  <si>
    <t>SAINT_LOUIS</t>
  </si>
  <si>
    <t>ESPN_WATCHESPN_MIRROR_WHITE</t>
  </si>
  <si>
    <t>SAINT_MARYS</t>
  </si>
  <si>
    <t>ESPN_WATCH_PLAY</t>
  </si>
  <si>
    <t>SAMFORD</t>
  </si>
  <si>
    <t>ESPN_WHITE</t>
  </si>
  <si>
    <t>SAM_HOUSTON_ST</t>
  </si>
  <si>
    <t>FOX_DEPORTES</t>
  </si>
  <si>
    <t>SANTA_CLARA</t>
  </si>
  <si>
    <t>FOX_GREY_BOX</t>
  </si>
  <si>
    <t>SAN_DIEGO</t>
  </si>
  <si>
    <t>FOX_NAVY</t>
  </si>
  <si>
    <t>SAN_DIEGO_ST</t>
  </si>
  <si>
    <t>FOX_NETWORK_BLACK</t>
  </si>
  <si>
    <t>SAN_FRANCISCO</t>
  </si>
  <si>
    <t>FOX_NETWORK_WHITE</t>
  </si>
  <si>
    <t>SAN_JOSE_ST</t>
  </si>
  <si>
    <t>FOX_SPORTS</t>
  </si>
  <si>
    <t>SAVANNAH_ST</t>
  </si>
  <si>
    <t>FOX_SPORTS1</t>
  </si>
  <si>
    <t>SEATTLE</t>
  </si>
  <si>
    <t>FOX_SPORTS1_LIGHTGRAY</t>
  </si>
  <si>
    <t>SIENA</t>
  </si>
  <si>
    <t>FOX_SPORTS1_WHITE</t>
  </si>
  <si>
    <t>SIU_EDWARDSVILLE</t>
  </si>
  <si>
    <t>FOX_SPORTS_GRAY</t>
  </si>
  <si>
    <t>SMU</t>
  </si>
  <si>
    <t>FOX_SPORTS_LIGHTGRAY</t>
  </si>
  <si>
    <t>SOUTHEASTERN_LOUISIANA</t>
  </si>
  <si>
    <t>FOX_SPORTS_WHITE</t>
  </si>
  <si>
    <t>SOUTHEAST_MISSOURI_ST</t>
  </si>
  <si>
    <t>FREEFORM</t>
  </si>
  <si>
    <t>SOUTHERN</t>
  </si>
  <si>
    <t>FREEFORM_GRAY</t>
  </si>
  <si>
    <t>SOUTHERN_ILLINOIS</t>
  </si>
  <si>
    <t>FREEFORM_LIGHTGRAY</t>
  </si>
  <si>
    <t>SOUTHERN_MISS</t>
  </si>
  <si>
    <t>FREEFORM_WHITE</t>
  </si>
  <si>
    <t>SOUTHERN_UTAH</t>
  </si>
  <si>
    <t>FULLCOURT</t>
  </si>
  <si>
    <t>SOUTH_ALABAMA</t>
  </si>
  <si>
    <t>FULLCOURT_GRAY</t>
  </si>
  <si>
    <t>SOUTH_CAROLINA</t>
  </si>
  <si>
    <t>FULLCOURT_LIGHTGRAY</t>
  </si>
  <si>
    <t>SOUTH_CAROLINA_ST</t>
  </si>
  <si>
    <t>FULLCOURT_WHITE</t>
  </si>
  <si>
    <t>SOUTH_DAKOTA</t>
  </si>
  <si>
    <t>GAMEPLAN</t>
  </si>
  <si>
    <t>SOUTH_DAKOTA_ST</t>
  </si>
  <si>
    <t>GAMEPLAN_GRAY</t>
  </si>
  <si>
    <t>SOUTH_FLORIDA</t>
  </si>
  <si>
    <t>GAMEPLAN_LIGHTGRAY</t>
  </si>
  <si>
    <t>STANFORD</t>
  </si>
  <si>
    <t>GAMEPLAN_WHITE</t>
  </si>
  <si>
    <t>STEPHEN_F_AUSTIN</t>
  </si>
  <si>
    <t>HORIZONLEAGUE_ESPN_BLACK</t>
  </si>
  <si>
    <t>STETSON</t>
  </si>
  <si>
    <t>HORIZONLEAGUE_ESPN_DARKGRAY</t>
  </si>
  <si>
    <t>ST_BONAVENTURE</t>
  </si>
  <si>
    <t>HORIZONLEAGUE_ESPN_LIGHTGRAY</t>
  </si>
  <si>
    <t>ST_FRANCIS</t>
  </si>
  <si>
    <t>HORIZONLEAGUE_ESPN_PRIMARY</t>
  </si>
  <si>
    <t>ST_FRANCIS_PA</t>
  </si>
  <si>
    <t>HORIZONLEAGUE_ESPN_WHITE</t>
  </si>
  <si>
    <t>ST_PETERS</t>
  </si>
  <si>
    <t>MAAC_ESPN_BLACK</t>
  </si>
  <si>
    <t>ST_THOMAS</t>
  </si>
  <si>
    <t>MAAC_ESPN_DARKGRAY</t>
  </si>
  <si>
    <t>SYRACUSE</t>
  </si>
  <si>
    <t>MAAC_ESPN_LIGHTGRAY</t>
  </si>
  <si>
    <t>TARLETON</t>
  </si>
  <si>
    <t>MAAC_ESPN_PRIMARY</t>
  </si>
  <si>
    <t>TCU</t>
  </si>
  <si>
    <t>MAAC_ESPN_WHITE</t>
  </si>
  <si>
    <t>TEMPLE</t>
  </si>
  <si>
    <t>MISSOURIVALLEY_ESPN3_HORIZONTAL</t>
  </si>
  <si>
    <t>TENNESSEE</t>
  </si>
  <si>
    <t>MISSOURIVALLEY_ESPN3_VERTICAL</t>
  </si>
  <si>
    <t>TENNESSEE_MARTIN</t>
  </si>
  <si>
    <t>MISSOURIVALLEY_ESPN_COBRAND</t>
  </si>
  <si>
    <t>TENNESSEE_ST</t>
  </si>
  <si>
    <t>NBC</t>
  </si>
  <si>
    <t>TENNESSEE_TECH</t>
  </si>
  <si>
    <t>NBC_SPORTS</t>
  </si>
  <si>
    <t>TEXAS</t>
  </si>
  <si>
    <t>NBC_SPORTSNETWORK</t>
  </si>
  <si>
    <t>TEXAS_AM</t>
  </si>
  <si>
    <t>NBC_SPORTSNETWORK_GRAY</t>
  </si>
  <si>
    <t>TEXAS_AM_CORPUS_CHRISTI</t>
  </si>
  <si>
    <t>NBC_SPORTSNETWORK_WHITE</t>
  </si>
  <si>
    <t>TEXAS_SOUTHERN</t>
  </si>
  <si>
    <t>NBC_SPORTS_GRAY</t>
  </si>
  <si>
    <t>TEXAS_ST</t>
  </si>
  <si>
    <t>NBC_SPORTS_WHITE</t>
  </si>
  <si>
    <t>TEXAS_TECH</t>
  </si>
  <si>
    <t>NFL_NETWORK</t>
  </si>
  <si>
    <t>THE_CITADEL</t>
  </si>
  <si>
    <t>NFL_NETWORK_GRAY</t>
  </si>
  <si>
    <t>TOLEDO</t>
  </si>
  <si>
    <t>NFL_NETWORK_WHITE</t>
  </si>
  <si>
    <t>TOWSON</t>
  </si>
  <si>
    <t>PATRIOTLEAGUE_ESPN_BLACK</t>
  </si>
  <si>
    <t>TROY</t>
  </si>
  <si>
    <t>PATRIOTLEAGUE_ESPN_DARKGRAY</t>
  </si>
  <si>
    <t>TULANE</t>
  </si>
  <si>
    <t>PATRIOTLEAGUE_ESPN_LIGHTGRAY</t>
  </si>
  <si>
    <t>TULSA</t>
  </si>
  <si>
    <t>PATRIOTLEAGUE_ESPN_PRIMARY</t>
  </si>
  <si>
    <t>UAB</t>
  </si>
  <si>
    <t>PATRIOTLEAGUE_ESPN_WHITE</t>
  </si>
  <si>
    <t>UCF</t>
  </si>
  <si>
    <t>SECNETWORK+.PNG</t>
  </si>
  <si>
    <t>UCLA</t>
  </si>
  <si>
    <t>SECNETWORK+_BLACK&amp;WHITE.png</t>
  </si>
  <si>
    <t>UC_DAVIS</t>
  </si>
  <si>
    <t>SECNETWORK+_GRAY.PNG</t>
  </si>
  <si>
    <t>UC_IRVINE</t>
  </si>
  <si>
    <t>SECNETWORK+_LIGHTGRAY.PNG</t>
  </si>
  <si>
    <t>UC_RIVERSIDE</t>
  </si>
  <si>
    <t>SECNETWORK+_WHITE.PNG</t>
  </si>
  <si>
    <t>UC_SAN_DIEGO</t>
  </si>
  <si>
    <t>SEC_ABC_3D.PNG</t>
  </si>
  <si>
    <t>UC_SANTA_BARBARA</t>
  </si>
  <si>
    <t>SEC_ABC_BWNEG.PNG</t>
  </si>
  <si>
    <t>SEC_ABC_BWPOS.PNG</t>
  </si>
  <si>
    <t>UMKC</t>
  </si>
  <si>
    <t>SEC_ABC_COLORNEG.PNG</t>
  </si>
  <si>
    <t>UNC_ASHEVILLE</t>
  </si>
  <si>
    <t>SEC_ABC_COLORPOS.PNG</t>
  </si>
  <si>
    <t>UNC_GREENSBORO</t>
  </si>
  <si>
    <t>SEC_ESPNABC2024_BW.PNG</t>
  </si>
  <si>
    <t>UNC_WILMINGTON</t>
  </si>
  <si>
    <t>SEC_ESPNABC2024_PRIMARY.PNG</t>
  </si>
  <si>
    <t>UNLV</t>
  </si>
  <si>
    <t>SEC_ESPNSTACKED_BWNEG.PNG</t>
  </si>
  <si>
    <t>USC</t>
  </si>
  <si>
    <t>SEC_ESPN_3D.PNG</t>
  </si>
  <si>
    <t>USC_UPSTATE</t>
  </si>
  <si>
    <t>SEC_ESPN_BW.PNG</t>
  </si>
  <si>
    <t>UTAH</t>
  </si>
  <si>
    <t>SEC_NETWORK+.png</t>
  </si>
  <si>
    <t>UTAH_ST</t>
  </si>
  <si>
    <t>SEC_NETWORK+_BLACK.png</t>
  </si>
  <si>
    <t>UTAH_VALLEY</t>
  </si>
  <si>
    <t>SEC_NETWORK+_GRAY.PNG</t>
  </si>
  <si>
    <t>UTEP</t>
  </si>
  <si>
    <t>SEC_NETWORK+_LIGHTGRAY.PNG</t>
  </si>
  <si>
    <t>UTSA</t>
  </si>
  <si>
    <t>SEC_NETWORK+_WHITE.PNG</t>
  </si>
  <si>
    <t>UT_ARLINGTON</t>
  </si>
  <si>
    <t>SEC_NETWORK_GRAY.PNG</t>
  </si>
  <si>
    <t>UT_RIO_GRANDE_VALLEY</t>
  </si>
  <si>
    <t>SEC_NETWORK_HORIZONTAL.png</t>
  </si>
  <si>
    <t>VALPARAISO</t>
  </si>
  <si>
    <t>SEC_NETWORK_HORIZONTAL_GRAY.png</t>
  </si>
  <si>
    <t>SEC_NETWORK_HORIZONTAL_LIGHTGRAY.png</t>
  </si>
  <si>
    <t>VCU</t>
  </si>
  <si>
    <t>SEC_NETWORK_HORIZONTAL_WHITE.png</t>
  </si>
  <si>
    <t>VIRGINIA</t>
  </si>
  <si>
    <t>SEC_NETWORK_LIGHTGRAY.PNG</t>
  </si>
  <si>
    <t>VIRGINIA_TECH</t>
  </si>
  <si>
    <t>SEC_NETWORK_WHITE.PNG</t>
  </si>
  <si>
    <t>VMI</t>
  </si>
  <si>
    <t>SEC_ON_ESPN.PNG</t>
  </si>
  <si>
    <t>WAGNER</t>
  </si>
  <si>
    <t>SOCON_ESPN_BLACK</t>
  </si>
  <si>
    <t>WAKE_FOREST</t>
  </si>
  <si>
    <t>SOCON_ESPN_DARKGRAY</t>
  </si>
  <si>
    <t>WASHINGTON</t>
  </si>
  <si>
    <t>SOCON_ESPN_LIGHTGRAY</t>
  </si>
  <si>
    <t>WASHINGTON_ST</t>
  </si>
  <si>
    <t>SOCON_ESPN_PRIMARY</t>
  </si>
  <si>
    <t>WEBER_ST</t>
  </si>
  <si>
    <t>SOCON_ESPN_WHITE</t>
  </si>
  <si>
    <t>WESTERN_CAROLINA</t>
  </si>
  <si>
    <t>SOUTHLAND_ESPN_BLACK</t>
  </si>
  <si>
    <t>WESTERN_ILLINOIS</t>
  </si>
  <si>
    <t>SOUTHLAND_ESPN_DARKGRAY</t>
  </si>
  <si>
    <t>WESTERN_KENTUCKY</t>
  </si>
  <si>
    <t>SOUTHLAND_ESPN_LIGHTGRAY</t>
  </si>
  <si>
    <t>WESTERN_MICHIGAN</t>
  </si>
  <si>
    <t>SOUTHLAND_ESPN_PRIMARY</t>
  </si>
  <si>
    <t>WEST_VIRGINIA</t>
  </si>
  <si>
    <t>SOUTHLAND_ESPN_WHITE</t>
  </si>
  <si>
    <t>WICHITA_ST</t>
  </si>
  <si>
    <t>STREAMINGLIVE_WATCHESPNAPPCOMBO_BLACK</t>
  </si>
  <si>
    <t>WILLIAM_AND_MARY</t>
  </si>
  <si>
    <t>STREAMINGLIVE_WATCHESPNAPPCOMBO_BLACKANDWHITE1</t>
  </si>
  <si>
    <t>WINTHROP</t>
  </si>
  <si>
    <t>STREAMINGLIVE_WATCHESPNAPPCOMBO_BLACKANDWHITE2</t>
  </si>
  <si>
    <t>STREAMINGLIVE_WATCHESPNAPPCOMBO_FULLCOLORBLACKTEXT</t>
  </si>
  <si>
    <t>WOFFORD</t>
  </si>
  <si>
    <t>STREAMINGLIVE_WATCHESPNAPPCOMBO_FULLCOLORWHITETEXT</t>
  </si>
  <si>
    <t>WRIGHT_ST</t>
  </si>
  <si>
    <t>STREAMINGLIVE_WATCHESPNAPPCOMBO_WHITE</t>
  </si>
  <si>
    <t>WYOMING</t>
  </si>
  <si>
    <t>SUNBELT_BLACK</t>
  </si>
  <si>
    <t>YALE</t>
  </si>
  <si>
    <t>SUNBELT_ESPN_BLACK</t>
  </si>
  <si>
    <t>YOUNGSTOWN_ST</t>
  </si>
  <si>
    <t>SUNBELT_ESPN_DARKGRAY</t>
  </si>
  <si>
    <t>SUNBELT_ESPN_PRIMARY</t>
  </si>
  <si>
    <t>SUNBELT_ESPN_WHITE</t>
  </si>
  <si>
    <t>SUNBELT_GRAY</t>
  </si>
  <si>
    <t>SUNBELT_WHITE</t>
  </si>
  <si>
    <t>TBS</t>
  </si>
  <si>
    <t>TBS_BLACK</t>
  </si>
  <si>
    <t>TBS_BOXTRANSPARENT</t>
  </si>
  <si>
    <t>TBS_BOXWHITE</t>
  </si>
  <si>
    <t>TBS_GRAY</t>
  </si>
  <si>
    <t>TBS_LIGHTGRAY</t>
  </si>
  <si>
    <t>TBS_WHITE</t>
  </si>
  <si>
    <t>TNT</t>
  </si>
  <si>
    <t>TNT_GRAY</t>
  </si>
  <si>
    <t>TNT_LIGHTGRAY</t>
  </si>
  <si>
    <t>TNT_WHITE</t>
  </si>
  <si>
    <t>WATCHESPN</t>
  </si>
  <si>
    <t>WATCHESPN_GRAY</t>
  </si>
  <si>
    <t>WATCHESPN_LIGHTGRAY</t>
  </si>
  <si>
    <t>WATCHESPN_WHITE</t>
  </si>
  <si>
    <t>WATCH_ESPN_HORIZONTAL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</si>
</sst>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35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u/>
      <sz val="9"/>
      <color theme="0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3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Arial"/>
      <family val="2"/>
    </font>
    <font>
      <b/>
      <i/>
      <sz val="10"/>
      <color rgb="FFFF0000"/>
      <name val="Arial"/>
      <family val="2"/>
    </font>
    <font>
      <i/>
      <sz val="11"/>
      <color rgb="FFFF0000"/>
      <name val="Calibri"/>
      <family val="2"/>
    </font>
    <font>
      <b/>
      <sz val="11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0CECE"/>
      </patternFill>
    </fill>
    <fill>
      <patternFill patternType="solid">
        <fgColor rgb="FFC0C0C0"/>
        <bgColor rgb="FFBFBFBF"/>
      </patternFill>
    </fill>
    <fill>
      <patternFill patternType="solid">
        <fgColor rgb="FF000000"/>
        <bgColor rgb="FF003300"/>
      </patternFill>
    </fill>
    <fill>
      <patternFill patternType="solid">
        <fgColor rgb="FF9DC3E6"/>
        <bgColor rgb="FF99CCFF"/>
      </patternFill>
    </fill>
    <fill>
      <patternFill patternType="solid">
        <fgColor rgb="FF7F7F7F"/>
        <bgColor rgb="FF808080"/>
      </patternFill>
    </fill>
    <fill>
      <patternFill patternType="solid">
        <fgColor rgb="FF808080"/>
        <bgColor rgb="FF7F7F7F"/>
      </patternFill>
    </fill>
    <fill>
      <patternFill patternType="solid">
        <fgColor rgb="FFD0CECE"/>
        <bgColor rgb="FFD9D9D9"/>
      </patternFill>
    </fill>
    <fill>
      <patternFill patternType="solid">
        <fgColor rgb="FFFF0000"/>
        <bgColor rgb="FFBFBFBF"/>
      </patternFill>
    </fill>
    <fill>
      <patternFill patternType="solid">
        <fgColor theme="3" tint="-0.249977111117893"/>
        <bgColor rgb="FF0066CC"/>
      </patternFill>
    </fill>
    <fill>
      <patternFill patternType="solid">
        <fgColor rgb="FF99CCFF"/>
        <bgColor rgb="FF9DC3E6"/>
      </patternFill>
    </fill>
    <fill>
      <patternFill patternType="solid">
        <fgColor rgb="FFFFFFFF"/>
        <bgColor rgb="FFF2F2F2"/>
      </patternFill>
    </fill>
    <fill>
      <patternFill patternType="solid">
        <fgColor theme="4" tint="0.59999389629810485"/>
        <bgColor rgb="FF9DC3E6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1"/>
        <bgColor rgb="FF993366"/>
      </patternFill>
    </fill>
    <fill>
      <patternFill patternType="solid">
        <fgColor theme="0" tint="-0.34998626667073579"/>
        <bgColor rgb="FF993366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1"/>
        <bgColor rgb="FFBFBFBF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2" borderId="0" xfId="0" applyFont="1" applyFill="1"/>
    <xf numFmtId="0" fontId="10" fillId="11" borderId="6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17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0" borderId="0" xfId="1"/>
    <xf numFmtId="49" fontId="4" fillId="1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14" borderId="0" xfId="1" applyFont="1" applyFill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49" fontId="4" fillId="15" borderId="1" xfId="1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0" fillId="11" borderId="1" xfId="1" applyFont="1" applyFill="1" applyBorder="1" applyAlignment="1">
      <alignment horizontal="center" vertical="center"/>
    </xf>
    <xf numFmtId="0" fontId="21" fillId="11" borderId="1" xfId="1" applyFont="1" applyFill="1" applyBorder="1" applyAlignment="1">
      <alignment horizontal="center" vertical="center"/>
    </xf>
    <xf numFmtId="49" fontId="16" fillId="7" borderId="5" xfId="0" applyNumberFormat="1" applyFont="1" applyFill="1" applyBorder="1" applyAlignment="1">
      <alignment horizontal="center" vertical="center"/>
    </xf>
    <xf numFmtId="49" fontId="16" fillId="7" borderId="9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21" borderId="19" xfId="0" applyFont="1" applyFill="1" applyBorder="1" applyAlignment="1">
      <alignment horizontal="center" vertical="center"/>
    </xf>
    <xf numFmtId="0" fontId="15" fillId="22" borderId="20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19" fillId="20" borderId="13" xfId="0" applyFont="1" applyFill="1" applyBorder="1" applyAlignment="1">
      <alignment vertical="center"/>
    </xf>
    <xf numFmtId="49" fontId="16" fillId="7" borderId="1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7" fillId="20" borderId="1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9" fillId="23" borderId="22" xfId="0" applyFont="1" applyFill="1" applyBorder="1" applyAlignment="1">
      <alignment horizontal="center" vertical="center"/>
    </xf>
    <xf numFmtId="0" fontId="3" fillId="0" borderId="0" xfId="0" applyFont="1"/>
    <xf numFmtId="0" fontId="23" fillId="0" borderId="0" xfId="0" applyFont="1"/>
    <xf numFmtId="0" fontId="14" fillId="2" borderId="0" xfId="0" applyFont="1" applyFill="1"/>
    <xf numFmtId="0" fontId="22" fillId="2" borderId="0" xfId="0" applyFont="1" applyFill="1"/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49" fontId="14" fillId="0" borderId="0" xfId="0" applyNumberFormat="1" applyFont="1"/>
    <xf numFmtId="0" fontId="24" fillId="0" borderId="0" xfId="0" applyFont="1"/>
    <xf numFmtId="0" fontId="25" fillId="4" borderId="1" xfId="0" applyFont="1" applyFill="1" applyBorder="1"/>
    <xf numFmtId="0" fontId="25" fillId="4" borderId="11" xfId="0" applyFont="1" applyFill="1" applyBorder="1" applyAlignment="1">
      <alignment horizontal="left" vertical="center"/>
    </xf>
    <xf numFmtId="0" fontId="26" fillId="4" borderId="1" xfId="0" applyFont="1" applyFill="1" applyBorder="1"/>
    <xf numFmtId="0" fontId="27" fillId="25" borderId="0" xfId="0" applyFont="1" applyFill="1"/>
    <xf numFmtId="0" fontId="28" fillId="25" borderId="0" xfId="0" applyFont="1" applyFill="1"/>
    <xf numFmtId="0" fontId="29" fillId="0" borderId="0" xfId="0" applyFont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31" fillId="0" borderId="0" xfId="1" applyFont="1" applyAlignment="1">
      <alignment horizontal="left"/>
    </xf>
    <xf numFmtId="0" fontId="32" fillId="3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49" fontId="7" fillId="7" borderId="1" xfId="0" quotePrefix="1" applyNumberFormat="1" applyFont="1" applyFill="1" applyBorder="1" applyAlignment="1">
      <alignment horizontal="center" vertical="center"/>
    </xf>
    <xf numFmtId="49" fontId="7" fillId="7" borderId="3" xfId="0" quotePrefix="1" applyNumberFormat="1" applyFont="1" applyFill="1" applyBorder="1" applyAlignment="1">
      <alignment horizontal="center" vertical="center"/>
    </xf>
    <xf numFmtId="0" fontId="17" fillId="20" borderId="16" xfId="0" applyFont="1" applyFill="1" applyBorder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8" fillId="24" borderId="19" xfId="1" applyFont="1" applyFill="1" applyBorder="1" applyAlignment="1">
      <alignment horizontal="center" vertical="center" wrapText="1"/>
    </xf>
    <xf numFmtId="0" fontId="18" fillId="24" borderId="20" xfId="1" applyFont="1" applyFill="1" applyBorder="1" applyAlignment="1">
      <alignment horizontal="center" vertical="center" wrapText="1"/>
    </xf>
    <xf numFmtId="0" fontId="18" fillId="24" borderId="21" xfId="1" applyFont="1" applyFill="1" applyBorder="1" applyAlignment="1">
      <alignment horizontal="center" vertical="center" wrapText="1"/>
    </xf>
    <xf numFmtId="0" fontId="18" fillId="24" borderId="24" xfId="1" applyFont="1" applyFill="1" applyBorder="1" applyAlignment="1">
      <alignment horizontal="center" vertical="center" wrapText="1"/>
    </xf>
    <xf numFmtId="0" fontId="18" fillId="24" borderId="25" xfId="1" applyFont="1" applyFill="1" applyBorder="1" applyAlignment="1">
      <alignment horizontal="center" vertical="center" wrapText="1"/>
    </xf>
    <xf numFmtId="0" fontId="18" fillId="24" borderId="26" xfId="1" applyFont="1" applyFill="1" applyBorder="1" applyAlignment="1">
      <alignment horizontal="center" vertical="center" wrapText="1"/>
    </xf>
    <xf numFmtId="0" fontId="18" fillId="24" borderId="22" xfId="1" applyFont="1" applyFill="1" applyBorder="1" applyAlignment="1">
      <alignment horizontal="center" vertical="center" wrapText="1"/>
    </xf>
    <xf numFmtId="0" fontId="18" fillId="24" borderId="0" xfId="1" applyFont="1" applyFill="1" applyAlignment="1">
      <alignment horizontal="center" vertical="center" wrapText="1"/>
    </xf>
    <xf numFmtId="0" fontId="18" fillId="24" borderId="23" xfId="1" applyFont="1" applyFill="1" applyBorder="1" applyAlignment="1">
      <alignment horizontal="center" vertical="center" wrapText="1"/>
    </xf>
    <xf numFmtId="0" fontId="17" fillId="16" borderId="0" xfId="0" applyFont="1" applyFill="1" applyAlignment="1">
      <alignment horizontal="center" vertical="center"/>
    </xf>
    <xf numFmtId="0" fontId="17" fillId="17" borderId="18" xfId="0" applyFont="1" applyFill="1" applyBorder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18" borderId="27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19" fillId="19" borderId="22" xfId="0" applyFont="1" applyFill="1" applyBorder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48B1143-FACA-42FE-977A-37FADFBBCA69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DC3E6"/>
      <rgbColor rgb="FF7030A0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BFBFBF"/>
      <rgbColor rgb="FFD0CECE"/>
      <rgbColor rgb="FF3366FF"/>
      <rgbColor rgb="FF33CCCC"/>
      <rgbColor rgb="FF92D050"/>
      <rgbColor rgb="FFFFC000"/>
      <rgbColor rgb="FFFF9900"/>
      <rgbColor rgb="FFFF6600"/>
      <rgbColor rgb="FF666699"/>
      <rgbColor rgb="FF7F7F7F"/>
      <rgbColor rgb="FF003366"/>
      <rgbColor rgb="FF5B9BD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F553-B352-4D54-B0B2-742DBD1C0426}">
  <dimension ref="A1:I43"/>
  <sheetViews>
    <sheetView zoomScale="110" zoomScaleNormal="110" workbookViewId="0">
      <selection activeCell="O3" sqref="O3"/>
    </sheetView>
  </sheetViews>
  <sheetFormatPr defaultRowHeight="14.45"/>
  <cols>
    <col min="1" max="1" width="40.7109375" customWidth="1"/>
    <col min="2" max="2" width="30.7109375" customWidth="1"/>
    <col min="3" max="3" width="36.7109375" hidden="1" customWidth="1"/>
    <col min="4" max="4" width="3.7109375" hidden="1" customWidth="1"/>
    <col min="5" max="5" width="30.7109375" hidden="1" customWidth="1"/>
    <col min="6" max="7" width="3.7109375" hidden="1" customWidth="1"/>
    <col min="8" max="9" width="20.7109375" hidden="1" customWidth="1"/>
    <col min="10" max="10" width="3.7109375" customWidth="1"/>
    <col min="11" max="1022" width="8.42578125" customWidth="1"/>
  </cols>
  <sheetData>
    <row r="1" spans="1:9" ht="19.899999999999999" customHeight="1">
      <c r="A1" s="52" t="s">
        <v>0</v>
      </c>
      <c r="B1" s="53" t="s">
        <v>1</v>
      </c>
      <c r="C1" s="1" t="s">
        <v>2</v>
      </c>
      <c r="E1" s="1" t="s">
        <v>3</v>
      </c>
      <c r="F1" s="72"/>
      <c r="G1" s="73"/>
    </row>
    <row r="2" spans="1:9" ht="19.899999999999999" customHeight="1">
      <c r="A2" s="75" t="s">
        <v>4</v>
      </c>
      <c r="B2" s="92" t="s">
        <v>5</v>
      </c>
      <c r="C2" s="72" t="s">
        <v>6</v>
      </c>
      <c r="E2" t="str">
        <f>$B$12</f>
        <v>Today</v>
      </c>
      <c r="G2" s="76"/>
    </row>
    <row r="3" spans="1:9" ht="19.899999999999999" customHeight="1">
      <c r="A3" s="80" t="s">
        <v>7</v>
      </c>
      <c r="B3" s="56">
        <v>25</v>
      </c>
      <c r="C3" s="78">
        <f>$B$3</f>
        <v>25</v>
      </c>
      <c r="E3" t="str">
        <f>UPPER($B$12)</f>
        <v>TODAY</v>
      </c>
      <c r="G3" s="77"/>
    </row>
    <row r="4" spans="1:9" ht="19.899999999999999" customHeight="1">
      <c r="A4" s="80" t="s">
        <v>8</v>
      </c>
      <c r="B4" s="56" t="s">
        <v>9</v>
      </c>
      <c r="G4" s="77"/>
    </row>
    <row r="5" spans="1:9" ht="19.899999999999999" customHeight="1">
      <c r="A5" s="80" t="s">
        <v>10</v>
      </c>
      <c r="B5" s="56" t="s">
        <v>11</v>
      </c>
      <c r="C5" s="72" t="s">
        <v>12</v>
      </c>
      <c r="E5" s="72" t="s">
        <v>13</v>
      </c>
      <c r="F5" s="72"/>
      <c r="G5" s="77"/>
    </row>
    <row r="6" spans="1:9" ht="19.899999999999999" customHeight="1">
      <c r="A6" s="80" t="s">
        <v>14</v>
      </c>
      <c r="B6" s="56" t="s">
        <v>15</v>
      </c>
      <c r="C6" t="str">
        <f>$B$4</f>
        <v>VANDERBILT</v>
      </c>
      <c r="E6" t="str">
        <f>$B$13</f>
        <v>Last Season</v>
      </c>
      <c r="G6" s="76"/>
    </row>
    <row r="7" spans="1:9" ht="19.899999999999999" customHeight="1">
      <c r="A7" s="80" t="s">
        <v>16</v>
      </c>
      <c r="B7" s="56" t="s">
        <v>9</v>
      </c>
      <c r="E7" t="str">
        <f>UPPER($B$13)</f>
        <v>LAST SEASON</v>
      </c>
      <c r="G7" s="77"/>
      <c r="H7" s="77"/>
    </row>
    <row r="8" spans="1:9" ht="19.899999999999999" customHeight="1">
      <c r="A8" s="81" t="s">
        <v>17</v>
      </c>
      <c r="B8" s="56" t="s">
        <v>9</v>
      </c>
      <c r="C8" s="72" t="s">
        <v>18</v>
      </c>
      <c r="G8" s="77"/>
      <c r="H8" s="1" t="s">
        <v>19</v>
      </c>
      <c r="I8" s="74"/>
    </row>
    <row r="9" spans="1:9" ht="19.899999999999999" customHeight="1">
      <c r="A9" s="80" t="s">
        <v>20</v>
      </c>
      <c r="B9" s="56" t="s">
        <v>21</v>
      </c>
      <c r="C9" t="str">
        <f>$B$5</f>
        <v>COMMODORES</v>
      </c>
      <c r="E9" s="72" t="s">
        <v>22</v>
      </c>
      <c r="F9" s="72"/>
      <c r="G9" s="77"/>
      <c r="H9" t="s">
        <v>23</v>
      </c>
    </row>
    <row r="10" spans="1:9" ht="19.899999999999999" customHeight="1">
      <c r="C10" s="72"/>
      <c r="E10" t="str">
        <f>$E$2&amp;":"</f>
        <v>Today:</v>
      </c>
      <c r="G10" s="76"/>
      <c r="H10" t="s">
        <v>24</v>
      </c>
    </row>
    <row r="11" spans="1:9" ht="19.899999999999999" customHeight="1">
      <c r="A11" s="75" t="s">
        <v>25</v>
      </c>
      <c r="B11" s="79"/>
      <c r="C11" s="72" t="s">
        <v>26</v>
      </c>
      <c r="E11" t="str">
        <f>UPPER($E$2&amp;":")</f>
        <v>TODAY:</v>
      </c>
      <c r="G11" s="77"/>
    </row>
    <row r="12" spans="1:9" ht="19.899999999999999" customHeight="1">
      <c r="A12" s="82" t="s">
        <v>27</v>
      </c>
      <c r="B12" s="56" t="s">
        <v>28</v>
      </c>
      <c r="C12" t="str">
        <f>$B$6</f>
        <v>VAN</v>
      </c>
      <c r="G12" s="77"/>
      <c r="H12" t="s">
        <v>28</v>
      </c>
    </row>
    <row r="13" spans="1:9" ht="19.899999999999999" customHeight="1">
      <c r="A13" s="82" t="s">
        <v>29</v>
      </c>
      <c r="B13" s="56" t="s">
        <v>24</v>
      </c>
      <c r="E13" s="72" t="s">
        <v>30</v>
      </c>
      <c r="F13" s="72"/>
      <c r="G13" s="77"/>
      <c r="H13" t="s">
        <v>31</v>
      </c>
    </row>
    <row r="14" spans="1:9" ht="19.899999999999999" customHeight="1">
      <c r="C14" s="72" t="s">
        <v>32</v>
      </c>
      <c r="E14" t="str">
        <f>$E$6&amp;":"</f>
        <v>Last Season:</v>
      </c>
      <c r="G14" s="76"/>
    </row>
    <row r="15" spans="1:9" ht="19.899999999999999" customHeight="1">
      <c r="C15" t="str">
        <f>B4&amp;" "&amp;B5</f>
        <v>VANDERBILT COMMODORES</v>
      </c>
      <c r="E15" t="str">
        <f>UPPER($E$6&amp;":")</f>
        <v>LAST SEASON:</v>
      </c>
      <c r="G15" s="77"/>
    </row>
    <row r="16" spans="1:9" ht="19.899999999999999" customHeight="1">
      <c r="G16" s="77"/>
    </row>
    <row r="17" spans="3:8" ht="19.899999999999999" customHeight="1">
      <c r="C17" s="72" t="s">
        <v>33</v>
      </c>
      <c r="G17" s="77"/>
    </row>
    <row r="18" spans="3:8" ht="15.75" customHeight="1">
      <c r="C18" t="str">
        <f>$B$7</f>
        <v>VANDERBILT</v>
      </c>
      <c r="E18" s="1" t="s">
        <v>34</v>
      </c>
    </row>
    <row r="19" spans="3:8">
      <c r="E19" t="s">
        <v>35</v>
      </c>
    </row>
    <row r="20" spans="3:8">
      <c r="C20" s="72" t="s">
        <v>36</v>
      </c>
      <c r="E20" t="s">
        <v>5</v>
      </c>
    </row>
    <row r="21" spans="3:8">
      <c r="C21" t="str">
        <f>C3&amp;" "&amp;C6</f>
        <v>25 VANDERBILT</v>
      </c>
    </row>
    <row r="23" spans="3:8">
      <c r="C23" s="72" t="s">
        <v>37</v>
      </c>
    </row>
    <row r="24" spans="3:8">
      <c r="C24" t="str">
        <f>C3&amp;" "&amp;C6&amp;" "&amp;C9</f>
        <v>25 VANDERBILT COMMODORES</v>
      </c>
    </row>
    <row r="26" spans="3:8">
      <c r="C26" s="72" t="s">
        <v>38</v>
      </c>
      <c r="H26" s="76"/>
    </row>
    <row r="27" spans="3:8">
      <c r="C27" t="str">
        <f>C3&amp;" "&amp;C6&amp;" "&amp;C43</f>
        <v xml:space="preserve">25 VANDERBILT </v>
      </c>
      <c r="H27" s="77"/>
    </row>
    <row r="28" spans="3:8">
      <c r="H28" s="77"/>
    </row>
    <row r="29" spans="3:8">
      <c r="C29" s="72" t="s">
        <v>39</v>
      </c>
    </row>
    <row r="30" spans="3:8">
      <c r="C30" t="str">
        <f>$B$8</f>
        <v>VANDERBILT</v>
      </c>
    </row>
    <row r="32" spans="3:8">
      <c r="C32" s="72" t="s">
        <v>40</v>
      </c>
    </row>
    <row r="33" spans="3:3">
      <c r="C33" s="88" t="str">
        <f>$B$9</f>
        <v>5-2</v>
      </c>
    </row>
    <row r="42" spans="3:3">
      <c r="C42" s="72"/>
    </row>
    <row r="43" spans="3:3">
      <c r="C43" s="78"/>
    </row>
  </sheetData>
  <dataValidations count="3">
    <dataValidation type="list" allowBlank="1" showInputMessage="1" showErrorMessage="1" sqref="B13" xr:uid="{533E5766-228B-4605-B670-0202AD164A3A}">
      <formula1>$H$9:$H$10</formula1>
      <formula2>0</formula2>
    </dataValidation>
    <dataValidation type="list" allowBlank="1" showInputMessage="1" showErrorMessage="1" sqref="B12" xr:uid="{00FE3F67-3E55-40CC-AD63-92A12A264E68}">
      <formula1>$H$12:$H$13</formula1>
      <formula2>0</formula2>
    </dataValidation>
    <dataValidation type="list" allowBlank="1" showInputMessage="1" showErrorMessage="1" sqref="B2" xr:uid="{73360C2E-ADEA-4FC2-8DE6-5FF5C1C977C3}">
      <formula1>$E$19:$E$20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16825F-91EF-42FC-918C-D47DD1A1CBC2}">
          <x14:formula1>
            <xm:f>LOGOS!$A$2:$A$342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opLeftCell="C16" zoomScale="110" zoomScaleNormal="110" workbookViewId="0">
      <selection activeCell="D33" sqref="D33"/>
    </sheetView>
  </sheetViews>
  <sheetFormatPr defaultColWidth="8.85546875" defaultRowHeight="13.9"/>
  <cols>
    <col min="1" max="1" width="20.7109375" style="61" customWidth="1"/>
    <col min="2" max="2" width="24.140625" style="61" customWidth="1"/>
    <col min="3" max="3" width="27" style="61" customWidth="1"/>
    <col min="4" max="4" width="65.85546875" style="61" customWidth="1"/>
    <col min="5" max="5" width="62.7109375" style="61" customWidth="1"/>
    <col min="6" max="6" width="8.42578125" style="61" customWidth="1"/>
    <col min="7" max="7" width="15.85546875" style="61" customWidth="1"/>
    <col min="8" max="8" width="8.42578125" style="61" customWidth="1"/>
    <col min="9" max="9" width="24.7109375" style="61" hidden="1" customWidth="1"/>
    <col min="10" max="1024" width="8.42578125" style="61" customWidth="1"/>
    <col min="1025" max="16384" width="8.85546875" style="61"/>
  </cols>
  <sheetData>
    <row r="1" spans="1:9" ht="15.75" customHeight="1" thickBot="1">
      <c r="A1" s="2" t="s">
        <v>41</v>
      </c>
      <c r="B1" s="3" t="s">
        <v>42</v>
      </c>
      <c r="C1" s="2" t="s">
        <v>43</v>
      </c>
      <c r="D1" s="2" t="s">
        <v>44</v>
      </c>
      <c r="E1" s="2" t="s">
        <v>45</v>
      </c>
      <c r="I1" s="61" t="s">
        <v>46</v>
      </c>
    </row>
    <row r="2" spans="1:9" ht="19.899999999999999" customHeight="1" thickBot="1">
      <c r="A2" s="4">
        <f>IF('Team Info'!$B$2 = "Away",170,270)</f>
        <v>270</v>
      </c>
      <c r="B2" s="5" t="s">
        <v>47</v>
      </c>
      <c r="C2" s="5" t="s">
        <v>48</v>
      </c>
      <c r="D2" s="93" t="s">
        <v>49</v>
      </c>
      <c r="E2" s="62" t="s">
        <v>50</v>
      </c>
      <c r="I2" s="61">
        <f>B36</f>
        <v>0</v>
      </c>
    </row>
    <row r="3" spans="1:9" ht="19.899999999999999" customHeight="1" thickBot="1">
      <c r="A3" s="4">
        <f t="shared" ref="A3:A11" si="0">A2+1</f>
        <v>271</v>
      </c>
      <c r="B3" s="6" t="str">
        <f>B2</f>
        <v>HEAD</v>
      </c>
      <c r="C3" s="6" t="str">
        <f>C2</f>
        <v>COACH</v>
      </c>
      <c r="D3" s="93" t="s">
        <v>49</v>
      </c>
      <c r="E3" s="94" t="s">
        <v>51</v>
      </c>
    </row>
    <row r="4" spans="1:9" ht="19.899999999999999" customHeight="1" thickBot="1">
      <c r="A4" s="4">
        <f t="shared" si="0"/>
        <v>272</v>
      </c>
      <c r="B4" s="6" t="str">
        <f t="shared" ref="B4:B11" si="1">B3</f>
        <v>HEAD</v>
      </c>
      <c r="C4" s="6" t="str">
        <f t="shared" ref="C4:C11" si="2">C3</f>
        <v>COACH</v>
      </c>
      <c r="D4" s="93" t="s">
        <v>49</v>
      </c>
      <c r="E4" s="94" t="s">
        <v>51</v>
      </c>
      <c r="I4" s="61" t="s">
        <v>52</v>
      </c>
    </row>
    <row r="5" spans="1:9" ht="19.899999999999999" customHeight="1" thickBot="1">
      <c r="A5" s="4">
        <f t="shared" si="0"/>
        <v>273</v>
      </c>
      <c r="B5" s="6" t="str">
        <f t="shared" si="1"/>
        <v>HEAD</v>
      </c>
      <c r="C5" s="6" t="str">
        <f t="shared" si="2"/>
        <v>COACH</v>
      </c>
      <c r="D5" s="93" t="s">
        <v>49</v>
      </c>
      <c r="E5" s="94" t="s">
        <v>51</v>
      </c>
      <c r="I5" s="61">
        <f>B37</f>
        <v>0</v>
      </c>
    </row>
    <row r="6" spans="1:9" ht="19.899999999999999" customHeight="1" thickBot="1">
      <c r="A6" s="4">
        <f t="shared" si="0"/>
        <v>274</v>
      </c>
      <c r="B6" s="6" t="str">
        <f t="shared" si="1"/>
        <v>HEAD</v>
      </c>
      <c r="C6" s="6" t="str">
        <f t="shared" si="2"/>
        <v>COACH</v>
      </c>
      <c r="D6" s="93" t="s">
        <v>49</v>
      </c>
      <c r="E6" s="94" t="s">
        <v>51</v>
      </c>
    </row>
    <row r="7" spans="1:9" ht="19.899999999999999" customHeight="1" thickBot="1">
      <c r="A7" s="4">
        <f t="shared" si="0"/>
        <v>275</v>
      </c>
      <c r="B7" s="6" t="str">
        <f t="shared" si="1"/>
        <v>HEAD</v>
      </c>
      <c r="C7" s="6" t="str">
        <f t="shared" si="2"/>
        <v>COACH</v>
      </c>
      <c r="D7" s="93" t="s">
        <v>49</v>
      </c>
      <c r="E7" s="94" t="s">
        <v>51</v>
      </c>
      <c r="I7" s="61" t="s">
        <v>53</v>
      </c>
    </row>
    <row r="8" spans="1:9" ht="19.899999999999999" customHeight="1" thickBot="1">
      <c r="A8" s="4">
        <f t="shared" si="0"/>
        <v>276</v>
      </c>
      <c r="B8" s="6" t="str">
        <f t="shared" si="1"/>
        <v>HEAD</v>
      </c>
      <c r="C8" s="6" t="str">
        <f t="shared" si="2"/>
        <v>COACH</v>
      </c>
      <c r="D8" s="93" t="s">
        <v>49</v>
      </c>
      <c r="E8" s="94" t="s">
        <v>51</v>
      </c>
      <c r="I8" s="61">
        <f>B38</f>
        <v>0</v>
      </c>
    </row>
    <row r="9" spans="1:9" ht="19.899999999999999" customHeight="1" thickBot="1">
      <c r="A9" s="4">
        <f t="shared" si="0"/>
        <v>277</v>
      </c>
      <c r="B9" s="6" t="str">
        <f t="shared" si="1"/>
        <v>HEAD</v>
      </c>
      <c r="C9" s="6" t="str">
        <f t="shared" si="2"/>
        <v>COACH</v>
      </c>
      <c r="D9" s="93" t="s">
        <v>49</v>
      </c>
      <c r="E9" s="94" t="s">
        <v>51</v>
      </c>
    </row>
    <row r="10" spans="1:9" ht="19.899999999999999" customHeight="1" thickBot="1">
      <c r="A10" s="4">
        <f t="shared" si="0"/>
        <v>278</v>
      </c>
      <c r="B10" s="6" t="str">
        <f t="shared" si="1"/>
        <v>HEAD</v>
      </c>
      <c r="C10" s="6" t="str">
        <f t="shared" si="2"/>
        <v>COACH</v>
      </c>
      <c r="D10" s="93" t="s">
        <v>49</v>
      </c>
      <c r="E10" s="94" t="s">
        <v>51</v>
      </c>
      <c r="I10" s="61" t="s">
        <v>54</v>
      </c>
    </row>
    <row r="11" spans="1:9" ht="19.899999999999999" customHeight="1" thickBot="1">
      <c r="A11" s="4">
        <f t="shared" si="0"/>
        <v>279</v>
      </c>
      <c r="B11" s="6" t="str">
        <f t="shared" si="1"/>
        <v>HEAD</v>
      </c>
      <c r="C11" s="6" t="str">
        <f t="shared" si="2"/>
        <v>COACH</v>
      </c>
      <c r="D11" s="93" t="s">
        <v>49</v>
      </c>
      <c r="E11" s="94" t="s">
        <v>51</v>
      </c>
      <c r="I11" s="61">
        <f>B39</f>
        <v>0</v>
      </c>
    </row>
    <row r="12" spans="1:9" ht="15.75" customHeight="1" thickBot="1">
      <c r="A12" s="2" t="s">
        <v>41</v>
      </c>
      <c r="B12" s="3" t="s">
        <v>42</v>
      </c>
      <c r="C12" s="2" t="s">
        <v>43</v>
      </c>
      <c r="D12" s="2" t="s">
        <v>49</v>
      </c>
      <c r="E12" s="2" t="s">
        <v>55</v>
      </c>
    </row>
    <row r="13" spans="1:9" ht="19.899999999999999" customHeight="1" thickBot="1">
      <c r="A13" s="4">
        <f>IF('Team Info'!$B$2 = "Away",180,280)</f>
        <v>280</v>
      </c>
      <c r="B13" s="5" t="s">
        <v>56</v>
      </c>
      <c r="C13" s="5" t="s">
        <v>48</v>
      </c>
      <c r="D13" s="93" t="s">
        <v>57</v>
      </c>
      <c r="E13" s="63"/>
      <c r="I13" s="61" t="s">
        <v>58</v>
      </c>
    </row>
    <row r="14" spans="1:9" ht="19.899999999999999" customHeight="1" thickBot="1">
      <c r="A14" s="4">
        <f>A13+1</f>
        <v>281</v>
      </c>
      <c r="B14" s="5" t="s">
        <v>56</v>
      </c>
      <c r="C14" s="5" t="s">
        <v>48</v>
      </c>
      <c r="D14" s="93" t="s">
        <v>57</v>
      </c>
      <c r="E14" s="63"/>
      <c r="I14" s="61">
        <f>B40</f>
        <v>0</v>
      </c>
    </row>
    <row r="15" spans="1:9" ht="19.899999999999999" customHeight="1" thickBot="1">
      <c r="A15" s="4">
        <f>A13+2</f>
        <v>282</v>
      </c>
      <c r="B15" s="5" t="s">
        <v>56</v>
      </c>
      <c r="C15" s="5" t="s">
        <v>48</v>
      </c>
      <c r="D15" s="93" t="s">
        <v>57</v>
      </c>
      <c r="E15" s="63"/>
    </row>
    <row r="16" spans="1:9" ht="19.899999999999999" customHeight="1" thickBot="1">
      <c r="A16" s="4">
        <f>A13+3</f>
        <v>283</v>
      </c>
      <c r="B16" s="5" t="s">
        <v>56</v>
      </c>
      <c r="C16" s="5" t="s">
        <v>48</v>
      </c>
      <c r="D16" s="93" t="s">
        <v>57</v>
      </c>
      <c r="E16" s="64"/>
      <c r="I16" s="61" t="s">
        <v>59</v>
      </c>
    </row>
    <row r="17" spans="1:9" ht="19.899999999999999" customHeight="1" thickBot="1">
      <c r="A17" s="4">
        <f>A13+4</f>
        <v>284</v>
      </c>
      <c r="B17" s="5" t="s">
        <v>56</v>
      </c>
      <c r="C17" s="5" t="s">
        <v>48</v>
      </c>
      <c r="D17" s="93" t="s">
        <v>57</v>
      </c>
      <c r="E17" s="64"/>
      <c r="I17" s="61">
        <f>B41</f>
        <v>0</v>
      </c>
    </row>
    <row r="18" spans="1:9" ht="19.899999999999999" customHeight="1" thickBot="1">
      <c r="A18" s="4">
        <f>A13+5</f>
        <v>285</v>
      </c>
      <c r="B18" s="5" t="s">
        <v>56</v>
      </c>
      <c r="C18" s="5" t="s">
        <v>48</v>
      </c>
      <c r="D18" s="93" t="s">
        <v>57</v>
      </c>
      <c r="E18" s="64"/>
    </row>
    <row r="19" spans="1:9" ht="19.899999999999999" customHeight="1" thickBot="1">
      <c r="A19" s="4">
        <f>A13+6</f>
        <v>286</v>
      </c>
      <c r="B19" s="5" t="s">
        <v>56</v>
      </c>
      <c r="C19" s="5" t="s">
        <v>48</v>
      </c>
      <c r="D19" s="93" t="s">
        <v>57</v>
      </c>
      <c r="E19" s="64"/>
    </row>
    <row r="20" spans="1:9" ht="19.899999999999999" customHeight="1" thickBot="1">
      <c r="A20" s="4">
        <f>A13+7</f>
        <v>287</v>
      </c>
      <c r="B20" s="5" t="s">
        <v>56</v>
      </c>
      <c r="C20" s="5" t="s">
        <v>48</v>
      </c>
      <c r="D20" s="93" t="s">
        <v>57</v>
      </c>
      <c r="E20" s="64"/>
    </row>
    <row r="21" spans="1:9" ht="19.899999999999999" customHeight="1" thickBot="1">
      <c r="A21" s="4">
        <f>A13+8</f>
        <v>288</v>
      </c>
      <c r="B21" s="5" t="s">
        <v>56</v>
      </c>
      <c r="C21" s="5" t="s">
        <v>48</v>
      </c>
      <c r="D21" s="93" t="s">
        <v>57</v>
      </c>
      <c r="E21" s="64"/>
    </row>
    <row r="22" spans="1:9" ht="19.899999999999999" customHeight="1" thickBot="1">
      <c r="A22" s="4">
        <f>A13+9</f>
        <v>289</v>
      </c>
      <c r="B22" s="5" t="s">
        <v>56</v>
      </c>
      <c r="C22" s="5" t="s">
        <v>48</v>
      </c>
      <c r="D22" s="93" t="s">
        <v>57</v>
      </c>
      <c r="E22" s="65"/>
    </row>
    <row r="23" spans="1:9" ht="15.75" customHeight="1" thickBot="1">
      <c r="A23" s="2" t="s">
        <v>41</v>
      </c>
      <c r="B23" s="3" t="s">
        <v>42</v>
      </c>
      <c r="C23" s="2" t="s">
        <v>43</v>
      </c>
      <c r="D23" s="2" t="s">
        <v>49</v>
      </c>
      <c r="E23" s="2" t="s">
        <v>55</v>
      </c>
    </row>
    <row r="24" spans="1:9" ht="19.899999999999999" customHeight="1" thickBot="1">
      <c r="A24" s="4">
        <f>IF('Team Info'!$B$2 = "Away",190,290)</f>
        <v>290</v>
      </c>
      <c r="B24" s="5" t="s">
        <v>60</v>
      </c>
      <c r="C24" s="5" t="s">
        <v>48</v>
      </c>
      <c r="D24" s="93" t="s">
        <v>57</v>
      </c>
      <c r="E24" s="66"/>
    </row>
    <row r="25" spans="1:9" ht="19.899999999999999" customHeight="1" thickBot="1">
      <c r="A25" s="4">
        <f>A24+1</f>
        <v>291</v>
      </c>
      <c r="B25" s="5" t="s">
        <v>60</v>
      </c>
      <c r="C25" s="5" t="s">
        <v>48</v>
      </c>
      <c r="D25" s="93" t="s">
        <v>57</v>
      </c>
      <c r="E25" s="67"/>
    </row>
    <row r="26" spans="1:9" ht="19.899999999999999" customHeight="1" thickBot="1">
      <c r="A26" s="4">
        <f>A24+2</f>
        <v>292</v>
      </c>
      <c r="B26" s="5" t="s">
        <v>60</v>
      </c>
      <c r="C26" s="5" t="s">
        <v>48</v>
      </c>
      <c r="D26" s="93" t="s">
        <v>57</v>
      </c>
      <c r="E26" s="67"/>
    </row>
    <row r="27" spans="1:9" ht="19.899999999999999" customHeight="1" thickBot="1">
      <c r="A27" s="4">
        <f>A24+3</f>
        <v>293</v>
      </c>
      <c r="B27" s="5" t="s">
        <v>60</v>
      </c>
      <c r="C27" s="5" t="s">
        <v>48</v>
      </c>
      <c r="D27" s="93" t="s">
        <v>57</v>
      </c>
      <c r="E27" s="67"/>
    </row>
    <row r="28" spans="1:9" ht="19.899999999999999" customHeight="1" thickBot="1">
      <c r="A28" s="4">
        <f>A24+4</f>
        <v>294</v>
      </c>
      <c r="B28" s="5" t="s">
        <v>60</v>
      </c>
      <c r="C28" s="5" t="s">
        <v>48</v>
      </c>
      <c r="D28" s="93" t="s">
        <v>57</v>
      </c>
      <c r="E28" s="67"/>
    </row>
    <row r="29" spans="1:9" ht="19.899999999999999" customHeight="1" thickBot="1">
      <c r="A29" s="4">
        <f>A24+5</f>
        <v>295</v>
      </c>
      <c r="B29" s="5" t="s">
        <v>60</v>
      </c>
      <c r="C29" s="5" t="s">
        <v>48</v>
      </c>
      <c r="D29" s="93" t="s">
        <v>57</v>
      </c>
      <c r="E29" s="67"/>
    </row>
    <row r="30" spans="1:9" ht="19.899999999999999" customHeight="1" thickBot="1">
      <c r="A30" s="4">
        <f>A24+6</f>
        <v>296</v>
      </c>
      <c r="B30" s="5" t="s">
        <v>60</v>
      </c>
      <c r="C30" s="5" t="s">
        <v>48</v>
      </c>
      <c r="D30" s="93" t="s">
        <v>57</v>
      </c>
      <c r="E30" s="67"/>
    </row>
    <row r="31" spans="1:9" ht="19.899999999999999" customHeight="1" thickBot="1">
      <c r="A31" s="4">
        <f>A24+7</f>
        <v>297</v>
      </c>
      <c r="B31" s="5" t="s">
        <v>60</v>
      </c>
      <c r="C31" s="5" t="s">
        <v>48</v>
      </c>
      <c r="D31" s="93" t="s">
        <v>57</v>
      </c>
      <c r="E31" s="68"/>
    </row>
    <row r="32" spans="1:9" ht="19.899999999999999" customHeight="1" thickBot="1">
      <c r="A32" s="4">
        <f>A24+8</f>
        <v>298</v>
      </c>
      <c r="B32" s="5" t="s">
        <v>60</v>
      </c>
      <c r="C32" s="5" t="s">
        <v>48</v>
      </c>
      <c r="D32" s="93" t="s">
        <v>57</v>
      </c>
      <c r="E32" s="68"/>
    </row>
    <row r="33" spans="1:5" ht="19.899999999999999" customHeight="1">
      <c r="A33" s="4">
        <f>A24+9</f>
        <v>299</v>
      </c>
      <c r="B33" s="5" t="s">
        <v>60</v>
      </c>
      <c r="C33" s="5" t="s">
        <v>48</v>
      </c>
      <c r="D33" s="93" t="s">
        <v>57</v>
      </c>
      <c r="E33" s="68"/>
    </row>
    <row r="34" spans="1:5">
      <c r="A34" s="97" t="s">
        <v>61</v>
      </c>
      <c r="B34" s="98"/>
      <c r="C34" s="98"/>
      <c r="D34" s="69" t="s">
        <v>62</v>
      </c>
    </row>
  </sheetData>
  <customSheetViews>
    <customSheetView guid="{706B170E-5520-469F-B13E-35DA6E3D1646}" scale="90" hiddenColumns="1">
      <selection activeCell="A41" sqref="A41"/>
      <pageMargins left="0" right="0" top="0" bottom="0" header="0" footer="0"/>
      <pageSetup orientation="portrait" useFirstPageNumber="1" horizontalDpi="300" verticalDpi="300"/>
    </customSheetView>
    <customSheetView guid="{88E4902B-1443-461B-A72D-73CDB04FDAA8}" scale="90" hiddenColumns="1">
      <selection activeCell="A41" sqref="A41"/>
      <pageMargins left="0" right="0" top="0" bottom="0" header="0" footer="0"/>
      <pageSetup orientation="portrait" useFirstPageNumber="1" horizontalDpi="300" verticalDpi="300"/>
    </customSheetView>
    <customSheetView guid="{1D9A851A-AB00-4F5F-A9E8-E1D0DD45E8C9}" scale="90" hiddenColumns="1">
      <selection activeCell="A41" sqref="A41"/>
      <pageMargins left="0" right="0" top="0" bottom="0" header="0" footer="0"/>
      <pageSetup orientation="portrait" useFirstPageNumber="1" horizontalDpi="300" verticalDpi="300"/>
    </customSheetView>
    <customSheetView guid="{70533415-B255-4E4B-BD1B-222113DCA8F8}" scale="90" hiddenColumns="1">
      <selection activeCell="D20" sqref="D20"/>
      <pageMargins left="0" right="0" top="0" bottom="0" header="0" footer="0"/>
      <pageSetup orientation="portrait" useFirstPageNumber="1" horizontalDpi="300" verticalDpi="300"/>
    </customSheetView>
  </customSheetViews>
  <mergeCells count="1">
    <mergeCell ref="A34:C34"/>
  </mergeCells>
  <pageMargins left="0.7" right="0.7" top="0.75" bottom="0.75" header="0.51180555555555496" footer="0.51180555555555496"/>
  <pageSetup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51"/>
  <sheetViews>
    <sheetView zoomScale="110" zoomScaleNormal="110" workbookViewId="0">
      <pane ySplit="2" topLeftCell="A3" activePane="bottomLeft" state="frozen"/>
      <selection pane="bottomLeft" activeCell="C4" sqref="C4"/>
    </sheetView>
  </sheetViews>
  <sheetFormatPr defaultColWidth="8.85546875" defaultRowHeight="13.9"/>
  <cols>
    <col min="1" max="1" width="10.28515625" style="57" customWidth="1"/>
    <col min="2" max="2" width="9.42578125" style="57" customWidth="1"/>
    <col min="3" max="3" width="19" style="57" customWidth="1"/>
    <col min="4" max="4" width="18" style="57" customWidth="1"/>
    <col min="5" max="5" width="9.5703125" style="57" customWidth="1"/>
    <col min="6" max="6" width="10.42578125" style="57" customWidth="1"/>
    <col min="7" max="7" width="10" style="57" customWidth="1"/>
    <col min="8" max="8" width="23.42578125" style="57" customWidth="1"/>
    <col min="9" max="9" width="6.85546875" style="57" customWidth="1"/>
    <col min="10" max="10" width="63.28515625" style="57" customWidth="1"/>
    <col min="11" max="12" width="9.140625" style="57" hidden="1" customWidth="1"/>
    <col min="13" max="13" width="18.5703125" style="57" hidden="1" customWidth="1"/>
    <col min="14" max="14" width="11.5703125" style="57" hidden="1" customWidth="1"/>
    <col min="15" max="16" width="77.140625" style="57" hidden="1" customWidth="1"/>
    <col min="17" max="17" width="15.7109375" style="57" hidden="1" customWidth="1"/>
    <col min="18" max="19" width="11.140625" style="57" hidden="1" customWidth="1"/>
    <col min="20" max="20" width="9.140625" style="57" hidden="1" customWidth="1"/>
    <col min="21" max="21" width="20.7109375" style="57" hidden="1" customWidth="1"/>
    <col min="22" max="24" width="12.7109375" style="57" hidden="1" customWidth="1"/>
    <col min="25" max="26" width="25.7109375" style="57" hidden="1" customWidth="1"/>
    <col min="27" max="28" width="8.42578125" style="57" hidden="1" customWidth="1"/>
    <col min="29" max="29" width="20.140625" style="57" hidden="1" customWidth="1"/>
    <col min="30" max="30" width="23.85546875" style="57" hidden="1" customWidth="1"/>
    <col min="31" max="1022" width="8.42578125" style="57" customWidth="1"/>
    <col min="1023" max="16384" width="8.85546875" style="57"/>
  </cols>
  <sheetData>
    <row r="1" spans="1:30">
      <c r="A1" s="89" t="s">
        <v>63</v>
      </c>
      <c r="C1" s="85"/>
    </row>
    <row r="2" spans="1:30">
      <c r="A2" s="8" t="s">
        <v>64</v>
      </c>
      <c r="B2" s="8" t="s">
        <v>65</v>
      </c>
      <c r="C2" s="8" t="s">
        <v>42</v>
      </c>
      <c r="D2" s="8" t="s">
        <v>43</v>
      </c>
      <c r="E2" s="8" t="s">
        <v>66</v>
      </c>
      <c r="F2" s="8" t="s">
        <v>67</v>
      </c>
      <c r="G2" s="8" t="s">
        <v>68</v>
      </c>
      <c r="H2" s="8" t="s">
        <v>69</v>
      </c>
      <c r="I2" s="8" t="s">
        <v>70</v>
      </c>
      <c r="J2" s="8" t="s">
        <v>71</v>
      </c>
      <c r="M2" s="9" t="s">
        <v>72</v>
      </c>
      <c r="N2" s="10" t="s">
        <v>73</v>
      </c>
      <c r="O2" s="9" t="s">
        <v>74</v>
      </c>
      <c r="P2" s="9" t="s">
        <v>75</v>
      </c>
      <c r="Q2" s="11" t="s">
        <v>76</v>
      </c>
      <c r="R2" s="11" t="s">
        <v>77</v>
      </c>
      <c r="S2" s="11" t="s">
        <v>78</v>
      </c>
      <c r="T2" s="9" t="s">
        <v>73</v>
      </c>
      <c r="U2" s="9" t="s">
        <v>79</v>
      </c>
      <c r="V2" s="9" t="s">
        <v>80</v>
      </c>
      <c r="W2" s="9" t="s">
        <v>81</v>
      </c>
      <c r="X2" s="9" t="s">
        <v>82</v>
      </c>
      <c r="Y2" s="9" t="s">
        <v>83</v>
      </c>
      <c r="Z2" s="9" t="s">
        <v>84</v>
      </c>
      <c r="AB2" s="12" t="s">
        <v>85</v>
      </c>
      <c r="AC2" s="12" t="s">
        <v>86</v>
      </c>
      <c r="AD2" s="13" t="s">
        <v>87</v>
      </c>
    </row>
    <row r="3" spans="1:30">
      <c r="A3" s="70">
        <v>1</v>
      </c>
      <c r="B3" s="14">
        <v>1</v>
      </c>
      <c r="C3" s="5" t="s">
        <v>88</v>
      </c>
      <c r="D3" s="5" t="s">
        <v>89</v>
      </c>
      <c r="E3" s="5" t="s">
        <v>90</v>
      </c>
      <c r="F3" s="5" t="s">
        <v>91</v>
      </c>
      <c r="G3" s="5">
        <v>188</v>
      </c>
      <c r="H3" s="5" t="s">
        <v>92</v>
      </c>
      <c r="I3" s="5">
        <v>4</v>
      </c>
      <c r="J3" s="5"/>
      <c r="M3" s="15" t="str">
        <f t="shared" ref="M3:M34" si="0">VLOOKUP(E3,$AB$3:$AD$36,3,0)</f>
        <v>WIDE RECEIVER</v>
      </c>
      <c r="N3" s="16" t="str">
        <f t="shared" ref="N3:N34" si="1">IF($I3=4,"Senior",IF($I3=3,"Junior",IF($I3=2,"Sophomore",IF($I3=1,"Freshman",""))))</f>
        <v>Senior</v>
      </c>
      <c r="O3" s="15" t="str">
        <f>"D:\IMS Images\Headshots\CFB\"&amp;'Team Info'!$B$8&amp;"\"&amp;D3&amp;"_"&amp;C3&amp;".png"</f>
        <v>D:\IMS Images\Headshots\CFB\VANDERBILT\Last Name_First Name.png</v>
      </c>
      <c r="P3" s="15" t="str">
        <f>"D:\IMS Images\Actionshots\CFB\"&amp;'Team Info'!$B$8&amp;"\"&amp;D3&amp;"_"&amp;C3&amp;".png"</f>
        <v>D:\IMS Images\Actionshots\CFB\VANDERBILT\Last Name_First Name.png</v>
      </c>
      <c r="Q3" s="58" t="str">
        <f t="shared" ref="Q3:Q34" si="2">C3&amp;" "&amp;D3</f>
        <v>First Name Last Name</v>
      </c>
      <c r="R3" s="58" t="str">
        <f t="shared" ref="R3:R34" si="3">LEFT(C3,1)&amp;". "&amp;D3</f>
        <v>F. Last Name</v>
      </c>
      <c r="S3" s="58" t="str">
        <f t="shared" ref="S3:S34" si="4">UPPER(R3)</f>
        <v>F. LAST NAME</v>
      </c>
      <c r="T3" s="59" t="str">
        <f t="shared" ref="T3:T34" si="5">IF($I3=4,"SR",IF($I3=3,"JR",IF($I3=2,"SO",IF($I3=1,"FR",""))))</f>
        <v>SR</v>
      </c>
      <c r="U3" s="59" t="str">
        <f t="shared" ref="U3:U34" si="6">UPPER(Q3)</f>
        <v>FIRST NAME LAST NAME</v>
      </c>
      <c r="V3" s="59" t="str">
        <f t="shared" ref="V3:V34" si="7">UPPER(C3)</f>
        <v>FIRST NAME</v>
      </c>
      <c r="W3" s="59" t="str">
        <f t="shared" ref="W3:W34" si="8">UPPER(D3)</f>
        <v>LAST NAME</v>
      </c>
      <c r="X3" s="59" t="str">
        <f t="shared" ref="X3:X34" si="9">UPPER(N3)</f>
        <v>SENIOR</v>
      </c>
      <c r="Y3" s="59" t="str">
        <f t="shared" ref="Y3:Y34" si="10">B3 &amp;" " &amp; U3</f>
        <v>1 FIRST NAME LAST NAME</v>
      </c>
      <c r="Z3" s="59" t="str">
        <f t="shared" ref="Z3:Z34" si="11">B3 &amp;" " &amp; Q3</f>
        <v>1 First Name Last Name</v>
      </c>
      <c r="AB3" s="57" t="s">
        <v>93</v>
      </c>
      <c r="AC3" s="57" t="s">
        <v>94</v>
      </c>
      <c r="AD3" s="57" t="str">
        <f t="shared" ref="AD3:AD35" si="12">UPPER(AC3)</f>
        <v>QUARTERBACK</v>
      </c>
    </row>
    <row r="4" spans="1:30">
      <c r="A4" s="70">
        <v>2</v>
      </c>
      <c r="B4" s="14">
        <v>2</v>
      </c>
      <c r="C4" s="5"/>
      <c r="D4" s="5"/>
      <c r="E4" s="5"/>
      <c r="F4" s="5"/>
      <c r="G4" s="5"/>
      <c r="H4" s="5"/>
      <c r="I4" s="5"/>
      <c r="J4" s="5"/>
      <c r="M4" s="15" t="e">
        <f t="shared" si="0"/>
        <v>#N/A</v>
      </c>
      <c r="N4" s="16" t="str">
        <f t="shared" si="1"/>
        <v/>
      </c>
      <c r="O4" s="15" t="str">
        <f>"D:\IMS Images\Headshots\CFB\"&amp;'Team Info'!$B$8&amp;"\"&amp;D4&amp;"_"&amp;C4&amp;".png"</f>
        <v>D:\IMS Images\Headshots\CFB\VANDERBILT\_.png</v>
      </c>
      <c r="P4" s="15" t="str">
        <f>"D:\IMS Images\Actionshots\CFB\"&amp;'Team Info'!$B$8&amp;"\"&amp;D4&amp;"_"&amp;C4&amp;".png"</f>
        <v>D:\IMS Images\Actionshots\CFB\VANDERBILT\_.png</v>
      </c>
      <c r="Q4" s="58" t="str">
        <f t="shared" si="2"/>
        <v xml:space="preserve"> </v>
      </c>
      <c r="R4" s="58" t="str">
        <f t="shared" si="3"/>
        <v xml:space="preserve">. </v>
      </c>
      <c r="S4" s="58" t="str">
        <f t="shared" si="4"/>
        <v xml:space="preserve">. </v>
      </c>
      <c r="T4" s="59" t="str">
        <f t="shared" si="5"/>
        <v/>
      </c>
      <c r="U4" s="59" t="str">
        <f t="shared" si="6"/>
        <v xml:space="preserve"> </v>
      </c>
      <c r="V4" s="59" t="str">
        <f t="shared" si="7"/>
        <v/>
      </c>
      <c r="W4" s="59" t="str">
        <f t="shared" si="8"/>
        <v/>
      </c>
      <c r="X4" s="59" t="str">
        <f t="shared" si="9"/>
        <v/>
      </c>
      <c r="Y4" s="59" t="str">
        <f t="shared" si="10"/>
        <v xml:space="preserve">2  </v>
      </c>
      <c r="Z4" s="59" t="str">
        <f t="shared" si="11"/>
        <v xml:space="preserve">2  </v>
      </c>
      <c r="AB4" s="57" t="s">
        <v>90</v>
      </c>
      <c r="AC4" s="57" t="s">
        <v>95</v>
      </c>
      <c r="AD4" s="57" t="str">
        <f t="shared" si="12"/>
        <v>WIDE RECEIVER</v>
      </c>
    </row>
    <row r="5" spans="1:30" ht="16.899999999999999" customHeight="1">
      <c r="A5" s="70">
        <v>3</v>
      </c>
      <c r="B5" s="14">
        <v>3</v>
      </c>
      <c r="C5" s="5"/>
      <c r="D5" s="5"/>
      <c r="E5" s="5"/>
      <c r="F5" s="5"/>
      <c r="G5" s="5"/>
      <c r="H5" s="5"/>
      <c r="I5" s="5"/>
      <c r="J5" s="5"/>
      <c r="M5" s="15" t="e">
        <f t="shared" si="0"/>
        <v>#N/A</v>
      </c>
      <c r="N5" s="16" t="str">
        <f t="shared" si="1"/>
        <v/>
      </c>
      <c r="O5" s="15" t="str">
        <f>"D:\IMS Images\Headshots\CFB\"&amp;'Team Info'!$B$8&amp;"\"&amp;D5&amp;"_"&amp;C5&amp;".png"</f>
        <v>D:\IMS Images\Headshots\CFB\VANDERBILT\_.png</v>
      </c>
      <c r="P5" s="15" t="str">
        <f>"D:\IMS Images\Actionshots\CFB\"&amp;'Team Info'!$B$8&amp;"\"&amp;D5&amp;"_"&amp;C5&amp;".png"</f>
        <v>D:\IMS Images\Actionshots\CFB\VANDERBILT\_.png</v>
      </c>
      <c r="Q5" s="58" t="str">
        <f t="shared" si="2"/>
        <v xml:space="preserve"> </v>
      </c>
      <c r="R5" s="58" t="str">
        <f t="shared" si="3"/>
        <v xml:space="preserve">. </v>
      </c>
      <c r="S5" s="58" t="str">
        <f t="shared" si="4"/>
        <v xml:space="preserve">. </v>
      </c>
      <c r="T5" s="59" t="str">
        <f t="shared" si="5"/>
        <v/>
      </c>
      <c r="U5" s="59" t="str">
        <f t="shared" si="6"/>
        <v xml:space="preserve"> </v>
      </c>
      <c r="V5" s="59" t="str">
        <f t="shared" si="7"/>
        <v/>
      </c>
      <c r="W5" s="59" t="str">
        <f t="shared" si="8"/>
        <v/>
      </c>
      <c r="X5" s="59" t="str">
        <f t="shared" si="9"/>
        <v/>
      </c>
      <c r="Y5" s="59" t="str">
        <f t="shared" si="10"/>
        <v xml:space="preserve">3  </v>
      </c>
      <c r="Z5" s="59" t="str">
        <f t="shared" si="11"/>
        <v xml:space="preserve">3  </v>
      </c>
      <c r="AB5" s="57" t="s">
        <v>96</v>
      </c>
      <c r="AC5" s="57" t="s">
        <v>97</v>
      </c>
      <c r="AD5" s="57" t="str">
        <f t="shared" si="12"/>
        <v>TIGHT END</v>
      </c>
    </row>
    <row r="6" spans="1:30">
      <c r="A6" s="70">
        <v>4</v>
      </c>
      <c r="B6" s="14">
        <v>4</v>
      </c>
      <c r="C6" s="5"/>
      <c r="D6" s="5"/>
      <c r="E6" s="5"/>
      <c r="F6" s="5"/>
      <c r="G6" s="5"/>
      <c r="H6" s="5"/>
      <c r="I6" s="5"/>
      <c r="J6" s="5"/>
      <c r="M6" s="15" t="e">
        <f t="shared" si="0"/>
        <v>#N/A</v>
      </c>
      <c r="N6" s="16" t="str">
        <f t="shared" si="1"/>
        <v/>
      </c>
      <c r="O6" s="15" t="str">
        <f>"D:\IMS Images\Headshots\CFB\"&amp;'Team Info'!$B$8&amp;"\"&amp;D6&amp;"_"&amp;C6&amp;".png"</f>
        <v>D:\IMS Images\Headshots\CFB\VANDERBILT\_.png</v>
      </c>
      <c r="P6" s="15" t="str">
        <f>"D:\IMS Images\Actionshots\CFB\"&amp;'Team Info'!$B$8&amp;"\"&amp;D6&amp;"_"&amp;C6&amp;".png"</f>
        <v>D:\IMS Images\Actionshots\CFB\VANDERBILT\_.png</v>
      </c>
      <c r="Q6" s="58" t="str">
        <f t="shared" si="2"/>
        <v xml:space="preserve"> </v>
      </c>
      <c r="R6" s="58" t="str">
        <f t="shared" si="3"/>
        <v xml:space="preserve">. </v>
      </c>
      <c r="S6" s="58" t="str">
        <f t="shared" si="4"/>
        <v xml:space="preserve">. </v>
      </c>
      <c r="T6" s="59" t="str">
        <f t="shared" si="5"/>
        <v/>
      </c>
      <c r="U6" s="59" t="str">
        <f t="shared" si="6"/>
        <v xml:space="preserve"> </v>
      </c>
      <c r="V6" s="59" t="str">
        <f t="shared" si="7"/>
        <v/>
      </c>
      <c r="W6" s="59" t="str">
        <f t="shared" si="8"/>
        <v/>
      </c>
      <c r="X6" s="59" t="str">
        <f t="shared" si="9"/>
        <v/>
      </c>
      <c r="Y6" s="59" t="str">
        <f t="shared" si="10"/>
        <v xml:space="preserve">4  </v>
      </c>
      <c r="Z6" s="59" t="str">
        <f t="shared" si="11"/>
        <v xml:space="preserve">4  </v>
      </c>
      <c r="AB6" s="57" t="s">
        <v>98</v>
      </c>
      <c r="AC6" s="57" t="s">
        <v>99</v>
      </c>
      <c r="AD6" s="57" t="str">
        <f t="shared" si="12"/>
        <v>RUNNING BACK</v>
      </c>
    </row>
    <row r="7" spans="1:30">
      <c r="A7" s="70">
        <v>5</v>
      </c>
      <c r="B7" s="14">
        <v>5</v>
      </c>
      <c r="C7" s="5"/>
      <c r="D7" s="5"/>
      <c r="E7" s="5"/>
      <c r="F7" s="5"/>
      <c r="G7" s="5"/>
      <c r="H7" s="5"/>
      <c r="I7" s="5"/>
      <c r="J7" s="5"/>
      <c r="M7" s="15" t="e">
        <f t="shared" si="0"/>
        <v>#N/A</v>
      </c>
      <c r="N7" s="16" t="str">
        <f t="shared" si="1"/>
        <v/>
      </c>
      <c r="O7" s="15" t="str">
        <f>"D:\IMS Images\Headshots\CFB\"&amp;'Team Info'!$B$8&amp;"\"&amp;D7&amp;"_"&amp;C7&amp;".png"</f>
        <v>D:\IMS Images\Headshots\CFB\VANDERBILT\_.png</v>
      </c>
      <c r="P7" s="15" t="str">
        <f>"D:\IMS Images\Actionshots\CFB\"&amp;'Team Info'!$B$8&amp;"\"&amp;D7&amp;"_"&amp;C7&amp;".png"</f>
        <v>D:\IMS Images\Actionshots\CFB\VANDERBILT\_.png</v>
      </c>
      <c r="Q7" s="58" t="str">
        <f t="shared" si="2"/>
        <v xml:space="preserve"> </v>
      </c>
      <c r="R7" s="58" t="str">
        <f t="shared" si="3"/>
        <v xml:space="preserve">. </v>
      </c>
      <c r="S7" s="58" t="str">
        <f t="shared" si="4"/>
        <v xml:space="preserve">. </v>
      </c>
      <c r="T7" s="59" t="str">
        <f t="shared" si="5"/>
        <v/>
      </c>
      <c r="U7" s="59" t="str">
        <f t="shared" si="6"/>
        <v xml:space="preserve"> </v>
      </c>
      <c r="V7" s="59" t="str">
        <f t="shared" si="7"/>
        <v/>
      </c>
      <c r="W7" s="59" t="str">
        <f t="shared" si="8"/>
        <v/>
      </c>
      <c r="X7" s="59" t="str">
        <f t="shared" si="9"/>
        <v/>
      </c>
      <c r="Y7" s="59" t="str">
        <f t="shared" si="10"/>
        <v xml:space="preserve">5  </v>
      </c>
      <c r="Z7" s="59" t="str">
        <f t="shared" si="11"/>
        <v xml:space="preserve">5  </v>
      </c>
      <c r="AB7" s="57" t="s">
        <v>100</v>
      </c>
      <c r="AC7" s="57" t="s">
        <v>101</v>
      </c>
      <c r="AD7" s="57" t="str">
        <f t="shared" si="12"/>
        <v>FULLBACK</v>
      </c>
    </row>
    <row r="8" spans="1:30">
      <c r="A8" s="70">
        <v>6</v>
      </c>
      <c r="B8" s="14">
        <v>6</v>
      </c>
      <c r="C8" s="5"/>
      <c r="D8" s="5"/>
      <c r="E8" s="5"/>
      <c r="F8" s="5"/>
      <c r="G8" s="5"/>
      <c r="H8" s="5"/>
      <c r="I8" s="5"/>
      <c r="J8" s="5"/>
      <c r="M8" s="15" t="e">
        <f t="shared" si="0"/>
        <v>#N/A</v>
      </c>
      <c r="N8" s="16" t="str">
        <f t="shared" si="1"/>
        <v/>
      </c>
      <c r="O8" s="15" t="str">
        <f>"D:\IMS Images\Headshots\CFB\"&amp;'Team Info'!$B$8&amp;"\"&amp;D8&amp;"_"&amp;C8&amp;".png"</f>
        <v>D:\IMS Images\Headshots\CFB\VANDERBILT\_.png</v>
      </c>
      <c r="P8" s="15" t="str">
        <f>"D:\IMS Images\Actionshots\CFB\"&amp;'Team Info'!$B$8&amp;"\"&amp;D8&amp;"_"&amp;C8&amp;".png"</f>
        <v>D:\IMS Images\Actionshots\CFB\VANDERBILT\_.png</v>
      </c>
      <c r="Q8" s="58" t="str">
        <f t="shared" si="2"/>
        <v xml:space="preserve"> </v>
      </c>
      <c r="R8" s="58" t="str">
        <f t="shared" si="3"/>
        <v xml:space="preserve">. </v>
      </c>
      <c r="S8" s="58" t="str">
        <f t="shared" si="4"/>
        <v xml:space="preserve">. </v>
      </c>
      <c r="T8" s="59" t="str">
        <f t="shared" si="5"/>
        <v/>
      </c>
      <c r="U8" s="59" t="str">
        <f t="shared" si="6"/>
        <v xml:space="preserve"> </v>
      </c>
      <c r="V8" s="59" t="str">
        <f t="shared" si="7"/>
        <v/>
      </c>
      <c r="W8" s="59" t="str">
        <f t="shared" si="8"/>
        <v/>
      </c>
      <c r="X8" s="59" t="str">
        <f t="shared" si="9"/>
        <v/>
      </c>
      <c r="Y8" s="59" t="str">
        <f t="shared" si="10"/>
        <v xml:space="preserve">6  </v>
      </c>
      <c r="Z8" s="59" t="str">
        <f t="shared" si="11"/>
        <v xml:space="preserve">6  </v>
      </c>
      <c r="AB8" s="57" t="s">
        <v>102</v>
      </c>
      <c r="AC8" s="57" t="s">
        <v>103</v>
      </c>
      <c r="AD8" s="57" t="str">
        <f t="shared" si="12"/>
        <v>HALFBACK</v>
      </c>
    </row>
    <row r="9" spans="1:30">
      <c r="A9" s="70">
        <v>7</v>
      </c>
      <c r="B9" s="14">
        <v>7</v>
      </c>
      <c r="C9" s="5"/>
      <c r="D9" s="5"/>
      <c r="E9" s="5"/>
      <c r="F9" s="5"/>
      <c r="G9" s="5"/>
      <c r="H9" s="5"/>
      <c r="I9" s="5"/>
      <c r="J9" s="5"/>
      <c r="M9" s="15" t="e">
        <f t="shared" si="0"/>
        <v>#N/A</v>
      </c>
      <c r="N9" s="16" t="str">
        <f t="shared" si="1"/>
        <v/>
      </c>
      <c r="O9" s="15" t="str">
        <f>"D:\IMS Images\Headshots\CFB\"&amp;'Team Info'!$B$8&amp;"\"&amp;D9&amp;"_"&amp;C9&amp;".png"</f>
        <v>D:\IMS Images\Headshots\CFB\VANDERBILT\_.png</v>
      </c>
      <c r="P9" s="15" t="str">
        <f>"D:\IMS Images\Actionshots\CFB\"&amp;'Team Info'!$B$8&amp;"\"&amp;D9&amp;"_"&amp;C9&amp;".png"</f>
        <v>D:\IMS Images\Actionshots\CFB\VANDERBILT\_.png</v>
      </c>
      <c r="Q9" s="58" t="str">
        <f t="shared" si="2"/>
        <v xml:space="preserve"> </v>
      </c>
      <c r="R9" s="58" t="str">
        <f t="shared" si="3"/>
        <v xml:space="preserve">. </v>
      </c>
      <c r="S9" s="58" t="str">
        <f t="shared" si="4"/>
        <v xml:space="preserve">. </v>
      </c>
      <c r="T9" s="59" t="str">
        <f t="shared" si="5"/>
        <v/>
      </c>
      <c r="U9" s="59" t="str">
        <f t="shared" si="6"/>
        <v xml:space="preserve"> </v>
      </c>
      <c r="V9" s="59" t="str">
        <f t="shared" si="7"/>
        <v/>
      </c>
      <c r="W9" s="59" t="str">
        <f t="shared" si="8"/>
        <v/>
      </c>
      <c r="X9" s="59" t="str">
        <f t="shared" si="9"/>
        <v/>
      </c>
      <c r="Y9" s="59" t="str">
        <f t="shared" si="10"/>
        <v xml:space="preserve">7  </v>
      </c>
      <c r="Z9" s="59" t="str">
        <f t="shared" si="11"/>
        <v xml:space="preserve">7  </v>
      </c>
      <c r="AB9" s="57" t="s">
        <v>104</v>
      </c>
      <c r="AC9" s="57" t="s">
        <v>105</v>
      </c>
      <c r="AD9" s="57" t="str">
        <f t="shared" si="12"/>
        <v>OFFENSIVE LINE</v>
      </c>
    </row>
    <row r="10" spans="1:30">
      <c r="A10" s="70">
        <v>8</v>
      </c>
      <c r="B10" s="14">
        <v>8</v>
      </c>
      <c r="C10" s="5"/>
      <c r="D10" s="5"/>
      <c r="E10" s="5"/>
      <c r="F10" s="5"/>
      <c r="G10" s="5"/>
      <c r="H10" s="5"/>
      <c r="I10" s="5"/>
      <c r="J10" s="5"/>
      <c r="M10" s="15" t="e">
        <f t="shared" si="0"/>
        <v>#N/A</v>
      </c>
      <c r="N10" s="16" t="str">
        <f t="shared" si="1"/>
        <v/>
      </c>
      <c r="O10" s="15" t="str">
        <f>"D:\IMS Images\Headshots\CFB\"&amp;'Team Info'!$B$8&amp;"\"&amp;D10&amp;"_"&amp;C10&amp;".png"</f>
        <v>D:\IMS Images\Headshots\CFB\VANDERBILT\_.png</v>
      </c>
      <c r="P10" s="15" t="str">
        <f>"D:\IMS Images\Actionshots\CFB\"&amp;'Team Info'!$B$8&amp;"\"&amp;D10&amp;"_"&amp;C10&amp;".png"</f>
        <v>D:\IMS Images\Actionshots\CFB\VANDERBILT\_.png</v>
      </c>
      <c r="Q10" s="58" t="str">
        <f t="shared" si="2"/>
        <v xml:space="preserve"> </v>
      </c>
      <c r="R10" s="58" t="str">
        <f t="shared" si="3"/>
        <v xml:space="preserve">. </v>
      </c>
      <c r="S10" s="58" t="str">
        <f t="shared" si="4"/>
        <v xml:space="preserve">. </v>
      </c>
      <c r="T10" s="59" t="str">
        <f t="shared" si="5"/>
        <v/>
      </c>
      <c r="U10" s="59" t="str">
        <f t="shared" si="6"/>
        <v xml:space="preserve"> </v>
      </c>
      <c r="V10" s="59" t="str">
        <f t="shared" si="7"/>
        <v/>
      </c>
      <c r="W10" s="59" t="str">
        <f t="shared" si="8"/>
        <v/>
      </c>
      <c r="X10" s="59" t="str">
        <f t="shared" si="9"/>
        <v/>
      </c>
      <c r="Y10" s="59" t="str">
        <f t="shared" si="10"/>
        <v xml:space="preserve">8  </v>
      </c>
      <c r="Z10" s="59" t="str">
        <f t="shared" si="11"/>
        <v xml:space="preserve">8  </v>
      </c>
      <c r="AB10" s="57" t="s">
        <v>106</v>
      </c>
      <c r="AC10" s="57" t="s">
        <v>107</v>
      </c>
      <c r="AD10" s="57" t="str">
        <f t="shared" si="12"/>
        <v>CENTER</v>
      </c>
    </row>
    <row r="11" spans="1:30">
      <c r="A11" s="70">
        <v>9</v>
      </c>
      <c r="B11" s="14">
        <v>9</v>
      </c>
      <c r="C11" s="5"/>
      <c r="D11" s="5"/>
      <c r="E11" s="5"/>
      <c r="F11" s="5"/>
      <c r="G11" s="5"/>
      <c r="H11" s="5"/>
      <c r="I11" s="5"/>
      <c r="J11" s="5"/>
      <c r="M11" s="15" t="e">
        <f t="shared" si="0"/>
        <v>#N/A</v>
      </c>
      <c r="N11" s="16" t="str">
        <f t="shared" si="1"/>
        <v/>
      </c>
      <c r="O11" s="15" t="str">
        <f>"D:\IMS Images\Headshots\CFB\"&amp;'Team Info'!$B$8&amp;"\"&amp;D11&amp;"_"&amp;C11&amp;".png"</f>
        <v>D:\IMS Images\Headshots\CFB\VANDERBILT\_.png</v>
      </c>
      <c r="P11" s="15" t="str">
        <f>"D:\IMS Images\Actionshots\CFB\"&amp;'Team Info'!$B$8&amp;"\"&amp;D11&amp;"_"&amp;C11&amp;".png"</f>
        <v>D:\IMS Images\Actionshots\CFB\VANDERBILT\_.png</v>
      </c>
      <c r="Q11" s="58" t="str">
        <f t="shared" si="2"/>
        <v xml:space="preserve"> </v>
      </c>
      <c r="R11" s="58" t="str">
        <f t="shared" si="3"/>
        <v xml:space="preserve">. </v>
      </c>
      <c r="S11" s="58" t="str">
        <f t="shared" si="4"/>
        <v xml:space="preserve">. </v>
      </c>
      <c r="T11" s="59" t="str">
        <f t="shared" si="5"/>
        <v/>
      </c>
      <c r="U11" s="59" t="str">
        <f t="shared" si="6"/>
        <v xml:space="preserve"> </v>
      </c>
      <c r="V11" s="59" t="str">
        <f t="shared" si="7"/>
        <v/>
      </c>
      <c r="W11" s="59" t="str">
        <f t="shared" si="8"/>
        <v/>
      </c>
      <c r="X11" s="59" t="str">
        <f t="shared" si="9"/>
        <v/>
      </c>
      <c r="Y11" s="59" t="str">
        <f t="shared" si="10"/>
        <v xml:space="preserve">9  </v>
      </c>
      <c r="Z11" s="59" t="str">
        <f t="shared" si="11"/>
        <v xml:space="preserve">9  </v>
      </c>
      <c r="AB11" s="57" t="s">
        <v>108</v>
      </c>
      <c r="AC11" s="57" t="s">
        <v>109</v>
      </c>
      <c r="AD11" s="57" t="str">
        <f t="shared" si="12"/>
        <v>OFFENSIVE GUARD</v>
      </c>
    </row>
    <row r="12" spans="1:30">
      <c r="A12" s="70">
        <v>10</v>
      </c>
      <c r="B12" s="14">
        <v>10</v>
      </c>
      <c r="C12" s="5"/>
      <c r="D12" s="5"/>
      <c r="E12" s="5"/>
      <c r="F12" s="5"/>
      <c r="G12" s="5"/>
      <c r="H12" s="5"/>
      <c r="I12" s="5"/>
      <c r="J12" s="5"/>
      <c r="M12" s="15" t="e">
        <f t="shared" si="0"/>
        <v>#N/A</v>
      </c>
      <c r="N12" s="16" t="str">
        <f t="shared" si="1"/>
        <v/>
      </c>
      <c r="O12" s="15" t="str">
        <f>"D:\IMS Images\Headshots\CFB\"&amp;'Team Info'!$B$8&amp;"\"&amp;D12&amp;"_"&amp;C12&amp;".png"</f>
        <v>D:\IMS Images\Headshots\CFB\VANDERBILT\_.png</v>
      </c>
      <c r="P12" s="15" t="str">
        <f>"D:\IMS Images\Actionshots\CFB\"&amp;'Team Info'!$B$8&amp;"\"&amp;D12&amp;"_"&amp;C12&amp;".png"</f>
        <v>D:\IMS Images\Actionshots\CFB\VANDERBILT\_.png</v>
      </c>
      <c r="Q12" s="58" t="str">
        <f t="shared" si="2"/>
        <v xml:space="preserve"> </v>
      </c>
      <c r="R12" s="58" t="str">
        <f t="shared" si="3"/>
        <v xml:space="preserve">. </v>
      </c>
      <c r="S12" s="58" t="str">
        <f t="shared" si="4"/>
        <v xml:space="preserve">. </v>
      </c>
      <c r="T12" s="59" t="str">
        <f t="shared" si="5"/>
        <v/>
      </c>
      <c r="U12" s="59" t="str">
        <f t="shared" si="6"/>
        <v xml:space="preserve"> </v>
      </c>
      <c r="V12" s="59" t="str">
        <f t="shared" si="7"/>
        <v/>
      </c>
      <c r="W12" s="59" t="str">
        <f t="shared" si="8"/>
        <v/>
      </c>
      <c r="X12" s="59" t="str">
        <f t="shared" si="9"/>
        <v/>
      </c>
      <c r="Y12" s="59" t="str">
        <f t="shared" si="10"/>
        <v xml:space="preserve">10  </v>
      </c>
      <c r="Z12" s="59" t="str">
        <f t="shared" si="11"/>
        <v xml:space="preserve">10  </v>
      </c>
      <c r="AB12" s="57" t="s">
        <v>110</v>
      </c>
      <c r="AC12" s="57" t="s">
        <v>111</v>
      </c>
      <c r="AD12" s="57" t="str">
        <f t="shared" si="12"/>
        <v>OFFENSIVE TACKLE</v>
      </c>
    </row>
    <row r="13" spans="1:30">
      <c r="A13" s="70">
        <v>11</v>
      </c>
      <c r="B13" s="14">
        <v>11</v>
      </c>
      <c r="C13" s="5"/>
      <c r="D13" s="5"/>
      <c r="E13" s="5"/>
      <c r="F13" s="5"/>
      <c r="G13" s="5"/>
      <c r="H13" s="5"/>
      <c r="I13" s="5"/>
      <c r="J13" s="5"/>
      <c r="M13" s="15" t="e">
        <f t="shared" si="0"/>
        <v>#N/A</v>
      </c>
      <c r="N13" s="16" t="str">
        <f t="shared" si="1"/>
        <v/>
      </c>
      <c r="O13" s="15" t="str">
        <f>"D:\IMS Images\Headshots\CFB\"&amp;'Team Info'!$B$8&amp;"\"&amp;D13&amp;"_"&amp;C13&amp;".png"</f>
        <v>D:\IMS Images\Headshots\CFB\VANDERBILT\_.png</v>
      </c>
      <c r="P13" s="15" t="str">
        <f>"D:\IMS Images\Actionshots\CFB\"&amp;'Team Info'!$B$8&amp;"\"&amp;D13&amp;"_"&amp;C13&amp;".png"</f>
        <v>D:\IMS Images\Actionshots\CFB\VANDERBILT\_.png</v>
      </c>
      <c r="Q13" s="58" t="str">
        <f t="shared" si="2"/>
        <v xml:space="preserve"> </v>
      </c>
      <c r="R13" s="58" t="str">
        <f t="shared" si="3"/>
        <v xml:space="preserve">. </v>
      </c>
      <c r="S13" s="58" t="str">
        <f t="shared" si="4"/>
        <v xml:space="preserve">. </v>
      </c>
      <c r="T13" s="59" t="str">
        <f t="shared" si="5"/>
        <v/>
      </c>
      <c r="U13" s="59" t="str">
        <f t="shared" si="6"/>
        <v xml:space="preserve"> </v>
      </c>
      <c r="V13" s="59" t="str">
        <f t="shared" si="7"/>
        <v/>
      </c>
      <c r="W13" s="59" t="str">
        <f t="shared" si="8"/>
        <v/>
      </c>
      <c r="X13" s="59" t="str">
        <f t="shared" si="9"/>
        <v/>
      </c>
      <c r="Y13" s="59" t="str">
        <f t="shared" si="10"/>
        <v xml:space="preserve">11  </v>
      </c>
      <c r="Z13" s="59" t="str">
        <f t="shared" si="11"/>
        <v xml:space="preserve">11  </v>
      </c>
      <c r="AB13" s="57" t="s">
        <v>112</v>
      </c>
      <c r="AC13" s="57" t="s">
        <v>113</v>
      </c>
      <c r="AD13" s="57" t="str">
        <f t="shared" si="12"/>
        <v>LEFT GUARD</v>
      </c>
    </row>
    <row r="14" spans="1:30">
      <c r="A14" s="70">
        <v>12</v>
      </c>
      <c r="B14" s="14">
        <v>12</v>
      </c>
      <c r="C14" s="5"/>
      <c r="D14" s="5"/>
      <c r="E14" s="5"/>
      <c r="F14" s="5"/>
      <c r="G14" s="5"/>
      <c r="H14" s="5"/>
      <c r="I14" s="5"/>
      <c r="J14" s="5"/>
      <c r="M14" s="15" t="e">
        <f t="shared" si="0"/>
        <v>#N/A</v>
      </c>
      <c r="N14" s="16" t="str">
        <f t="shared" si="1"/>
        <v/>
      </c>
      <c r="O14" s="15" t="str">
        <f>"D:\IMS Images\Headshots\CFB\"&amp;'Team Info'!$B$8&amp;"\"&amp;D14&amp;"_"&amp;C14&amp;".png"</f>
        <v>D:\IMS Images\Headshots\CFB\VANDERBILT\_.png</v>
      </c>
      <c r="P14" s="15" t="str">
        <f>"D:\IMS Images\Actionshots\CFB\"&amp;'Team Info'!$B$8&amp;"\"&amp;D14&amp;"_"&amp;C14&amp;".png"</f>
        <v>D:\IMS Images\Actionshots\CFB\VANDERBILT\_.png</v>
      </c>
      <c r="Q14" s="58" t="str">
        <f t="shared" si="2"/>
        <v xml:space="preserve"> </v>
      </c>
      <c r="R14" s="58" t="str">
        <f t="shared" si="3"/>
        <v xml:space="preserve">. </v>
      </c>
      <c r="S14" s="58" t="str">
        <f t="shared" si="4"/>
        <v xml:space="preserve">. </v>
      </c>
      <c r="T14" s="59" t="str">
        <f t="shared" si="5"/>
        <v/>
      </c>
      <c r="U14" s="59" t="str">
        <f t="shared" si="6"/>
        <v xml:space="preserve"> </v>
      </c>
      <c r="V14" s="59" t="str">
        <f t="shared" si="7"/>
        <v/>
      </c>
      <c r="W14" s="59" t="str">
        <f t="shared" si="8"/>
        <v/>
      </c>
      <c r="X14" s="59" t="str">
        <f t="shared" si="9"/>
        <v/>
      </c>
      <c r="Y14" s="59" t="str">
        <f t="shared" si="10"/>
        <v xml:space="preserve">12  </v>
      </c>
      <c r="Z14" s="59" t="str">
        <f t="shared" si="11"/>
        <v xml:space="preserve">12  </v>
      </c>
      <c r="AB14" s="57" t="s">
        <v>114</v>
      </c>
      <c r="AC14" s="57" t="s">
        <v>115</v>
      </c>
      <c r="AD14" s="57" t="str">
        <f t="shared" si="12"/>
        <v>LEFT TACKLE</v>
      </c>
    </row>
    <row r="15" spans="1:30">
      <c r="A15" s="70">
        <v>13</v>
      </c>
      <c r="B15" s="14">
        <v>13</v>
      </c>
      <c r="C15" s="5"/>
      <c r="D15" s="5"/>
      <c r="E15" s="5"/>
      <c r="F15" s="5"/>
      <c r="G15" s="5"/>
      <c r="H15" s="5"/>
      <c r="I15" s="5"/>
      <c r="J15" s="5"/>
      <c r="M15" s="15" t="e">
        <f t="shared" si="0"/>
        <v>#N/A</v>
      </c>
      <c r="N15" s="16" t="str">
        <f t="shared" si="1"/>
        <v/>
      </c>
      <c r="O15" s="15" t="str">
        <f>"D:\IMS Images\Headshots\CFB\"&amp;'Team Info'!$B$8&amp;"\"&amp;D15&amp;"_"&amp;C15&amp;".png"</f>
        <v>D:\IMS Images\Headshots\CFB\VANDERBILT\_.png</v>
      </c>
      <c r="P15" s="15" t="str">
        <f>"D:\IMS Images\Actionshots\CFB\"&amp;'Team Info'!$B$8&amp;"\"&amp;D15&amp;"_"&amp;C15&amp;".png"</f>
        <v>D:\IMS Images\Actionshots\CFB\VANDERBILT\_.png</v>
      </c>
      <c r="Q15" s="58" t="str">
        <f t="shared" si="2"/>
        <v xml:space="preserve"> </v>
      </c>
      <c r="R15" s="58" t="str">
        <f t="shared" si="3"/>
        <v xml:space="preserve">. </v>
      </c>
      <c r="S15" s="58" t="str">
        <f t="shared" si="4"/>
        <v xml:space="preserve">. </v>
      </c>
      <c r="T15" s="59" t="str">
        <f t="shared" si="5"/>
        <v/>
      </c>
      <c r="U15" s="59" t="str">
        <f t="shared" si="6"/>
        <v xml:space="preserve"> </v>
      </c>
      <c r="V15" s="59" t="str">
        <f t="shared" si="7"/>
        <v/>
      </c>
      <c r="W15" s="59" t="str">
        <f t="shared" si="8"/>
        <v/>
      </c>
      <c r="X15" s="59" t="str">
        <f t="shared" si="9"/>
        <v/>
      </c>
      <c r="Y15" s="59" t="str">
        <f t="shared" si="10"/>
        <v xml:space="preserve">13  </v>
      </c>
      <c r="Z15" s="59" t="str">
        <f t="shared" si="11"/>
        <v xml:space="preserve">13  </v>
      </c>
      <c r="AB15" s="57" t="s">
        <v>116</v>
      </c>
      <c r="AC15" s="57" t="s">
        <v>117</v>
      </c>
      <c r="AD15" s="57" t="str">
        <f t="shared" si="12"/>
        <v>RIGHT GUARD</v>
      </c>
    </row>
    <row r="16" spans="1:30">
      <c r="A16" s="70">
        <v>14</v>
      </c>
      <c r="B16" s="14">
        <v>14</v>
      </c>
      <c r="C16" s="5"/>
      <c r="D16" s="5"/>
      <c r="E16" s="5"/>
      <c r="F16" s="5"/>
      <c r="G16" s="5"/>
      <c r="H16" s="5"/>
      <c r="I16" s="5"/>
      <c r="J16" s="5"/>
      <c r="M16" s="15" t="e">
        <f t="shared" si="0"/>
        <v>#N/A</v>
      </c>
      <c r="N16" s="16" t="str">
        <f t="shared" si="1"/>
        <v/>
      </c>
      <c r="O16" s="15" t="str">
        <f>"D:\IMS Images\Headshots\CFB\"&amp;'Team Info'!$B$8&amp;"\"&amp;D16&amp;"_"&amp;C16&amp;".png"</f>
        <v>D:\IMS Images\Headshots\CFB\VANDERBILT\_.png</v>
      </c>
      <c r="P16" s="15" t="str">
        <f>"D:\IMS Images\Actionshots\CFB\"&amp;'Team Info'!$B$8&amp;"\"&amp;D16&amp;"_"&amp;C16&amp;".png"</f>
        <v>D:\IMS Images\Actionshots\CFB\VANDERBILT\_.png</v>
      </c>
      <c r="Q16" s="58" t="str">
        <f t="shared" si="2"/>
        <v xml:space="preserve"> </v>
      </c>
      <c r="R16" s="58" t="str">
        <f t="shared" si="3"/>
        <v xml:space="preserve">. </v>
      </c>
      <c r="S16" s="58" t="str">
        <f t="shared" si="4"/>
        <v xml:space="preserve">. </v>
      </c>
      <c r="T16" s="59" t="str">
        <f t="shared" si="5"/>
        <v/>
      </c>
      <c r="U16" s="59" t="str">
        <f t="shared" si="6"/>
        <v xml:space="preserve"> </v>
      </c>
      <c r="V16" s="59" t="str">
        <f t="shared" si="7"/>
        <v/>
      </c>
      <c r="W16" s="59" t="str">
        <f t="shared" si="8"/>
        <v/>
      </c>
      <c r="X16" s="59" t="str">
        <f t="shared" si="9"/>
        <v/>
      </c>
      <c r="Y16" s="59" t="str">
        <f t="shared" si="10"/>
        <v xml:space="preserve">14  </v>
      </c>
      <c r="Z16" s="59" t="str">
        <f t="shared" si="11"/>
        <v xml:space="preserve">14  </v>
      </c>
      <c r="AB16" s="57" t="s">
        <v>118</v>
      </c>
      <c r="AC16" s="57" t="s">
        <v>119</v>
      </c>
      <c r="AD16" s="57" t="str">
        <f t="shared" si="12"/>
        <v>RIGHT TACKLE</v>
      </c>
    </row>
    <row r="17" spans="1:30">
      <c r="A17" s="70">
        <v>15</v>
      </c>
      <c r="B17" s="14">
        <v>15</v>
      </c>
      <c r="C17" s="5"/>
      <c r="D17" s="5"/>
      <c r="E17" s="5"/>
      <c r="F17" s="5"/>
      <c r="G17" s="5"/>
      <c r="H17" s="5"/>
      <c r="I17" s="5"/>
      <c r="J17" s="5"/>
      <c r="M17" s="15" t="e">
        <f t="shared" si="0"/>
        <v>#N/A</v>
      </c>
      <c r="N17" s="16" t="str">
        <f t="shared" si="1"/>
        <v/>
      </c>
      <c r="O17" s="15" t="str">
        <f>"D:\IMS Images\Headshots\CFB\"&amp;'Team Info'!$B$8&amp;"\"&amp;D17&amp;"_"&amp;C17&amp;".png"</f>
        <v>D:\IMS Images\Headshots\CFB\VANDERBILT\_.png</v>
      </c>
      <c r="P17" s="15" t="str">
        <f>"D:\IMS Images\Actionshots\CFB\"&amp;'Team Info'!$B$8&amp;"\"&amp;D17&amp;"_"&amp;C17&amp;".png"</f>
        <v>D:\IMS Images\Actionshots\CFB\VANDERBILT\_.png</v>
      </c>
      <c r="Q17" s="58" t="str">
        <f t="shared" si="2"/>
        <v xml:space="preserve"> </v>
      </c>
      <c r="R17" s="58" t="str">
        <f t="shared" si="3"/>
        <v xml:space="preserve">. </v>
      </c>
      <c r="S17" s="58" t="str">
        <f t="shared" si="4"/>
        <v xml:space="preserve">. </v>
      </c>
      <c r="T17" s="59" t="str">
        <f t="shared" si="5"/>
        <v/>
      </c>
      <c r="U17" s="59" t="str">
        <f t="shared" si="6"/>
        <v xml:space="preserve"> </v>
      </c>
      <c r="V17" s="59" t="str">
        <f t="shared" si="7"/>
        <v/>
      </c>
      <c r="W17" s="59" t="str">
        <f t="shared" si="8"/>
        <v/>
      </c>
      <c r="X17" s="59" t="str">
        <f t="shared" si="9"/>
        <v/>
      </c>
      <c r="Y17" s="59" t="str">
        <f t="shared" si="10"/>
        <v xml:space="preserve">15  </v>
      </c>
      <c r="Z17" s="59" t="str">
        <f t="shared" si="11"/>
        <v xml:space="preserve">15  </v>
      </c>
      <c r="AB17" s="57" t="s">
        <v>120</v>
      </c>
      <c r="AC17" s="57" t="s">
        <v>121</v>
      </c>
      <c r="AD17" s="57" t="str">
        <f t="shared" si="12"/>
        <v>DEFENSIVE LINE</v>
      </c>
    </row>
    <row r="18" spans="1:30">
      <c r="A18" s="70">
        <v>16</v>
      </c>
      <c r="B18" s="14">
        <v>16</v>
      </c>
      <c r="C18" s="5"/>
      <c r="D18" s="5"/>
      <c r="E18" s="5"/>
      <c r="F18" s="5"/>
      <c r="G18" s="5"/>
      <c r="H18" s="5"/>
      <c r="I18" s="5"/>
      <c r="J18" s="5"/>
      <c r="M18" s="15" t="e">
        <f t="shared" si="0"/>
        <v>#N/A</v>
      </c>
      <c r="N18" s="16" t="str">
        <f t="shared" si="1"/>
        <v/>
      </c>
      <c r="O18" s="15" t="str">
        <f>"D:\IMS Images\Headshots\CFB\"&amp;'Team Info'!$B$8&amp;"\"&amp;D18&amp;"_"&amp;C18&amp;".png"</f>
        <v>D:\IMS Images\Headshots\CFB\VANDERBILT\_.png</v>
      </c>
      <c r="P18" s="15" t="str">
        <f>"D:\IMS Images\Actionshots\CFB\"&amp;'Team Info'!$B$8&amp;"\"&amp;D18&amp;"_"&amp;C18&amp;".png"</f>
        <v>D:\IMS Images\Actionshots\CFB\VANDERBILT\_.png</v>
      </c>
      <c r="Q18" s="58" t="str">
        <f t="shared" si="2"/>
        <v xml:space="preserve"> </v>
      </c>
      <c r="R18" s="58" t="str">
        <f t="shared" si="3"/>
        <v xml:space="preserve">. </v>
      </c>
      <c r="S18" s="58" t="str">
        <f t="shared" si="4"/>
        <v xml:space="preserve">. </v>
      </c>
      <c r="T18" s="59" t="str">
        <f t="shared" si="5"/>
        <v/>
      </c>
      <c r="U18" s="59" t="str">
        <f t="shared" si="6"/>
        <v xml:space="preserve"> </v>
      </c>
      <c r="V18" s="59" t="str">
        <f t="shared" si="7"/>
        <v/>
      </c>
      <c r="W18" s="59" t="str">
        <f t="shared" si="8"/>
        <v/>
      </c>
      <c r="X18" s="59" t="str">
        <f t="shared" si="9"/>
        <v/>
      </c>
      <c r="Y18" s="59" t="str">
        <f t="shared" si="10"/>
        <v xml:space="preserve">16  </v>
      </c>
      <c r="Z18" s="59" t="str">
        <f t="shared" si="11"/>
        <v xml:space="preserve">16  </v>
      </c>
      <c r="AB18" s="57" t="s">
        <v>122</v>
      </c>
      <c r="AC18" s="57" t="s">
        <v>123</v>
      </c>
      <c r="AD18" s="57" t="str">
        <f t="shared" si="12"/>
        <v>NOSE TACKLE</v>
      </c>
    </row>
    <row r="19" spans="1:30">
      <c r="A19" s="70">
        <v>17</v>
      </c>
      <c r="B19" s="14">
        <v>17</v>
      </c>
      <c r="C19" s="5"/>
      <c r="D19" s="5"/>
      <c r="E19" s="5"/>
      <c r="F19" s="5"/>
      <c r="G19" s="5"/>
      <c r="H19" s="5"/>
      <c r="I19" s="5"/>
      <c r="J19" s="5"/>
      <c r="M19" s="15" t="e">
        <f t="shared" si="0"/>
        <v>#N/A</v>
      </c>
      <c r="N19" s="16" t="str">
        <f t="shared" si="1"/>
        <v/>
      </c>
      <c r="O19" s="15" t="str">
        <f>"D:\IMS Images\Headshots\CFB\"&amp;'Team Info'!$B$8&amp;"\"&amp;D19&amp;"_"&amp;C19&amp;".png"</f>
        <v>D:\IMS Images\Headshots\CFB\VANDERBILT\_.png</v>
      </c>
      <c r="P19" s="15" t="str">
        <f>"D:\IMS Images\Actionshots\CFB\"&amp;'Team Info'!$B$8&amp;"\"&amp;D19&amp;"_"&amp;C19&amp;".png"</f>
        <v>D:\IMS Images\Actionshots\CFB\VANDERBILT\_.png</v>
      </c>
      <c r="Q19" s="58" t="str">
        <f t="shared" si="2"/>
        <v xml:space="preserve"> </v>
      </c>
      <c r="R19" s="58" t="str">
        <f t="shared" si="3"/>
        <v xml:space="preserve">. </v>
      </c>
      <c r="S19" s="58" t="str">
        <f t="shared" si="4"/>
        <v xml:space="preserve">. </v>
      </c>
      <c r="T19" s="59" t="str">
        <f t="shared" si="5"/>
        <v/>
      </c>
      <c r="U19" s="59" t="str">
        <f t="shared" si="6"/>
        <v xml:space="preserve"> </v>
      </c>
      <c r="V19" s="59" t="str">
        <f t="shared" si="7"/>
        <v/>
      </c>
      <c r="W19" s="59" t="str">
        <f t="shared" si="8"/>
        <v/>
      </c>
      <c r="X19" s="59" t="str">
        <f t="shared" si="9"/>
        <v/>
      </c>
      <c r="Y19" s="59" t="str">
        <f t="shared" si="10"/>
        <v xml:space="preserve">17  </v>
      </c>
      <c r="Z19" s="59" t="str">
        <f t="shared" si="11"/>
        <v xml:space="preserve">17  </v>
      </c>
      <c r="AB19" s="57" t="s">
        <v>124</v>
      </c>
      <c r="AC19" s="57" t="s">
        <v>125</v>
      </c>
      <c r="AD19" s="57" t="str">
        <f t="shared" si="12"/>
        <v>DEFENSIVE TACKLE</v>
      </c>
    </row>
    <row r="20" spans="1:30">
      <c r="A20" s="70">
        <v>18</v>
      </c>
      <c r="B20" s="14">
        <v>18</v>
      </c>
      <c r="C20" s="5"/>
      <c r="D20" s="5"/>
      <c r="E20" s="5"/>
      <c r="F20" s="5"/>
      <c r="G20" s="5"/>
      <c r="H20" s="5"/>
      <c r="I20" s="5"/>
      <c r="J20" s="5"/>
      <c r="M20" s="15" t="e">
        <f t="shared" si="0"/>
        <v>#N/A</v>
      </c>
      <c r="N20" s="16" t="str">
        <f t="shared" si="1"/>
        <v/>
      </c>
      <c r="O20" s="15" t="str">
        <f>"D:\IMS Images\Headshots\CFB\"&amp;'Team Info'!$B$8&amp;"\"&amp;D20&amp;"_"&amp;C20&amp;".png"</f>
        <v>D:\IMS Images\Headshots\CFB\VANDERBILT\_.png</v>
      </c>
      <c r="P20" s="15" t="str">
        <f>"D:\IMS Images\Actionshots\CFB\"&amp;'Team Info'!$B$8&amp;"\"&amp;D20&amp;"_"&amp;C20&amp;".png"</f>
        <v>D:\IMS Images\Actionshots\CFB\VANDERBILT\_.png</v>
      </c>
      <c r="Q20" s="58" t="str">
        <f t="shared" si="2"/>
        <v xml:space="preserve"> </v>
      </c>
      <c r="R20" s="58" t="str">
        <f t="shared" si="3"/>
        <v xml:space="preserve">. </v>
      </c>
      <c r="S20" s="58" t="str">
        <f t="shared" si="4"/>
        <v xml:space="preserve">. </v>
      </c>
      <c r="T20" s="59" t="str">
        <f t="shared" si="5"/>
        <v/>
      </c>
      <c r="U20" s="59" t="str">
        <f t="shared" si="6"/>
        <v xml:space="preserve"> </v>
      </c>
      <c r="V20" s="59" t="str">
        <f t="shared" si="7"/>
        <v/>
      </c>
      <c r="W20" s="59" t="str">
        <f t="shared" si="8"/>
        <v/>
      </c>
      <c r="X20" s="59" t="str">
        <f t="shared" si="9"/>
        <v/>
      </c>
      <c r="Y20" s="59" t="str">
        <f t="shared" si="10"/>
        <v xml:space="preserve">18  </v>
      </c>
      <c r="Z20" s="59" t="str">
        <f t="shared" si="11"/>
        <v xml:space="preserve">18  </v>
      </c>
      <c r="AB20" s="57" t="s">
        <v>126</v>
      </c>
      <c r="AC20" s="57" t="s">
        <v>127</v>
      </c>
      <c r="AD20" s="57" t="str">
        <f t="shared" si="12"/>
        <v>LINEBACKER</v>
      </c>
    </row>
    <row r="21" spans="1:30">
      <c r="A21" s="70">
        <v>19</v>
      </c>
      <c r="B21" s="14">
        <v>19</v>
      </c>
      <c r="C21" s="5"/>
      <c r="D21" s="5"/>
      <c r="E21" s="5"/>
      <c r="F21" s="5"/>
      <c r="G21" s="5"/>
      <c r="H21" s="5"/>
      <c r="I21" s="5"/>
      <c r="J21" s="5"/>
      <c r="M21" s="15" t="e">
        <f t="shared" si="0"/>
        <v>#N/A</v>
      </c>
      <c r="N21" s="16" t="str">
        <f t="shared" si="1"/>
        <v/>
      </c>
      <c r="O21" s="15" t="str">
        <f>"D:\IMS Images\Headshots\CFB\"&amp;'Team Info'!$B$8&amp;"\"&amp;D21&amp;"_"&amp;C21&amp;".png"</f>
        <v>D:\IMS Images\Headshots\CFB\VANDERBILT\_.png</v>
      </c>
      <c r="P21" s="15" t="str">
        <f>"D:\IMS Images\Actionshots\CFB\"&amp;'Team Info'!$B$8&amp;"\"&amp;D21&amp;"_"&amp;C21&amp;".png"</f>
        <v>D:\IMS Images\Actionshots\CFB\VANDERBILT\_.png</v>
      </c>
      <c r="Q21" s="58" t="str">
        <f t="shared" si="2"/>
        <v xml:space="preserve"> </v>
      </c>
      <c r="R21" s="58" t="str">
        <f t="shared" si="3"/>
        <v xml:space="preserve">. </v>
      </c>
      <c r="S21" s="58" t="str">
        <f t="shared" si="4"/>
        <v xml:space="preserve">. </v>
      </c>
      <c r="T21" s="59" t="str">
        <f t="shared" si="5"/>
        <v/>
      </c>
      <c r="U21" s="59" t="str">
        <f t="shared" si="6"/>
        <v xml:space="preserve"> </v>
      </c>
      <c r="V21" s="59" t="str">
        <f t="shared" si="7"/>
        <v/>
      </c>
      <c r="W21" s="59" t="str">
        <f t="shared" si="8"/>
        <v/>
      </c>
      <c r="X21" s="59" t="str">
        <f t="shared" si="9"/>
        <v/>
      </c>
      <c r="Y21" s="59" t="str">
        <f t="shared" si="10"/>
        <v xml:space="preserve">19  </v>
      </c>
      <c r="Z21" s="59" t="str">
        <f t="shared" si="11"/>
        <v xml:space="preserve">19  </v>
      </c>
      <c r="AB21" s="57" t="s">
        <v>128</v>
      </c>
      <c r="AC21" s="57" t="s">
        <v>129</v>
      </c>
      <c r="AD21" s="57" t="str">
        <f t="shared" si="12"/>
        <v>MIDDLE LINEBACKER</v>
      </c>
    </row>
    <row r="22" spans="1:30">
      <c r="A22" s="70">
        <v>20</v>
      </c>
      <c r="B22" s="14">
        <v>20</v>
      </c>
      <c r="C22" s="5"/>
      <c r="D22" s="5"/>
      <c r="E22" s="5"/>
      <c r="F22" s="5"/>
      <c r="G22" s="5"/>
      <c r="H22" s="5"/>
      <c r="I22" s="5"/>
      <c r="J22" s="5"/>
      <c r="M22" s="15" t="e">
        <f t="shared" si="0"/>
        <v>#N/A</v>
      </c>
      <c r="N22" s="16" t="str">
        <f t="shared" si="1"/>
        <v/>
      </c>
      <c r="O22" s="15" t="str">
        <f>"D:\IMS Images\Headshots\CFB\"&amp;'Team Info'!$B$8&amp;"\"&amp;D22&amp;"_"&amp;C22&amp;".png"</f>
        <v>D:\IMS Images\Headshots\CFB\VANDERBILT\_.png</v>
      </c>
      <c r="P22" s="15" t="str">
        <f>"D:\IMS Images\Actionshots\CFB\"&amp;'Team Info'!$B$8&amp;"\"&amp;D22&amp;"_"&amp;C22&amp;".png"</f>
        <v>D:\IMS Images\Actionshots\CFB\VANDERBILT\_.png</v>
      </c>
      <c r="Q22" s="58" t="str">
        <f t="shared" si="2"/>
        <v xml:space="preserve"> </v>
      </c>
      <c r="R22" s="58" t="str">
        <f t="shared" si="3"/>
        <v xml:space="preserve">. </v>
      </c>
      <c r="S22" s="58" t="str">
        <f t="shared" si="4"/>
        <v xml:space="preserve">. </v>
      </c>
      <c r="T22" s="59" t="str">
        <f t="shared" si="5"/>
        <v/>
      </c>
      <c r="U22" s="59" t="str">
        <f t="shared" si="6"/>
        <v xml:space="preserve"> </v>
      </c>
      <c r="V22" s="59" t="str">
        <f t="shared" si="7"/>
        <v/>
      </c>
      <c r="W22" s="59" t="str">
        <f t="shared" si="8"/>
        <v/>
      </c>
      <c r="X22" s="59" t="str">
        <f t="shared" si="9"/>
        <v/>
      </c>
      <c r="Y22" s="59" t="str">
        <f t="shared" si="10"/>
        <v xml:space="preserve">20  </v>
      </c>
      <c r="Z22" s="59" t="str">
        <f t="shared" si="11"/>
        <v xml:space="preserve">20  </v>
      </c>
      <c r="AB22" s="57" t="s">
        <v>130</v>
      </c>
      <c r="AC22" s="57" t="s">
        <v>131</v>
      </c>
      <c r="AD22" s="57" t="str">
        <f t="shared" si="12"/>
        <v>OUTSIDE LINEBACKER</v>
      </c>
    </row>
    <row r="23" spans="1:30">
      <c r="A23" s="70">
        <v>21</v>
      </c>
      <c r="B23" s="14">
        <v>21</v>
      </c>
      <c r="C23" s="5"/>
      <c r="D23" s="5"/>
      <c r="E23" s="5"/>
      <c r="F23" s="5"/>
      <c r="G23" s="5"/>
      <c r="H23" s="5"/>
      <c r="I23" s="5"/>
      <c r="J23" s="5"/>
      <c r="M23" s="15" t="e">
        <f t="shared" si="0"/>
        <v>#N/A</v>
      </c>
      <c r="N23" s="16" t="str">
        <f t="shared" si="1"/>
        <v/>
      </c>
      <c r="O23" s="15" t="str">
        <f>"D:\IMS Images\Headshots\CFB\"&amp;'Team Info'!$B$8&amp;"\"&amp;D23&amp;"_"&amp;C23&amp;".png"</f>
        <v>D:\IMS Images\Headshots\CFB\VANDERBILT\_.png</v>
      </c>
      <c r="P23" s="15" t="str">
        <f>"D:\IMS Images\Actionshots\CFB\"&amp;'Team Info'!$B$8&amp;"\"&amp;D23&amp;"_"&amp;C23&amp;".png"</f>
        <v>D:\IMS Images\Actionshots\CFB\VANDERBILT\_.png</v>
      </c>
      <c r="Q23" s="58" t="str">
        <f t="shared" si="2"/>
        <v xml:space="preserve"> </v>
      </c>
      <c r="R23" s="58" t="str">
        <f t="shared" si="3"/>
        <v xml:space="preserve">. </v>
      </c>
      <c r="S23" s="58" t="str">
        <f t="shared" si="4"/>
        <v xml:space="preserve">. </v>
      </c>
      <c r="T23" s="59" t="str">
        <f t="shared" si="5"/>
        <v/>
      </c>
      <c r="U23" s="59" t="str">
        <f t="shared" si="6"/>
        <v xml:space="preserve"> </v>
      </c>
      <c r="V23" s="59" t="str">
        <f t="shared" si="7"/>
        <v/>
      </c>
      <c r="W23" s="59" t="str">
        <f t="shared" si="8"/>
        <v/>
      </c>
      <c r="X23" s="59" t="str">
        <f t="shared" si="9"/>
        <v/>
      </c>
      <c r="Y23" s="59" t="str">
        <f t="shared" si="10"/>
        <v xml:space="preserve">21  </v>
      </c>
      <c r="Z23" s="59" t="str">
        <f t="shared" si="11"/>
        <v xml:space="preserve">21  </v>
      </c>
      <c r="AB23" s="57" t="s">
        <v>132</v>
      </c>
      <c r="AC23" s="57" t="s">
        <v>133</v>
      </c>
      <c r="AD23" s="57" t="str">
        <f t="shared" si="12"/>
        <v>INSIDE LINEBACKER</v>
      </c>
    </row>
    <row r="24" spans="1:30">
      <c r="A24" s="70">
        <v>22</v>
      </c>
      <c r="B24" s="14">
        <v>22</v>
      </c>
      <c r="C24" s="5"/>
      <c r="D24" s="5"/>
      <c r="E24" s="5"/>
      <c r="F24" s="5"/>
      <c r="G24" s="5"/>
      <c r="H24" s="5"/>
      <c r="I24" s="5"/>
      <c r="J24" s="5"/>
      <c r="M24" s="15" t="e">
        <f t="shared" si="0"/>
        <v>#N/A</v>
      </c>
      <c r="N24" s="16" t="str">
        <f t="shared" si="1"/>
        <v/>
      </c>
      <c r="O24" s="15" t="str">
        <f>"D:\IMS Images\Headshots\CFB\"&amp;'Team Info'!$B$8&amp;"\"&amp;D24&amp;"_"&amp;C24&amp;".png"</f>
        <v>D:\IMS Images\Headshots\CFB\VANDERBILT\_.png</v>
      </c>
      <c r="P24" s="15" t="str">
        <f>"D:\IMS Images\Actionshots\CFB\"&amp;'Team Info'!$B$8&amp;"\"&amp;D24&amp;"_"&amp;C24&amp;".png"</f>
        <v>D:\IMS Images\Actionshots\CFB\VANDERBILT\_.png</v>
      </c>
      <c r="Q24" s="58" t="str">
        <f t="shared" si="2"/>
        <v xml:space="preserve"> </v>
      </c>
      <c r="R24" s="58" t="str">
        <f t="shared" si="3"/>
        <v xml:space="preserve">. </v>
      </c>
      <c r="S24" s="58" t="str">
        <f t="shared" si="4"/>
        <v xml:space="preserve">. </v>
      </c>
      <c r="T24" s="59" t="str">
        <f t="shared" si="5"/>
        <v/>
      </c>
      <c r="U24" s="59" t="str">
        <f t="shared" si="6"/>
        <v xml:space="preserve"> </v>
      </c>
      <c r="V24" s="59" t="str">
        <f t="shared" si="7"/>
        <v/>
      </c>
      <c r="W24" s="59" t="str">
        <f t="shared" si="8"/>
        <v/>
      </c>
      <c r="X24" s="59" t="str">
        <f t="shared" si="9"/>
        <v/>
      </c>
      <c r="Y24" s="59" t="str">
        <f t="shared" si="10"/>
        <v xml:space="preserve">22  </v>
      </c>
      <c r="Z24" s="59" t="str">
        <f t="shared" si="11"/>
        <v xml:space="preserve">22  </v>
      </c>
      <c r="AB24" s="57" t="s">
        <v>134</v>
      </c>
      <c r="AC24" s="57" t="s">
        <v>135</v>
      </c>
      <c r="AD24" s="57" t="str">
        <f t="shared" si="12"/>
        <v>DEFENSIVE BACK</v>
      </c>
    </row>
    <row r="25" spans="1:30">
      <c r="A25" s="70">
        <v>23</v>
      </c>
      <c r="B25" s="14">
        <v>23</v>
      </c>
      <c r="C25" s="5"/>
      <c r="D25" s="5"/>
      <c r="E25" s="5"/>
      <c r="F25" s="5"/>
      <c r="G25" s="5"/>
      <c r="H25" s="5"/>
      <c r="I25" s="5"/>
      <c r="J25" s="5"/>
      <c r="M25" s="15" t="e">
        <f t="shared" si="0"/>
        <v>#N/A</v>
      </c>
      <c r="N25" s="16" t="str">
        <f t="shared" si="1"/>
        <v/>
      </c>
      <c r="O25" s="15" t="str">
        <f>"D:\IMS Images\Headshots\CFB\"&amp;'Team Info'!$B$8&amp;"\"&amp;D25&amp;"_"&amp;C25&amp;".png"</f>
        <v>D:\IMS Images\Headshots\CFB\VANDERBILT\_.png</v>
      </c>
      <c r="P25" s="15" t="str">
        <f>"D:\IMS Images\Actionshots\CFB\"&amp;'Team Info'!$B$8&amp;"\"&amp;D25&amp;"_"&amp;C25&amp;".png"</f>
        <v>D:\IMS Images\Actionshots\CFB\VANDERBILT\_.png</v>
      </c>
      <c r="Q25" s="58" t="str">
        <f t="shared" si="2"/>
        <v xml:space="preserve"> </v>
      </c>
      <c r="R25" s="58" t="str">
        <f t="shared" si="3"/>
        <v xml:space="preserve">. </v>
      </c>
      <c r="S25" s="58" t="str">
        <f t="shared" si="4"/>
        <v xml:space="preserve">. </v>
      </c>
      <c r="T25" s="59" t="str">
        <f t="shared" si="5"/>
        <v/>
      </c>
      <c r="U25" s="59" t="str">
        <f t="shared" si="6"/>
        <v xml:space="preserve"> </v>
      </c>
      <c r="V25" s="59" t="str">
        <f t="shared" si="7"/>
        <v/>
      </c>
      <c r="W25" s="59" t="str">
        <f t="shared" si="8"/>
        <v/>
      </c>
      <c r="X25" s="59" t="str">
        <f t="shared" si="9"/>
        <v/>
      </c>
      <c r="Y25" s="59" t="str">
        <f t="shared" si="10"/>
        <v xml:space="preserve">23  </v>
      </c>
      <c r="Z25" s="59" t="str">
        <f t="shared" si="11"/>
        <v xml:space="preserve">23  </v>
      </c>
      <c r="AB25" s="57" t="s">
        <v>136</v>
      </c>
      <c r="AC25" s="57" t="s">
        <v>137</v>
      </c>
      <c r="AD25" s="57" t="str">
        <f t="shared" si="12"/>
        <v>CORNERBACK</v>
      </c>
    </row>
    <row r="26" spans="1:30">
      <c r="A26" s="70">
        <v>24</v>
      </c>
      <c r="B26" s="14">
        <v>24</v>
      </c>
      <c r="C26" s="5"/>
      <c r="D26" s="5"/>
      <c r="E26" s="5"/>
      <c r="F26" s="5"/>
      <c r="G26" s="5"/>
      <c r="H26" s="5"/>
      <c r="I26" s="5"/>
      <c r="J26" s="5"/>
      <c r="M26" s="15" t="e">
        <f t="shared" si="0"/>
        <v>#N/A</v>
      </c>
      <c r="N26" s="16" t="str">
        <f t="shared" si="1"/>
        <v/>
      </c>
      <c r="O26" s="15" t="str">
        <f>"D:\IMS Images\Headshots\CFB\"&amp;'Team Info'!$B$8&amp;"\"&amp;D26&amp;"_"&amp;C26&amp;".png"</f>
        <v>D:\IMS Images\Headshots\CFB\VANDERBILT\_.png</v>
      </c>
      <c r="P26" s="15" t="str">
        <f>"D:\IMS Images\Actionshots\CFB\"&amp;'Team Info'!$B$8&amp;"\"&amp;D26&amp;"_"&amp;C26&amp;".png"</f>
        <v>D:\IMS Images\Actionshots\CFB\VANDERBILT\_.png</v>
      </c>
      <c r="Q26" s="58" t="str">
        <f t="shared" si="2"/>
        <v xml:space="preserve"> </v>
      </c>
      <c r="R26" s="58" t="str">
        <f t="shared" si="3"/>
        <v xml:space="preserve">. </v>
      </c>
      <c r="S26" s="58" t="str">
        <f t="shared" si="4"/>
        <v xml:space="preserve">. </v>
      </c>
      <c r="T26" s="59" t="str">
        <f t="shared" si="5"/>
        <v/>
      </c>
      <c r="U26" s="59" t="str">
        <f t="shared" si="6"/>
        <v xml:space="preserve"> </v>
      </c>
      <c r="V26" s="59" t="str">
        <f t="shared" si="7"/>
        <v/>
      </c>
      <c r="W26" s="59" t="str">
        <f t="shared" si="8"/>
        <v/>
      </c>
      <c r="X26" s="59" t="str">
        <f t="shared" si="9"/>
        <v/>
      </c>
      <c r="Y26" s="59" t="str">
        <f t="shared" si="10"/>
        <v xml:space="preserve">24  </v>
      </c>
      <c r="Z26" s="59" t="str">
        <f t="shared" si="11"/>
        <v xml:space="preserve">24  </v>
      </c>
      <c r="AB26" s="57" t="s">
        <v>138</v>
      </c>
      <c r="AC26" s="57" t="s">
        <v>139</v>
      </c>
      <c r="AD26" s="57" t="str">
        <f t="shared" si="12"/>
        <v>SAFETY</v>
      </c>
    </row>
    <row r="27" spans="1:30">
      <c r="A27" s="70">
        <v>25</v>
      </c>
      <c r="B27" s="14">
        <v>25</v>
      </c>
      <c r="C27" s="5"/>
      <c r="D27" s="5"/>
      <c r="E27" s="5"/>
      <c r="F27" s="5"/>
      <c r="G27" s="5"/>
      <c r="H27" s="5"/>
      <c r="I27" s="5"/>
      <c r="J27" s="5"/>
      <c r="M27" s="15" t="e">
        <f t="shared" si="0"/>
        <v>#N/A</v>
      </c>
      <c r="N27" s="16" t="str">
        <f t="shared" si="1"/>
        <v/>
      </c>
      <c r="O27" s="15" t="str">
        <f>"D:\IMS Images\Headshots\CFB\"&amp;'Team Info'!$B$8&amp;"\"&amp;D27&amp;"_"&amp;C27&amp;".png"</f>
        <v>D:\IMS Images\Headshots\CFB\VANDERBILT\_.png</v>
      </c>
      <c r="P27" s="15" t="str">
        <f>"D:\IMS Images\Actionshots\CFB\"&amp;'Team Info'!$B$8&amp;"\"&amp;D27&amp;"_"&amp;C27&amp;".png"</f>
        <v>D:\IMS Images\Actionshots\CFB\VANDERBILT\_.png</v>
      </c>
      <c r="Q27" s="58" t="str">
        <f t="shared" si="2"/>
        <v xml:space="preserve"> </v>
      </c>
      <c r="R27" s="58" t="str">
        <f t="shared" si="3"/>
        <v xml:space="preserve">. </v>
      </c>
      <c r="S27" s="58" t="str">
        <f t="shared" si="4"/>
        <v xml:space="preserve">. </v>
      </c>
      <c r="T27" s="59" t="str">
        <f t="shared" si="5"/>
        <v/>
      </c>
      <c r="U27" s="59" t="str">
        <f t="shared" si="6"/>
        <v xml:space="preserve"> </v>
      </c>
      <c r="V27" s="59" t="str">
        <f t="shared" si="7"/>
        <v/>
      </c>
      <c r="W27" s="59" t="str">
        <f t="shared" si="8"/>
        <v/>
      </c>
      <c r="X27" s="59" t="str">
        <f t="shared" si="9"/>
        <v/>
      </c>
      <c r="Y27" s="59" t="str">
        <f t="shared" si="10"/>
        <v xml:space="preserve">25  </v>
      </c>
      <c r="Z27" s="59" t="str">
        <f t="shared" si="11"/>
        <v xml:space="preserve">25  </v>
      </c>
      <c r="AB27" s="57" t="s">
        <v>140</v>
      </c>
      <c r="AC27" s="57" t="s">
        <v>141</v>
      </c>
      <c r="AD27" s="57" t="str">
        <f t="shared" si="12"/>
        <v>FREE SAFETY</v>
      </c>
    </row>
    <row r="28" spans="1:30">
      <c r="A28" s="70">
        <v>26</v>
      </c>
      <c r="B28" s="14">
        <v>26</v>
      </c>
      <c r="C28" s="5"/>
      <c r="D28" s="5"/>
      <c r="E28" s="5"/>
      <c r="F28" s="5"/>
      <c r="G28" s="5"/>
      <c r="H28" s="5"/>
      <c r="I28" s="5"/>
      <c r="J28" s="5"/>
      <c r="M28" s="15" t="e">
        <f t="shared" si="0"/>
        <v>#N/A</v>
      </c>
      <c r="N28" s="16" t="str">
        <f t="shared" si="1"/>
        <v/>
      </c>
      <c r="O28" s="15" t="str">
        <f>"D:\IMS Images\Headshots\CFB\"&amp;'Team Info'!$B$8&amp;"\"&amp;D28&amp;"_"&amp;C28&amp;".png"</f>
        <v>D:\IMS Images\Headshots\CFB\VANDERBILT\_.png</v>
      </c>
      <c r="P28" s="15" t="str">
        <f>"D:\IMS Images\Actionshots\CFB\"&amp;'Team Info'!$B$8&amp;"\"&amp;D28&amp;"_"&amp;C28&amp;".png"</f>
        <v>D:\IMS Images\Actionshots\CFB\VANDERBILT\_.png</v>
      </c>
      <c r="Q28" s="58" t="str">
        <f t="shared" si="2"/>
        <v xml:space="preserve"> </v>
      </c>
      <c r="R28" s="58" t="str">
        <f t="shared" si="3"/>
        <v xml:space="preserve">. </v>
      </c>
      <c r="S28" s="58" t="str">
        <f t="shared" si="4"/>
        <v xml:space="preserve">. </v>
      </c>
      <c r="T28" s="59" t="str">
        <f t="shared" si="5"/>
        <v/>
      </c>
      <c r="U28" s="59" t="str">
        <f t="shared" si="6"/>
        <v xml:space="preserve"> </v>
      </c>
      <c r="V28" s="59" t="str">
        <f t="shared" si="7"/>
        <v/>
      </c>
      <c r="W28" s="59" t="str">
        <f t="shared" si="8"/>
        <v/>
      </c>
      <c r="X28" s="59" t="str">
        <f t="shared" si="9"/>
        <v/>
      </c>
      <c r="Y28" s="59" t="str">
        <f t="shared" si="10"/>
        <v xml:space="preserve">26  </v>
      </c>
      <c r="Z28" s="59" t="str">
        <f t="shared" si="11"/>
        <v xml:space="preserve">26  </v>
      </c>
      <c r="AB28" s="57" t="s">
        <v>142</v>
      </c>
      <c r="AC28" s="57" t="s">
        <v>143</v>
      </c>
      <c r="AD28" s="57" t="str">
        <f t="shared" si="12"/>
        <v>STRONG SAFETY</v>
      </c>
    </row>
    <row r="29" spans="1:30">
      <c r="A29" s="70">
        <v>27</v>
      </c>
      <c r="B29" s="14">
        <v>27</v>
      </c>
      <c r="C29" s="5"/>
      <c r="D29" s="5"/>
      <c r="E29" s="5"/>
      <c r="F29" s="5"/>
      <c r="G29" s="5"/>
      <c r="H29" s="5"/>
      <c r="I29" s="5"/>
      <c r="J29" s="5"/>
      <c r="M29" s="15" t="e">
        <f t="shared" si="0"/>
        <v>#N/A</v>
      </c>
      <c r="N29" s="16" t="str">
        <f t="shared" si="1"/>
        <v/>
      </c>
      <c r="O29" s="15" t="str">
        <f>"D:\IMS Images\Headshots\CFB\"&amp;'Team Info'!$B$8&amp;"\"&amp;D29&amp;"_"&amp;C29&amp;".png"</f>
        <v>D:\IMS Images\Headshots\CFB\VANDERBILT\_.png</v>
      </c>
      <c r="P29" s="15" t="str">
        <f>"D:\IMS Images\Actionshots\CFB\"&amp;'Team Info'!$B$8&amp;"\"&amp;D29&amp;"_"&amp;C29&amp;".png"</f>
        <v>D:\IMS Images\Actionshots\CFB\VANDERBILT\_.png</v>
      </c>
      <c r="Q29" s="58" t="str">
        <f t="shared" si="2"/>
        <v xml:space="preserve"> </v>
      </c>
      <c r="R29" s="58" t="str">
        <f t="shared" si="3"/>
        <v xml:space="preserve">. </v>
      </c>
      <c r="S29" s="58" t="str">
        <f t="shared" si="4"/>
        <v xml:space="preserve">. </v>
      </c>
      <c r="T29" s="59" t="str">
        <f t="shared" si="5"/>
        <v/>
      </c>
      <c r="U29" s="59" t="str">
        <f t="shared" si="6"/>
        <v xml:space="preserve"> </v>
      </c>
      <c r="V29" s="59" t="str">
        <f t="shared" si="7"/>
        <v/>
      </c>
      <c r="W29" s="59" t="str">
        <f t="shared" si="8"/>
        <v/>
      </c>
      <c r="X29" s="59" t="str">
        <f t="shared" si="9"/>
        <v/>
      </c>
      <c r="Y29" s="59" t="str">
        <f t="shared" si="10"/>
        <v xml:space="preserve">27  </v>
      </c>
      <c r="Z29" s="59" t="str">
        <f t="shared" si="11"/>
        <v xml:space="preserve">27  </v>
      </c>
      <c r="AB29" s="57" t="s">
        <v>144</v>
      </c>
      <c r="AC29" s="57" t="s">
        <v>145</v>
      </c>
      <c r="AD29" s="57" t="str">
        <f t="shared" si="12"/>
        <v>KICKER</v>
      </c>
    </row>
    <row r="30" spans="1:30">
      <c r="A30" s="70">
        <v>28</v>
      </c>
      <c r="B30" s="14">
        <v>28</v>
      </c>
      <c r="C30" s="5"/>
      <c r="D30" s="5"/>
      <c r="E30" s="5"/>
      <c r="F30" s="5"/>
      <c r="G30" s="5"/>
      <c r="H30" s="5"/>
      <c r="I30" s="5"/>
      <c r="J30" s="5"/>
      <c r="M30" s="15" t="e">
        <f t="shared" si="0"/>
        <v>#N/A</v>
      </c>
      <c r="N30" s="16" t="str">
        <f t="shared" si="1"/>
        <v/>
      </c>
      <c r="O30" s="15" t="str">
        <f>"D:\IMS Images\Headshots\CFB\"&amp;'Team Info'!$B$8&amp;"\"&amp;D30&amp;"_"&amp;C30&amp;".png"</f>
        <v>D:\IMS Images\Headshots\CFB\VANDERBILT\_.png</v>
      </c>
      <c r="P30" s="15" t="str">
        <f>"D:\IMS Images\Actionshots\CFB\"&amp;'Team Info'!$B$8&amp;"\"&amp;D30&amp;"_"&amp;C30&amp;".png"</f>
        <v>D:\IMS Images\Actionshots\CFB\VANDERBILT\_.png</v>
      </c>
      <c r="Q30" s="58" t="str">
        <f t="shared" si="2"/>
        <v xml:space="preserve"> </v>
      </c>
      <c r="R30" s="58" t="str">
        <f t="shared" si="3"/>
        <v xml:space="preserve">. </v>
      </c>
      <c r="S30" s="58" t="str">
        <f t="shared" si="4"/>
        <v xml:space="preserve">. </v>
      </c>
      <c r="T30" s="59" t="str">
        <f t="shared" si="5"/>
        <v/>
      </c>
      <c r="U30" s="59" t="str">
        <f t="shared" si="6"/>
        <v xml:space="preserve"> </v>
      </c>
      <c r="V30" s="59" t="str">
        <f t="shared" si="7"/>
        <v/>
      </c>
      <c r="W30" s="59" t="str">
        <f t="shared" si="8"/>
        <v/>
      </c>
      <c r="X30" s="59" t="str">
        <f t="shared" si="9"/>
        <v/>
      </c>
      <c r="Y30" s="59" t="str">
        <f t="shared" si="10"/>
        <v xml:space="preserve">28  </v>
      </c>
      <c r="Z30" s="59" t="str">
        <f t="shared" si="11"/>
        <v xml:space="preserve">28  </v>
      </c>
      <c r="AB30" s="57" t="s">
        <v>146</v>
      </c>
      <c r="AC30" s="57" t="s">
        <v>147</v>
      </c>
      <c r="AD30" s="57" t="str">
        <f t="shared" si="12"/>
        <v>PUNTER</v>
      </c>
    </row>
    <row r="31" spans="1:30">
      <c r="A31" s="70">
        <v>29</v>
      </c>
      <c r="B31" s="14">
        <v>29</v>
      </c>
      <c r="C31" s="5"/>
      <c r="D31" s="5"/>
      <c r="E31" s="5"/>
      <c r="F31" s="5"/>
      <c r="G31" s="5"/>
      <c r="H31" s="5"/>
      <c r="I31" s="5"/>
      <c r="J31" s="5"/>
      <c r="M31" s="15" t="e">
        <f t="shared" si="0"/>
        <v>#N/A</v>
      </c>
      <c r="N31" s="16" t="str">
        <f t="shared" si="1"/>
        <v/>
      </c>
      <c r="O31" s="15" t="str">
        <f>"D:\IMS Images\Headshots\CFB\"&amp;'Team Info'!$B$8&amp;"\"&amp;D31&amp;"_"&amp;C31&amp;".png"</f>
        <v>D:\IMS Images\Headshots\CFB\VANDERBILT\_.png</v>
      </c>
      <c r="P31" s="15" t="str">
        <f>"D:\IMS Images\Actionshots\CFB\"&amp;'Team Info'!$B$8&amp;"\"&amp;D31&amp;"_"&amp;C31&amp;".png"</f>
        <v>D:\IMS Images\Actionshots\CFB\VANDERBILT\_.png</v>
      </c>
      <c r="Q31" s="58" t="str">
        <f t="shared" si="2"/>
        <v xml:space="preserve"> </v>
      </c>
      <c r="R31" s="58" t="str">
        <f t="shared" si="3"/>
        <v xml:space="preserve">. </v>
      </c>
      <c r="S31" s="58" t="str">
        <f t="shared" si="4"/>
        <v xml:space="preserve">. </v>
      </c>
      <c r="T31" s="59" t="str">
        <f t="shared" si="5"/>
        <v/>
      </c>
      <c r="U31" s="59" t="str">
        <f t="shared" si="6"/>
        <v xml:space="preserve"> </v>
      </c>
      <c r="V31" s="59" t="str">
        <f t="shared" si="7"/>
        <v/>
      </c>
      <c r="W31" s="59" t="str">
        <f t="shared" si="8"/>
        <v/>
      </c>
      <c r="X31" s="59" t="str">
        <f t="shared" si="9"/>
        <v/>
      </c>
      <c r="Y31" s="59" t="str">
        <f t="shared" si="10"/>
        <v xml:space="preserve">29  </v>
      </c>
      <c r="Z31" s="59" t="str">
        <f t="shared" si="11"/>
        <v xml:space="preserve">29  </v>
      </c>
      <c r="AB31" s="57" t="s">
        <v>148</v>
      </c>
      <c r="AC31" s="57" t="s">
        <v>149</v>
      </c>
      <c r="AD31" s="57" t="str">
        <f t="shared" si="12"/>
        <v>KICK RETURNER</v>
      </c>
    </row>
    <row r="32" spans="1:30">
      <c r="A32" s="70">
        <v>30</v>
      </c>
      <c r="B32" s="14">
        <v>30</v>
      </c>
      <c r="C32" s="5"/>
      <c r="D32" s="5"/>
      <c r="E32" s="5"/>
      <c r="F32" s="5"/>
      <c r="G32" s="5"/>
      <c r="H32" s="5"/>
      <c r="I32" s="5"/>
      <c r="J32" s="5"/>
      <c r="M32" s="15" t="e">
        <f t="shared" si="0"/>
        <v>#N/A</v>
      </c>
      <c r="N32" s="16" t="str">
        <f t="shared" si="1"/>
        <v/>
      </c>
      <c r="O32" s="15" t="str">
        <f>"D:\IMS Images\Headshots\CFB\"&amp;'Team Info'!$B$8&amp;"\"&amp;D32&amp;"_"&amp;C32&amp;".png"</f>
        <v>D:\IMS Images\Headshots\CFB\VANDERBILT\_.png</v>
      </c>
      <c r="P32" s="15" t="str">
        <f>"D:\IMS Images\Actionshots\CFB\"&amp;'Team Info'!$B$8&amp;"\"&amp;D32&amp;"_"&amp;C32&amp;".png"</f>
        <v>D:\IMS Images\Actionshots\CFB\VANDERBILT\_.png</v>
      </c>
      <c r="Q32" s="58" t="str">
        <f t="shared" si="2"/>
        <v xml:space="preserve"> </v>
      </c>
      <c r="R32" s="58" t="str">
        <f t="shared" si="3"/>
        <v xml:space="preserve">. </v>
      </c>
      <c r="S32" s="58" t="str">
        <f t="shared" si="4"/>
        <v xml:space="preserve">. </v>
      </c>
      <c r="T32" s="59" t="str">
        <f t="shared" si="5"/>
        <v/>
      </c>
      <c r="U32" s="59" t="str">
        <f t="shared" si="6"/>
        <v xml:space="preserve"> </v>
      </c>
      <c r="V32" s="59" t="str">
        <f t="shared" si="7"/>
        <v/>
      </c>
      <c r="W32" s="59" t="str">
        <f t="shared" si="8"/>
        <v/>
      </c>
      <c r="X32" s="59" t="str">
        <f t="shared" si="9"/>
        <v/>
      </c>
      <c r="Y32" s="59" t="str">
        <f t="shared" si="10"/>
        <v xml:space="preserve">30  </v>
      </c>
      <c r="Z32" s="59" t="str">
        <f t="shared" si="11"/>
        <v xml:space="preserve">30  </v>
      </c>
      <c r="AB32" s="57" t="s">
        <v>150</v>
      </c>
      <c r="AC32" s="57" t="s">
        <v>151</v>
      </c>
      <c r="AD32" s="57" t="str">
        <f t="shared" si="12"/>
        <v>PUNT RETURNER</v>
      </c>
    </row>
    <row r="33" spans="1:30">
      <c r="A33" s="70">
        <v>31</v>
      </c>
      <c r="B33" s="14">
        <v>31</v>
      </c>
      <c r="C33" s="5"/>
      <c r="D33" s="5"/>
      <c r="E33" s="5"/>
      <c r="F33" s="5"/>
      <c r="G33" s="5"/>
      <c r="H33" s="5"/>
      <c r="I33" s="5"/>
      <c r="J33" s="5"/>
      <c r="M33" s="15" t="e">
        <f t="shared" si="0"/>
        <v>#N/A</v>
      </c>
      <c r="N33" s="16" t="str">
        <f t="shared" si="1"/>
        <v/>
      </c>
      <c r="O33" s="15" t="str">
        <f>"D:\IMS Images\Headshots\CFB\"&amp;'Team Info'!$B$8&amp;"\"&amp;D33&amp;"_"&amp;C33&amp;".png"</f>
        <v>D:\IMS Images\Headshots\CFB\VANDERBILT\_.png</v>
      </c>
      <c r="P33" s="15" t="str">
        <f>"D:\IMS Images\Actionshots\CFB\"&amp;'Team Info'!$B$8&amp;"\"&amp;D33&amp;"_"&amp;C33&amp;".png"</f>
        <v>D:\IMS Images\Actionshots\CFB\VANDERBILT\_.png</v>
      </c>
      <c r="Q33" s="58" t="str">
        <f t="shared" si="2"/>
        <v xml:space="preserve"> </v>
      </c>
      <c r="R33" s="58" t="str">
        <f t="shared" si="3"/>
        <v xml:space="preserve">. </v>
      </c>
      <c r="S33" s="58" t="str">
        <f t="shared" si="4"/>
        <v xml:space="preserve">. </v>
      </c>
      <c r="T33" s="59" t="str">
        <f t="shared" si="5"/>
        <v/>
      </c>
      <c r="U33" s="59" t="str">
        <f t="shared" si="6"/>
        <v xml:space="preserve"> </v>
      </c>
      <c r="V33" s="59" t="str">
        <f t="shared" si="7"/>
        <v/>
      </c>
      <c r="W33" s="59" t="str">
        <f t="shared" si="8"/>
        <v/>
      </c>
      <c r="X33" s="59" t="str">
        <f t="shared" si="9"/>
        <v/>
      </c>
      <c r="Y33" s="59" t="str">
        <f t="shared" si="10"/>
        <v xml:space="preserve">31  </v>
      </c>
      <c r="Z33" s="59" t="str">
        <f t="shared" si="11"/>
        <v xml:space="preserve">31  </v>
      </c>
      <c r="AB33" s="57" t="s">
        <v>152</v>
      </c>
      <c r="AC33" s="57" t="s">
        <v>153</v>
      </c>
      <c r="AD33" s="57" t="str">
        <f t="shared" si="12"/>
        <v>LONG SNAPPER</v>
      </c>
    </row>
    <row r="34" spans="1:30">
      <c r="A34" s="70">
        <v>32</v>
      </c>
      <c r="B34" s="14">
        <v>32</v>
      </c>
      <c r="C34" s="5"/>
      <c r="D34" s="5"/>
      <c r="E34" s="5"/>
      <c r="F34" s="5"/>
      <c r="G34" s="5"/>
      <c r="H34" s="5"/>
      <c r="I34" s="5"/>
      <c r="J34" s="5"/>
      <c r="M34" s="15" t="e">
        <f t="shared" si="0"/>
        <v>#N/A</v>
      </c>
      <c r="N34" s="16" t="str">
        <f t="shared" si="1"/>
        <v/>
      </c>
      <c r="O34" s="15" t="str">
        <f>"D:\IMS Images\Headshots\CFB\"&amp;'Team Info'!$B$8&amp;"\"&amp;D34&amp;"_"&amp;C34&amp;".png"</f>
        <v>D:\IMS Images\Headshots\CFB\VANDERBILT\_.png</v>
      </c>
      <c r="P34" s="15" t="str">
        <f>"D:\IMS Images\Actionshots\CFB\"&amp;'Team Info'!$B$8&amp;"\"&amp;D34&amp;"_"&amp;C34&amp;".png"</f>
        <v>D:\IMS Images\Actionshots\CFB\VANDERBILT\_.png</v>
      </c>
      <c r="Q34" s="58" t="str">
        <f t="shared" si="2"/>
        <v xml:space="preserve"> </v>
      </c>
      <c r="R34" s="58" t="str">
        <f t="shared" si="3"/>
        <v xml:space="preserve">. </v>
      </c>
      <c r="S34" s="58" t="str">
        <f t="shared" si="4"/>
        <v xml:space="preserve">. </v>
      </c>
      <c r="T34" s="59" t="str">
        <f t="shared" si="5"/>
        <v/>
      </c>
      <c r="U34" s="59" t="str">
        <f t="shared" si="6"/>
        <v xml:space="preserve"> </v>
      </c>
      <c r="V34" s="59" t="str">
        <f t="shared" si="7"/>
        <v/>
      </c>
      <c r="W34" s="59" t="str">
        <f t="shared" si="8"/>
        <v/>
      </c>
      <c r="X34" s="59" t="str">
        <f t="shared" si="9"/>
        <v/>
      </c>
      <c r="Y34" s="59" t="str">
        <f t="shared" si="10"/>
        <v xml:space="preserve">32  </v>
      </c>
      <c r="Z34" s="59" t="str">
        <f t="shared" si="11"/>
        <v xml:space="preserve">32  </v>
      </c>
      <c r="AB34" s="57" t="s">
        <v>154</v>
      </c>
      <c r="AC34" s="57" t="s">
        <v>155</v>
      </c>
      <c r="AD34" s="57" t="str">
        <f t="shared" si="12"/>
        <v>HOLDER</v>
      </c>
    </row>
    <row r="35" spans="1:30">
      <c r="A35" s="70">
        <v>33</v>
      </c>
      <c r="B35" s="14">
        <v>33</v>
      </c>
      <c r="C35" s="5"/>
      <c r="D35" s="5"/>
      <c r="E35" s="5"/>
      <c r="F35" s="5"/>
      <c r="G35" s="5"/>
      <c r="H35" s="5"/>
      <c r="I35" s="5"/>
      <c r="J35" s="5"/>
      <c r="M35" s="15" t="e">
        <f t="shared" ref="M35:M66" si="13">VLOOKUP(E35,$AB$3:$AD$36,3,0)</f>
        <v>#N/A</v>
      </c>
      <c r="N35" s="16" t="str">
        <f t="shared" ref="N35:N66" si="14">IF($I35=4,"Senior",IF($I35=3,"Junior",IF($I35=2,"Sophomore",IF($I35=1,"Freshman",""))))</f>
        <v/>
      </c>
      <c r="O35" s="15" t="str">
        <f>"D:\IMS Images\Headshots\CFB\"&amp;'Team Info'!$B$8&amp;"\"&amp;D35&amp;"_"&amp;C35&amp;".png"</f>
        <v>D:\IMS Images\Headshots\CFB\VANDERBILT\_.png</v>
      </c>
      <c r="P35" s="15" t="str">
        <f>"D:\IMS Images\Actionshots\CFB\"&amp;'Team Info'!$B$8&amp;"\"&amp;D35&amp;"_"&amp;C35&amp;".png"</f>
        <v>D:\IMS Images\Actionshots\CFB\VANDERBILT\_.png</v>
      </c>
      <c r="Q35" s="58" t="str">
        <f t="shared" ref="Q35:Q66" si="15">C35&amp;" "&amp;D35</f>
        <v xml:space="preserve"> </v>
      </c>
      <c r="R35" s="58" t="str">
        <f t="shared" ref="R35:R66" si="16">LEFT(C35,1)&amp;". "&amp;D35</f>
        <v xml:space="preserve">. </v>
      </c>
      <c r="S35" s="58" t="str">
        <f t="shared" ref="S35:S66" si="17">UPPER(R35)</f>
        <v xml:space="preserve">. </v>
      </c>
      <c r="T35" s="59" t="str">
        <f t="shared" ref="T35:T66" si="18">IF($I35=4,"SR",IF($I35=3,"JR",IF($I35=2,"SO",IF($I35=1,"FR",""))))</f>
        <v/>
      </c>
      <c r="U35" s="59" t="str">
        <f t="shared" ref="U35:U66" si="19">UPPER(Q35)</f>
        <v xml:space="preserve"> </v>
      </c>
      <c r="V35" s="59" t="str">
        <f t="shared" ref="V35:V66" si="20">UPPER(C35)</f>
        <v/>
      </c>
      <c r="W35" s="59" t="str">
        <f t="shared" ref="W35:W66" si="21">UPPER(D35)</f>
        <v/>
      </c>
      <c r="X35" s="59" t="str">
        <f t="shared" ref="X35:X66" si="22">UPPER(N35)</f>
        <v/>
      </c>
      <c r="Y35" s="59" t="str">
        <f t="shared" ref="Y35:Y66" si="23">B35 &amp;" " &amp; U35</f>
        <v xml:space="preserve">33  </v>
      </c>
      <c r="Z35" s="59" t="str">
        <f t="shared" ref="Z35:Z66" si="24">B35 &amp;" " &amp; Q35</f>
        <v xml:space="preserve">33  </v>
      </c>
      <c r="AB35" s="57" t="s">
        <v>156</v>
      </c>
      <c r="AC35" s="57" t="s">
        <v>127</v>
      </c>
      <c r="AD35" s="57" t="str">
        <f t="shared" si="12"/>
        <v>LINEBACKER</v>
      </c>
    </row>
    <row r="36" spans="1:30">
      <c r="A36" s="70">
        <v>34</v>
      </c>
      <c r="B36" s="14">
        <v>34</v>
      </c>
      <c r="C36" s="5"/>
      <c r="D36" s="5"/>
      <c r="E36" s="5"/>
      <c r="F36" s="5"/>
      <c r="G36" s="5"/>
      <c r="H36" s="5"/>
      <c r="I36" s="5"/>
      <c r="J36" s="5"/>
      <c r="M36" s="15" t="e">
        <f t="shared" si="13"/>
        <v>#N/A</v>
      </c>
      <c r="N36" s="16" t="str">
        <f t="shared" si="14"/>
        <v/>
      </c>
      <c r="O36" s="15" t="str">
        <f>"D:\IMS Images\Headshots\CFB\"&amp;'Team Info'!$B$8&amp;"\"&amp;D36&amp;"_"&amp;C36&amp;".png"</f>
        <v>D:\IMS Images\Headshots\CFB\VANDERBILT\_.png</v>
      </c>
      <c r="P36" s="15" t="str">
        <f>"D:\IMS Images\Actionshots\CFB\"&amp;'Team Info'!$B$8&amp;"\"&amp;D36&amp;"_"&amp;C36&amp;".png"</f>
        <v>D:\IMS Images\Actionshots\CFB\VANDERBILT\_.png</v>
      </c>
      <c r="Q36" s="58" t="str">
        <f t="shared" si="15"/>
        <v xml:space="preserve"> </v>
      </c>
      <c r="R36" s="58" t="str">
        <f t="shared" si="16"/>
        <v xml:space="preserve">. </v>
      </c>
      <c r="S36" s="58" t="str">
        <f t="shared" si="17"/>
        <v xml:space="preserve">. </v>
      </c>
      <c r="T36" s="59" t="str">
        <f t="shared" si="18"/>
        <v/>
      </c>
      <c r="U36" s="59" t="str">
        <f t="shared" si="19"/>
        <v xml:space="preserve"> </v>
      </c>
      <c r="V36" s="59" t="str">
        <f t="shared" si="20"/>
        <v/>
      </c>
      <c r="W36" s="59" t="str">
        <f t="shared" si="21"/>
        <v/>
      </c>
      <c r="X36" s="59" t="str">
        <f t="shared" si="22"/>
        <v/>
      </c>
      <c r="Y36" s="59" t="str">
        <f t="shared" si="23"/>
        <v xml:space="preserve">34  </v>
      </c>
      <c r="Z36" s="59" t="str">
        <f t="shared" si="24"/>
        <v xml:space="preserve">34  </v>
      </c>
    </row>
    <row r="37" spans="1:30">
      <c r="A37" s="70">
        <v>35</v>
      </c>
      <c r="B37" s="14">
        <v>35</v>
      </c>
      <c r="C37" s="5"/>
      <c r="D37" s="5"/>
      <c r="E37" s="5"/>
      <c r="F37" s="5"/>
      <c r="G37" s="5"/>
      <c r="H37" s="5"/>
      <c r="I37" s="5"/>
      <c r="J37" s="5"/>
      <c r="M37" s="15" t="e">
        <f t="shared" si="13"/>
        <v>#N/A</v>
      </c>
      <c r="N37" s="16" t="str">
        <f t="shared" si="14"/>
        <v/>
      </c>
      <c r="O37" s="15" t="str">
        <f>"D:\IMS Images\Headshots\CFB\"&amp;'Team Info'!$B$8&amp;"\"&amp;D37&amp;"_"&amp;C37&amp;".png"</f>
        <v>D:\IMS Images\Headshots\CFB\VANDERBILT\_.png</v>
      </c>
      <c r="P37" s="15" t="str">
        <f>"D:\IMS Images\Actionshots\CFB\"&amp;'Team Info'!$B$8&amp;"\"&amp;D37&amp;"_"&amp;C37&amp;".png"</f>
        <v>D:\IMS Images\Actionshots\CFB\VANDERBILT\_.png</v>
      </c>
      <c r="Q37" s="58" t="str">
        <f t="shared" si="15"/>
        <v xml:space="preserve"> </v>
      </c>
      <c r="R37" s="58" t="str">
        <f t="shared" si="16"/>
        <v xml:space="preserve">. </v>
      </c>
      <c r="S37" s="58" t="str">
        <f t="shared" si="17"/>
        <v xml:space="preserve">. </v>
      </c>
      <c r="T37" s="59" t="str">
        <f t="shared" si="18"/>
        <v/>
      </c>
      <c r="U37" s="59" t="str">
        <f t="shared" si="19"/>
        <v xml:space="preserve"> </v>
      </c>
      <c r="V37" s="59" t="str">
        <f t="shared" si="20"/>
        <v/>
      </c>
      <c r="W37" s="59" t="str">
        <f t="shared" si="21"/>
        <v/>
      </c>
      <c r="X37" s="59" t="str">
        <f t="shared" si="22"/>
        <v/>
      </c>
      <c r="Y37" s="59" t="str">
        <f t="shared" si="23"/>
        <v xml:space="preserve">35  </v>
      </c>
      <c r="Z37" s="59" t="str">
        <f t="shared" si="24"/>
        <v xml:space="preserve">35  </v>
      </c>
    </row>
    <row r="38" spans="1:30">
      <c r="A38" s="70">
        <v>36</v>
      </c>
      <c r="B38" s="14">
        <v>36</v>
      </c>
      <c r="C38" s="5"/>
      <c r="D38" s="5"/>
      <c r="E38" s="5"/>
      <c r="F38" s="5"/>
      <c r="G38" s="5"/>
      <c r="H38" s="5"/>
      <c r="I38" s="5"/>
      <c r="J38" s="5"/>
      <c r="M38" s="15" t="e">
        <f t="shared" si="13"/>
        <v>#N/A</v>
      </c>
      <c r="N38" s="16" t="str">
        <f t="shared" si="14"/>
        <v/>
      </c>
      <c r="O38" s="15" t="str">
        <f>"D:\IMS Images\Headshots\CFB\"&amp;'Team Info'!$B$8&amp;"\"&amp;D38&amp;"_"&amp;C38&amp;".png"</f>
        <v>D:\IMS Images\Headshots\CFB\VANDERBILT\_.png</v>
      </c>
      <c r="P38" s="15" t="str">
        <f>"D:\IMS Images\Actionshots\CFB\"&amp;'Team Info'!$B$8&amp;"\"&amp;D38&amp;"_"&amp;C38&amp;".png"</f>
        <v>D:\IMS Images\Actionshots\CFB\VANDERBILT\_.png</v>
      </c>
      <c r="Q38" s="58" t="str">
        <f t="shared" si="15"/>
        <v xml:space="preserve"> </v>
      </c>
      <c r="R38" s="58" t="str">
        <f t="shared" si="16"/>
        <v xml:space="preserve">. </v>
      </c>
      <c r="S38" s="58" t="str">
        <f t="shared" si="17"/>
        <v xml:space="preserve">. </v>
      </c>
      <c r="T38" s="59" t="str">
        <f t="shared" si="18"/>
        <v/>
      </c>
      <c r="U38" s="59" t="str">
        <f t="shared" si="19"/>
        <v xml:space="preserve"> </v>
      </c>
      <c r="V38" s="59" t="str">
        <f t="shared" si="20"/>
        <v/>
      </c>
      <c r="W38" s="59" t="str">
        <f t="shared" si="21"/>
        <v/>
      </c>
      <c r="X38" s="59" t="str">
        <f t="shared" si="22"/>
        <v/>
      </c>
      <c r="Y38" s="59" t="str">
        <f t="shared" si="23"/>
        <v xml:space="preserve">36  </v>
      </c>
      <c r="Z38" s="59" t="str">
        <f t="shared" si="24"/>
        <v xml:space="preserve">36  </v>
      </c>
    </row>
    <row r="39" spans="1:30">
      <c r="A39" s="70">
        <v>37</v>
      </c>
      <c r="B39" s="14">
        <v>37</v>
      </c>
      <c r="C39" s="5"/>
      <c r="D39" s="5"/>
      <c r="E39" s="5"/>
      <c r="F39" s="5"/>
      <c r="G39" s="5"/>
      <c r="H39" s="5"/>
      <c r="I39" s="5"/>
      <c r="J39" s="5"/>
      <c r="M39" s="15" t="e">
        <f t="shared" si="13"/>
        <v>#N/A</v>
      </c>
      <c r="N39" s="16" t="str">
        <f t="shared" si="14"/>
        <v/>
      </c>
      <c r="O39" s="15" t="str">
        <f>"D:\IMS Images\Headshots\CFB\"&amp;'Team Info'!$B$8&amp;"\"&amp;D39&amp;"_"&amp;C39&amp;".png"</f>
        <v>D:\IMS Images\Headshots\CFB\VANDERBILT\_.png</v>
      </c>
      <c r="P39" s="15" t="str">
        <f>"D:\IMS Images\Actionshots\CFB\"&amp;'Team Info'!$B$8&amp;"\"&amp;D39&amp;"_"&amp;C39&amp;".png"</f>
        <v>D:\IMS Images\Actionshots\CFB\VANDERBILT\_.png</v>
      </c>
      <c r="Q39" s="58" t="str">
        <f t="shared" si="15"/>
        <v xml:space="preserve"> </v>
      </c>
      <c r="R39" s="58" t="str">
        <f t="shared" si="16"/>
        <v xml:space="preserve">. </v>
      </c>
      <c r="S39" s="58" t="str">
        <f t="shared" si="17"/>
        <v xml:space="preserve">. </v>
      </c>
      <c r="T39" s="59" t="str">
        <f t="shared" si="18"/>
        <v/>
      </c>
      <c r="U39" s="59" t="str">
        <f t="shared" si="19"/>
        <v xml:space="preserve"> </v>
      </c>
      <c r="V39" s="59" t="str">
        <f t="shared" si="20"/>
        <v/>
      </c>
      <c r="W39" s="59" t="str">
        <f t="shared" si="21"/>
        <v/>
      </c>
      <c r="X39" s="59" t="str">
        <f t="shared" si="22"/>
        <v/>
      </c>
      <c r="Y39" s="59" t="str">
        <f t="shared" si="23"/>
        <v xml:space="preserve">37  </v>
      </c>
      <c r="Z39" s="59" t="str">
        <f t="shared" si="24"/>
        <v xml:space="preserve">37  </v>
      </c>
    </row>
    <row r="40" spans="1:30">
      <c r="A40" s="70">
        <v>38</v>
      </c>
      <c r="B40" s="14">
        <v>38</v>
      </c>
      <c r="C40" s="5"/>
      <c r="D40" s="5"/>
      <c r="E40" s="5"/>
      <c r="F40" s="5"/>
      <c r="G40" s="5"/>
      <c r="H40" s="5"/>
      <c r="I40" s="5"/>
      <c r="J40" s="5"/>
      <c r="M40" s="15" t="e">
        <f t="shared" si="13"/>
        <v>#N/A</v>
      </c>
      <c r="N40" s="16" t="str">
        <f t="shared" si="14"/>
        <v/>
      </c>
      <c r="O40" s="15" t="str">
        <f>"D:\IMS Images\Headshots\CFB\"&amp;'Team Info'!$B$8&amp;"\"&amp;D40&amp;"_"&amp;C40&amp;".png"</f>
        <v>D:\IMS Images\Headshots\CFB\VANDERBILT\_.png</v>
      </c>
      <c r="P40" s="15" t="str">
        <f>"D:\IMS Images\Actionshots\CFB\"&amp;'Team Info'!$B$8&amp;"\"&amp;D40&amp;"_"&amp;C40&amp;".png"</f>
        <v>D:\IMS Images\Actionshots\CFB\VANDERBILT\_.png</v>
      </c>
      <c r="Q40" s="58" t="str">
        <f t="shared" si="15"/>
        <v xml:space="preserve"> </v>
      </c>
      <c r="R40" s="58" t="str">
        <f t="shared" si="16"/>
        <v xml:space="preserve">. </v>
      </c>
      <c r="S40" s="58" t="str">
        <f t="shared" si="17"/>
        <v xml:space="preserve">. </v>
      </c>
      <c r="T40" s="59" t="str">
        <f t="shared" si="18"/>
        <v/>
      </c>
      <c r="U40" s="59" t="str">
        <f t="shared" si="19"/>
        <v xml:space="preserve"> </v>
      </c>
      <c r="V40" s="59" t="str">
        <f t="shared" si="20"/>
        <v/>
      </c>
      <c r="W40" s="59" t="str">
        <f t="shared" si="21"/>
        <v/>
      </c>
      <c r="X40" s="59" t="str">
        <f t="shared" si="22"/>
        <v/>
      </c>
      <c r="Y40" s="59" t="str">
        <f t="shared" si="23"/>
        <v xml:space="preserve">38  </v>
      </c>
      <c r="Z40" s="59" t="str">
        <f t="shared" si="24"/>
        <v xml:space="preserve">38  </v>
      </c>
    </row>
    <row r="41" spans="1:30">
      <c r="A41" s="70">
        <v>39</v>
      </c>
      <c r="B41" s="14">
        <v>39</v>
      </c>
      <c r="C41" s="5"/>
      <c r="D41" s="5"/>
      <c r="E41" s="5"/>
      <c r="F41" s="5"/>
      <c r="G41" s="5"/>
      <c r="H41" s="5"/>
      <c r="I41" s="5"/>
      <c r="J41" s="5"/>
      <c r="M41" s="15" t="e">
        <f t="shared" si="13"/>
        <v>#N/A</v>
      </c>
      <c r="N41" s="16" t="str">
        <f t="shared" si="14"/>
        <v/>
      </c>
      <c r="O41" s="15" t="str">
        <f>"D:\IMS Images\Headshots\CFB\"&amp;'Team Info'!$B$8&amp;"\"&amp;D41&amp;"_"&amp;C41&amp;".png"</f>
        <v>D:\IMS Images\Headshots\CFB\VANDERBILT\_.png</v>
      </c>
      <c r="P41" s="15" t="str">
        <f>"D:\IMS Images\Actionshots\CFB\"&amp;'Team Info'!$B$8&amp;"\"&amp;D41&amp;"_"&amp;C41&amp;".png"</f>
        <v>D:\IMS Images\Actionshots\CFB\VANDERBILT\_.png</v>
      </c>
      <c r="Q41" s="58" t="str">
        <f t="shared" si="15"/>
        <v xml:space="preserve"> </v>
      </c>
      <c r="R41" s="58" t="str">
        <f t="shared" si="16"/>
        <v xml:space="preserve">. </v>
      </c>
      <c r="S41" s="58" t="str">
        <f t="shared" si="17"/>
        <v xml:space="preserve">. </v>
      </c>
      <c r="T41" s="59" t="str">
        <f t="shared" si="18"/>
        <v/>
      </c>
      <c r="U41" s="59" t="str">
        <f t="shared" si="19"/>
        <v xml:space="preserve"> </v>
      </c>
      <c r="V41" s="59" t="str">
        <f t="shared" si="20"/>
        <v/>
      </c>
      <c r="W41" s="59" t="str">
        <f t="shared" si="21"/>
        <v/>
      </c>
      <c r="X41" s="59" t="str">
        <f t="shared" si="22"/>
        <v/>
      </c>
      <c r="Y41" s="59" t="str">
        <f t="shared" si="23"/>
        <v xml:space="preserve">39  </v>
      </c>
      <c r="Z41" s="59" t="str">
        <f t="shared" si="24"/>
        <v xml:space="preserve">39  </v>
      </c>
    </row>
    <row r="42" spans="1:30">
      <c r="A42" s="70">
        <v>40</v>
      </c>
      <c r="B42" s="14">
        <v>40</v>
      </c>
      <c r="C42" s="5"/>
      <c r="D42" s="5"/>
      <c r="E42" s="5"/>
      <c r="F42" s="5"/>
      <c r="G42" s="5"/>
      <c r="H42" s="5"/>
      <c r="I42" s="5"/>
      <c r="J42" s="5"/>
      <c r="M42" s="15" t="e">
        <f t="shared" si="13"/>
        <v>#N/A</v>
      </c>
      <c r="N42" s="16" t="str">
        <f t="shared" si="14"/>
        <v/>
      </c>
      <c r="O42" s="15" t="str">
        <f>"D:\IMS Images\Headshots\CFB\"&amp;'Team Info'!$B$8&amp;"\"&amp;D42&amp;"_"&amp;C42&amp;".png"</f>
        <v>D:\IMS Images\Headshots\CFB\VANDERBILT\_.png</v>
      </c>
      <c r="P42" s="15" t="str">
        <f>"D:\IMS Images\Actionshots\CFB\"&amp;'Team Info'!$B$8&amp;"\"&amp;D42&amp;"_"&amp;C42&amp;".png"</f>
        <v>D:\IMS Images\Actionshots\CFB\VANDERBILT\_.png</v>
      </c>
      <c r="Q42" s="58" t="str">
        <f t="shared" si="15"/>
        <v xml:space="preserve"> </v>
      </c>
      <c r="R42" s="58" t="str">
        <f t="shared" si="16"/>
        <v xml:space="preserve">. </v>
      </c>
      <c r="S42" s="58" t="str">
        <f t="shared" si="17"/>
        <v xml:space="preserve">. </v>
      </c>
      <c r="T42" s="59" t="str">
        <f t="shared" si="18"/>
        <v/>
      </c>
      <c r="U42" s="59" t="str">
        <f t="shared" si="19"/>
        <v xml:space="preserve"> </v>
      </c>
      <c r="V42" s="59" t="str">
        <f t="shared" si="20"/>
        <v/>
      </c>
      <c r="W42" s="59" t="str">
        <f t="shared" si="21"/>
        <v/>
      </c>
      <c r="X42" s="59" t="str">
        <f t="shared" si="22"/>
        <v/>
      </c>
      <c r="Y42" s="59" t="str">
        <f t="shared" si="23"/>
        <v xml:space="preserve">40  </v>
      </c>
      <c r="Z42" s="59" t="str">
        <f t="shared" si="24"/>
        <v xml:space="preserve">40  </v>
      </c>
    </row>
    <row r="43" spans="1:30">
      <c r="A43" s="70">
        <v>41</v>
      </c>
      <c r="B43" s="14">
        <v>41</v>
      </c>
      <c r="C43" s="5"/>
      <c r="D43" s="5"/>
      <c r="E43" s="5"/>
      <c r="F43" s="5"/>
      <c r="G43" s="5"/>
      <c r="H43" s="5"/>
      <c r="I43" s="5"/>
      <c r="J43" s="5"/>
      <c r="M43" s="15" t="e">
        <f t="shared" si="13"/>
        <v>#N/A</v>
      </c>
      <c r="N43" s="16" t="str">
        <f t="shared" si="14"/>
        <v/>
      </c>
      <c r="O43" s="15" t="str">
        <f>"D:\IMS Images\Headshots\CFB\"&amp;'Team Info'!$B$8&amp;"\"&amp;D43&amp;"_"&amp;C43&amp;".png"</f>
        <v>D:\IMS Images\Headshots\CFB\VANDERBILT\_.png</v>
      </c>
      <c r="P43" s="15" t="str">
        <f>"D:\IMS Images\Actionshots\CFB\"&amp;'Team Info'!$B$8&amp;"\"&amp;D43&amp;"_"&amp;C43&amp;".png"</f>
        <v>D:\IMS Images\Actionshots\CFB\VANDERBILT\_.png</v>
      </c>
      <c r="Q43" s="58" t="str">
        <f t="shared" si="15"/>
        <v xml:space="preserve"> </v>
      </c>
      <c r="R43" s="58" t="str">
        <f t="shared" si="16"/>
        <v xml:space="preserve">. </v>
      </c>
      <c r="S43" s="58" t="str">
        <f t="shared" si="17"/>
        <v xml:space="preserve">. </v>
      </c>
      <c r="T43" s="59" t="str">
        <f t="shared" si="18"/>
        <v/>
      </c>
      <c r="U43" s="59" t="str">
        <f t="shared" si="19"/>
        <v xml:space="preserve"> </v>
      </c>
      <c r="V43" s="59" t="str">
        <f t="shared" si="20"/>
        <v/>
      </c>
      <c r="W43" s="59" t="str">
        <f t="shared" si="21"/>
        <v/>
      </c>
      <c r="X43" s="59" t="str">
        <f t="shared" si="22"/>
        <v/>
      </c>
      <c r="Y43" s="59" t="str">
        <f t="shared" si="23"/>
        <v xml:space="preserve">41  </v>
      </c>
      <c r="Z43" s="59" t="str">
        <f t="shared" si="24"/>
        <v xml:space="preserve">41  </v>
      </c>
    </row>
    <row r="44" spans="1:30">
      <c r="A44" s="70">
        <v>42</v>
      </c>
      <c r="B44" s="14">
        <v>42</v>
      </c>
      <c r="C44" s="5"/>
      <c r="D44" s="5"/>
      <c r="E44" s="5"/>
      <c r="F44" s="5"/>
      <c r="G44" s="5"/>
      <c r="H44" s="5"/>
      <c r="I44" s="5"/>
      <c r="J44" s="5"/>
      <c r="M44" s="15" t="e">
        <f t="shared" si="13"/>
        <v>#N/A</v>
      </c>
      <c r="N44" s="16" t="str">
        <f t="shared" si="14"/>
        <v/>
      </c>
      <c r="O44" s="15" t="str">
        <f>"D:\IMS Images\Headshots\CFB\"&amp;'Team Info'!$B$8&amp;"\"&amp;D44&amp;"_"&amp;C44&amp;".png"</f>
        <v>D:\IMS Images\Headshots\CFB\VANDERBILT\_.png</v>
      </c>
      <c r="P44" s="15" t="str">
        <f>"D:\IMS Images\Actionshots\CFB\"&amp;'Team Info'!$B$8&amp;"\"&amp;D44&amp;"_"&amp;C44&amp;".png"</f>
        <v>D:\IMS Images\Actionshots\CFB\VANDERBILT\_.png</v>
      </c>
      <c r="Q44" s="58" t="str">
        <f t="shared" si="15"/>
        <v xml:space="preserve"> </v>
      </c>
      <c r="R44" s="58" t="str">
        <f t="shared" si="16"/>
        <v xml:space="preserve">. </v>
      </c>
      <c r="S44" s="58" t="str">
        <f t="shared" si="17"/>
        <v xml:space="preserve">. </v>
      </c>
      <c r="T44" s="59" t="str">
        <f t="shared" si="18"/>
        <v/>
      </c>
      <c r="U44" s="59" t="str">
        <f t="shared" si="19"/>
        <v xml:space="preserve"> </v>
      </c>
      <c r="V44" s="59" t="str">
        <f t="shared" si="20"/>
        <v/>
      </c>
      <c r="W44" s="59" t="str">
        <f t="shared" si="21"/>
        <v/>
      </c>
      <c r="X44" s="59" t="str">
        <f t="shared" si="22"/>
        <v/>
      </c>
      <c r="Y44" s="59" t="str">
        <f t="shared" si="23"/>
        <v xml:space="preserve">42  </v>
      </c>
      <c r="Z44" s="59" t="str">
        <f t="shared" si="24"/>
        <v xml:space="preserve">42  </v>
      </c>
    </row>
    <row r="45" spans="1:30">
      <c r="A45" s="70">
        <v>43</v>
      </c>
      <c r="B45" s="14">
        <v>43</v>
      </c>
      <c r="C45" s="5"/>
      <c r="D45" s="5"/>
      <c r="E45" s="5"/>
      <c r="F45" s="5"/>
      <c r="G45" s="5"/>
      <c r="H45" s="5"/>
      <c r="I45" s="5"/>
      <c r="J45" s="5"/>
      <c r="M45" s="15" t="e">
        <f t="shared" si="13"/>
        <v>#N/A</v>
      </c>
      <c r="N45" s="16" t="str">
        <f t="shared" si="14"/>
        <v/>
      </c>
      <c r="O45" s="15" t="str">
        <f>"D:\IMS Images\Headshots\CFB\"&amp;'Team Info'!$B$8&amp;"\"&amp;D45&amp;"_"&amp;C45&amp;".png"</f>
        <v>D:\IMS Images\Headshots\CFB\VANDERBILT\_.png</v>
      </c>
      <c r="P45" s="15" t="str">
        <f>"D:\IMS Images\Actionshots\CFB\"&amp;'Team Info'!$B$8&amp;"\"&amp;D45&amp;"_"&amp;C45&amp;".png"</f>
        <v>D:\IMS Images\Actionshots\CFB\VANDERBILT\_.png</v>
      </c>
      <c r="Q45" s="58" t="str">
        <f t="shared" si="15"/>
        <v xml:space="preserve"> </v>
      </c>
      <c r="R45" s="58" t="str">
        <f t="shared" si="16"/>
        <v xml:space="preserve">. </v>
      </c>
      <c r="S45" s="58" t="str">
        <f t="shared" si="17"/>
        <v xml:space="preserve">. </v>
      </c>
      <c r="T45" s="59" t="str">
        <f t="shared" si="18"/>
        <v/>
      </c>
      <c r="U45" s="59" t="str">
        <f t="shared" si="19"/>
        <v xml:space="preserve"> </v>
      </c>
      <c r="V45" s="59" t="str">
        <f t="shared" si="20"/>
        <v/>
      </c>
      <c r="W45" s="59" t="str">
        <f t="shared" si="21"/>
        <v/>
      </c>
      <c r="X45" s="59" t="str">
        <f t="shared" si="22"/>
        <v/>
      </c>
      <c r="Y45" s="59" t="str">
        <f t="shared" si="23"/>
        <v xml:space="preserve">43  </v>
      </c>
      <c r="Z45" s="59" t="str">
        <f t="shared" si="24"/>
        <v xml:space="preserve">43  </v>
      </c>
    </row>
    <row r="46" spans="1:30">
      <c r="A46" s="70">
        <v>44</v>
      </c>
      <c r="B46" s="14">
        <v>44</v>
      </c>
      <c r="C46" s="5"/>
      <c r="D46" s="5"/>
      <c r="E46" s="5"/>
      <c r="F46" s="5"/>
      <c r="G46" s="5"/>
      <c r="H46" s="5"/>
      <c r="I46" s="5"/>
      <c r="J46" s="5"/>
      <c r="M46" s="15" t="e">
        <f t="shared" si="13"/>
        <v>#N/A</v>
      </c>
      <c r="N46" s="16" t="str">
        <f t="shared" si="14"/>
        <v/>
      </c>
      <c r="O46" s="15" t="str">
        <f>"D:\IMS Images\Headshots\CFB\"&amp;'Team Info'!$B$8&amp;"\"&amp;D46&amp;"_"&amp;C46&amp;".png"</f>
        <v>D:\IMS Images\Headshots\CFB\VANDERBILT\_.png</v>
      </c>
      <c r="P46" s="15" t="str">
        <f>"D:\IMS Images\Actionshots\CFB\"&amp;'Team Info'!$B$8&amp;"\"&amp;D46&amp;"_"&amp;C46&amp;".png"</f>
        <v>D:\IMS Images\Actionshots\CFB\VANDERBILT\_.png</v>
      </c>
      <c r="Q46" s="58" t="str">
        <f t="shared" si="15"/>
        <v xml:space="preserve"> </v>
      </c>
      <c r="R46" s="58" t="str">
        <f t="shared" si="16"/>
        <v xml:space="preserve">. </v>
      </c>
      <c r="S46" s="58" t="str">
        <f t="shared" si="17"/>
        <v xml:space="preserve">. </v>
      </c>
      <c r="T46" s="59" t="str">
        <f t="shared" si="18"/>
        <v/>
      </c>
      <c r="U46" s="59" t="str">
        <f t="shared" si="19"/>
        <v xml:space="preserve"> </v>
      </c>
      <c r="V46" s="59" t="str">
        <f t="shared" si="20"/>
        <v/>
      </c>
      <c r="W46" s="59" t="str">
        <f t="shared" si="21"/>
        <v/>
      </c>
      <c r="X46" s="59" t="str">
        <f t="shared" si="22"/>
        <v/>
      </c>
      <c r="Y46" s="59" t="str">
        <f t="shared" si="23"/>
        <v xml:space="preserve">44  </v>
      </c>
      <c r="Z46" s="59" t="str">
        <f t="shared" si="24"/>
        <v xml:space="preserve">44  </v>
      </c>
    </row>
    <row r="47" spans="1:30">
      <c r="A47" s="70">
        <v>45</v>
      </c>
      <c r="B47" s="14">
        <v>45</v>
      </c>
      <c r="C47" s="5"/>
      <c r="D47" s="5"/>
      <c r="E47" s="5"/>
      <c r="F47" s="5"/>
      <c r="G47" s="5"/>
      <c r="H47" s="5"/>
      <c r="I47" s="5"/>
      <c r="J47" s="5"/>
      <c r="M47" s="15" t="e">
        <f t="shared" si="13"/>
        <v>#N/A</v>
      </c>
      <c r="N47" s="16" t="str">
        <f t="shared" si="14"/>
        <v/>
      </c>
      <c r="O47" s="15" t="str">
        <f>"D:\IMS Images\Headshots\CFB\"&amp;'Team Info'!$B$8&amp;"\"&amp;D47&amp;"_"&amp;C47&amp;".png"</f>
        <v>D:\IMS Images\Headshots\CFB\VANDERBILT\_.png</v>
      </c>
      <c r="P47" s="15" t="str">
        <f>"D:\IMS Images\Actionshots\CFB\"&amp;'Team Info'!$B$8&amp;"\"&amp;D47&amp;"_"&amp;C47&amp;".png"</f>
        <v>D:\IMS Images\Actionshots\CFB\VANDERBILT\_.png</v>
      </c>
      <c r="Q47" s="58" t="str">
        <f t="shared" si="15"/>
        <v xml:space="preserve"> </v>
      </c>
      <c r="R47" s="58" t="str">
        <f t="shared" si="16"/>
        <v xml:space="preserve">. </v>
      </c>
      <c r="S47" s="58" t="str">
        <f t="shared" si="17"/>
        <v xml:space="preserve">. </v>
      </c>
      <c r="T47" s="59" t="str">
        <f t="shared" si="18"/>
        <v/>
      </c>
      <c r="U47" s="59" t="str">
        <f t="shared" si="19"/>
        <v xml:space="preserve"> </v>
      </c>
      <c r="V47" s="59" t="str">
        <f t="shared" si="20"/>
        <v/>
      </c>
      <c r="W47" s="59" t="str">
        <f t="shared" si="21"/>
        <v/>
      </c>
      <c r="X47" s="59" t="str">
        <f t="shared" si="22"/>
        <v/>
      </c>
      <c r="Y47" s="59" t="str">
        <f t="shared" si="23"/>
        <v xml:space="preserve">45  </v>
      </c>
      <c r="Z47" s="59" t="str">
        <f t="shared" si="24"/>
        <v xml:space="preserve">45  </v>
      </c>
    </row>
    <row r="48" spans="1:30">
      <c r="A48" s="70">
        <v>46</v>
      </c>
      <c r="B48" s="14">
        <v>46</v>
      </c>
      <c r="C48" s="5"/>
      <c r="D48" s="5"/>
      <c r="E48" s="5"/>
      <c r="F48" s="5"/>
      <c r="G48" s="5"/>
      <c r="H48" s="5"/>
      <c r="I48" s="5"/>
      <c r="J48" s="5"/>
      <c r="M48" s="15" t="e">
        <f t="shared" si="13"/>
        <v>#N/A</v>
      </c>
      <c r="N48" s="16" t="str">
        <f t="shared" si="14"/>
        <v/>
      </c>
      <c r="O48" s="15" t="str">
        <f>"D:\IMS Images\Headshots\CFB\"&amp;'Team Info'!$B$8&amp;"\"&amp;D48&amp;"_"&amp;C48&amp;".png"</f>
        <v>D:\IMS Images\Headshots\CFB\VANDERBILT\_.png</v>
      </c>
      <c r="P48" s="15" t="str">
        <f>"D:\IMS Images\Actionshots\CFB\"&amp;'Team Info'!$B$8&amp;"\"&amp;D48&amp;"_"&amp;C48&amp;".png"</f>
        <v>D:\IMS Images\Actionshots\CFB\VANDERBILT\_.png</v>
      </c>
      <c r="Q48" s="58" t="str">
        <f t="shared" si="15"/>
        <v xml:space="preserve"> </v>
      </c>
      <c r="R48" s="58" t="str">
        <f t="shared" si="16"/>
        <v xml:space="preserve">. </v>
      </c>
      <c r="S48" s="58" t="str">
        <f t="shared" si="17"/>
        <v xml:space="preserve">. </v>
      </c>
      <c r="T48" s="59" t="str">
        <f t="shared" si="18"/>
        <v/>
      </c>
      <c r="U48" s="59" t="str">
        <f t="shared" si="19"/>
        <v xml:space="preserve"> </v>
      </c>
      <c r="V48" s="59" t="str">
        <f t="shared" si="20"/>
        <v/>
      </c>
      <c r="W48" s="59" t="str">
        <f t="shared" si="21"/>
        <v/>
      </c>
      <c r="X48" s="59" t="str">
        <f t="shared" si="22"/>
        <v/>
      </c>
      <c r="Y48" s="59" t="str">
        <f t="shared" si="23"/>
        <v xml:space="preserve">46  </v>
      </c>
      <c r="Z48" s="59" t="str">
        <f t="shared" si="24"/>
        <v xml:space="preserve">46  </v>
      </c>
    </row>
    <row r="49" spans="1:26">
      <c r="A49" s="70">
        <v>47</v>
      </c>
      <c r="B49" s="14">
        <v>47</v>
      </c>
      <c r="C49" s="5"/>
      <c r="D49" s="5"/>
      <c r="E49" s="5"/>
      <c r="F49" s="5"/>
      <c r="G49" s="5"/>
      <c r="H49" s="5"/>
      <c r="I49" s="5"/>
      <c r="J49" s="5"/>
      <c r="M49" s="15" t="e">
        <f t="shared" si="13"/>
        <v>#N/A</v>
      </c>
      <c r="N49" s="16" t="str">
        <f t="shared" si="14"/>
        <v/>
      </c>
      <c r="O49" s="15" t="str">
        <f>"D:\IMS Images\Headshots\CFB\"&amp;'Team Info'!$B$8&amp;"\"&amp;D49&amp;"_"&amp;C49&amp;".png"</f>
        <v>D:\IMS Images\Headshots\CFB\VANDERBILT\_.png</v>
      </c>
      <c r="P49" s="15" t="str">
        <f>"D:\IMS Images\Actionshots\CFB\"&amp;'Team Info'!$B$8&amp;"\"&amp;D49&amp;"_"&amp;C49&amp;".png"</f>
        <v>D:\IMS Images\Actionshots\CFB\VANDERBILT\_.png</v>
      </c>
      <c r="Q49" s="58" t="str">
        <f t="shared" si="15"/>
        <v xml:space="preserve"> </v>
      </c>
      <c r="R49" s="58" t="str">
        <f t="shared" si="16"/>
        <v xml:space="preserve">. </v>
      </c>
      <c r="S49" s="58" t="str">
        <f t="shared" si="17"/>
        <v xml:space="preserve">. </v>
      </c>
      <c r="T49" s="59" t="str">
        <f t="shared" si="18"/>
        <v/>
      </c>
      <c r="U49" s="59" t="str">
        <f t="shared" si="19"/>
        <v xml:space="preserve"> </v>
      </c>
      <c r="V49" s="59" t="str">
        <f t="shared" si="20"/>
        <v/>
      </c>
      <c r="W49" s="59" t="str">
        <f t="shared" si="21"/>
        <v/>
      </c>
      <c r="X49" s="59" t="str">
        <f t="shared" si="22"/>
        <v/>
      </c>
      <c r="Y49" s="59" t="str">
        <f t="shared" si="23"/>
        <v xml:space="preserve">47  </v>
      </c>
      <c r="Z49" s="59" t="str">
        <f t="shared" si="24"/>
        <v xml:space="preserve">47  </v>
      </c>
    </row>
    <row r="50" spans="1:26">
      <c r="A50" s="70">
        <v>48</v>
      </c>
      <c r="B50" s="14">
        <v>48</v>
      </c>
      <c r="C50" s="5"/>
      <c r="D50" s="5"/>
      <c r="E50" s="5"/>
      <c r="F50" s="5"/>
      <c r="G50" s="5"/>
      <c r="H50" s="5"/>
      <c r="I50" s="5"/>
      <c r="J50" s="5"/>
      <c r="M50" s="15" t="e">
        <f t="shared" si="13"/>
        <v>#N/A</v>
      </c>
      <c r="N50" s="16" t="str">
        <f t="shared" si="14"/>
        <v/>
      </c>
      <c r="O50" s="15" t="str">
        <f>"D:\IMS Images\Headshots\CFB\"&amp;'Team Info'!$B$8&amp;"\"&amp;D50&amp;"_"&amp;C50&amp;".png"</f>
        <v>D:\IMS Images\Headshots\CFB\VANDERBILT\_.png</v>
      </c>
      <c r="P50" s="15" t="str">
        <f>"D:\IMS Images\Actionshots\CFB\"&amp;'Team Info'!$B$8&amp;"\"&amp;D50&amp;"_"&amp;C50&amp;".png"</f>
        <v>D:\IMS Images\Actionshots\CFB\VANDERBILT\_.png</v>
      </c>
      <c r="Q50" s="58" t="str">
        <f t="shared" si="15"/>
        <v xml:space="preserve"> </v>
      </c>
      <c r="R50" s="58" t="str">
        <f t="shared" si="16"/>
        <v xml:space="preserve">. </v>
      </c>
      <c r="S50" s="58" t="str">
        <f t="shared" si="17"/>
        <v xml:space="preserve">. </v>
      </c>
      <c r="T50" s="59" t="str">
        <f t="shared" si="18"/>
        <v/>
      </c>
      <c r="U50" s="59" t="str">
        <f t="shared" si="19"/>
        <v xml:space="preserve"> </v>
      </c>
      <c r="V50" s="59" t="str">
        <f t="shared" si="20"/>
        <v/>
      </c>
      <c r="W50" s="59" t="str">
        <f t="shared" si="21"/>
        <v/>
      </c>
      <c r="X50" s="59" t="str">
        <f t="shared" si="22"/>
        <v/>
      </c>
      <c r="Y50" s="59" t="str">
        <f t="shared" si="23"/>
        <v xml:space="preserve">48  </v>
      </c>
      <c r="Z50" s="59" t="str">
        <f t="shared" si="24"/>
        <v xml:space="preserve">48  </v>
      </c>
    </row>
    <row r="51" spans="1:26">
      <c r="A51" s="70">
        <v>49</v>
      </c>
      <c r="B51" s="14">
        <v>49</v>
      </c>
      <c r="C51" s="5"/>
      <c r="D51" s="5"/>
      <c r="E51" s="5"/>
      <c r="F51" s="5"/>
      <c r="G51" s="5"/>
      <c r="H51" s="5"/>
      <c r="I51" s="5"/>
      <c r="J51" s="5"/>
      <c r="M51" s="15" t="e">
        <f t="shared" si="13"/>
        <v>#N/A</v>
      </c>
      <c r="N51" s="16" t="str">
        <f t="shared" si="14"/>
        <v/>
      </c>
      <c r="O51" s="15" t="str">
        <f>"D:\IMS Images\Headshots\CFB\"&amp;'Team Info'!$B$8&amp;"\"&amp;D51&amp;"_"&amp;C51&amp;".png"</f>
        <v>D:\IMS Images\Headshots\CFB\VANDERBILT\_.png</v>
      </c>
      <c r="P51" s="15" t="str">
        <f>"D:\IMS Images\Actionshots\CFB\"&amp;'Team Info'!$B$8&amp;"\"&amp;D51&amp;"_"&amp;C51&amp;".png"</f>
        <v>D:\IMS Images\Actionshots\CFB\VANDERBILT\_.png</v>
      </c>
      <c r="Q51" s="58" t="str">
        <f t="shared" si="15"/>
        <v xml:space="preserve"> </v>
      </c>
      <c r="R51" s="58" t="str">
        <f t="shared" si="16"/>
        <v xml:space="preserve">. </v>
      </c>
      <c r="S51" s="58" t="str">
        <f t="shared" si="17"/>
        <v xml:space="preserve">. </v>
      </c>
      <c r="T51" s="59" t="str">
        <f t="shared" si="18"/>
        <v/>
      </c>
      <c r="U51" s="59" t="str">
        <f t="shared" si="19"/>
        <v xml:space="preserve"> </v>
      </c>
      <c r="V51" s="59" t="str">
        <f t="shared" si="20"/>
        <v/>
      </c>
      <c r="W51" s="59" t="str">
        <f t="shared" si="21"/>
        <v/>
      </c>
      <c r="X51" s="59" t="str">
        <f t="shared" si="22"/>
        <v/>
      </c>
      <c r="Y51" s="59" t="str">
        <f t="shared" si="23"/>
        <v xml:space="preserve">49  </v>
      </c>
      <c r="Z51" s="59" t="str">
        <f t="shared" si="24"/>
        <v xml:space="preserve">49  </v>
      </c>
    </row>
    <row r="52" spans="1:26">
      <c r="A52" s="70">
        <v>50</v>
      </c>
      <c r="B52" s="14">
        <v>50</v>
      </c>
      <c r="C52" s="5"/>
      <c r="D52" s="5"/>
      <c r="E52" s="5"/>
      <c r="F52" s="5"/>
      <c r="G52" s="5"/>
      <c r="H52" s="5"/>
      <c r="I52" s="5"/>
      <c r="J52" s="5"/>
      <c r="M52" s="15" t="e">
        <f t="shared" si="13"/>
        <v>#N/A</v>
      </c>
      <c r="N52" s="16" t="str">
        <f t="shared" si="14"/>
        <v/>
      </c>
      <c r="O52" s="15" t="str">
        <f>"D:\IMS Images\Headshots\CFB\"&amp;'Team Info'!$B$8&amp;"\"&amp;D52&amp;"_"&amp;C52&amp;".png"</f>
        <v>D:\IMS Images\Headshots\CFB\VANDERBILT\_.png</v>
      </c>
      <c r="P52" s="15" t="str">
        <f>"D:\IMS Images\Actionshots\CFB\"&amp;'Team Info'!$B$8&amp;"\"&amp;D52&amp;"_"&amp;C52&amp;".png"</f>
        <v>D:\IMS Images\Actionshots\CFB\VANDERBILT\_.png</v>
      </c>
      <c r="Q52" s="58" t="str">
        <f t="shared" si="15"/>
        <v xml:space="preserve"> </v>
      </c>
      <c r="R52" s="58" t="str">
        <f t="shared" si="16"/>
        <v xml:space="preserve">. </v>
      </c>
      <c r="S52" s="58" t="str">
        <f t="shared" si="17"/>
        <v xml:space="preserve">. </v>
      </c>
      <c r="T52" s="59" t="str">
        <f t="shared" si="18"/>
        <v/>
      </c>
      <c r="U52" s="59" t="str">
        <f t="shared" si="19"/>
        <v xml:space="preserve"> </v>
      </c>
      <c r="V52" s="59" t="str">
        <f t="shared" si="20"/>
        <v/>
      </c>
      <c r="W52" s="59" t="str">
        <f t="shared" si="21"/>
        <v/>
      </c>
      <c r="X52" s="59" t="str">
        <f t="shared" si="22"/>
        <v/>
      </c>
      <c r="Y52" s="59" t="str">
        <f t="shared" si="23"/>
        <v xml:space="preserve">50  </v>
      </c>
      <c r="Z52" s="59" t="str">
        <f t="shared" si="24"/>
        <v xml:space="preserve">50  </v>
      </c>
    </row>
    <row r="53" spans="1:26">
      <c r="A53" s="70">
        <v>51</v>
      </c>
      <c r="B53" s="14">
        <v>51</v>
      </c>
      <c r="C53" s="5"/>
      <c r="D53" s="5"/>
      <c r="E53" s="5"/>
      <c r="F53" s="5"/>
      <c r="G53" s="5"/>
      <c r="H53" s="5"/>
      <c r="I53" s="5"/>
      <c r="J53" s="5"/>
      <c r="M53" s="15" t="e">
        <f t="shared" si="13"/>
        <v>#N/A</v>
      </c>
      <c r="N53" s="16" t="str">
        <f t="shared" si="14"/>
        <v/>
      </c>
      <c r="O53" s="15" t="str">
        <f>"D:\IMS Images\Headshots\CFB\"&amp;'Team Info'!$B$8&amp;"\"&amp;D53&amp;"_"&amp;C53&amp;".png"</f>
        <v>D:\IMS Images\Headshots\CFB\VANDERBILT\_.png</v>
      </c>
      <c r="P53" s="15" t="str">
        <f>"D:\IMS Images\Actionshots\CFB\"&amp;'Team Info'!$B$8&amp;"\"&amp;D53&amp;"_"&amp;C53&amp;".png"</f>
        <v>D:\IMS Images\Actionshots\CFB\VANDERBILT\_.png</v>
      </c>
      <c r="Q53" s="58" t="str">
        <f t="shared" si="15"/>
        <v xml:space="preserve"> </v>
      </c>
      <c r="R53" s="58" t="str">
        <f t="shared" si="16"/>
        <v xml:space="preserve">. </v>
      </c>
      <c r="S53" s="58" t="str">
        <f t="shared" si="17"/>
        <v xml:space="preserve">. </v>
      </c>
      <c r="T53" s="59" t="str">
        <f t="shared" si="18"/>
        <v/>
      </c>
      <c r="U53" s="59" t="str">
        <f t="shared" si="19"/>
        <v xml:space="preserve"> </v>
      </c>
      <c r="V53" s="59" t="str">
        <f t="shared" si="20"/>
        <v/>
      </c>
      <c r="W53" s="59" t="str">
        <f t="shared" si="21"/>
        <v/>
      </c>
      <c r="X53" s="59" t="str">
        <f t="shared" si="22"/>
        <v/>
      </c>
      <c r="Y53" s="59" t="str">
        <f t="shared" si="23"/>
        <v xml:space="preserve">51  </v>
      </c>
      <c r="Z53" s="59" t="str">
        <f t="shared" si="24"/>
        <v xml:space="preserve">51  </v>
      </c>
    </row>
    <row r="54" spans="1:26">
      <c r="A54" s="70">
        <v>52</v>
      </c>
      <c r="B54" s="14">
        <v>52</v>
      </c>
      <c r="C54" s="5"/>
      <c r="D54" s="5"/>
      <c r="E54" s="5"/>
      <c r="F54" s="5"/>
      <c r="G54" s="5"/>
      <c r="H54" s="5"/>
      <c r="I54" s="5"/>
      <c r="J54" s="5"/>
      <c r="M54" s="15" t="e">
        <f t="shared" si="13"/>
        <v>#N/A</v>
      </c>
      <c r="N54" s="16" t="str">
        <f t="shared" si="14"/>
        <v/>
      </c>
      <c r="O54" s="15" t="str">
        <f>"D:\IMS Images\Headshots\CFB\"&amp;'Team Info'!$B$8&amp;"\"&amp;D54&amp;"_"&amp;C54&amp;".png"</f>
        <v>D:\IMS Images\Headshots\CFB\VANDERBILT\_.png</v>
      </c>
      <c r="P54" s="15" t="str">
        <f>"D:\IMS Images\Actionshots\CFB\"&amp;'Team Info'!$B$8&amp;"\"&amp;D54&amp;"_"&amp;C54&amp;".png"</f>
        <v>D:\IMS Images\Actionshots\CFB\VANDERBILT\_.png</v>
      </c>
      <c r="Q54" s="58" t="str">
        <f t="shared" si="15"/>
        <v xml:space="preserve"> </v>
      </c>
      <c r="R54" s="58" t="str">
        <f t="shared" si="16"/>
        <v xml:space="preserve">. </v>
      </c>
      <c r="S54" s="58" t="str">
        <f t="shared" si="17"/>
        <v xml:space="preserve">. </v>
      </c>
      <c r="T54" s="59" t="str">
        <f t="shared" si="18"/>
        <v/>
      </c>
      <c r="U54" s="59" t="str">
        <f t="shared" si="19"/>
        <v xml:space="preserve"> </v>
      </c>
      <c r="V54" s="59" t="str">
        <f t="shared" si="20"/>
        <v/>
      </c>
      <c r="W54" s="59" t="str">
        <f t="shared" si="21"/>
        <v/>
      </c>
      <c r="X54" s="59" t="str">
        <f t="shared" si="22"/>
        <v/>
      </c>
      <c r="Y54" s="59" t="str">
        <f t="shared" si="23"/>
        <v xml:space="preserve">52  </v>
      </c>
      <c r="Z54" s="59" t="str">
        <f t="shared" si="24"/>
        <v xml:space="preserve">52  </v>
      </c>
    </row>
    <row r="55" spans="1:26">
      <c r="A55" s="70">
        <v>53</v>
      </c>
      <c r="B55" s="14">
        <v>53</v>
      </c>
      <c r="C55" s="5"/>
      <c r="D55" s="5"/>
      <c r="E55" s="5"/>
      <c r="F55" s="5"/>
      <c r="G55" s="5"/>
      <c r="H55" s="5"/>
      <c r="I55" s="5"/>
      <c r="J55" s="5"/>
      <c r="M55" s="15" t="e">
        <f t="shared" si="13"/>
        <v>#N/A</v>
      </c>
      <c r="N55" s="16" t="str">
        <f t="shared" si="14"/>
        <v/>
      </c>
      <c r="O55" s="15" t="str">
        <f>"D:\IMS Images\Headshots\CFB\"&amp;'Team Info'!$B$8&amp;"\"&amp;D55&amp;"_"&amp;C55&amp;".png"</f>
        <v>D:\IMS Images\Headshots\CFB\VANDERBILT\_.png</v>
      </c>
      <c r="P55" s="15" t="str">
        <f>"D:\IMS Images\Actionshots\CFB\"&amp;'Team Info'!$B$8&amp;"\"&amp;D55&amp;"_"&amp;C55&amp;".png"</f>
        <v>D:\IMS Images\Actionshots\CFB\VANDERBILT\_.png</v>
      </c>
      <c r="Q55" s="58" t="str">
        <f t="shared" si="15"/>
        <v xml:space="preserve"> </v>
      </c>
      <c r="R55" s="58" t="str">
        <f t="shared" si="16"/>
        <v xml:space="preserve">. </v>
      </c>
      <c r="S55" s="58" t="str">
        <f t="shared" si="17"/>
        <v xml:space="preserve">. </v>
      </c>
      <c r="T55" s="59" t="str">
        <f t="shared" si="18"/>
        <v/>
      </c>
      <c r="U55" s="59" t="str">
        <f t="shared" si="19"/>
        <v xml:space="preserve"> </v>
      </c>
      <c r="V55" s="59" t="str">
        <f t="shared" si="20"/>
        <v/>
      </c>
      <c r="W55" s="59" t="str">
        <f t="shared" si="21"/>
        <v/>
      </c>
      <c r="X55" s="59" t="str">
        <f t="shared" si="22"/>
        <v/>
      </c>
      <c r="Y55" s="59" t="str">
        <f t="shared" si="23"/>
        <v xml:space="preserve">53  </v>
      </c>
      <c r="Z55" s="59" t="str">
        <f t="shared" si="24"/>
        <v xml:space="preserve">53  </v>
      </c>
    </row>
    <row r="56" spans="1:26">
      <c r="A56" s="70">
        <v>54</v>
      </c>
      <c r="B56" s="14">
        <v>54</v>
      </c>
      <c r="C56" s="5"/>
      <c r="D56" s="5"/>
      <c r="E56" s="5"/>
      <c r="F56" s="5"/>
      <c r="G56" s="5"/>
      <c r="H56" s="5"/>
      <c r="I56" s="5"/>
      <c r="J56" s="5"/>
      <c r="M56" s="15" t="e">
        <f t="shared" si="13"/>
        <v>#N/A</v>
      </c>
      <c r="N56" s="16" t="str">
        <f t="shared" si="14"/>
        <v/>
      </c>
      <c r="O56" s="15" t="str">
        <f>"D:\IMS Images\Headshots\CFB\"&amp;'Team Info'!$B$8&amp;"\"&amp;D56&amp;"_"&amp;C56&amp;".png"</f>
        <v>D:\IMS Images\Headshots\CFB\VANDERBILT\_.png</v>
      </c>
      <c r="P56" s="15" t="str">
        <f>"D:\IMS Images\Actionshots\CFB\"&amp;'Team Info'!$B$8&amp;"\"&amp;D56&amp;"_"&amp;C56&amp;".png"</f>
        <v>D:\IMS Images\Actionshots\CFB\VANDERBILT\_.png</v>
      </c>
      <c r="Q56" s="58" t="str">
        <f t="shared" si="15"/>
        <v xml:space="preserve"> </v>
      </c>
      <c r="R56" s="58" t="str">
        <f t="shared" si="16"/>
        <v xml:space="preserve">. </v>
      </c>
      <c r="S56" s="58" t="str">
        <f t="shared" si="17"/>
        <v xml:space="preserve">. </v>
      </c>
      <c r="T56" s="59" t="str">
        <f t="shared" si="18"/>
        <v/>
      </c>
      <c r="U56" s="59" t="str">
        <f t="shared" si="19"/>
        <v xml:space="preserve"> </v>
      </c>
      <c r="V56" s="59" t="str">
        <f t="shared" si="20"/>
        <v/>
      </c>
      <c r="W56" s="59" t="str">
        <f t="shared" si="21"/>
        <v/>
      </c>
      <c r="X56" s="59" t="str">
        <f t="shared" si="22"/>
        <v/>
      </c>
      <c r="Y56" s="59" t="str">
        <f t="shared" si="23"/>
        <v xml:space="preserve">54  </v>
      </c>
      <c r="Z56" s="59" t="str">
        <f t="shared" si="24"/>
        <v xml:space="preserve">54  </v>
      </c>
    </row>
    <row r="57" spans="1:26">
      <c r="A57" s="70">
        <v>55</v>
      </c>
      <c r="B57" s="14">
        <v>55</v>
      </c>
      <c r="C57" s="5"/>
      <c r="D57" s="5"/>
      <c r="E57" s="5"/>
      <c r="F57" s="5"/>
      <c r="G57" s="5"/>
      <c r="H57" s="5"/>
      <c r="I57" s="5"/>
      <c r="J57" s="5"/>
      <c r="M57" s="15" t="e">
        <f t="shared" si="13"/>
        <v>#N/A</v>
      </c>
      <c r="N57" s="16" t="str">
        <f t="shared" si="14"/>
        <v/>
      </c>
      <c r="O57" s="15" t="str">
        <f>"D:\IMS Images\Headshots\CFB\"&amp;'Team Info'!$B$8&amp;"\"&amp;D57&amp;"_"&amp;C57&amp;".png"</f>
        <v>D:\IMS Images\Headshots\CFB\VANDERBILT\_.png</v>
      </c>
      <c r="P57" s="15" t="str">
        <f>"D:\IMS Images\Actionshots\CFB\"&amp;'Team Info'!$B$8&amp;"\"&amp;D57&amp;"_"&amp;C57&amp;".png"</f>
        <v>D:\IMS Images\Actionshots\CFB\VANDERBILT\_.png</v>
      </c>
      <c r="Q57" s="58" t="str">
        <f t="shared" si="15"/>
        <v xml:space="preserve"> </v>
      </c>
      <c r="R57" s="58" t="str">
        <f t="shared" si="16"/>
        <v xml:space="preserve">. </v>
      </c>
      <c r="S57" s="58" t="str">
        <f t="shared" si="17"/>
        <v xml:space="preserve">. </v>
      </c>
      <c r="T57" s="59" t="str">
        <f t="shared" si="18"/>
        <v/>
      </c>
      <c r="U57" s="59" t="str">
        <f t="shared" si="19"/>
        <v xml:space="preserve"> </v>
      </c>
      <c r="V57" s="59" t="str">
        <f t="shared" si="20"/>
        <v/>
      </c>
      <c r="W57" s="59" t="str">
        <f t="shared" si="21"/>
        <v/>
      </c>
      <c r="X57" s="59" t="str">
        <f t="shared" si="22"/>
        <v/>
      </c>
      <c r="Y57" s="59" t="str">
        <f t="shared" si="23"/>
        <v xml:space="preserve">55  </v>
      </c>
      <c r="Z57" s="59" t="str">
        <f t="shared" si="24"/>
        <v xml:space="preserve">55  </v>
      </c>
    </row>
    <row r="58" spans="1:26">
      <c r="A58" s="70">
        <v>56</v>
      </c>
      <c r="B58" s="14">
        <v>56</v>
      </c>
      <c r="C58" s="5"/>
      <c r="D58" s="5"/>
      <c r="E58" s="5"/>
      <c r="F58" s="5"/>
      <c r="G58" s="5"/>
      <c r="H58" s="5"/>
      <c r="I58" s="5"/>
      <c r="J58" s="5"/>
      <c r="M58" s="15" t="e">
        <f t="shared" si="13"/>
        <v>#N/A</v>
      </c>
      <c r="N58" s="16" t="str">
        <f t="shared" si="14"/>
        <v/>
      </c>
      <c r="O58" s="15" t="str">
        <f>"D:\IMS Images\Headshots\CFB\"&amp;'Team Info'!$B$8&amp;"\"&amp;D58&amp;"_"&amp;C58&amp;".png"</f>
        <v>D:\IMS Images\Headshots\CFB\VANDERBILT\_.png</v>
      </c>
      <c r="P58" s="15" t="str">
        <f>"D:\IMS Images\Actionshots\CFB\"&amp;'Team Info'!$B$8&amp;"\"&amp;D58&amp;"_"&amp;C58&amp;".png"</f>
        <v>D:\IMS Images\Actionshots\CFB\VANDERBILT\_.png</v>
      </c>
      <c r="Q58" s="58" t="str">
        <f t="shared" si="15"/>
        <v xml:space="preserve"> </v>
      </c>
      <c r="R58" s="58" t="str">
        <f t="shared" si="16"/>
        <v xml:space="preserve">. </v>
      </c>
      <c r="S58" s="58" t="str">
        <f t="shared" si="17"/>
        <v xml:space="preserve">. </v>
      </c>
      <c r="T58" s="59" t="str">
        <f t="shared" si="18"/>
        <v/>
      </c>
      <c r="U58" s="59" t="str">
        <f t="shared" si="19"/>
        <v xml:space="preserve"> </v>
      </c>
      <c r="V58" s="59" t="str">
        <f t="shared" si="20"/>
        <v/>
      </c>
      <c r="W58" s="59" t="str">
        <f t="shared" si="21"/>
        <v/>
      </c>
      <c r="X58" s="59" t="str">
        <f t="shared" si="22"/>
        <v/>
      </c>
      <c r="Y58" s="59" t="str">
        <f t="shared" si="23"/>
        <v xml:space="preserve">56  </v>
      </c>
      <c r="Z58" s="59" t="str">
        <f t="shared" si="24"/>
        <v xml:space="preserve">56  </v>
      </c>
    </row>
    <row r="59" spans="1:26">
      <c r="A59" s="70">
        <v>57</v>
      </c>
      <c r="B59" s="14">
        <v>57</v>
      </c>
      <c r="C59" s="5"/>
      <c r="D59" s="5"/>
      <c r="E59" s="5"/>
      <c r="F59" s="5"/>
      <c r="G59" s="5"/>
      <c r="H59" s="5"/>
      <c r="I59" s="5"/>
      <c r="J59" s="5"/>
      <c r="M59" s="15" t="e">
        <f t="shared" si="13"/>
        <v>#N/A</v>
      </c>
      <c r="N59" s="16" t="str">
        <f t="shared" si="14"/>
        <v/>
      </c>
      <c r="O59" s="15" t="str">
        <f>"D:\IMS Images\Headshots\CFB\"&amp;'Team Info'!$B$8&amp;"\"&amp;D59&amp;"_"&amp;C59&amp;".png"</f>
        <v>D:\IMS Images\Headshots\CFB\VANDERBILT\_.png</v>
      </c>
      <c r="P59" s="15" t="str">
        <f>"D:\IMS Images\Actionshots\CFB\"&amp;'Team Info'!$B$8&amp;"\"&amp;D59&amp;"_"&amp;C59&amp;".png"</f>
        <v>D:\IMS Images\Actionshots\CFB\VANDERBILT\_.png</v>
      </c>
      <c r="Q59" s="58" t="str">
        <f t="shared" si="15"/>
        <v xml:space="preserve"> </v>
      </c>
      <c r="R59" s="58" t="str">
        <f t="shared" si="16"/>
        <v xml:space="preserve">. </v>
      </c>
      <c r="S59" s="58" t="str">
        <f t="shared" si="17"/>
        <v xml:space="preserve">. </v>
      </c>
      <c r="T59" s="59" t="str">
        <f t="shared" si="18"/>
        <v/>
      </c>
      <c r="U59" s="59" t="str">
        <f t="shared" si="19"/>
        <v xml:space="preserve"> </v>
      </c>
      <c r="V59" s="59" t="str">
        <f t="shared" si="20"/>
        <v/>
      </c>
      <c r="W59" s="59" t="str">
        <f t="shared" si="21"/>
        <v/>
      </c>
      <c r="X59" s="59" t="str">
        <f t="shared" si="22"/>
        <v/>
      </c>
      <c r="Y59" s="59" t="str">
        <f t="shared" si="23"/>
        <v xml:space="preserve">57  </v>
      </c>
      <c r="Z59" s="59" t="str">
        <f t="shared" si="24"/>
        <v xml:space="preserve">57  </v>
      </c>
    </row>
    <row r="60" spans="1:26">
      <c r="A60" s="70">
        <v>58</v>
      </c>
      <c r="B60" s="14">
        <v>58</v>
      </c>
      <c r="C60" s="5"/>
      <c r="D60" s="5"/>
      <c r="E60" s="5"/>
      <c r="F60" s="5"/>
      <c r="G60" s="5"/>
      <c r="H60" s="5"/>
      <c r="I60" s="5"/>
      <c r="J60" s="5"/>
      <c r="M60" s="15" t="e">
        <f t="shared" si="13"/>
        <v>#N/A</v>
      </c>
      <c r="N60" s="16" t="str">
        <f t="shared" si="14"/>
        <v/>
      </c>
      <c r="O60" s="15" t="str">
        <f>"D:\IMS Images\Headshots\CFB\"&amp;'Team Info'!$B$8&amp;"\"&amp;D60&amp;"_"&amp;C60&amp;".png"</f>
        <v>D:\IMS Images\Headshots\CFB\VANDERBILT\_.png</v>
      </c>
      <c r="P60" s="15" t="str">
        <f>"D:\IMS Images\Actionshots\CFB\"&amp;'Team Info'!$B$8&amp;"\"&amp;D60&amp;"_"&amp;C60&amp;".png"</f>
        <v>D:\IMS Images\Actionshots\CFB\VANDERBILT\_.png</v>
      </c>
      <c r="Q60" s="58" t="str">
        <f t="shared" si="15"/>
        <v xml:space="preserve"> </v>
      </c>
      <c r="R60" s="58" t="str">
        <f t="shared" si="16"/>
        <v xml:space="preserve">. </v>
      </c>
      <c r="S60" s="58" t="str">
        <f t="shared" si="17"/>
        <v xml:space="preserve">. </v>
      </c>
      <c r="T60" s="59" t="str">
        <f t="shared" si="18"/>
        <v/>
      </c>
      <c r="U60" s="59" t="str">
        <f t="shared" si="19"/>
        <v xml:space="preserve"> </v>
      </c>
      <c r="V60" s="59" t="str">
        <f t="shared" si="20"/>
        <v/>
      </c>
      <c r="W60" s="59" t="str">
        <f t="shared" si="21"/>
        <v/>
      </c>
      <c r="X60" s="59" t="str">
        <f t="shared" si="22"/>
        <v/>
      </c>
      <c r="Y60" s="59" t="str">
        <f t="shared" si="23"/>
        <v xml:space="preserve">58  </v>
      </c>
      <c r="Z60" s="59" t="str">
        <f t="shared" si="24"/>
        <v xml:space="preserve">58  </v>
      </c>
    </row>
    <row r="61" spans="1:26">
      <c r="A61" s="70">
        <v>59</v>
      </c>
      <c r="B61" s="14">
        <v>59</v>
      </c>
      <c r="C61" s="5"/>
      <c r="D61" s="5"/>
      <c r="E61" s="5"/>
      <c r="F61" s="5"/>
      <c r="G61" s="5"/>
      <c r="H61" s="5"/>
      <c r="I61" s="5"/>
      <c r="J61" s="5"/>
      <c r="M61" s="15" t="e">
        <f t="shared" si="13"/>
        <v>#N/A</v>
      </c>
      <c r="N61" s="16" t="str">
        <f t="shared" si="14"/>
        <v/>
      </c>
      <c r="O61" s="15" t="str">
        <f>"D:\IMS Images\Headshots\CFB\"&amp;'Team Info'!$B$8&amp;"\"&amp;D61&amp;"_"&amp;C61&amp;".png"</f>
        <v>D:\IMS Images\Headshots\CFB\VANDERBILT\_.png</v>
      </c>
      <c r="P61" s="15" t="str">
        <f>"D:\IMS Images\Actionshots\CFB\"&amp;'Team Info'!$B$8&amp;"\"&amp;D61&amp;"_"&amp;C61&amp;".png"</f>
        <v>D:\IMS Images\Actionshots\CFB\VANDERBILT\_.png</v>
      </c>
      <c r="Q61" s="58" t="str">
        <f t="shared" si="15"/>
        <v xml:space="preserve"> </v>
      </c>
      <c r="R61" s="58" t="str">
        <f t="shared" si="16"/>
        <v xml:space="preserve">. </v>
      </c>
      <c r="S61" s="58" t="str">
        <f t="shared" si="17"/>
        <v xml:space="preserve">. </v>
      </c>
      <c r="T61" s="59" t="str">
        <f t="shared" si="18"/>
        <v/>
      </c>
      <c r="U61" s="59" t="str">
        <f t="shared" si="19"/>
        <v xml:space="preserve"> </v>
      </c>
      <c r="V61" s="59" t="str">
        <f t="shared" si="20"/>
        <v/>
      </c>
      <c r="W61" s="59" t="str">
        <f t="shared" si="21"/>
        <v/>
      </c>
      <c r="X61" s="59" t="str">
        <f t="shared" si="22"/>
        <v/>
      </c>
      <c r="Y61" s="59" t="str">
        <f t="shared" si="23"/>
        <v xml:space="preserve">59  </v>
      </c>
      <c r="Z61" s="59" t="str">
        <f t="shared" si="24"/>
        <v xml:space="preserve">59  </v>
      </c>
    </row>
    <row r="62" spans="1:26">
      <c r="A62" s="70">
        <v>60</v>
      </c>
      <c r="B62" s="14">
        <v>60</v>
      </c>
      <c r="C62" s="5"/>
      <c r="D62" s="5"/>
      <c r="E62" s="5"/>
      <c r="F62" s="5"/>
      <c r="G62" s="5"/>
      <c r="H62" s="5"/>
      <c r="I62" s="5"/>
      <c r="J62" s="5"/>
      <c r="M62" s="15" t="e">
        <f t="shared" si="13"/>
        <v>#N/A</v>
      </c>
      <c r="N62" s="16" t="str">
        <f t="shared" si="14"/>
        <v/>
      </c>
      <c r="O62" s="15" t="str">
        <f>"D:\IMS Images\Headshots\CFB\"&amp;'Team Info'!$B$8&amp;"\"&amp;D62&amp;"_"&amp;C62&amp;".png"</f>
        <v>D:\IMS Images\Headshots\CFB\VANDERBILT\_.png</v>
      </c>
      <c r="P62" s="15" t="str">
        <f>"D:\IMS Images\Actionshots\CFB\"&amp;'Team Info'!$B$8&amp;"\"&amp;D62&amp;"_"&amp;C62&amp;".png"</f>
        <v>D:\IMS Images\Actionshots\CFB\VANDERBILT\_.png</v>
      </c>
      <c r="Q62" s="58" t="str">
        <f t="shared" si="15"/>
        <v xml:space="preserve"> </v>
      </c>
      <c r="R62" s="58" t="str">
        <f t="shared" si="16"/>
        <v xml:space="preserve">. </v>
      </c>
      <c r="S62" s="58" t="str">
        <f t="shared" si="17"/>
        <v xml:space="preserve">. </v>
      </c>
      <c r="T62" s="59" t="str">
        <f t="shared" si="18"/>
        <v/>
      </c>
      <c r="U62" s="59" t="str">
        <f t="shared" si="19"/>
        <v xml:space="preserve"> </v>
      </c>
      <c r="V62" s="59" t="str">
        <f t="shared" si="20"/>
        <v/>
      </c>
      <c r="W62" s="59" t="str">
        <f t="shared" si="21"/>
        <v/>
      </c>
      <c r="X62" s="59" t="str">
        <f t="shared" si="22"/>
        <v/>
      </c>
      <c r="Y62" s="59" t="str">
        <f t="shared" si="23"/>
        <v xml:space="preserve">60  </v>
      </c>
      <c r="Z62" s="59" t="str">
        <f t="shared" si="24"/>
        <v xml:space="preserve">60  </v>
      </c>
    </row>
    <row r="63" spans="1:26">
      <c r="A63" s="70">
        <v>61</v>
      </c>
      <c r="B63" s="14">
        <v>61</v>
      </c>
      <c r="C63" s="5"/>
      <c r="D63" s="5"/>
      <c r="E63" s="5"/>
      <c r="F63" s="5"/>
      <c r="G63" s="5"/>
      <c r="H63" s="5"/>
      <c r="I63" s="5"/>
      <c r="J63" s="5"/>
      <c r="M63" s="15" t="e">
        <f t="shared" si="13"/>
        <v>#N/A</v>
      </c>
      <c r="N63" s="16" t="str">
        <f t="shared" si="14"/>
        <v/>
      </c>
      <c r="O63" s="15" t="str">
        <f>"D:\IMS Images\Headshots\CFB\"&amp;'Team Info'!$B$8&amp;"\"&amp;D63&amp;"_"&amp;C63&amp;".png"</f>
        <v>D:\IMS Images\Headshots\CFB\VANDERBILT\_.png</v>
      </c>
      <c r="P63" s="15" t="str">
        <f>"D:\IMS Images\Actionshots\CFB\"&amp;'Team Info'!$B$8&amp;"\"&amp;D63&amp;"_"&amp;C63&amp;".png"</f>
        <v>D:\IMS Images\Actionshots\CFB\VANDERBILT\_.png</v>
      </c>
      <c r="Q63" s="58" t="str">
        <f t="shared" si="15"/>
        <v xml:space="preserve"> </v>
      </c>
      <c r="R63" s="58" t="str">
        <f t="shared" si="16"/>
        <v xml:space="preserve">. </v>
      </c>
      <c r="S63" s="58" t="str">
        <f t="shared" si="17"/>
        <v xml:space="preserve">. </v>
      </c>
      <c r="T63" s="59" t="str">
        <f t="shared" si="18"/>
        <v/>
      </c>
      <c r="U63" s="59" t="str">
        <f t="shared" si="19"/>
        <v xml:space="preserve"> </v>
      </c>
      <c r="V63" s="59" t="str">
        <f t="shared" si="20"/>
        <v/>
      </c>
      <c r="W63" s="59" t="str">
        <f t="shared" si="21"/>
        <v/>
      </c>
      <c r="X63" s="59" t="str">
        <f t="shared" si="22"/>
        <v/>
      </c>
      <c r="Y63" s="59" t="str">
        <f t="shared" si="23"/>
        <v xml:space="preserve">61  </v>
      </c>
      <c r="Z63" s="59" t="str">
        <f t="shared" si="24"/>
        <v xml:space="preserve">61  </v>
      </c>
    </row>
    <row r="64" spans="1:26">
      <c r="A64" s="70">
        <v>62</v>
      </c>
      <c r="B64" s="14">
        <v>62</v>
      </c>
      <c r="C64" s="5"/>
      <c r="D64" s="5"/>
      <c r="E64" s="5"/>
      <c r="F64" s="5"/>
      <c r="G64" s="5"/>
      <c r="H64" s="5"/>
      <c r="I64" s="5"/>
      <c r="J64" s="5"/>
      <c r="M64" s="15" t="e">
        <f t="shared" si="13"/>
        <v>#N/A</v>
      </c>
      <c r="N64" s="16" t="str">
        <f t="shared" si="14"/>
        <v/>
      </c>
      <c r="O64" s="15" t="str">
        <f>"D:\IMS Images\Headshots\CFB\"&amp;'Team Info'!$B$8&amp;"\"&amp;D64&amp;"_"&amp;C64&amp;".png"</f>
        <v>D:\IMS Images\Headshots\CFB\VANDERBILT\_.png</v>
      </c>
      <c r="P64" s="15" t="str">
        <f>"D:\IMS Images\Actionshots\CFB\"&amp;'Team Info'!$B$8&amp;"\"&amp;D64&amp;"_"&amp;C64&amp;".png"</f>
        <v>D:\IMS Images\Actionshots\CFB\VANDERBILT\_.png</v>
      </c>
      <c r="Q64" s="58" t="str">
        <f t="shared" si="15"/>
        <v xml:space="preserve"> </v>
      </c>
      <c r="R64" s="58" t="str">
        <f t="shared" si="16"/>
        <v xml:space="preserve">. </v>
      </c>
      <c r="S64" s="58" t="str">
        <f t="shared" si="17"/>
        <v xml:space="preserve">. </v>
      </c>
      <c r="T64" s="59" t="str">
        <f t="shared" si="18"/>
        <v/>
      </c>
      <c r="U64" s="59" t="str">
        <f t="shared" si="19"/>
        <v xml:space="preserve"> </v>
      </c>
      <c r="V64" s="59" t="str">
        <f t="shared" si="20"/>
        <v/>
      </c>
      <c r="W64" s="59" t="str">
        <f t="shared" si="21"/>
        <v/>
      </c>
      <c r="X64" s="59" t="str">
        <f t="shared" si="22"/>
        <v/>
      </c>
      <c r="Y64" s="59" t="str">
        <f t="shared" si="23"/>
        <v xml:space="preserve">62  </v>
      </c>
      <c r="Z64" s="59" t="str">
        <f t="shared" si="24"/>
        <v xml:space="preserve">62  </v>
      </c>
    </row>
    <row r="65" spans="1:26">
      <c r="A65" s="70">
        <v>63</v>
      </c>
      <c r="B65" s="14">
        <v>63</v>
      </c>
      <c r="C65" s="5"/>
      <c r="D65" s="5"/>
      <c r="E65" s="5"/>
      <c r="F65" s="5"/>
      <c r="G65" s="5"/>
      <c r="H65" s="5"/>
      <c r="I65" s="5"/>
      <c r="J65" s="5"/>
      <c r="M65" s="15" t="e">
        <f t="shared" si="13"/>
        <v>#N/A</v>
      </c>
      <c r="N65" s="16" t="str">
        <f t="shared" si="14"/>
        <v/>
      </c>
      <c r="O65" s="15" t="str">
        <f>"D:\IMS Images\Headshots\CFB\"&amp;'Team Info'!$B$8&amp;"\"&amp;D65&amp;"_"&amp;C65&amp;".png"</f>
        <v>D:\IMS Images\Headshots\CFB\VANDERBILT\_.png</v>
      </c>
      <c r="P65" s="15" t="str">
        <f>"D:\IMS Images\Actionshots\CFB\"&amp;'Team Info'!$B$8&amp;"\"&amp;D65&amp;"_"&amp;C65&amp;".png"</f>
        <v>D:\IMS Images\Actionshots\CFB\VANDERBILT\_.png</v>
      </c>
      <c r="Q65" s="58" t="str">
        <f t="shared" si="15"/>
        <v xml:space="preserve"> </v>
      </c>
      <c r="R65" s="58" t="str">
        <f t="shared" si="16"/>
        <v xml:space="preserve">. </v>
      </c>
      <c r="S65" s="58" t="str">
        <f t="shared" si="17"/>
        <v xml:space="preserve">. </v>
      </c>
      <c r="T65" s="59" t="str">
        <f t="shared" si="18"/>
        <v/>
      </c>
      <c r="U65" s="59" t="str">
        <f t="shared" si="19"/>
        <v xml:space="preserve"> </v>
      </c>
      <c r="V65" s="59" t="str">
        <f t="shared" si="20"/>
        <v/>
      </c>
      <c r="W65" s="59" t="str">
        <f t="shared" si="21"/>
        <v/>
      </c>
      <c r="X65" s="59" t="str">
        <f t="shared" si="22"/>
        <v/>
      </c>
      <c r="Y65" s="59" t="str">
        <f t="shared" si="23"/>
        <v xml:space="preserve">63  </v>
      </c>
      <c r="Z65" s="59" t="str">
        <f t="shared" si="24"/>
        <v xml:space="preserve">63  </v>
      </c>
    </row>
    <row r="66" spans="1:26">
      <c r="A66" s="70">
        <v>64</v>
      </c>
      <c r="B66" s="14">
        <v>64</v>
      </c>
      <c r="C66" s="5"/>
      <c r="D66" s="5"/>
      <c r="E66" s="5"/>
      <c r="F66" s="5"/>
      <c r="G66" s="5"/>
      <c r="H66" s="5"/>
      <c r="I66" s="5"/>
      <c r="J66" s="5"/>
      <c r="M66" s="15" t="e">
        <f t="shared" si="13"/>
        <v>#N/A</v>
      </c>
      <c r="N66" s="16" t="str">
        <f t="shared" si="14"/>
        <v/>
      </c>
      <c r="O66" s="15" t="str">
        <f>"D:\IMS Images\Headshots\CFB\"&amp;'Team Info'!$B$8&amp;"\"&amp;D66&amp;"_"&amp;C66&amp;".png"</f>
        <v>D:\IMS Images\Headshots\CFB\VANDERBILT\_.png</v>
      </c>
      <c r="P66" s="15" t="str">
        <f>"D:\IMS Images\Actionshots\CFB\"&amp;'Team Info'!$B$8&amp;"\"&amp;D66&amp;"_"&amp;C66&amp;".png"</f>
        <v>D:\IMS Images\Actionshots\CFB\VANDERBILT\_.png</v>
      </c>
      <c r="Q66" s="58" t="str">
        <f t="shared" si="15"/>
        <v xml:space="preserve"> </v>
      </c>
      <c r="R66" s="58" t="str">
        <f t="shared" si="16"/>
        <v xml:space="preserve">. </v>
      </c>
      <c r="S66" s="58" t="str">
        <f t="shared" si="17"/>
        <v xml:space="preserve">. </v>
      </c>
      <c r="T66" s="59" t="str">
        <f t="shared" si="18"/>
        <v/>
      </c>
      <c r="U66" s="59" t="str">
        <f t="shared" si="19"/>
        <v xml:space="preserve"> </v>
      </c>
      <c r="V66" s="59" t="str">
        <f t="shared" si="20"/>
        <v/>
      </c>
      <c r="W66" s="59" t="str">
        <f t="shared" si="21"/>
        <v/>
      </c>
      <c r="X66" s="59" t="str">
        <f t="shared" si="22"/>
        <v/>
      </c>
      <c r="Y66" s="59" t="str">
        <f t="shared" si="23"/>
        <v xml:space="preserve">64  </v>
      </c>
      <c r="Z66" s="59" t="str">
        <f t="shared" si="24"/>
        <v xml:space="preserve">64  </v>
      </c>
    </row>
    <row r="67" spans="1:26">
      <c r="A67" s="70">
        <v>65</v>
      </c>
      <c r="B67" s="14">
        <v>65</v>
      </c>
      <c r="C67" s="5"/>
      <c r="D67" s="5"/>
      <c r="E67" s="5"/>
      <c r="F67" s="5"/>
      <c r="G67" s="5"/>
      <c r="H67" s="5"/>
      <c r="I67" s="5"/>
      <c r="J67" s="5"/>
      <c r="M67" s="15" t="e">
        <f t="shared" ref="M67:M98" si="25">VLOOKUP(E67,$AB$3:$AD$36,3,0)</f>
        <v>#N/A</v>
      </c>
      <c r="N67" s="16" t="str">
        <f t="shared" ref="N67:N98" si="26">IF($I67=4,"Senior",IF($I67=3,"Junior",IF($I67=2,"Sophomore",IF($I67=1,"Freshman",""))))</f>
        <v/>
      </c>
      <c r="O67" s="15" t="str">
        <f>"D:\IMS Images\Headshots\CFB\"&amp;'Team Info'!$B$8&amp;"\"&amp;D67&amp;"_"&amp;C67&amp;".png"</f>
        <v>D:\IMS Images\Headshots\CFB\VANDERBILT\_.png</v>
      </c>
      <c r="P67" s="15" t="str">
        <f>"D:\IMS Images\Actionshots\CFB\"&amp;'Team Info'!$B$8&amp;"\"&amp;D67&amp;"_"&amp;C67&amp;".png"</f>
        <v>D:\IMS Images\Actionshots\CFB\VANDERBILT\_.png</v>
      </c>
      <c r="Q67" s="58" t="str">
        <f t="shared" ref="Q67:Q98" si="27">C67&amp;" "&amp;D67</f>
        <v xml:space="preserve"> </v>
      </c>
      <c r="R67" s="58" t="str">
        <f t="shared" ref="R67:R98" si="28">LEFT(C67,1)&amp;". "&amp;D67</f>
        <v xml:space="preserve">. </v>
      </c>
      <c r="S67" s="58" t="str">
        <f t="shared" ref="S67:S98" si="29">UPPER(R67)</f>
        <v xml:space="preserve">. </v>
      </c>
      <c r="T67" s="59" t="str">
        <f t="shared" ref="T67:T98" si="30">IF($I67=4,"SR",IF($I67=3,"JR",IF($I67=2,"SO",IF($I67=1,"FR",""))))</f>
        <v/>
      </c>
      <c r="U67" s="59" t="str">
        <f t="shared" ref="U67:U98" si="31">UPPER(Q67)</f>
        <v xml:space="preserve"> </v>
      </c>
      <c r="V67" s="59" t="str">
        <f t="shared" ref="V67:V98" si="32">UPPER(C67)</f>
        <v/>
      </c>
      <c r="W67" s="59" t="str">
        <f t="shared" ref="W67:W98" si="33">UPPER(D67)</f>
        <v/>
      </c>
      <c r="X67" s="59" t="str">
        <f t="shared" ref="X67:X98" si="34">UPPER(N67)</f>
        <v/>
      </c>
      <c r="Y67" s="59" t="str">
        <f t="shared" ref="Y67:Y98" si="35">B67 &amp;" " &amp; U67</f>
        <v xml:space="preserve">65  </v>
      </c>
      <c r="Z67" s="59" t="str">
        <f t="shared" ref="Z67:Z98" si="36">B67 &amp;" " &amp; Q67</f>
        <v xml:space="preserve">65  </v>
      </c>
    </row>
    <row r="68" spans="1:26">
      <c r="A68" s="70">
        <v>66</v>
      </c>
      <c r="B68" s="14">
        <v>66</v>
      </c>
      <c r="C68" s="5"/>
      <c r="D68" s="5"/>
      <c r="E68" s="5"/>
      <c r="F68" s="5"/>
      <c r="G68" s="5"/>
      <c r="H68" s="5"/>
      <c r="I68" s="5"/>
      <c r="J68" s="5"/>
      <c r="M68" s="15" t="e">
        <f t="shared" si="25"/>
        <v>#N/A</v>
      </c>
      <c r="N68" s="16" t="str">
        <f t="shared" si="26"/>
        <v/>
      </c>
      <c r="O68" s="15" t="str">
        <f>"D:\IMS Images\Headshots\CFB\"&amp;'Team Info'!$B$8&amp;"\"&amp;D68&amp;"_"&amp;C68&amp;".png"</f>
        <v>D:\IMS Images\Headshots\CFB\VANDERBILT\_.png</v>
      </c>
      <c r="P68" s="15" t="str">
        <f>"D:\IMS Images\Actionshots\CFB\"&amp;'Team Info'!$B$8&amp;"\"&amp;D68&amp;"_"&amp;C68&amp;".png"</f>
        <v>D:\IMS Images\Actionshots\CFB\VANDERBILT\_.png</v>
      </c>
      <c r="Q68" s="58" t="str">
        <f t="shared" si="27"/>
        <v xml:space="preserve"> </v>
      </c>
      <c r="R68" s="58" t="str">
        <f t="shared" si="28"/>
        <v xml:space="preserve">. </v>
      </c>
      <c r="S68" s="58" t="str">
        <f t="shared" si="29"/>
        <v xml:space="preserve">. </v>
      </c>
      <c r="T68" s="59" t="str">
        <f t="shared" si="30"/>
        <v/>
      </c>
      <c r="U68" s="59" t="str">
        <f t="shared" si="31"/>
        <v xml:space="preserve"> </v>
      </c>
      <c r="V68" s="59" t="str">
        <f t="shared" si="32"/>
        <v/>
      </c>
      <c r="W68" s="59" t="str">
        <f t="shared" si="33"/>
        <v/>
      </c>
      <c r="X68" s="59" t="str">
        <f t="shared" si="34"/>
        <v/>
      </c>
      <c r="Y68" s="59" t="str">
        <f t="shared" si="35"/>
        <v xml:space="preserve">66  </v>
      </c>
      <c r="Z68" s="59" t="str">
        <f t="shared" si="36"/>
        <v xml:space="preserve">66  </v>
      </c>
    </row>
    <row r="69" spans="1:26">
      <c r="A69" s="70">
        <v>67</v>
      </c>
      <c r="B69" s="14">
        <v>67</v>
      </c>
      <c r="C69" s="5"/>
      <c r="D69" s="5"/>
      <c r="E69" s="5"/>
      <c r="F69" s="5"/>
      <c r="G69" s="5"/>
      <c r="H69" s="5"/>
      <c r="I69" s="5"/>
      <c r="J69" s="5"/>
      <c r="M69" s="15" t="e">
        <f t="shared" si="25"/>
        <v>#N/A</v>
      </c>
      <c r="N69" s="16" t="str">
        <f t="shared" si="26"/>
        <v/>
      </c>
      <c r="O69" s="15" t="str">
        <f>"D:\IMS Images\Headshots\CFB\"&amp;'Team Info'!$B$8&amp;"\"&amp;D69&amp;"_"&amp;C69&amp;".png"</f>
        <v>D:\IMS Images\Headshots\CFB\VANDERBILT\_.png</v>
      </c>
      <c r="P69" s="15" t="str">
        <f>"D:\IMS Images\Actionshots\CFB\"&amp;'Team Info'!$B$8&amp;"\"&amp;D69&amp;"_"&amp;C69&amp;".png"</f>
        <v>D:\IMS Images\Actionshots\CFB\VANDERBILT\_.png</v>
      </c>
      <c r="Q69" s="58" t="str">
        <f t="shared" si="27"/>
        <v xml:space="preserve"> </v>
      </c>
      <c r="R69" s="58" t="str">
        <f t="shared" si="28"/>
        <v xml:space="preserve">. </v>
      </c>
      <c r="S69" s="58" t="str">
        <f t="shared" si="29"/>
        <v xml:space="preserve">. </v>
      </c>
      <c r="T69" s="59" t="str">
        <f t="shared" si="30"/>
        <v/>
      </c>
      <c r="U69" s="59" t="str">
        <f t="shared" si="31"/>
        <v xml:space="preserve"> </v>
      </c>
      <c r="V69" s="59" t="str">
        <f t="shared" si="32"/>
        <v/>
      </c>
      <c r="W69" s="59" t="str">
        <f t="shared" si="33"/>
        <v/>
      </c>
      <c r="X69" s="59" t="str">
        <f t="shared" si="34"/>
        <v/>
      </c>
      <c r="Y69" s="59" t="str">
        <f t="shared" si="35"/>
        <v xml:space="preserve">67  </v>
      </c>
      <c r="Z69" s="59" t="str">
        <f t="shared" si="36"/>
        <v xml:space="preserve">67  </v>
      </c>
    </row>
    <row r="70" spans="1:26">
      <c r="A70" s="70">
        <v>68</v>
      </c>
      <c r="B70" s="14">
        <v>68</v>
      </c>
      <c r="C70" s="5"/>
      <c r="D70" s="5"/>
      <c r="E70" s="5"/>
      <c r="F70" s="5"/>
      <c r="G70" s="5"/>
      <c r="H70" s="5"/>
      <c r="I70" s="5"/>
      <c r="J70" s="5"/>
      <c r="M70" s="15" t="e">
        <f t="shared" si="25"/>
        <v>#N/A</v>
      </c>
      <c r="N70" s="16" t="str">
        <f t="shared" si="26"/>
        <v/>
      </c>
      <c r="O70" s="15" t="str">
        <f>"D:\IMS Images\Headshots\CFB\"&amp;'Team Info'!$B$8&amp;"\"&amp;D70&amp;"_"&amp;C70&amp;".png"</f>
        <v>D:\IMS Images\Headshots\CFB\VANDERBILT\_.png</v>
      </c>
      <c r="P70" s="15" t="str">
        <f>"D:\IMS Images\Actionshots\CFB\"&amp;'Team Info'!$B$8&amp;"\"&amp;D70&amp;"_"&amp;C70&amp;".png"</f>
        <v>D:\IMS Images\Actionshots\CFB\VANDERBILT\_.png</v>
      </c>
      <c r="Q70" s="58" t="str">
        <f t="shared" si="27"/>
        <v xml:space="preserve"> </v>
      </c>
      <c r="R70" s="58" t="str">
        <f t="shared" si="28"/>
        <v xml:space="preserve">. </v>
      </c>
      <c r="S70" s="58" t="str">
        <f t="shared" si="29"/>
        <v xml:space="preserve">. </v>
      </c>
      <c r="T70" s="59" t="str">
        <f t="shared" si="30"/>
        <v/>
      </c>
      <c r="U70" s="59" t="str">
        <f t="shared" si="31"/>
        <v xml:space="preserve"> </v>
      </c>
      <c r="V70" s="59" t="str">
        <f t="shared" si="32"/>
        <v/>
      </c>
      <c r="W70" s="59" t="str">
        <f t="shared" si="33"/>
        <v/>
      </c>
      <c r="X70" s="59" t="str">
        <f t="shared" si="34"/>
        <v/>
      </c>
      <c r="Y70" s="59" t="str">
        <f t="shared" si="35"/>
        <v xml:space="preserve">68  </v>
      </c>
      <c r="Z70" s="59" t="str">
        <f t="shared" si="36"/>
        <v xml:space="preserve">68  </v>
      </c>
    </row>
    <row r="71" spans="1:26">
      <c r="A71" s="70">
        <v>69</v>
      </c>
      <c r="B71" s="14">
        <v>69</v>
      </c>
      <c r="C71" s="5"/>
      <c r="D71" s="5"/>
      <c r="E71" s="5"/>
      <c r="F71" s="5"/>
      <c r="G71" s="5"/>
      <c r="H71" s="5"/>
      <c r="I71" s="5"/>
      <c r="J71" s="5"/>
      <c r="M71" s="15" t="e">
        <f t="shared" si="25"/>
        <v>#N/A</v>
      </c>
      <c r="N71" s="16" t="str">
        <f t="shared" si="26"/>
        <v/>
      </c>
      <c r="O71" s="15" t="str">
        <f>"D:\IMS Images\Headshots\CFB\"&amp;'Team Info'!$B$8&amp;"\"&amp;D71&amp;"_"&amp;C71&amp;".png"</f>
        <v>D:\IMS Images\Headshots\CFB\VANDERBILT\_.png</v>
      </c>
      <c r="P71" s="15" t="str">
        <f>"D:\IMS Images\Actionshots\CFB\"&amp;'Team Info'!$B$8&amp;"\"&amp;D71&amp;"_"&amp;C71&amp;".png"</f>
        <v>D:\IMS Images\Actionshots\CFB\VANDERBILT\_.png</v>
      </c>
      <c r="Q71" s="58" t="str">
        <f t="shared" si="27"/>
        <v xml:space="preserve"> </v>
      </c>
      <c r="R71" s="58" t="str">
        <f t="shared" si="28"/>
        <v xml:space="preserve">. </v>
      </c>
      <c r="S71" s="58" t="str">
        <f t="shared" si="29"/>
        <v xml:space="preserve">. </v>
      </c>
      <c r="T71" s="59" t="str">
        <f t="shared" si="30"/>
        <v/>
      </c>
      <c r="U71" s="59" t="str">
        <f t="shared" si="31"/>
        <v xml:space="preserve"> </v>
      </c>
      <c r="V71" s="59" t="str">
        <f t="shared" si="32"/>
        <v/>
      </c>
      <c r="W71" s="59" t="str">
        <f t="shared" si="33"/>
        <v/>
      </c>
      <c r="X71" s="59" t="str">
        <f t="shared" si="34"/>
        <v/>
      </c>
      <c r="Y71" s="59" t="str">
        <f t="shared" si="35"/>
        <v xml:space="preserve">69  </v>
      </c>
      <c r="Z71" s="59" t="str">
        <f t="shared" si="36"/>
        <v xml:space="preserve">69  </v>
      </c>
    </row>
    <row r="72" spans="1:26">
      <c r="A72" s="70">
        <v>70</v>
      </c>
      <c r="B72" s="14">
        <v>70</v>
      </c>
      <c r="C72" s="5"/>
      <c r="D72" s="5"/>
      <c r="E72" s="5"/>
      <c r="F72" s="5"/>
      <c r="G72" s="5"/>
      <c r="H72" s="5"/>
      <c r="I72" s="5"/>
      <c r="J72" s="5"/>
      <c r="M72" s="15" t="e">
        <f t="shared" si="25"/>
        <v>#N/A</v>
      </c>
      <c r="N72" s="16" t="str">
        <f t="shared" si="26"/>
        <v/>
      </c>
      <c r="O72" s="15" t="str">
        <f>"D:\IMS Images\Headshots\CFB\"&amp;'Team Info'!$B$8&amp;"\"&amp;D72&amp;"_"&amp;C72&amp;".png"</f>
        <v>D:\IMS Images\Headshots\CFB\VANDERBILT\_.png</v>
      </c>
      <c r="P72" s="15" t="str">
        <f>"D:\IMS Images\Actionshots\CFB\"&amp;'Team Info'!$B$8&amp;"\"&amp;D72&amp;"_"&amp;C72&amp;".png"</f>
        <v>D:\IMS Images\Actionshots\CFB\VANDERBILT\_.png</v>
      </c>
      <c r="Q72" s="58" t="str">
        <f t="shared" si="27"/>
        <v xml:space="preserve"> </v>
      </c>
      <c r="R72" s="58" t="str">
        <f t="shared" si="28"/>
        <v xml:space="preserve">. </v>
      </c>
      <c r="S72" s="58" t="str">
        <f t="shared" si="29"/>
        <v xml:space="preserve">. </v>
      </c>
      <c r="T72" s="59" t="str">
        <f t="shared" si="30"/>
        <v/>
      </c>
      <c r="U72" s="59" t="str">
        <f t="shared" si="31"/>
        <v xml:space="preserve"> </v>
      </c>
      <c r="V72" s="59" t="str">
        <f t="shared" si="32"/>
        <v/>
      </c>
      <c r="W72" s="59" t="str">
        <f t="shared" si="33"/>
        <v/>
      </c>
      <c r="X72" s="59" t="str">
        <f t="shared" si="34"/>
        <v/>
      </c>
      <c r="Y72" s="59" t="str">
        <f t="shared" si="35"/>
        <v xml:space="preserve">70  </v>
      </c>
      <c r="Z72" s="59" t="str">
        <f t="shared" si="36"/>
        <v xml:space="preserve">70  </v>
      </c>
    </row>
    <row r="73" spans="1:26">
      <c r="A73" s="70">
        <v>71</v>
      </c>
      <c r="B73" s="14">
        <v>71</v>
      </c>
      <c r="C73" s="5"/>
      <c r="D73" s="5"/>
      <c r="E73" s="5"/>
      <c r="F73" s="5"/>
      <c r="G73" s="5"/>
      <c r="H73" s="5"/>
      <c r="I73" s="5"/>
      <c r="J73" s="5"/>
      <c r="M73" s="15" t="e">
        <f t="shared" si="25"/>
        <v>#N/A</v>
      </c>
      <c r="N73" s="16" t="str">
        <f t="shared" si="26"/>
        <v/>
      </c>
      <c r="O73" s="15" t="str">
        <f>"D:\IMS Images\Headshots\CFB\"&amp;'Team Info'!$B$8&amp;"\"&amp;D73&amp;"_"&amp;C73&amp;".png"</f>
        <v>D:\IMS Images\Headshots\CFB\VANDERBILT\_.png</v>
      </c>
      <c r="P73" s="15" t="str">
        <f>"D:\IMS Images\Actionshots\CFB\"&amp;'Team Info'!$B$8&amp;"\"&amp;D73&amp;"_"&amp;C73&amp;".png"</f>
        <v>D:\IMS Images\Actionshots\CFB\VANDERBILT\_.png</v>
      </c>
      <c r="Q73" s="58" t="str">
        <f t="shared" si="27"/>
        <v xml:space="preserve"> </v>
      </c>
      <c r="R73" s="58" t="str">
        <f t="shared" si="28"/>
        <v xml:space="preserve">. </v>
      </c>
      <c r="S73" s="58" t="str">
        <f t="shared" si="29"/>
        <v xml:space="preserve">. </v>
      </c>
      <c r="T73" s="59" t="str">
        <f t="shared" si="30"/>
        <v/>
      </c>
      <c r="U73" s="59" t="str">
        <f t="shared" si="31"/>
        <v xml:space="preserve"> </v>
      </c>
      <c r="V73" s="59" t="str">
        <f t="shared" si="32"/>
        <v/>
      </c>
      <c r="W73" s="59" t="str">
        <f t="shared" si="33"/>
        <v/>
      </c>
      <c r="X73" s="59" t="str">
        <f t="shared" si="34"/>
        <v/>
      </c>
      <c r="Y73" s="59" t="str">
        <f t="shared" si="35"/>
        <v xml:space="preserve">71  </v>
      </c>
      <c r="Z73" s="59" t="str">
        <f t="shared" si="36"/>
        <v xml:space="preserve">71  </v>
      </c>
    </row>
    <row r="74" spans="1:26">
      <c r="A74" s="70">
        <v>72</v>
      </c>
      <c r="B74" s="14">
        <v>72</v>
      </c>
      <c r="C74" s="5"/>
      <c r="D74" s="5"/>
      <c r="E74" s="5"/>
      <c r="F74" s="5"/>
      <c r="G74" s="5"/>
      <c r="H74" s="5"/>
      <c r="I74" s="5"/>
      <c r="J74" s="5"/>
      <c r="M74" s="15" t="e">
        <f t="shared" si="25"/>
        <v>#N/A</v>
      </c>
      <c r="N74" s="16" t="str">
        <f t="shared" si="26"/>
        <v/>
      </c>
      <c r="O74" s="15" t="str">
        <f>"D:\IMS Images\Headshots\CFB\"&amp;'Team Info'!$B$8&amp;"\"&amp;D74&amp;"_"&amp;C74&amp;".png"</f>
        <v>D:\IMS Images\Headshots\CFB\VANDERBILT\_.png</v>
      </c>
      <c r="P74" s="15" t="str">
        <f>"D:\IMS Images\Actionshots\CFB\"&amp;'Team Info'!$B$8&amp;"\"&amp;D74&amp;"_"&amp;C74&amp;".png"</f>
        <v>D:\IMS Images\Actionshots\CFB\VANDERBILT\_.png</v>
      </c>
      <c r="Q74" s="58" t="str">
        <f t="shared" si="27"/>
        <v xml:space="preserve"> </v>
      </c>
      <c r="R74" s="58" t="str">
        <f t="shared" si="28"/>
        <v xml:space="preserve">. </v>
      </c>
      <c r="S74" s="58" t="str">
        <f t="shared" si="29"/>
        <v xml:space="preserve">. </v>
      </c>
      <c r="T74" s="59" t="str">
        <f t="shared" si="30"/>
        <v/>
      </c>
      <c r="U74" s="59" t="str">
        <f t="shared" si="31"/>
        <v xml:space="preserve"> </v>
      </c>
      <c r="V74" s="59" t="str">
        <f t="shared" si="32"/>
        <v/>
      </c>
      <c r="W74" s="59" t="str">
        <f t="shared" si="33"/>
        <v/>
      </c>
      <c r="X74" s="59" t="str">
        <f t="shared" si="34"/>
        <v/>
      </c>
      <c r="Y74" s="59" t="str">
        <f t="shared" si="35"/>
        <v xml:space="preserve">72  </v>
      </c>
      <c r="Z74" s="59" t="str">
        <f t="shared" si="36"/>
        <v xml:space="preserve">72  </v>
      </c>
    </row>
    <row r="75" spans="1:26">
      <c r="A75" s="70">
        <v>73</v>
      </c>
      <c r="B75" s="14">
        <v>73</v>
      </c>
      <c r="C75" s="5"/>
      <c r="D75" s="5"/>
      <c r="E75" s="5"/>
      <c r="F75" s="5"/>
      <c r="G75" s="5"/>
      <c r="H75" s="5"/>
      <c r="I75" s="5"/>
      <c r="J75" s="5"/>
      <c r="M75" s="15" t="e">
        <f t="shared" si="25"/>
        <v>#N/A</v>
      </c>
      <c r="N75" s="16" t="str">
        <f t="shared" si="26"/>
        <v/>
      </c>
      <c r="O75" s="15" t="str">
        <f>"D:\IMS Images\Headshots\CFB\"&amp;'Team Info'!$B$8&amp;"\"&amp;D75&amp;"_"&amp;C75&amp;".png"</f>
        <v>D:\IMS Images\Headshots\CFB\VANDERBILT\_.png</v>
      </c>
      <c r="P75" s="15" t="str">
        <f>"D:\IMS Images\Actionshots\CFB\"&amp;'Team Info'!$B$8&amp;"\"&amp;D75&amp;"_"&amp;C75&amp;".png"</f>
        <v>D:\IMS Images\Actionshots\CFB\VANDERBILT\_.png</v>
      </c>
      <c r="Q75" s="58" t="str">
        <f t="shared" si="27"/>
        <v xml:space="preserve"> </v>
      </c>
      <c r="R75" s="58" t="str">
        <f t="shared" si="28"/>
        <v xml:space="preserve">. </v>
      </c>
      <c r="S75" s="58" t="str">
        <f t="shared" si="29"/>
        <v xml:space="preserve">. </v>
      </c>
      <c r="T75" s="59" t="str">
        <f t="shared" si="30"/>
        <v/>
      </c>
      <c r="U75" s="59" t="str">
        <f t="shared" si="31"/>
        <v xml:space="preserve"> </v>
      </c>
      <c r="V75" s="59" t="str">
        <f t="shared" si="32"/>
        <v/>
      </c>
      <c r="W75" s="59" t="str">
        <f t="shared" si="33"/>
        <v/>
      </c>
      <c r="X75" s="59" t="str">
        <f t="shared" si="34"/>
        <v/>
      </c>
      <c r="Y75" s="59" t="str">
        <f t="shared" si="35"/>
        <v xml:space="preserve">73  </v>
      </c>
      <c r="Z75" s="59" t="str">
        <f t="shared" si="36"/>
        <v xml:space="preserve">73  </v>
      </c>
    </row>
    <row r="76" spans="1:26">
      <c r="A76" s="70">
        <v>74</v>
      </c>
      <c r="B76" s="14">
        <v>74</v>
      </c>
      <c r="C76" s="5"/>
      <c r="D76" s="5"/>
      <c r="E76" s="5"/>
      <c r="F76" s="5"/>
      <c r="G76" s="5"/>
      <c r="H76" s="5"/>
      <c r="I76" s="5"/>
      <c r="J76" s="5"/>
      <c r="M76" s="15" t="e">
        <f t="shared" si="25"/>
        <v>#N/A</v>
      </c>
      <c r="N76" s="16" t="str">
        <f t="shared" si="26"/>
        <v/>
      </c>
      <c r="O76" s="15" t="str">
        <f>"D:\IMS Images\Headshots\CFB\"&amp;'Team Info'!$B$8&amp;"\"&amp;D76&amp;"_"&amp;C76&amp;".png"</f>
        <v>D:\IMS Images\Headshots\CFB\VANDERBILT\_.png</v>
      </c>
      <c r="P76" s="15" t="str">
        <f>"D:\IMS Images\Actionshots\CFB\"&amp;'Team Info'!$B$8&amp;"\"&amp;D76&amp;"_"&amp;C76&amp;".png"</f>
        <v>D:\IMS Images\Actionshots\CFB\VANDERBILT\_.png</v>
      </c>
      <c r="Q76" s="58" t="str">
        <f t="shared" si="27"/>
        <v xml:space="preserve"> </v>
      </c>
      <c r="R76" s="58" t="str">
        <f t="shared" si="28"/>
        <v xml:space="preserve">. </v>
      </c>
      <c r="S76" s="58" t="str">
        <f t="shared" si="29"/>
        <v xml:space="preserve">. </v>
      </c>
      <c r="T76" s="59" t="str">
        <f t="shared" si="30"/>
        <v/>
      </c>
      <c r="U76" s="59" t="str">
        <f t="shared" si="31"/>
        <v xml:space="preserve"> </v>
      </c>
      <c r="V76" s="59" t="str">
        <f t="shared" si="32"/>
        <v/>
      </c>
      <c r="W76" s="59" t="str">
        <f t="shared" si="33"/>
        <v/>
      </c>
      <c r="X76" s="59" t="str">
        <f t="shared" si="34"/>
        <v/>
      </c>
      <c r="Y76" s="59" t="str">
        <f t="shared" si="35"/>
        <v xml:space="preserve">74  </v>
      </c>
      <c r="Z76" s="59" t="str">
        <f t="shared" si="36"/>
        <v xml:space="preserve">74  </v>
      </c>
    </row>
    <row r="77" spans="1:26">
      <c r="A77" s="70">
        <v>75</v>
      </c>
      <c r="B77" s="14">
        <v>75</v>
      </c>
      <c r="C77" s="5"/>
      <c r="D77" s="5"/>
      <c r="E77" s="5"/>
      <c r="F77" s="5"/>
      <c r="G77" s="5"/>
      <c r="H77" s="5"/>
      <c r="I77" s="5"/>
      <c r="J77" s="5"/>
      <c r="M77" s="15" t="e">
        <f t="shared" si="25"/>
        <v>#N/A</v>
      </c>
      <c r="N77" s="16" t="str">
        <f t="shared" si="26"/>
        <v/>
      </c>
      <c r="O77" s="15" t="str">
        <f>"D:\IMS Images\Headshots\CFB\"&amp;'Team Info'!$B$8&amp;"\"&amp;D77&amp;"_"&amp;C77&amp;".png"</f>
        <v>D:\IMS Images\Headshots\CFB\VANDERBILT\_.png</v>
      </c>
      <c r="P77" s="15" t="str">
        <f>"D:\IMS Images\Actionshots\CFB\"&amp;'Team Info'!$B$8&amp;"\"&amp;D77&amp;"_"&amp;C77&amp;".png"</f>
        <v>D:\IMS Images\Actionshots\CFB\VANDERBILT\_.png</v>
      </c>
      <c r="Q77" s="58" t="str">
        <f t="shared" si="27"/>
        <v xml:space="preserve"> </v>
      </c>
      <c r="R77" s="58" t="str">
        <f t="shared" si="28"/>
        <v xml:space="preserve">. </v>
      </c>
      <c r="S77" s="58" t="str">
        <f t="shared" si="29"/>
        <v xml:space="preserve">. </v>
      </c>
      <c r="T77" s="59" t="str">
        <f t="shared" si="30"/>
        <v/>
      </c>
      <c r="U77" s="59" t="str">
        <f t="shared" si="31"/>
        <v xml:space="preserve"> </v>
      </c>
      <c r="V77" s="59" t="str">
        <f t="shared" si="32"/>
        <v/>
      </c>
      <c r="W77" s="59" t="str">
        <f t="shared" si="33"/>
        <v/>
      </c>
      <c r="X77" s="59" t="str">
        <f t="shared" si="34"/>
        <v/>
      </c>
      <c r="Y77" s="59" t="str">
        <f t="shared" si="35"/>
        <v xml:space="preserve">75  </v>
      </c>
      <c r="Z77" s="59" t="str">
        <f t="shared" si="36"/>
        <v xml:space="preserve">75  </v>
      </c>
    </row>
    <row r="78" spans="1:26">
      <c r="A78" s="70">
        <v>76</v>
      </c>
      <c r="B78" s="14">
        <v>76</v>
      </c>
      <c r="C78" s="5"/>
      <c r="D78" s="5"/>
      <c r="E78" s="5"/>
      <c r="F78" s="5"/>
      <c r="G78" s="5"/>
      <c r="H78" s="5"/>
      <c r="I78" s="5"/>
      <c r="J78" s="5"/>
      <c r="M78" s="15" t="e">
        <f t="shared" si="25"/>
        <v>#N/A</v>
      </c>
      <c r="N78" s="16" t="str">
        <f t="shared" si="26"/>
        <v/>
      </c>
      <c r="O78" s="15" t="str">
        <f>"D:\IMS Images\Headshots\CFB\"&amp;'Team Info'!$B$8&amp;"\"&amp;D78&amp;"_"&amp;C78&amp;".png"</f>
        <v>D:\IMS Images\Headshots\CFB\VANDERBILT\_.png</v>
      </c>
      <c r="P78" s="15" t="str">
        <f>"D:\IMS Images\Actionshots\CFB\"&amp;'Team Info'!$B$8&amp;"\"&amp;D78&amp;"_"&amp;C78&amp;".png"</f>
        <v>D:\IMS Images\Actionshots\CFB\VANDERBILT\_.png</v>
      </c>
      <c r="Q78" s="58" t="str">
        <f t="shared" si="27"/>
        <v xml:space="preserve"> </v>
      </c>
      <c r="R78" s="58" t="str">
        <f t="shared" si="28"/>
        <v xml:space="preserve">. </v>
      </c>
      <c r="S78" s="58" t="str">
        <f t="shared" si="29"/>
        <v xml:space="preserve">. </v>
      </c>
      <c r="T78" s="59" t="str">
        <f t="shared" si="30"/>
        <v/>
      </c>
      <c r="U78" s="59" t="str">
        <f t="shared" si="31"/>
        <v xml:space="preserve"> </v>
      </c>
      <c r="V78" s="59" t="str">
        <f t="shared" si="32"/>
        <v/>
      </c>
      <c r="W78" s="59" t="str">
        <f t="shared" si="33"/>
        <v/>
      </c>
      <c r="X78" s="59" t="str">
        <f t="shared" si="34"/>
        <v/>
      </c>
      <c r="Y78" s="59" t="str">
        <f t="shared" si="35"/>
        <v xml:space="preserve">76  </v>
      </c>
      <c r="Z78" s="59" t="str">
        <f t="shared" si="36"/>
        <v xml:space="preserve">76  </v>
      </c>
    </row>
    <row r="79" spans="1:26">
      <c r="A79" s="70">
        <v>77</v>
      </c>
      <c r="B79" s="14">
        <v>77</v>
      </c>
      <c r="C79" s="5"/>
      <c r="D79" s="5"/>
      <c r="E79" s="5"/>
      <c r="F79" s="5"/>
      <c r="G79" s="5"/>
      <c r="H79" s="5"/>
      <c r="I79" s="5"/>
      <c r="J79" s="5"/>
      <c r="M79" s="15" t="e">
        <f t="shared" si="25"/>
        <v>#N/A</v>
      </c>
      <c r="N79" s="16" t="str">
        <f t="shared" si="26"/>
        <v/>
      </c>
      <c r="O79" s="15" t="str">
        <f>"D:\IMS Images\Headshots\CFB\"&amp;'Team Info'!$B$8&amp;"\"&amp;D79&amp;"_"&amp;C79&amp;".png"</f>
        <v>D:\IMS Images\Headshots\CFB\VANDERBILT\_.png</v>
      </c>
      <c r="P79" s="15" t="str">
        <f>"D:\IMS Images\Actionshots\CFB\"&amp;'Team Info'!$B$8&amp;"\"&amp;D79&amp;"_"&amp;C79&amp;".png"</f>
        <v>D:\IMS Images\Actionshots\CFB\VANDERBILT\_.png</v>
      </c>
      <c r="Q79" s="58" t="str">
        <f t="shared" si="27"/>
        <v xml:space="preserve"> </v>
      </c>
      <c r="R79" s="58" t="str">
        <f t="shared" si="28"/>
        <v xml:space="preserve">. </v>
      </c>
      <c r="S79" s="58" t="str">
        <f t="shared" si="29"/>
        <v xml:space="preserve">. </v>
      </c>
      <c r="T79" s="59" t="str">
        <f t="shared" si="30"/>
        <v/>
      </c>
      <c r="U79" s="59" t="str">
        <f t="shared" si="31"/>
        <v xml:space="preserve"> </v>
      </c>
      <c r="V79" s="59" t="str">
        <f t="shared" si="32"/>
        <v/>
      </c>
      <c r="W79" s="59" t="str">
        <f t="shared" si="33"/>
        <v/>
      </c>
      <c r="X79" s="59" t="str">
        <f t="shared" si="34"/>
        <v/>
      </c>
      <c r="Y79" s="59" t="str">
        <f t="shared" si="35"/>
        <v xml:space="preserve">77  </v>
      </c>
      <c r="Z79" s="59" t="str">
        <f t="shared" si="36"/>
        <v xml:space="preserve">77  </v>
      </c>
    </row>
    <row r="80" spans="1:26">
      <c r="A80" s="70">
        <v>78</v>
      </c>
      <c r="B80" s="14">
        <v>78</v>
      </c>
      <c r="C80" s="5"/>
      <c r="D80" s="5"/>
      <c r="E80" s="5"/>
      <c r="F80" s="5"/>
      <c r="G80" s="5"/>
      <c r="H80" s="5"/>
      <c r="I80" s="5"/>
      <c r="J80" s="5"/>
      <c r="M80" s="15" t="e">
        <f t="shared" si="25"/>
        <v>#N/A</v>
      </c>
      <c r="N80" s="16" t="str">
        <f t="shared" si="26"/>
        <v/>
      </c>
      <c r="O80" s="15" t="str">
        <f>"D:\IMS Images\Headshots\CFB\"&amp;'Team Info'!$B$8&amp;"\"&amp;D80&amp;"_"&amp;C80&amp;".png"</f>
        <v>D:\IMS Images\Headshots\CFB\VANDERBILT\_.png</v>
      </c>
      <c r="P80" s="15" t="str">
        <f>"D:\IMS Images\Actionshots\CFB\"&amp;'Team Info'!$B$8&amp;"\"&amp;D80&amp;"_"&amp;C80&amp;".png"</f>
        <v>D:\IMS Images\Actionshots\CFB\VANDERBILT\_.png</v>
      </c>
      <c r="Q80" s="58" t="str">
        <f t="shared" si="27"/>
        <v xml:space="preserve"> </v>
      </c>
      <c r="R80" s="58" t="str">
        <f t="shared" si="28"/>
        <v xml:space="preserve">. </v>
      </c>
      <c r="S80" s="58" t="str">
        <f t="shared" si="29"/>
        <v xml:space="preserve">. </v>
      </c>
      <c r="T80" s="59" t="str">
        <f t="shared" si="30"/>
        <v/>
      </c>
      <c r="U80" s="59" t="str">
        <f t="shared" si="31"/>
        <v xml:space="preserve"> </v>
      </c>
      <c r="V80" s="59" t="str">
        <f t="shared" si="32"/>
        <v/>
      </c>
      <c r="W80" s="59" t="str">
        <f t="shared" si="33"/>
        <v/>
      </c>
      <c r="X80" s="59" t="str">
        <f t="shared" si="34"/>
        <v/>
      </c>
      <c r="Y80" s="59" t="str">
        <f t="shared" si="35"/>
        <v xml:space="preserve">78  </v>
      </c>
      <c r="Z80" s="59" t="str">
        <f t="shared" si="36"/>
        <v xml:space="preserve">78  </v>
      </c>
    </row>
    <row r="81" spans="1:26">
      <c r="A81" s="70">
        <v>79</v>
      </c>
      <c r="B81" s="14">
        <v>79</v>
      </c>
      <c r="C81" s="5"/>
      <c r="D81" s="5"/>
      <c r="E81" s="5"/>
      <c r="F81" s="5"/>
      <c r="G81" s="5"/>
      <c r="H81" s="5"/>
      <c r="I81" s="5"/>
      <c r="J81" s="5"/>
      <c r="M81" s="15" t="e">
        <f t="shared" si="25"/>
        <v>#N/A</v>
      </c>
      <c r="N81" s="16" t="str">
        <f t="shared" si="26"/>
        <v/>
      </c>
      <c r="O81" s="15" t="str">
        <f>"D:\IMS Images\Headshots\CFB\"&amp;'Team Info'!$B$8&amp;"\"&amp;D81&amp;"_"&amp;C81&amp;".png"</f>
        <v>D:\IMS Images\Headshots\CFB\VANDERBILT\_.png</v>
      </c>
      <c r="P81" s="15" t="str">
        <f>"D:\IMS Images\Actionshots\CFB\"&amp;'Team Info'!$B$8&amp;"\"&amp;D81&amp;"_"&amp;C81&amp;".png"</f>
        <v>D:\IMS Images\Actionshots\CFB\VANDERBILT\_.png</v>
      </c>
      <c r="Q81" s="58" t="str">
        <f t="shared" si="27"/>
        <v xml:space="preserve"> </v>
      </c>
      <c r="R81" s="58" t="str">
        <f t="shared" si="28"/>
        <v xml:space="preserve">. </v>
      </c>
      <c r="S81" s="58" t="str">
        <f t="shared" si="29"/>
        <v xml:space="preserve">. </v>
      </c>
      <c r="T81" s="59" t="str">
        <f t="shared" si="30"/>
        <v/>
      </c>
      <c r="U81" s="59" t="str">
        <f t="shared" si="31"/>
        <v xml:space="preserve"> </v>
      </c>
      <c r="V81" s="59" t="str">
        <f t="shared" si="32"/>
        <v/>
      </c>
      <c r="W81" s="59" t="str">
        <f t="shared" si="33"/>
        <v/>
      </c>
      <c r="X81" s="59" t="str">
        <f t="shared" si="34"/>
        <v/>
      </c>
      <c r="Y81" s="59" t="str">
        <f t="shared" si="35"/>
        <v xml:space="preserve">79  </v>
      </c>
      <c r="Z81" s="59" t="str">
        <f t="shared" si="36"/>
        <v xml:space="preserve">79  </v>
      </c>
    </row>
    <row r="82" spans="1:26">
      <c r="A82" s="70">
        <v>80</v>
      </c>
      <c r="B82" s="14">
        <v>80</v>
      </c>
      <c r="C82" s="5"/>
      <c r="D82" s="5"/>
      <c r="E82" s="5"/>
      <c r="F82" s="5"/>
      <c r="G82" s="5"/>
      <c r="H82" s="5"/>
      <c r="I82" s="5"/>
      <c r="J82" s="5"/>
      <c r="M82" s="15" t="e">
        <f t="shared" si="25"/>
        <v>#N/A</v>
      </c>
      <c r="N82" s="16" t="str">
        <f t="shared" si="26"/>
        <v/>
      </c>
      <c r="O82" s="15" t="str">
        <f>"D:\IMS Images\Headshots\CFB\"&amp;'Team Info'!$B$8&amp;"\"&amp;D82&amp;"_"&amp;C82&amp;".png"</f>
        <v>D:\IMS Images\Headshots\CFB\VANDERBILT\_.png</v>
      </c>
      <c r="P82" s="15" t="str">
        <f>"D:\IMS Images\Actionshots\CFB\"&amp;'Team Info'!$B$8&amp;"\"&amp;D82&amp;"_"&amp;C82&amp;".png"</f>
        <v>D:\IMS Images\Actionshots\CFB\VANDERBILT\_.png</v>
      </c>
      <c r="Q82" s="58" t="str">
        <f t="shared" si="27"/>
        <v xml:space="preserve"> </v>
      </c>
      <c r="R82" s="58" t="str">
        <f t="shared" si="28"/>
        <v xml:space="preserve">. </v>
      </c>
      <c r="S82" s="58" t="str">
        <f t="shared" si="29"/>
        <v xml:space="preserve">. </v>
      </c>
      <c r="T82" s="59" t="str">
        <f t="shared" si="30"/>
        <v/>
      </c>
      <c r="U82" s="59" t="str">
        <f t="shared" si="31"/>
        <v xml:space="preserve"> </v>
      </c>
      <c r="V82" s="59" t="str">
        <f t="shared" si="32"/>
        <v/>
      </c>
      <c r="W82" s="59" t="str">
        <f t="shared" si="33"/>
        <v/>
      </c>
      <c r="X82" s="59" t="str">
        <f t="shared" si="34"/>
        <v/>
      </c>
      <c r="Y82" s="59" t="str">
        <f t="shared" si="35"/>
        <v xml:space="preserve">80  </v>
      </c>
      <c r="Z82" s="59" t="str">
        <f t="shared" si="36"/>
        <v xml:space="preserve">80  </v>
      </c>
    </row>
    <row r="83" spans="1:26">
      <c r="A83" s="70">
        <v>81</v>
      </c>
      <c r="B83" s="14">
        <v>81</v>
      </c>
      <c r="C83" s="5"/>
      <c r="D83" s="5"/>
      <c r="E83" s="5"/>
      <c r="F83" s="5"/>
      <c r="G83" s="5"/>
      <c r="H83" s="5"/>
      <c r="I83" s="5"/>
      <c r="J83" s="5"/>
      <c r="M83" s="15" t="e">
        <f t="shared" si="25"/>
        <v>#N/A</v>
      </c>
      <c r="N83" s="16" t="str">
        <f t="shared" si="26"/>
        <v/>
      </c>
      <c r="O83" s="15" t="str">
        <f>"D:\IMS Images\Headshots\CFB\"&amp;'Team Info'!$B$8&amp;"\"&amp;D83&amp;"_"&amp;C83&amp;".png"</f>
        <v>D:\IMS Images\Headshots\CFB\VANDERBILT\_.png</v>
      </c>
      <c r="P83" s="15" t="str">
        <f>"D:\IMS Images\Actionshots\CFB\"&amp;'Team Info'!$B$8&amp;"\"&amp;D83&amp;"_"&amp;C83&amp;".png"</f>
        <v>D:\IMS Images\Actionshots\CFB\VANDERBILT\_.png</v>
      </c>
      <c r="Q83" s="58" t="str">
        <f t="shared" si="27"/>
        <v xml:space="preserve"> </v>
      </c>
      <c r="R83" s="58" t="str">
        <f t="shared" si="28"/>
        <v xml:space="preserve">. </v>
      </c>
      <c r="S83" s="58" t="str">
        <f t="shared" si="29"/>
        <v xml:space="preserve">. </v>
      </c>
      <c r="T83" s="59" t="str">
        <f t="shared" si="30"/>
        <v/>
      </c>
      <c r="U83" s="59" t="str">
        <f t="shared" si="31"/>
        <v xml:space="preserve"> </v>
      </c>
      <c r="V83" s="59" t="str">
        <f t="shared" si="32"/>
        <v/>
      </c>
      <c r="W83" s="59" t="str">
        <f t="shared" si="33"/>
        <v/>
      </c>
      <c r="X83" s="59" t="str">
        <f t="shared" si="34"/>
        <v/>
      </c>
      <c r="Y83" s="59" t="str">
        <f t="shared" si="35"/>
        <v xml:space="preserve">81  </v>
      </c>
      <c r="Z83" s="59" t="str">
        <f t="shared" si="36"/>
        <v xml:space="preserve">81  </v>
      </c>
    </row>
    <row r="84" spans="1:26">
      <c r="A84" s="70">
        <v>82</v>
      </c>
      <c r="B84" s="14">
        <v>82</v>
      </c>
      <c r="C84" s="5"/>
      <c r="D84" s="5"/>
      <c r="E84" s="5"/>
      <c r="F84" s="5"/>
      <c r="G84" s="5"/>
      <c r="H84" s="5"/>
      <c r="I84" s="5"/>
      <c r="J84" s="5"/>
      <c r="M84" s="15" t="e">
        <f t="shared" si="25"/>
        <v>#N/A</v>
      </c>
      <c r="N84" s="16" t="str">
        <f t="shared" si="26"/>
        <v/>
      </c>
      <c r="O84" s="15" t="str">
        <f>"D:\IMS Images\Headshots\CFB\"&amp;'Team Info'!$B$8&amp;"\"&amp;D84&amp;"_"&amp;C84&amp;".png"</f>
        <v>D:\IMS Images\Headshots\CFB\VANDERBILT\_.png</v>
      </c>
      <c r="P84" s="15" t="str">
        <f>"D:\IMS Images\Actionshots\CFB\"&amp;'Team Info'!$B$8&amp;"\"&amp;D84&amp;"_"&amp;C84&amp;".png"</f>
        <v>D:\IMS Images\Actionshots\CFB\VANDERBILT\_.png</v>
      </c>
      <c r="Q84" s="58" t="str">
        <f t="shared" si="27"/>
        <v xml:space="preserve"> </v>
      </c>
      <c r="R84" s="58" t="str">
        <f t="shared" si="28"/>
        <v xml:space="preserve">. </v>
      </c>
      <c r="S84" s="58" t="str">
        <f t="shared" si="29"/>
        <v xml:space="preserve">. </v>
      </c>
      <c r="T84" s="59" t="str">
        <f t="shared" si="30"/>
        <v/>
      </c>
      <c r="U84" s="59" t="str">
        <f t="shared" si="31"/>
        <v xml:space="preserve"> </v>
      </c>
      <c r="V84" s="59" t="str">
        <f t="shared" si="32"/>
        <v/>
      </c>
      <c r="W84" s="59" t="str">
        <f t="shared" si="33"/>
        <v/>
      </c>
      <c r="X84" s="59" t="str">
        <f t="shared" si="34"/>
        <v/>
      </c>
      <c r="Y84" s="59" t="str">
        <f t="shared" si="35"/>
        <v xml:space="preserve">82  </v>
      </c>
      <c r="Z84" s="59" t="str">
        <f t="shared" si="36"/>
        <v xml:space="preserve">82  </v>
      </c>
    </row>
    <row r="85" spans="1:26">
      <c r="A85" s="70">
        <v>83</v>
      </c>
      <c r="B85" s="14">
        <v>83</v>
      </c>
      <c r="C85" s="5"/>
      <c r="D85" s="5"/>
      <c r="E85" s="5"/>
      <c r="F85" s="5"/>
      <c r="G85" s="5"/>
      <c r="H85" s="5"/>
      <c r="I85" s="5"/>
      <c r="J85" s="5"/>
      <c r="M85" s="15" t="e">
        <f t="shared" si="25"/>
        <v>#N/A</v>
      </c>
      <c r="N85" s="16" t="str">
        <f t="shared" si="26"/>
        <v/>
      </c>
      <c r="O85" s="15" t="str">
        <f>"D:\IMS Images\Headshots\CFB\"&amp;'Team Info'!$B$8&amp;"\"&amp;D85&amp;"_"&amp;C85&amp;".png"</f>
        <v>D:\IMS Images\Headshots\CFB\VANDERBILT\_.png</v>
      </c>
      <c r="P85" s="15" t="str">
        <f>"D:\IMS Images\Actionshots\CFB\"&amp;'Team Info'!$B$8&amp;"\"&amp;D85&amp;"_"&amp;C85&amp;".png"</f>
        <v>D:\IMS Images\Actionshots\CFB\VANDERBILT\_.png</v>
      </c>
      <c r="Q85" s="58" t="str">
        <f t="shared" si="27"/>
        <v xml:space="preserve"> </v>
      </c>
      <c r="R85" s="58" t="str">
        <f t="shared" si="28"/>
        <v xml:space="preserve">. </v>
      </c>
      <c r="S85" s="58" t="str">
        <f t="shared" si="29"/>
        <v xml:space="preserve">. </v>
      </c>
      <c r="T85" s="59" t="str">
        <f t="shared" si="30"/>
        <v/>
      </c>
      <c r="U85" s="59" t="str">
        <f t="shared" si="31"/>
        <v xml:space="preserve"> </v>
      </c>
      <c r="V85" s="59" t="str">
        <f t="shared" si="32"/>
        <v/>
      </c>
      <c r="W85" s="59" t="str">
        <f t="shared" si="33"/>
        <v/>
      </c>
      <c r="X85" s="59" t="str">
        <f t="shared" si="34"/>
        <v/>
      </c>
      <c r="Y85" s="59" t="str">
        <f t="shared" si="35"/>
        <v xml:space="preserve">83  </v>
      </c>
      <c r="Z85" s="59" t="str">
        <f t="shared" si="36"/>
        <v xml:space="preserve">83  </v>
      </c>
    </row>
    <row r="86" spans="1:26">
      <c r="A86" s="70">
        <v>84</v>
      </c>
      <c r="B86" s="14">
        <v>84</v>
      </c>
      <c r="C86" s="5"/>
      <c r="D86" s="5"/>
      <c r="E86" s="5"/>
      <c r="F86" s="5"/>
      <c r="G86" s="5"/>
      <c r="H86" s="5"/>
      <c r="I86" s="5"/>
      <c r="J86" s="5"/>
      <c r="M86" s="15" t="e">
        <f t="shared" si="25"/>
        <v>#N/A</v>
      </c>
      <c r="N86" s="16" t="str">
        <f t="shared" si="26"/>
        <v/>
      </c>
      <c r="O86" s="15" t="str">
        <f>"D:\IMS Images\Headshots\CFB\"&amp;'Team Info'!$B$8&amp;"\"&amp;D86&amp;"_"&amp;C86&amp;".png"</f>
        <v>D:\IMS Images\Headshots\CFB\VANDERBILT\_.png</v>
      </c>
      <c r="P86" s="15" t="str">
        <f>"D:\IMS Images\Actionshots\CFB\"&amp;'Team Info'!$B$8&amp;"\"&amp;D86&amp;"_"&amp;C86&amp;".png"</f>
        <v>D:\IMS Images\Actionshots\CFB\VANDERBILT\_.png</v>
      </c>
      <c r="Q86" s="58" t="str">
        <f t="shared" si="27"/>
        <v xml:space="preserve"> </v>
      </c>
      <c r="R86" s="58" t="str">
        <f t="shared" si="28"/>
        <v xml:space="preserve">. </v>
      </c>
      <c r="S86" s="58" t="str">
        <f t="shared" si="29"/>
        <v xml:space="preserve">. </v>
      </c>
      <c r="T86" s="59" t="str">
        <f t="shared" si="30"/>
        <v/>
      </c>
      <c r="U86" s="59" t="str">
        <f t="shared" si="31"/>
        <v xml:space="preserve"> </v>
      </c>
      <c r="V86" s="59" t="str">
        <f t="shared" si="32"/>
        <v/>
      </c>
      <c r="W86" s="59" t="str">
        <f t="shared" si="33"/>
        <v/>
      </c>
      <c r="X86" s="59" t="str">
        <f t="shared" si="34"/>
        <v/>
      </c>
      <c r="Y86" s="59" t="str">
        <f t="shared" si="35"/>
        <v xml:space="preserve">84  </v>
      </c>
      <c r="Z86" s="59" t="str">
        <f t="shared" si="36"/>
        <v xml:space="preserve">84  </v>
      </c>
    </row>
    <row r="87" spans="1:26">
      <c r="A87" s="70">
        <v>85</v>
      </c>
      <c r="B87" s="14">
        <v>85</v>
      </c>
      <c r="C87" s="5"/>
      <c r="D87" s="5"/>
      <c r="E87" s="5"/>
      <c r="F87" s="5"/>
      <c r="G87" s="5"/>
      <c r="H87" s="5"/>
      <c r="I87" s="5"/>
      <c r="J87" s="5"/>
      <c r="M87" s="15" t="e">
        <f t="shared" si="25"/>
        <v>#N/A</v>
      </c>
      <c r="N87" s="16" t="str">
        <f t="shared" si="26"/>
        <v/>
      </c>
      <c r="O87" s="15" t="str">
        <f>"D:\IMS Images\Headshots\CFB\"&amp;'Team Info'!$B$8&amp;"\"&amp;D87&amp;"_"&amp;C87&amp;".png"</f>
        <v>D:\IMS Images\Headshots\CFB\VANDERBILT\_.png</v>
      </c>
      <c r="P87" s="15" t="str">
        <f>"D:\IMS Images\Actionshots\CFB\"&amp;'Team Info'!$B$8&amp;"\"&amp;D87&amp;"_"&amp;C87&amp;".png"</f>
        <v>D:\IMS Images\Actionshots\CFB\VANDERBILT\_.png</v>
      </c>
      <c r="Q87" s="58" t="str">
        <f t="shared" si="27"/>
        <v xml:space="preserve"> </v>
      </c>
      <c r="R87" s="58" t="str">
        <f t="shared" si="28"/>
        <v xml:space="preserve">. </v>
      </c>
      <c r="S87" s="58" t="str">
        <f t="shared" si="29"/>
        <v xml:space="preserve">. </v>
      </c>
      <c r="T87" s="59" t="str">
        <f t="shared" si="30"/>
        <v/>
      </c>
      <c r="U87" s="59" t="str">
        <f t="shared" si="31"/>
        <v xml:space="preserve"> </v>
      </c>
      <c r="V87" s="59" t="str">
        <f t="shared" si="32"/>
        <v/>
      </c>
      <c r="W87" s="59" t="str">
        <f t="shared" si="33"/>
        <v/>
      </c>
      <c r="X87" s="59" t="str">
        <f t="shared" si="34"/>
        <v/>
      </c>
      <c r="Y87" s="59" t="str">
        <f t="shared" si="35"/>
        <v xml:space="preserve">85  </v>
      </c>
      <c r="Z87" s="59" t="str">
        <f t="shared" si="36"/>
        <v xml:space="preserve">85  </v>
      </c>
    </row>
    <row r="88" spans="1:26">
      <c r="A88" s="70">
        <v>86</v>
      </c>
      <c r="B88" s="14">
        <v>86</v>
      </c>
      <c r="C88" s="5"/>
      <c r="D88" s="5"/>
      <c r="E88" s="5"/>
      <c r="F88" s="5"/>
      <c r="G88" s="5"/>
      <c r="H88" s="5"/>
      <c r="I88" s="5"/>
      <c r="J88" s="5"/>
      <c r="M88" s="15" t="e">
        <f t="shared" si="25"/>
        <v>#N/A</v>
      </c>
      <c r="N88" s="16" t="str">
        <f t="shared" si="26"/>
        <v/>
      </c>
      <c r="O88" s="15" t="str">
        <f>"D:\IMS Images\Headshots\CFB\"&amp;'Team Info'!$B$8&amp;"\"&amp;D88&amp;"_"&amp;C88&amp;".png"</f>
        <v>D:\IMS Images\Headshots\CFB\VANDERBILT\_.png</v>
      </c>
      <c r="P88" s="15" t="str">
        <f>"D:\IMS Images\Actionshots\CFB\"&amp;'Team Info'!$B$8&amp;"\"&amp;D88&amp;"_"&amp;C88&amp;".png"</f>
        <v>D:\IMS Images\Actionshots\CFB\VANDERBILT\_.png</v>
      </c>
      <c r="Q88" s="58" t="str">
        <f t="shared" si="27"/>
        <v xml:space="preserve"> </v>
      </c>
      <c r="R88" s="58" t="str">
        <f t="shared" si="28"/>
        <v xml:space="preserve">. </v>
      </c>
      <c r="S88" s="58" t="str">
        <f t="shared" si="29"/>
        <v xml:space="preserve">. </v>
      </c>
      <c r="T88" s="59" t="str">
        <f t="shared" si="30"/>
        <v/>
      </c>
      <c r="U88" s="59" t="str">
        <f t="shared" si="31"/>
        <v xml:space="preserve"> </v>
      </c>
      <c r="V88" s="59" t="str">
        <f t="shared" si="32"/>
        <v/>
      </c>
      <c r="W88" s="59" t="str">
        <f t="shared" si="33"/>
        <v/>
      </c>
      <c r="X88" s="59" t="str">
        <f t="shared" si="34"/>
        <v/>
      </c>
      <c r="Y88" s="59" t="str">
        <f t="shared" si="35"/>
        <v xml:space="preserve">86  </v>
      </c>
      <c r="Z88" s="59" t="str">
        <f t="shared" si="36"/>
        <v xml:space="preserve">86  </v>
      </c>
    </row>
    <row r="89" spans="1:26">
      <c r="A89" s="70">
        <v>87</v>
      </c>
      <c r="B89" s="14">
        <v>87</v>
      </c>
      <c r="C89" s="5"/>
      <c r="D89" s="5"/>
      <c r="E89" s="5"/>
      <c r="F89" s="5"/>
      <c r="G89" s="5"/>
      <c r="H89" s="5"/>
      <c r="I89" s="5"/>
      <c r="J89" s="5"/>
      <c r="M89" s="15" t="e">
        <f t="shared" si="25"/>
        <v>#N/A</v>
      </c>
      <c r="N89" s="16" t="str">
        <f t="shared" si="26"/>
        <v/>
      </c>
      <c r="O89" s="15" t="str">
        <f>"D:\IMS Images\Headshots\CFB\"&amp;'Team Info'!$B$8&amp;"\"&amp;D89&amp;"_"&amp;C89&amp;".png"</f>
        <v>D:\IMS Images\Headshots\CFB\VANDERBILT\_.png</v>
      </c>
      <c r="P89" s="15" t="str">
        <f>"D:\IMS Images\Actionshots\CFB\"&amp;'Team Info'!$B$8&amp;"\"&amp;D89&amp;"_"&amp;C89&amp;".png"</f>
        <v>D:\IMS Images\Actionshots\CFB\VANDERBILT\_.png</v>
      </c>
      <c r="Q89" s="58" t="str">
        <f t="shared" si="27"/>
        <v xml:space="preserve"> </v>
      </c>
      <c r="R89" s="58" t="str">
        <f t="shared" si="28"/>
        <v xml:space="preserve">. </v>
      </c>
      <c r="S89" s="58" t="str">
        <f t="shared" si="29"/>
        <v xml:space="preserve">. </v>
      </c>
      <c r="T89" s="59" t="str">
        <f t="shared" si="30"/>
        <v/>
      </c>
      <c r="U89" s="59" t="str">
        <f t="shared" si="31"/>
        <v xml:space="preserve"> </v>
      </c>
      <c r="V89" s="59" t="str">
        <f t="shared" si="32"/>
        <v/>
      </c>
      <c r="W89" s="59" t="str">
        <f t="shared" si="33"/>
        <v/>
      </c>
      <c r="X89" s="59" t="str">
        <f t="shared" si="34"/>
        <v/>
      </c>
      <c r="Y89" s="59" t="str">
        <f t="shared" si="35"/>
        <v xml:space="preserve">87  </v>
      </c>
      <c r="Z89" s="59" t="str">
        <f t="shared" si="36"/>
        <v xml:space="preserve">87  </v>
      </c>
    </row>
    <row r="90" spans="1:26">
      <c r="A90" s="70">
        <v>88</v>
      </c>
      <c r="B90" s="14">
        <v>88</v>
      </c>
      <c r="C90" s="5"/>
      <c r="D90" s="5"/>
      <c r="E90" s="5"/>
      <c r="F90" s="5"/>
      <c r="G90" s="5"/>
      <c r="H90" s="5"/>
      <c r="I90" s="5"/>
      <c r="J90" s="5"/>
      <c r="M90" s="15" t="e">
        <f t="shared" si="25"/>
        <v>#N/A</v>
      </c>
      <c r="N90" s="16" t="str">
        <f t="shared" si="26"/>
        <v/>
      </c>
      <c r="O90" s="15" t="str">
        <f>"D:\IMS Images\Headshots\CFB\"&amp;'Team Info'!$B$8&amp;"\"&amp;D90&amp;"_"&amp;C90&amp;".png"</f>
        <v>D:\IMS Images\Headshots\CFB\VANDERBILT\_.png</v>
      </c>
      <c r="P90" s="15" t="str">
        <f>"D:\IMS Images\Actionshots\CFB\"&amp;'Team Info'!$B$8&amp;"\"&amp;D90&amp;"_"&amp;C90&amp;".png"</f>
        <v>D:\IMS Images\Actionshots\CFB\VANDERBILT\_.png</v>
      </c>
      <c r="Q90" s="58" t="str">
        <f t="shared" si="27"/>
        <v xml:space="preserve"> </v>
      </c>
      <c r="R90" s="58" t="str">
        <f t="shared" si="28"/>
        <v xml:space="preserve">. </v>
      </c>
      <c r="S90" s="58" t="str">
        <f t="shared" si="29"/>
        <v xml:space="preserve">. </v>
      </c>
      <c r="T90" s="59" t="str">
        <f t="shared" si="30"/>
        <v/>
      </c>
      <c r="U90" s="59" t="str">
        <f t="shared" si="31"/>
        <v xml:space="preserve"> </v>
      </c>
      <c r="V90" s="59" t="str">
        <f t="shared" si="32"/>
        <v/>
      </c>
      <c r="W90" s="59" t="str">
        <f t="shared" si="33"/>
        <v/>
      </c>
      <c r="X90" s="59" t="str">
        <f t="shared" si="34"/>
        <v/>
      </c>
      <c r="Y90" s="59" t="str">
        <f t="shared" si="35"/>
        <v xml:space="preserve">88  </v>
      </c>
      <c r="Z90" s="59" t="str">
        <f t="shared" si="36"/>
        <v xml:space="preserve">88  </v>
      </c>
    </row>
    <row r="91" spans="1:26">
      <c r="A91" s="70">
        <v>89</v>
      </c>
      <c r="B91" s="14">
        <v>89</v>
      </c>
      <c r="C91" s="5"/>
      <c r="D91" s="5"/>
      <c r="E91" s="5"/>
      <c r="F91" s="5"/>
      <c r="G91" s="5"/>
      <c r="H91" s="5"/>
      <c r="I91" s="5"/>
      <c r="J91" s="5"/>
      <c r="M91" s="15" t="e">
        <f t="shared" si="25"/>
        <v>#N/A</v>
      </c>
      <c r="N91" s="16" t="str">
        <f t="shared" si="26"/>
        <v/>
      </c>
      <c r="O91" s="15" t="str">
        <f>"D:\IMS Images\Headshots\CFB\"&amp;'Team Info'!$B$8&amp;"\"&amp;D91&amp;"_"&amp;C91&amp;".png"</f>
        <v>D:\IMS Images\Headshots\CFB\VANDERBILT\_.png</v>
      </c>
      <c r="P91" s="15" t="str">
        <f>"D:\IMS Images\Actionshots\CFB\"&amp;'Team Info'!$B$8&amp;"\"&amp;D91&amp;"_"&amp;C91&amp;".png"</f>
        <v>D:\IMS Images\Actionshots\CFB\VANDERBILT\_.png</v>
      </c>
      <c r="Q91" s="58" t="str">
        <f t="shared" si="27"/>
        <v xml:space="preserve"> </v>
      </c>
      <c r="R91" s="58" t="str">
        <f t="shared" si="28"/>
        <v xml:space="preserve">. </v>
      </c>
      <c r="S91" s="58" t="str">
        <f t="shared" si="29"/>
        <v xml:space="preserve">. </v>
      </c>
      <c r="T91" s="59" t="str">
        <f t="shared" si="30"/>
        <v/>
      </c>
      <c r="U91" s="59" t="str">
        <f t="shared" si="31"/>
        <v xml:space="preserve"> </v>
      </c>
      <c r="V91" s="59" t="str">
        <f t="shared" si="32"/>
        <v/>
      </c>
      <c r="W91" s="59" t="str">
        <f t="shared" si="33"/>
        <v/>
      </c>
      <c r="X91" s="59" t="str">
        <f t="shared" si="34"/>
        <v/>
      </c>
      <c r="Y91" s="59" t="str">
        <f t="shared" si="35"/>
        <v xml:space="preserve">89  </v>
      </c>
      <c r="Z91" s="59" t="str">
        <f t="shared" si="36"/>
        <v xml:space="preserve">89  </v>
      </c>
    </row>
    <row r="92" spans="1:26">
      <c r="A92" s="70">
        <v>90</v>
      </c>
      <c r="B92" s="14">
        <v>90</v>
      </c>
      <c r="C92" s="5"/>
      <c r="D92" s="5"/>
      <c r="E92" s="5"/>
      <c r="F92" s="5"/>
      <c r="G92" s="5"/>
      <c r="H92" s="5"/>
      <c r="I92" s="5"/>
      <c r="J92" s="5"/>
      <c r="M92" s="15" t="e">
        <f t="shared" si="25"/>
        <v>#N/A</v>
      </c>
      <c r="N92" s="16" t="str">
        <f t="shared" si="26"/>
        <v/>
      </c>
      <c r="O92" s="15" t="str">
        <f>"D:\IMS Images\Headshots\CFB\"&amp;'Team Info'!$B$8&amp;"\"&amp;D92&amp;"_"&amp;C92&amp;".png"</f>
        <v>D:\IMS Images\Headshots\CFB\VANDERBILT\_.png</v>
      </c>
      <c r="P92" s="15" t="str">
        <f>"D:\IMS Images\Actionshots\CFB\"&amp;'Team Info'!$B$8&amp;"\"&amp;D92&amp;"_"&amp;C92&amp;".png"</f>
        <v>D:\IMS Images\Actionshots\CFB\VANDERBILT\_.png</v>
      </c>
      <c r="Q92" s="58" t="str">
        <f t="shared" si="27"/>
        <v xml:space="preserve"> </v>
      </c>
      <c r="R92" s="58" t="str">
        <f t="shared" si="28"/>
        <v xml:space="preserve">. </v>
      </c>
      <c r="S92" s="58" t="str">
        <f t="shared" si="29"/>
        <v xml:space="preserve">. </v>
      </c>
      <c r="T92" s="59" t="str">
        <f t="shared" si="30"/>
        <v/>
      </c>
      <c r="U92" s="59" t="str">
        <f t="shared" si="31"/>
        <v xml:space="preserve"> </v>
      </c>
      <c r="V92" s="59" t="str">
        <f t="shared" si="32"/>
        <v/>
      </c>
      <c r="W92" s="59" t="str">
        <f t="shared" si="33"/>
        <v/>
      </c>
      <c r="X92" s="59" t="str">
        <f t="shared" si="34"/>
        <v/>
      </c>
      <c r="Y92" s="59" t="str">
        <f t="shared" si="35"/>
        <v xml:space="preserve">90  </v>
      </c>
      <c r="Z92" s="59" t="str">
        <f t="shared" si="36"/>
        <v xml:space="preserve">90  </v>
      </c>
    </row>
    <row r="93" spans="1:26">
      <c r="A93" s="70">
        <v>91</v>
      </c>
      <c r="B93" s="14">
        <v>91</v>
      </c>
      <c r="C93" s="5"/>
      <c r="D93" s="5"/>
      <c r="E93" s="5"/>
      <c r="F93" s="5"/>
      <c r="G93" s="5"/>
      <c r="H93" s="5"/>
      <c r="I93" s="5"/>
      <c r="J93" s="5"/>
      <c r="M93" s="15" t="e">
        <f t="shared" si="25"/>
        <v>#N/A</v>
      </c>
      <c r="N93" s="16" t="str">
        <f t="shared" si="26"/>
        <v/>
      </c>
      <c r="O93" s="15" t="str">
        <f>"D:\IMS Images\Headshots\CFB\"&amp;'Team Info'!$B$8&amp;"\"&amp;D93&amp;"_"&amp;C93&amp;".png"</f>
        <v>D:\IMS Images\Headshots\CFB\VANDERBILT\_.png</v>
      </c>
      <c r="P93" s="15" t="str">
        <f>"D:\IMS Images\Actionshots\CFB\"&amp;'Team Info'!$B$8&amp;"\"&amp;D93&amp;"_"&amp;C93&amp;".png"</f>
        <v>D:\IMS Images\Actionshots\CFB\VANDERBILT\_.png</v>
      </c>
      <c r="Q93" s="58" t="str">
        <f t="shared" si="27"/>
        <v xml:space="preserve"> </v>
      </c>
      <c r="R93" s="58" t="str">
        <f t="shared" si="28"/>
        <v xml:space="preserve">. </v>
      </c>
      <c r="S93" s="58" t="str">
        <f t="shared" si="29"/>
        <v xml:space="preserve">. </v>
      </c>
      <c r="T93" s="59" t="str">
        <f t="shared" si="30"/>
        <v/>
      </c>
      <c r="U93" s="59" t="str">
        <f t="shared" si="31"/>
        <v xml:space="preserve"> </v>
      </c>
      <c r="V93" s="59" t="str">
        <f t="shared" si="32"/>
        <v/>
      </c>
      <c r="W93" s="59" t="str">
        <f t="shared" si="33"/>
        <v/>
      </c>
      <c r="X93" s="59" t="str">
        <f t="shared" si="34"/>
        <v/>
      </c>
      <c r="Y93" s="59" t="str">
        <f t="shared" si="35"/>
        <v xml:space="preserve">91  </v>
      </c>
      <c r="Z93" s="59" t="str">
        <f t="shared" si="36"/>
        <v xml:space="preserve">91  </v>
      </c>
    </row>
    <row r="94" spans="1:26">
      <c r="A94" s="70">
        <v>92</v>
      </c>
      <c r="B94" s="14">
        <v>92</v>
      </c>
      <c r="C94" s="5"/>
      <c r="D94" s="5"/>
      <c r="E94" s="5"/>
      <c r="F94" s="5"/>
      <c r="G94" s="5"/>
      <c r="H94" s="5"/>
      <c r="I94" s="5"/>
      <c r="J94" s="5"/>
      <c r="M94" s="15" t="e">
        <f t="shared" si="25"/>
        <v>#N/A</v>
      </c>
      <c r="N94" s="16" t="str">
        <f t="shared" si="26"/>
        <v/>
      </c>
      <c r="O94" s="15" t="str">
        <f>"D:\IMS Images\Headshots\CFB\"&amp;'Team Info'!$B$8&amp;"\"&amp;D94&amp;"_"&amp;C94&amp;".png"</f>
        <v>D:\IMS Images\Headshots\CFB\VANDERBILT\_.png</v>
      </c>
      <c r="P94" s="15" t="str">
        <f>"D:\IMS Images\Actionshots\CFB\"&amp;'Team Info'!$B$8&amp;"\"&amp;D94&amp;"_"&amp;C94&amp;".png"</f>
        <v>D:\IMS Images\Actionshots\CFB\VANDERBILT\_.png</v>
      </c>
      <c r="Q94" s="58" t="str">
        <f t="shared" si="27"/>
        <v xml:space="preserve"> </v>
      </c>
      <c r="R94" s="58" t="str">
        <f t="shared" si="28"/>
        <v xml:space="preserve">. </v>
      </c>
      <c r="S94" s="58" t="str">
        <f t="shared" si="29"/>
        <v xml:space="preserve">. </v>
      </c>
      <c r="T94" s="59" t="str">
        <f t="shared" si="30"/>
        <v/>
      </c>
      <c r="U94" s="59" t="str">
        <f t="shared" si="31"/>
        <v xml:space="preserve"> </v>
      </c>
      <c r="V94" s="59" t="str">
        <f t="shared" si="32"/>
        <v/>
      </c>
      <c r="W94" s="59" t="str">
        <f t="shared" si="33"/>
        <v/>
      </c>
      <c r="X94" s="59" t="str">
        <f t="shared" si="34"/>
        <v/>
      </c>
      <c r="Y94" s="59" t="str">
        <f t="shared" si="35"/>
        <v xml:space="preserve">92  </v>
      </c>
      <c r="Z94" s="59" t="str">
        <f t="shared" si="36"/>
        <v xml:space="preserve">92  </v>
      </c>
    </row>
    <row r="95" spans="1:26">
      <c r="A95" s="70">
        <v>93</v>
      </c>
      <c r="B95" s="14">
        <v>93</v>
      </c>
      <c r="C95" s="5"/>
      <c r="D95" s="5"/>
      <c r="E95" s="5"/>
      <c r="F95" s="5"/>
      <c r="G95" s="5"/>
      <c r="H95" s="5"/>
      <c r="I95" s="5"/>
      <c r="J95" s="5"/>
      <c r="M95" s="15" t="e">
        <f t="shared" si="25"/>
        <v>#N/A</v>
      </c>
      <c r="N95" s="16" t="str">
        <f t="shared" si="26"/>
        <v/>
      </c>
      <c r="O95" s="15" t="str">
        <f>"D:\IMS Images\Headshots\CFB\"&amp;'Team Info'!$B$8&amp;"\"&amp;D95&amp;"_"&amp;C95&amp;".png"</f>
        <v>D:\IMS Images\Headshots\CFB\VANDERBILT\_.png</v>
      </c>
      <c r="P95" s="15" t="str">
        <f>"D:\IMS Images\Actionshots\CFB\"&amp;'Team Info'!$B$8&amp;"\"&amp;D95&amp;"_"&amp;C95&amp;".png"</f>
        <v>D:\IMS Images\Actionshots\CFB\VANDERBILT\_.png</v>
      </c>
      <c r="Q95" s="58" t="str">
        <f t="shared" si="27"/>
        <v xml:space="preserve"> </v>
      </c>
      <c r="R95" s="58" t="str">
        <f t="shared" si="28"/>
        <v xml:space="preserve">. </v>
      </c>
      <c r="S95" s="58" t="str">
        <f t="shared" si="29"/>
        <v xml:space="preserve">. </v>
      </c>
      <c r="T95" s="59" t="str">
        <f t="shared" si="30"/>
        <v/>
      </c>
      <c r="U95" s="59" t="str">
        <f t="shared" si="31"/>
        <v xml:space="preserve"> </v>
      </c>
      <c r="V95" s="59" t="str">
        <f t="shared" si="32"/>
        <v/>
      </c>
      <c r="W95" s="59" t="str">
        <f t="shared" si="33"/>
        <v/>
      </c>
      <c r="X95" s="59" t="str">
        <f t="shared" si="34"/>
        <v/>
      </c>
      <c r="Y95" s="59" t="str">
        <f t="shared" si="35"/>
        <v xml:space="preserve">93  </v>
      </c>
      <c r="Z95" s="59" t="str">
        <f t="shared" si="36"/>
        <v xml:space="preserve">93  </v>
      </c>
    </row>
    <row r="96" spans="1:26">
      <c r="A96" s="70">
        <v>94</v>
      </c>
      <c r="B96" s="14">
        <v>94</v>
      </c>
      <c r="C96" s="5"/>
      <c r="D96" s="5"/>
      <c r="E96" s="5"/>
      <c r="F96" s="5"/>
      <c r="G96" s="5"/>
      <c r="H96" s="5"/>
      <c r="I96" s="5"/>
      <c r="J96" s="5"/>
      <c r="M96" s="15" t="e">
        <f t="shared" si="25"/>
        <v>#N/A</v>
      </c>
      <c r="N96" s="16" t="str">
        <f t="shared" si="26"/>
        <v/>
      </c>
      <c r="O96" s="15" t="str">
        <f>"D:\IMS Images\Headshots\CFB\"&amp;'Team Info'!$B$8&amp;"\"&amp;D96&amp;"_"&amp;C96&amp;".png"</f>
        <v>D:\IMS Images\Headshots\CFB\VANDERBILT\_.png</v>
      </c>
      <c r="P96" s="15" t="str">
        <f>"D:\IMS Images\Actionshots\CFB\"&amp;'Team Info'!$B$8&amp;"\"&amp;D96&amp;"_"&amp;C96&amp;".png"</f>
        <v>D:\IMS Images\Actionshots\CFB\VANDERBILT\_.png</v>
      </c>
      <c r="Q96" s="58" t="str">
        <f t="shared" si="27"/>
        <v xml:space="preserve"> </v>
      </c>
      <c r="R96" s="58" t="str">
        <f t="shared" si="28"/>
        <v xml:space="preserve">. </v>
      </c>
      <c r="S96" s="58" t="str">
        <f t="shared" si="29"/>
        <v xml:space="preserve">. </v>
      </c>
      <c r="T96" s="59" t="str">
        <f t="shared" si="30"/>
        <v/>
      </c>
      <c r="U96" s="59" t="str">
        <f t="shared" si="31"/>
        <v xml:space="preserve"> </v>
      </c>
      <c r="V96" s="59" t="str">
        <f t="shared" si="32"/>
        <v/>
      </c>
      <c r="W96" s="59" t="str">
        <f t="shared" si="33"/>
        <v/>
      </c>
      <c r="X96" s="59" t="str">
        <f t="shared" si="34"/>
        <v/>
      </c>
      <c r="Y96" s="59" t="str">
        <f t="shared" si="35"/>
        <v xml:space="preserve">94  </v>
      </c>
      <c r="Z96" s="59" t="str">
        <f t="shared" si="36"/>
        <v xml:space="preserve">94  </v>
      </c>
    </row>
    <row r="97" spans="1:26">
      <c r="A97" s="70">
        <v>95</v>
      </c>
      <c r="B97" s="14">
        <v>95</v>
      </c>
      <c r="C97" s="5"/>
      <c r="D97" s="5"/>
      <c r="E97" s="5"/>
      <c r="F97" s="5"/>
      <c r="G97" s="5"/>
      <c r="H97" s="5"/>
      <c r="I97" s="5"/>
      <c r="J97" s="5"/>
      <c r="M97" s="15" t="e">
        <f t="shared" si="25"/>
        <v>#N/A</v>
      </c>
      <c r="N97" s="16" t="str">
        <f t="shared" si="26"/>
        <v/>
      </c>
      <c r="O97" s="15" t="str">
        <f>"D:\IMS Images\Headshots\CFB\"&amp;'Team Info'!$B$8&amp;"\"&amp;D97&amp;"_"&amp;C97&amp;".png"</f>
        <v>D:\IMS Images\Headshots\CFB\VANDERBILT\_.png</v>
      </c>
      <c r="P97" s="15" t="str">
        <f>"D:\IMS Images\Actionshots\CFB\"&amp;'Team Info'!$B$8&amp;"\"&amp;D97&amp;"_"&amp;C97&amp;".png"</f>
        <v>D:\IMS Images\Actionshots\CFB\VANDERBILT\_.png</v>
      </c>
      <c r="Q97" s="58" t="str">
        <f t="shared" si="27"/>
        <v xml:space="preserve"> </v>
      </c>
      <c r="R97" s="58" t="str">
        <f t="shared" si="28"/>
        <v xml:space="preserve">. </v>
      </c>
      <c r="S97" s="58" t="str">
        <f t="shared" si="29"/>
        <v xml:space="preserve">. </v>
      </c>
      <c r="T97" s="59" t="str">
        <f t="shared" si="30"/>
        <v/>
      </c>
      <c r="U97" s="59" t="str">
        <f t="shared" si="31"/>
        <v xml:space="preserve"> </v>
      </c>
      <c r="V97" s="59" t="str">
        <f t="shared" si="32"/>
        <v/>
      </c>
      <c r="W97" s="59" t="str">
        <f t="shared" si="33"/>
        <v/>
      </c>
      <c r="X97" s="59" t="str">
        <f t="shared" si="34"/>
        <v/>
      </c>
      <c r="Y97" s="59" t="str">
        <f t="shared" si="35"/>
        <v xml:space="preserve">95  </v>
      </c>
      <c r="Z97" s="59" t="str">
        <f t="shared" si="36"/>
        <v xml:space="preserve">95  </v>
      </c>
    </row>
    <row r="98" spans="1:26">
      <c r="A98" s="70">
        <v>96</v>
      </c>
      <c r="B98" s="14">
        <v>96</v>
      </c>
      <c r="C98" s="5"/>
      <c r="D98" s="5"/>
      <c r="E98" s="5"/>
      <c r="F98" s="5"/>
      <c r="G98" s="5"/>
      <c r="H98" s="5"/>
      <c r="I98" s="5"/>
      <c r="J98" s="5"/>
      <c r="M98" s="15" t="e">
        <f t="shared" si="25"/>
        <v>#N/A</v>
      </c>
      <c r="N98" s="16" t="str">
        <f t="shared" si="26"/>
        <v/>
      </c>
      <c r="O98" s="15" t="str">
        <f>"D:\IMS Images\Headshots\CFB\"&amp;'Team Info'!$B$8&amp;"\"&amp;D98&amp;"_"&amp;C98&amp;".png"</f>
        <v>D:\IMS Images\Headshots\CFB\VANDERBILT\_.png</v>
      </c>
      <c r="P98" s="15" t="str">
        <f>"D:\IMS Images\Actionshots\CFB\"&amp;'Team Info'!$B$8&amp;"\"&amp;D98&amp;"_"&amp;C98&amp;".png"</f>
        <v>D:\IMS Images\Actionshots\CFB\VANDERBILT\_.png</v>
      </c>
      <c r="Q98" s="58" t="str">
        <f t="shared" si="27"/>
        <v xml:space="preserve"> </v>
      </c>
      <c r="R98" s="58" t="str">
        <f t="shared" si="28"/>
        <v xml:space="preserve">. </v>
      </c>
      <c r="S98" s="58" t="str">
        <f t="shared" si="29"/>
        <v xml:space="preserve">. </v>
      </c>
      <c r="T98" s="59" t="str">
        <f t="shared" si="30"/>
        <v/>
      </c>
      <c r="U98" s="59" t="str">
        <f t="shared" si="31"/>
        <v xml:space="preserve"> </v>
      </c>
      <c r="V98" s="59" t="str">
        <f t="shared" si="32"/>
        <v/>
      </c>
      <c r="W98" s="59" t="str">
        <f t="shared" si="33"/>
        <v/>
      </c>
      <c r="X98" s="59" t="str">
        <f t="shared" si="34"/>
        <v/>
      </c>
      <c r="Y98" s="59" t="str">
        <f t="shared" si="35"/>
        <v xml:space="preserve">96  </v>
      </c>
      <c r="Z98" s="59" t="str">
        <f t="shared" si="36"/>
        <v xml:space="preserve">96  </v>
      </c>
    </row>
    <row r="99" spans="1:26">
      <c r="A99" s="70">
        <v>97</v>
      </c>
      <c r="B99" s="14">
        <v>97</v>
      </c>
      <c r="C99" s="5"/>
      <c r="D99" s="5"/>
      <c r="E99" s="5"/>
      <c r="F99" s="5"/>
      <c r="G99" s="5"/>
      <c r="H99" s="5"/>
      <c r="I99" s="5"/>
      <c r="J99" s="5"/>
      <c r="M99" s="15" t="e">
        <f t="shared" ref="M99:M130" si="37">VLOOKUP(E99,$AB$3:$AD$36,3,0)</f>
        <v>#N/A</v>
      </c>
      <c r="N99" s="16" t="str">
        <f t="shared" ref="N99:N130" si="38">IF($I99=4,"Senior",IF($I99=3,"Junior",IF($I99=2,"Sophomore",IF($I99=1,"Freshman",""))))</f>
        <v/>
      </c>
      <c r="O99" s="15" t="str">
        <f>"D:\IMS Images\Headshots\CFB\"&amp;'Team Info'!$B$8&amp;"\"&amp;D99&amp;"_"&amp;C99&amp;".png"</f>
        <v>D:\IMS Images\Headshots\CFB\VANDERBILT\_.png</v>
      </c>
      <c r="P99" s="15" t="str">
        <f>"D:\IMS Images\Actionshots\CFB\"&amp;'Team Info'!$B$8&amp;"\"&amp;D99&amp;"_"&amp;C99&amp;".png"</f>
        <v>D:\IMS Images\Actionshots\CFB\VANDERBILT\_.png</v>
      </c>
      <c r="Q99" s="58" t="str">
        <f t="shared" ref="Q99:Q130" si="39">C99&amp;" "&amp;D99</f>
        <v xml:space="preserve"> </v>
      </c>
      <c r="R99" s="58" t="str">
        <f t="shared" ref="R99:R130" si="40">LEFT(C99,1)&amp;". "&amp;D99</f>
        <v xml:space="preserve">. </v>
      </c>
      <c r="S99" s="58" t="str">
        <f t="shared" ref="S99:S130" si="41">UPPER(R99)</f>
        <v xml:space="preserve">. </v>
      </c>
      <c r="T99" s="59" t="str">
        <f t="shared" ref="T99:T130" si="42">IF($I99=4,"SR",IF($I99=3,"JR",IF($I99=2,"SO",IF($I99=1,"FR",""))))</f>
        <v/>
      </c>
      <c r="U99" s="59" t="str">
        <f t="shared" ref="U99:U130" si="43">UPPER(Q99)</f>
        <v xml:space="preserve"> </v>
      </c>
      <c r="V99" s="59" t="str">
        <f t="shared" ref="V99:V130" si="44">UPPER(C99)</f>
        <v/>
      </c>
      <c r="W99" s="59" t="str">
        <f t="shared" ref="W99:W130" si="45">UPPER(D99)</f>
        <v/>
      </c>
      <c r="X99" s="59" t="str">
        <f t="shared" ref="X99:X130" si="46">UPPER(N99)</f>
        <v/>
      </c>
      <c r="Y99" s="59" t="str">
        <f t="shared" ref="Y99:Y130" si="47">B99 &amp;" " &amp; U99</f>
        <v xml:space="preserve">97  </v>
      </c>
      <c r="Z99" s="59" t="str">
        <f t="shared" ref="Z99:Z130" si="48">B99 &amp;" " &amp; Q99</f>
        <v xml:space="preserve">97  </v>
      </c>
    </row>
    <row r="100" spans="1:26">
      <c r="A100" s="70">
        <v>98</v>
      </c>
      <c r="B100" s="14">
        <v>98</v>
      </c>
      <c r="C100" s="5"/>
      <c r="D100" s="5"/>
      <c r="E100" s="5"/>
      <c r="F100" s="5"/>
      <c r="G100" s="5"/>
      <c r="H100" s="5"/>
      <c r="I100" s="5"/>
      <c r="J100" s="5"/>
      <c r="M100" s="15" t="e">
        <f t="shared" si="37"/>
        <v>#N/A</v>
      </c>
      <c r="N100" s="16" t="str">
        <f t="shared" si="38"/>
        <v/>
      </c>
      <c r="O100" s="15" t="str">
        <f>"D:\IMS Images\Headshots\CFB\"&amp;'Team Info'!$B$8&amp;"\"&amp;D100&amp;"_"&amp;C100&amp;".png"</f>
        <v>D:\IMS Images\Headshots\CFB\VANDERBILT\_.png</v>
      </c>
      <c r="P100" s="15" t="str">
        <f>"D:\IMS Images\Actionshots\CFB\"&amp;'Team Info'!$B$8&amp;"\"&amp;D100&amp;"_"&amp;C100&amp;".png"</f>
        <v>D:\IMS Images\Actionshots\CFB\VANDERBILT\_.png</v>
      </c>
      <c r="Q100" s="58" t="str">
        <f t="shared" si="39"/>
        <v xml:space="preserve"> </v>
      </c>
      <c r="R100" s="58" t="str">
        <f t="shared" si="40"/>
        <v xml:space="preserve">. </v>
      </c>
      <c r="S100" s="58" t="str">
        <f t="shared" si="41"/>
        <v xml:space="preserve">. </v>
      </c>
      <c r="T100" s="59" t="str">
        <f t="shared" si="42"/>
        <v/>
      </c>
      <c r="U100" s="59" t="str">
        <f t="shared" si="43"/>
        <v xml:space="preserve"> </v>
      </c>
      <c r="V100" s="59" t="str">
        <f t="shared" si="44"/>
        <v/>
      </c>
      <c r="W100" s="59" t="str">
        <f t="shared" si="45"/>
        <v/>
      </c>
      <c r="X100" s="59" t="str">
        <f t="shared" si="46"/>
        <v/>
      </c>
      <c r="Y100" s="59" t="str">
        <f t="shared" si="47"/>
        <v xml:space="preserve">98  </v>
      </c>
      <c r="Z100" s="59" t="str">
        <f t="shared" si="48"/>
        <v xml:space="preserve">98  </v>
      </c>
    </row>
    <row r="101" spans="1:26">
      <c r="A101" s="70">
        <v>99</v>
      </c>
      <c r="B101" s="14">
        <v>99</v>
      </c>
      <c r="C101" s="5"/>
      <c r="D101" s="5"/>
      <c r="E101" s="5"/>
      <c r="F101" s="5"/>
      <c r="G101" s="5"/>
      <c r="H101" s="5"/>
      <c r="I101" s="5"/>
      <c r="J101" s="5"/>
      <c r="M101" s="15" t="e">
        <f t="shared" si="37"/>
        <v>#N/A</v>
      </c>
      <c r="N101" s="16" t="str">
        <f t="shared" si="38"/>
        <v/>
      </c>
      <c r="O101" s="15" t="str">
        <f>"D:\IMS Images\Headshots\CFB\"&amp;'Team Info'!$B$8&amp;"\"&amp;D101&amp;"_"&amp;C101&amp;".png"</f>
        <v>D:\IMS Images\Headshots\CFB\VANDERBILT\_.png</v>
      </c>
      <c r="P101" s="15" t="str">
        <f>"D:\IMS Images\Actionshots\CFB\"&amp;'Team Info'!$B$8&amp;"\"&amp;D101&amp;"_"&amp;C101&amp;".png"</f>
        <v>D:\IMS Images\Actionshots\CFB\VANDERBILT\_.png</v>
      </c>
      <c r="Q101" s="58" t="str">
        <f t="shared" si="39"/>
        <v xml:space="preserve"> </v>
      </c>
      <c r="R101" s="58" t="str">
        <f t="shared" si="40"/>
        <v xml:space="preserve">. </v>
      </c>
      <c r="S101" s="58" t="str">
        <f t="shared" si="41"/>
        <v xml:space="preserve">. </v>
      </c>
      <c r="T101" s="59" t="str">
        <f t="shared" si="42"/>
        <v/>
      </c>
      <c r="U101" s="59" t="str">
        <f t="shared" si="43"/>
        <v xml:space="preserve"> </v>
      </c>
      <c r="V101" s="59" t="str">
        <f t="shared" si="44"/>
        <v/>
      </c>
      <c r="W101" s="59" t="str">
        <f t="shared" si="45"/>
        <v/>
      </c>
      <c r="X101" s="59" t="str">
        <f t="shared" si="46"/>
        <v/>
      </c>
      <c r="Y101" s="59" t="str">
        <f t="shared" si="47"/>
        <v xml:space="preserve">99  </v>
      </c>
      <c r="Z101" s="59" t="str">
        <f t="shared" si="48"/>
        <v xml:space="preserve">99  </v>
      </c>
    </row>
    <row r="102" spans="1:26">
      <c r="A102" s="70">
        <v>99</v>
      </c>
      <c r="B102" s="14">
        <v>99</v>
      </c>
      <c r="C102" s="5"/>
      <c r="D102" s="5"/>
      <c r="E102" s="5"/>
      <c r="F102" s="5"/>
      <c r="G102" s="5"/>
      <c r="H102" s="5"/>
      <c r="I102" s="5"/>
      <c r="J102" s="5"/>
      <c r="M102" s="15" t="e">
        <f t="shared" si="37"/>
        <v>#N/A</v>
      </c>
      <c r="N102" s="16" t="str">
        <f t="shared" si="38"/>
        <v/>
      </c>
      <c r="O102" s="15" t="str">
        <f>"D:\IMS Images\Headshots\CFB\"&amp;'Team Info'!$B$8&amp;"\"&amp;D102&amp;"_"&amp;C102&amp;".png"</f>
        <v>D:\IMS Images\Headshots\CFB\VANDERBILT\_.png</v>
      </c>
      <c r="P102" s="15" t="str">
        <f>"D:\IMS Images\Actionshots\CFB\"&amp;'Team Info'!$B$8&amp;"\"&amp;D102&amp;"_"&amp;C102&amp;".png"</f>
        <v>D:\IMS Images\Actionshots\CFB\VANDERBILT\_.png</v>
      </c>
      <c r="Q102" s="58" t="str">
        <f t="shared" si="39"/>
        <v xml:space="preserve"> </v>
      </c>
      <c r="R102" s="58" t="str">
        <f t="shared" si="40"/>
        <v xml:space="preserve">. </v>
      </c>
      <c r="S102" s="58" t="str">
        <f t="shared" si="41"/>
        <v xml:space="preserve">. </v>
      </c>
      <c r="T102" s="59" t="str">
        <f t="shared" si="42"/>
        <v/>
      </c>
      <c r="U102" s="59" t="str">
        <f t="shared" si="43"/>
        <v xml:space="preserve"> </v>
      </c>
      <c r="V102" s="59" t="str">
        <f t="shared" si="44"/>
        <v/>
      </c>
      <c r="W102" s="59" t="str">
        <f t="shared" si="45"/>
        <v/>
      </c>
      <c r="X102" s="59" t="str">
        <f t="shared" si="46"/>
        <v/>
      </c>
      <c r="Y102" s="59" t="str">
        <f t="shared" si="47"/>
        <v xml:space="preserve">99  </v>
      </c>
      <c r="Z102" s="59" t="str">
        <f t="shared" si="48"/>
        <v xml:space="preserve">99  </v>
      </c>
    </row>
    <row r="103" spans="1:26">
      <c r="A103" s="70"/>
      <c r="B103" s="14"/>
      <c r="C103" s="5"/>
      <c r="D103" s="5"/>
      <c r="E103" s="5"/>
      <c r="F103" s="5"/>
      <c r="G103" s="5"/>
      <c r="H103" s="5"/>
      <c r="I103" s="5"/>
      <c r="J103" s="5"/>
      <c r="M103" s="15" t="e">
        <f t="shared" si="37"/>
        <v>#N/A</v>
      </c>
      <c r="N103" s="16" t="str">
        <f t="shared" si="38"/>
        <v/>
      </c>
      <c r="O103" s="15" t="str">
        <f>"D:\IMS Images\Headshots\CFB\"&amp;'Team Info'!$B$8&amp;"\"&amp;D103&amp;"_"&amp;C103&amp;".png"</f>
        <v>D:\IMS Images\Headshots\CFB\VANDERBILT\_.png</v>
      </c>
      <c r="P103" s="15" t="str">
        <f>"D:\IMS Images\Actionshots\CFB\"&amp;'Team Info'!$B$8&amp;"\"&amp;D103&amp;"_"&amp;C103&amp;".png"</f>
        <v>D:\IMS Images\Actionshots\CFB\VANDERBILT\_.png</v>
      </c>
      <c r="Q103" s="58" t="str">
        <f t="shared" si="39"/>
        <v xml:space="preserve"> </v>
      </c>
      <c r="R103" s="58" t="str">
        <f t="shared" si="40"/>
        <v xml:space="preserve">. </v>
      </c>
      <c r="S103" s="58" t="str">
        <f t="shared" si="41"/>
        <v xml:space="preserve">. </v>
      </c>
      <c r="T103" s="59" t="str">
        <f t="shared" si="42"/>
        <v/>
      </c>
      <c r="U103" s="59" t="str">
        <f t="shared" si="43"/>
        <v xml:space="preserve"> </v>
      </c>
      <c r="V103" s="59" t="str">
        <f t="shared" si="44"/>
        <v/>
      </c>
      <c r="W103" s="59" t="str">
        <f t="shared" si="45"/>
        <v/>
      </c>
      <c r="X103" s="59" t="str">
        <f t="shared" si="46"/>
        <v/>
      </c>
      <c r="Y103" s="59" t="str">
        <f t="shared" si="47"/>
        <v xml:space="preserve">  </v>
      </c>
      <c r="Z103" s="59" t="str">
        <f t="shared" si="48"/>
        <v xml:space="preserve">  </v>
      </c>
    </row>
    <row r="104" spans="1:26">
      <c r="A104" s="86">
        <v>-1</v>
      </c>
      <c r="B104" s="14"/>
      <c r="C104" s="5"/>
      <c r="D104" s="5"/>
      <c r="E104" s="5"/>
      <c r="F104" s="5"/>
      <c r="G104" s="5"/>
      <c r="H104" s="5"/>
      <c r="I104" s="5"/>
      <c r="J104" s="5"/>
      <c r="M104" s="15" t="e">
        <f t="shared" si="37"/>
        <v>#N/A</v>
      </c>
      <c r="N104" s="16" t="str">
        <f t="shared" si="38"/>
        <v/>
      </c>
      <c r="O104" s="15" t="str">
        <f>"D:\IMS Images\Headshots\CFB\"&amp;'Team Info'!$B$8&amp;"\"&amp;D104&amp;"_"&amp;C104&amp;".png"</f>
        <v>D:\IMS Images\Headshots\CFB\VANDERBILT\_.png</v>
      </c>
      <c r="P104" s="15" t="str">
        <f>"D:\IMS Images\Actionshots\CFB\"&amp;'Team Info'!$B$8&amp;"\"&amp;D104&amp;"_"&amp;C104&amp;".png"</f>
        <v>D:\IMS Images\Actionshots\CFB\VANDERBILT\_.png</v>
      </c>
      <c r="Q104" s="58" t="str">
        <f t="shared" si="39"/>
        <v xml:space="preserve"> </v>
      </c>
      <c r="R104" s="58" t="str">
        <f t="shared" si="40"/>
        <v xml:space="preserve">. </v>
      </c>
      <c r="S104" s="58" t="str">
        <f t="shared" si="41"/>
        <v xml:space="preserve">. </v>
      </c>
      <c r="T104" s="59" t="str">
        <f t="shared" si="42"/>
        <v/>
      </c>
      <c r="U104" s="59" t="str">
        <f t="shared" si="43"/>
        <v xml:space="preserve"> </v>
      </c>
      <c r="V104" s="59" t="str">
        <f t="shared" si="44"/>
        <v/>
      </c>
      <c r="W104" s="59" t="str">
        <f t="shared" si="45"/>
        <v/>
      </c>
      <c r="X104" s="59" t="str">
        <f t="shared" si="46"/>
        <v/>
      </c>
      <c r="Y104" s="59" t="str">
        <f t="shared" si="47"/>
        <v xml:space="preserve">  </v>
      </c>
      <c r="Z104" s="59" t="str">
        <f t="shared" si="48"/>
        <v xml:space="preserve">  </v>
      </c>
    </row>
    <row r="105" spans="1:26">
      <c r="A105" s="86">
        <v>-1</v>
      </c>
      <c r="B105" s="14"/>
      <c r="C105" s="5"/>
      <c r="D105" s="5"/>
      <c r="E105" s="5"/>
      <c r="F105" s="5"/>
      <c r="G105" s="5"/>
      <c r="H105" s="5"/>
      <c r="I105" s="5"/>
      <c r="J105" s="5"/>
      <c r="M105" s="15" t="e">
        <f t="shared" si="37"/>
        <v>#N/A</v>
      </c>
      <c r="N105" s="16" t="str">
        <f t="shared" si="38"/>
        <v/>
      </c>
      <c r="O105" s="15" t="str">
        <f>"D:\IMS Images\Headshots\CFB\"&amp;'Team Info'!$B$8&amp;"\"&amp;D105&amp;"_"&amp;C105&amp;".png"</f>
        <v>D:\IMS Images\Headshots\CFB\VANDERBILT\_.png</v>
      </c>
      <c r="P105" s="15" t="str">
        <f>"D:\IMS Images\Actionshots\CFB\"&amp;'Team Info'!$B$8&amp;"\"&amp;D105&amp;"_"&amp;C105&amp;".png"</f>
        <v>D:\IMS Images\Actionshots\CFB\VANDERBILT\_.png</v>
      </c>
      <c r="Q105" s="58" t="str">
        <f t="shared" si="39"/>
        <v xml:space="preserve"> </v>
      </c>
      <c r="R105" s="58" t="str">
        <f t="shared" si="40"/>
        <v xml:space="preserve">. </v>
      </c>
      <c r="S105" s="58" t="str">
        <f t="shared" si="41"/>
        <v xml:space="preserve">. </v>
      </c>
      <c r="T105" s="59" t="str">
        <f t="shared" si="42"/>
        <v/>
      </c>
      <c r="U105" s="59" t="str">
        <f t="shared" si="43"/>
        <v xml:space="preserve"> </v>
      </c>
      <c r="V105" s="59" t="str">
        <f t="shared" si="44"/>
        <v/>
      </c>
      <c r="W105" s="59" t="str">
        <f t="shared" si="45"/>
        <v/>
      </c>
      <c r="X105" s="59" t="str">
        <f t="shared" si="46"/>
        <v/>
      </c>
      <c r="Y105" s="59" t="str">
        <f t="shared" si="47"/>
        <v xml:space="preserve">  </v>
      </c>
      <c r="Z105" s="59" t="str">
        <f t="shared" si="48"/>
        <v xml:space="preserve">  </v>
      </c>
    </row>
    <row r="106" spans="1:26">
      <c r="A106" s="86">
        <v>-1</v>
      </c>
      <c r="B106" s="14"/>
      <c r="C106" s="5"/>
      <c r="D106" s="5"/>
      <c r="E106" s="5"/>
      <c r="F106" s="5"/>
      <c r="G106" s="5"/>
      <c r="H106" s="5"/>
      <c r="I106" s="5"/>
      <c r="J106" s="5"/>
      <c r="M106" s="15" t="e">
        <f t="shared" si="37"/>
        <v>#N/A</v>
      </c>
      <c r="N106" s="16" t="str">
        <f t="shared" si="38"/>
        <v/>
      </c>
      <c r="O106" s="15" t="str">
        <f>"D:\IMS Images\Headshots\CFB\"&amp;'Team Info'!$B$8&amp;"\"&amp;D106&amp;"_"&amp;C106&amp;".png"</f>
        <v>D:\IMS Images\Headshots\CFB\VANDERBILT\_.png</v>
      </c>
      <c r="P106" s="15" t="str">
        <f>"D:\IMS Images\Actionshots\CFB\"&amp;'Team Info'!$B$8&amp;"\"&amp;D106&amp;"_"&amp;C106&amp;".png"</f>
        <v>D:\IMS Images\Actionshots\CFB\VANDERBILT\_.png</v>
      </c>
      <c r="Q106" s="58" t="str">
        <f t="shared" si="39"/>
        <v xml:space="preserve"> </v>
      </c>
      <c r="R106" s="58" t="str">
        <f t="shared" si="40"/>
        <v xml:space="preserve">. </v>
      </c>
      <c r="S106" s="58" t="str">
        <f t="shared" si="41"/>
        <v xml:space="preserve">. </v>
      </c>
      <c r="T106" s="59" t="str">
        <f t="shared" si="42"/>
        <v/>
      </c>
      <c r="U106" s="59" t="str">
        <f t="shared" si="43"/>
        <v xml:space="preserve"> </v>
      </c>
      <c r="V106" s="59" t="str">
        <f t="shared" si="44"/>
        <v/>
      </c>
      <c r="W106" s="59" t="str">
        <f t="shared" si="45"/>
        <v/>
      </c>
      <c r="X106" s="59" t="str">
        <f t="shared" si="46"/>
        <v/>
      </c>
      <c r="Y106" s="59" t="str">
        <f t="shared" si="47"/>
        <v xml:space="preserve">  </v>
      </c>
      <c r="Z106" s="59" t="str">
        <f t="shared" si="48"/>
        <v xml:space="preserve">  </v>
      </c>
    </row>
    <row r="107" spans="1:26">
      <c r="A107" s="86">
        <v>-1</v>
      </c>
      <c r="B107" s="14"/>
      <c r="C107" s="5"/>
      <c r="D107" s="5"/>
      <c r="E107" s="5"/>
      <c r="F107" s="5"/>
      <c r="G107" s="5"/>
      <c r="H107" s="5"/>
      <c r="I107" s="5"/>
      <c r="J107" s="5"/>
      <c r="M107" s="15" t="e">
        <f t="shared" si="37"/>
        <v>#N/A</v>
      </c>
      <c r="N107" s="16" t="str">
        <f t="shared" si="38"/>
        <v/>
      </c>
      <c r="O107" s="15" t="str">
        <f>"D:\IMS Images\Headshots\CFB\"&amp;'Team Info'!$B$8&amp;"\"&amp;D107&amp;"_"&amp;C107&amp;".png"</f>
        <v>D:\IMS Images\Headshots\CFB\VANDERBILT\_.png</v>
      </c>
      <c r="P107" s="15" t="str">
        <f>"D:\IMS Images\Actionshots\CFB\"&amp;'Team Info'!$B$8&amp;"\"&amp;D107&amp;"_"&amp;C107&amp;".png"</f>
        <v>D:\IMS Images\Actionshots\CFB\VANDERBILT\_.png</v>
      </c>
      <c r="Q107" s="58" t="str">
        <f t="shared" si="39"/>
        <v xml:space="preserve"> </v>
      </c>
      <c r="R107" s="58" t="str">
        <f t="shared" si="40"/>
        <v xml:space="preserve">. </v>
      </c>
      <c r="S107" s="58" t="str">
        <f t="shared" si="41"/>
        <v xml:space="preserve">. </v>
      </c>
      <c r="T107" s="59" t="str">
        <f t="shared" si="42"/>
        <v/>
      </c>
      <c r="U107" s="59" t="str">
        <f t="shared" si="43"/>
        <v xml:space="preserve"> </v>
      </c>
      <c r="V107" s="59" t="str">
        <f t="shared" si="44"/>
        <v/>
      </c>
      <c r="W107" s="59" t="str">
        <f t="shared" si="45"/>
        <v/>
      </c>
      <c r="X107" s="59" t="str">
        <f t="shared" si="46"/>
        <v/>
      </c>
      <c r="Y107" s="59" t="str">
        <f t="shared" si="47"/>
        <v xml:space="preserve">  </v>
      </c>
      <c r="Z107" s="59" t="str">
        <f t="shared" si="48"/>
        <v xml:space="preserve">  </v>
      </c>
    </row>
    <row r="108" spans="1:26">
      <c r="A108" s="86">
        <v>-1</v>
      </c>
      <c r="B108" s="14"/>
      <c r="C108" s="5"/>
      <c r="D108" s="5"/>
      <c r="E108" s="5"/>
      <c r="F108" s="5"/>
      <c r="G108" s="5"/>
      <c r="H108" s="5"/>
      <c r="I108" s="5"/>
      <c r="J108" s="5"/>
      <c r="M108" s="15" t="e">
        <f t="shared" si="37"/>
        <v>#N/A</v>
      </c>
      <c r="N108" s="16" t="str">
        <f t="shared" si="38"/>
        <v/>
      </c>
      <c r="O108" s="15" t="str">
        <f>"D:\IMS Images\Headshots\CFB\"&amp;'Team Info'!$B$8&amp;"\"&amp;D108&amp;"_"&amp;C108&amp;".png"</f>
        <v>D:\IMS Images\Headshots\CFB\VANDERBILT\_.png</v>
      </c>
      <c r="P108" s="15" t="str">
        <f>"D:\IMS Images\Actionshots\CFB\"&amp;'Team Info'!$B$8&amp;"\"&amp;D108&amp;"_"&amp;C108&amp;".png"</f>
        <v>D:\IMS Images\Actionshots\CFB\VANDERBILT\_.png</v>
      </c>
      <c r="Q108" s="58" t="str">
        <f t="shared" si="39"/>
        <v xml:space="preserve"> </v>
      </c>
      <c r="R108" s="58" t="str">
        <f t="shared" si="40"/>
        <v xml:space="preserve">. </v>
      </c>
      <c r="S108" s="58" t="str">
        <f t="shared" si="41"/>
        <v xml:space="preserve">. </v>
      </c>
      <c r="T108" s="59" t="str">
        <f t="shared" si="42"/>
        <v/>
      </c>
      <c r="U108" s="59" t="str">
        <f t="shared" si="43"/>
        <v xml:space="preserve"> </v>
      </c>
      <c r="V108" s="59" t="str">
        <f t="shared" si="44"/>
        <v/>
      </c>
      <c r="W108" s="59" t="str">
        <f t="shared" si="45"/>
        <v/>
      </c>
      <c r="X108" s="59" t="str">
        <f t="shared" si="46"/>
        <v/>
      </c>
      <c r="Y108" s="59" t="str">
        <f t="shared" si="47"/>
        <v xml:space="preserve">  </v>
      </c>
      <c r="Z108" s="59" t="str">
        <f t="shared" si="48"/>
        <v xml:space="preserve">  </v>
      </c>
    </row>
    <row r="109" spans="1:26">
      <c r="A109" s="86">
        <v>-1</v>
      </c>
      <c r="B109" s="14"/>
      <c r="C109" s="5"/>
      <c r="D109" s="5"/>
      <c r="E109" s="5"/>
      <c r="F109" s="5"/>
      <c r="G109" s="5"/>
      <c r="H109" s="5"/>
      <c r="I109" s="5"/>
      <c r="J109" s="5"/>
      <c r="M109" s="15" t="e">
        <f t="shared" si="37"/>
        <v>#N/A</v>
      </c>
      <c r="N109" s="16" t="str">
        <f t="shared" si="38"/>
        <v/>
      </c>
      <c r="O109" s="15" t="str">
        <f>"D:\IMS Images\Headshots\CFB\"&amp;'Team Info'!$B$8&amp;"\"&amp;D109&amp;"_"&amp;C109&amp;".png"</f>
        <v>D:\IMS Images\Headshots\CFB\VANDERBILT\_.png</v>
      </c>
      <c r="P109" s="15" t="str">
        <f>"D:\IMS Images\Actionshots\CFB\"&amp;'Team Info'!$B$8&amp;"\"&amp;D109&amp;"_"&amp;C109&amp;".png"</f>
        <v>D:\IMS Images\Actionshots\CFB\VANDERBILT\_.png</v>
      </c>
      <c r="Q109" s="58" t="str">
        <f t="shared" si="39"/>
        <v xml:space="preserve"> </v>
      </c>
      <c r="R109" s="58" t="str">
        <f t="shared" si="40"/>
        <v xml:space="preserve">. </v>
      </c>
      <c r="S109" s="58" t="str">
        <f t="shared" si="41"/>
        <v xml:space="preserve">. </v>
      </c>
      <c r="T109" s="59" t="str">
        <f t="shared" si="42"/>
        <v/>
      </c>
      <c r="U109" s="59" t="str">
        <f t="shared" si="43"/>
        <v xml:space="preserve"> </v>
      </c>
      <c r="V109" s="59" t="str">
        <f t="shared" si="44"/>
        <v/>
      </c>
      <c r="W109" s="59" t="str">
        <f t="shared" si="45"/>
        <v/>
      </c>
      <c r="X109" s="59" t="str">
        <f t="shared" si="46"/>
        <v/>
      </c>
      <c r="Y109" s="59" t="str">
        <f t="shared" si="47"/>
        <v xml:space="preserve">  </v>
      </c>
      <c r="Z109" s="59" t="str">
        <f t="shared" si="48"/>
        <v xml:space="preserve">  </v>
      </c>
    </row>
    <row r="110" spans="1:26">
      <c r="A110" s="86">
        <v>-1</v>
      </c>
      <c r="B110" s="14"/>
      <c r="C110" s="5"/>
      <c r="D110" s="5"/>
      <c r="E110" s="5"/>
      <c r="F110" s="5"/>
      <c r="G110" s="5"/>
      <c r="H110" s="5"/>
      <c r="I110" s="5"/>
      <c r="J110" s="5"/>
      <c r="M110" s="15" t="e">
        <f t="shared" si="37"/>
        <v>#N/A</v>
      </c>
      <c r="N110" s="16" t="str">
        <f t="shared" si="38"/>
        <v/>
      </c>
      <c r="O110" s="15" t="str">
        <f>"D:\IMS Images\Headshots\CFB\"&amp;'Team Info'!$B$8&amp;"\"&amp;D110&amp;"_"&amp;C110&amp;".png"</f>
        <v>D:\IMS Images\Headshots\CFB\VANDERBILT\_.png</v>
      </c>
      <c r="P110" s="15" t="str">
        <f>"D:\IMS Images\Actionshots\CFB\"&amp;'Team Info'!$B$8&amp;"\"&amp;D110&amp;"_"&amp;C110&amp;".png"</f>
        <v>D:\IMS Images\Actionshots\CFB\VANDERBILT\_.png</v>
      </c>
      <c r="Q110" s="58" t="str">
        <f t="shared" si="39"/>
        <v xml:space="preserve"> </v>
      </c>
      <c r="R110" s="58" t="str">
        <f t="shared" si="40"/>
        <v xml:space="preserve">. </v>
      </c>
      <c r="S110" s="58" t="str">
        <f t="shared" si="41"/>
        <v xml:space="preserve">. </v>
      </c>
      <c r="T110" s="59" t="str">
        <f t="shared" si="42"/>
        <v/>
      </c>
      <c r="U110" s="59" t="str">
        <f t="shared" si="43"/>
        <v xml:space="preserve"> </v>
      </c>
      <c r="V110" s="59" t="str">
        <f t="shared" si="44"/>
        <v/>
      </c>
      <c r="W110" s="59" t="str">
        <f t="shared" si="45"/>
        <v/>
      </c>
      <c r="X110" s="59" t="str">
        <f t="shared" si="46"/>
        <v/>
      </c>
      <c r="Y110" s="59" t="str">
        <f t="shared" si="47"/>
        <v xml:space="preserve">  </v>
      </c>
      <c r="Z110" s="59" t="str">
        <f t="shared" si="48"/>
        <v xml:space="preserve">  </v>
      </c>
    </row>
    <row r="111" spans="1:26">
      <c r="A111" s="86">
        <v>-1</v>
      </c>
      <c r="B111" s="14"/>
      <c r="C111" s="5"/>
      <c r="D111" s="5"/>
      <c r="E111" s="5"/>
      <c r="F111" s="5"/>
      <c r="G111" s="5"/>
      <c r="H111" s="5"/>
      <c r="I111" s="5"/>
      <c r="J111" s="5"/>
      <c r="M111" s="15" t="e">
        <f t="shared" si="37"/>
        <v>#N/A</v>
      </c>
      <c r="N111" s="16" t="str">
        <f t="shared" si="38"/>
        <v/>
      </c>
      <c r="O111" s="15" t="str">
        <f>"D:\IMS Images\Headshots\CFB\"&amp;'Team Info'!$B$8&amp;"\"&amp;D111&amp;"_"&amp;C111&amp;".png"</f>
        <v>D:\IMS Images\Headshots\CFB\VANDERBILT\_.png</v>
      </c>
      <c r="P111" s="15" t="str">
        <f>"D:\IMS Images\Actionshots\CFB\"&amp;'Team Info'!$B$8&amp;"\"&amp;D111&amp;"_"&amp;C111&amp;".png"</f>
        <v>D:\IMS Images\Actionshots\CFB\VANDERBILT\_.png</v>
      </c>
      <c r="Q111" s="58" t="str">
        <f t="shared" si="39"/>
        <v xml:space="preserve"> </v>
      </c>
      <c r="R111" s="58" t="str">
        <f t="shared" si="40"/>
        <v xml:space="preserve">. </v>
      </c>
      <c r="S111" s="58" t="str">
        <f t="shared" si="41"/>
        <v xml:space="preserve">. </v>
      </c>
      <c r="T111" s="59" t="str">
        <f t="shared" si="42"/>
        <v/>
      </c>
      <c r="U111" s="59" t="str">
        <f t="shared" si="43"/>
        <v xml:space="preserve"> </v>
      </c>
      <c r="V111" s="59" t="str">
        <f t="shared" si="44"/>
        <v/>
      </c>
      <c r="W111" s="59" t="str">
        <f t="shared" si="45"/>
        <v/>
      </c>
      <c r="X111" s="59" t="str">
        <f t="shared" si="46"/>
        <v/>
      </c>
      <c r="Y111" s="59" t="str">
        <f t="shared" si="47"/>
        <v xml:space="preserve">  </v>
      </c>
      <c r="Z111" s="59" t="str">
        <f t="shared" si="48"/>
        <v xml:space="preserve">  </v>
      </c>
    </row>
    <row r="112" spans="1:26">
      <c r="A112" s="86">
        <v>-1</v>
      </c>
      <c r="B112" s="14"/>
      <c r="C112" s="5"/>
      <c r="D112" s="5"/>
      <c r="E112" s="5"/>
      <c r="F112" s="5"/>
      <c r="G112" s="5"/>
      <c r="H112" s="5"/>
      <c r="I112" s="5"/>
      <c r="J112" s="5"/>
      <c r="M112" s="15" t="e">
        <f t="shared" si="37"/>
        <v>#N/A</v>
      </c>
      <c r="N112" s="16" t="str">
        <f t="shared" si="38"/>
        <v/>
      </c>
      <c r="O112" s="15" t="str">
        <f>"D:\IMS Images\Headshots\CFB\"&amp;'Team Info'!$B$8&amp;"\"&amp;D112&amp;"_"&amp;C112&amp;".png"</f>
        <v>D:\IMS Images\Headshots\CFB\VANDERBILT\_.png</v>
      </c>
      <c r="P112" s="15" t="str">
        <f>"D:\IMS Images\Actionshots\CFB\"&amp;'Team Info'!$B$8&amp;"\"&amp;D112&amp;"_"&amp;C112&amp;".png"</f>
        <v>D:\IMS Images\Actionshots\CFB\VANDERBILT\_.png</v>
      </c>
      <c r="Q112" s="58" t="str">
        <f t="shared" si="39"/>
        <v xml:space="preserve"> </v>
      </c>
      <c r="R112" s="58" t="str">
        <f t="shared" si="40"/>
        <v xml:space="preserve">. </v>
      </c>
      <c r="S112" s="58" t="str">
        <f t="shared" si="41"/>
        <v xml:space="preserve">. </v>
      </c>
      <c r="T112" s="59" t="str">
        <f t="shared" si="42"/>
        <v/>
      </c>
      <c r="U112" s="59" t="str">
        <f t="shared" si="43"/>
        <v xml:space="preserve"> </v>
      </c>
      <c r="V112" s="59" t="str">
        <f t="shared" si="44"/>
        <v/>
      </c>
      <c r="W112" s="59" t="str">
        <f t="shared" si="45"/>
        <v/>
      </c>
      <c r="X112" s="59" t="str">
        <f t="shared" si="46"/>
        <v/>
      </c>
      <c r="Y112" s="59" t="str">
        <f t="shared" si="47"/>
        <v xml:space="preserve">  </v>
      </c>
      <c r="Z112" s="59" t="str">
        <f t="shared" si="48"/>
        <v xml:space="preserve">  </v>
      </c>
    </row>
    <row r="113" spans="1:26">
      <c r="A113" s="86">
        <v>-1</v>
      </c>
      <c r="B113" s="14"/>
      <c r="C113" s="5"/>
      <c r="D113" s="5"/>
      <c r="E113" s="5"/>
      <c r="F113" s="5"/>
      <c r="G113" s="5"/>
      <c r="H113" s="5"/>
      <c r="I113" s="5"/>
      <c r="J113" s="5"/>
      <c r="M113" s="15" t="e">
        <f t="shared" si="37"/>
        <v>#N/A</v>
      </c>
      <c r="N113" s="16" t="str">
        <f t="shared" si="38"/>
        <v/>
      </c>
      <c r="O113" s="15" t="str">
        <f>"D:\IMS Images\Headshots\CFB\"&amp;'Team Info'!$B$8&amp;"\"&amp;D113&amp;"_"&amp;C113&amp;".png"</f>
        <v>D:\IMS Images\Headshots\CFB\VANDERBILT\_.png</v>
      </c>
      <c r="P113" s="15" t="str">
        <f>"D:\IMS Images\Actionshots\CFB\"&amp;'Team Info'!$B$8&amp;"\"&amp;D113&amp;"_"&amp;C113&amp;".png"</f>
        <v>D:\IMS Images\Actionshots\CFB\VANDERBILT\_.png</v>
      </c>
      <c r="Q113" s="58" t="str">
        <f t="shared" si="39"/>
        <v xml:space="preserve"> </v>
      </c>
      <c r="R113" s="58" t="str">
        <f t="shared" si="40"/>
        <v xml:space="preserve">. </v>
      </c>
      <c r="S113" s="58" t="str">
        <f t="shared" si="41"/>
        <v xml:space="preserve">. </v>
      </c>
      <c r="T113" s="59" t="str">
        <f t="shared" si="42"/>
        <v/>
      </c>
      <c r="U113" s="59" t="str">
        <f t="shared" si="43"/>
        <v xml:space="preserve"> </v>
      </c>
      <c r="V113" s="59" t="str">
        <f t="shared" si="44"/>
        <v/>
      </c>
      <c r="W113" s="59" t="str">
        <f t="shared" si="45"/>
        <v/>
      </c>
      <c r="X113" s="59" t="str">
        <f t="shared" si="46"/>
        <v/>
      </c>
      <c r="Y113" s="59" t="str">
        <f t="shared" si="47"/>
        <v xml:space="preserve">  </v>
      </c>
      <c r="Z113" s="59" t="str">
        <f t="shared" si="48"/>
        <v xml:space="preserve">  </v>
      </c>
    </row>
    <row r="114" spans="1:26">
      <c r="A114" s="86">
        <v>-1</v>
      </c>
      <c r="B114" s="14"/>
      <c r="C114" s="5"/>
      <c r="D114" s="5"/>
      <c r="E114" s="5"/>
      <c r="F114" s="5"/>
      <c r="G114" s="5"/>
      <c r="H114" s="5"/>
      <c r="I114" s="5"/>
      <c r="J114" s="5"/>
      <c r="M114" s="15" t="e">
        <f t="shared" si="37"/>
        <v>#N/A</v>
      </c>
      <c r="N114" s="16" t="str">
        <f t="shared" si="38"/>
        <v/>
      </c>
      <c r="O114" s="15" t="str">
        <f>"D:\IMS Images\Headshots\CFB\"&amp;'Team Info'!$B$8&amp;"\"&amp;D114&amp;"_"&amp;C114&amp;".png"</f>
        <v>D:\IMS Images\Headshots\CFB\VANDERBILT\_.png</v>
      </c>
      <c r="P114" s="15" t="str">
        <f>"D:\IMS Images\Actionshots\CFB\"&amp;'Team Info'!$B$8&amp;"\"&amp;D114&amp;"_"&amp;C114&amp;".png"</f>
        <v>D:\IMS Images\Actionshots\CFB\VANDERBILT\_.png</v>
      </c>
      <c r="Q114" s="58" t="str">
        <f t="shared" si="39"/>
        <v xml:space="preserve"> </v>
      </c>
      <c r="R114" s="58" t="str">
        <f t="shared" si="40"/>
        <v xml:space="preserve">. </v>
      </c>
      <c r="S114" s="58" t="str">
        <f t="shared" si="41"/>
        <v xml:space="preserve">. </v>
      </c>
      <c r="T114" s="59" t="str">
        <f t="shared" si="42"/>
        <v/>
      </c>
      <c r="U114" s="59" t="str">
        <f t="shared" si="43"/>
        <v xml:space="preserve"> </v>
      </c>
      <c r="V114" s="59" t="str">
        <f t="shared" si="44"/>
        <v/>
      </c>
      <c r="W114" s="59" t="str">
        <f t="shared" si="45"/>
        <v/>
      </c>
      <c r="X114" s="59" t="str">
        <f t="shared" si="46"/>
        <v/>
      </c>
      <c r="Y114" s="59" t="str">
        <f t="shared" si="47"/>
        <v xml:space="preserve">  </v>
      </c>
      <c r="Z114" s="59" t="str">
        <f t="shared" si="48"/>
        <v xml:space="preserve">  </v>
      </c>
    </row>
    <row r="115" spans="1:26">
      <c r="A115" s="86">
        <v>-1</v>
      </c>
      <c r="B115" s="14"/>
      <c r="C115" s="5"/>
      <c r="D115" s="5"/>
      <c r="E115" s="5"/>
      <c r="F115" s="5"/>
      <c r="G115" s="5"/>
      <c r="H115" s="5"/>
      <c r="I115" s="5"/>
      <c r="J115" s="5"/>
      <c r="M115" s="15" t="e">
        <f t="shared" si="37"/>
        <v>#N/A</v>
      </c>
      <c r="N115" s="16" t="str">
        <f t="shared" si="38"/>
        <v/>
      </c>
      <c r="O115" s="15" t="str">
        <f>"D:\IMS Images\Headshots\CFB\"&amp;'Team Info'!$B$8&amp;"\"&amp;D115&amp;"_"&amp;C115&amp;".png"</f>
        <v>D:\IMS Images\Headshots\CFB\VANDERBILT\_.png</v>
      </c>
      <c r="P115" s="15" t="str">
        <f>"D:\IMS Images\Actionshots\CFB\"&amp;'Team Info'!$B$8&amp;"\"&amp;D115&amp;"_"&amp;C115&amp;".png"</f>
        <v>D:\IMS Images\Actionshots\CFB\VANDERBILT\_.png</v>
      </c>
      <c r="Q115" s="58" t="str">
        <f t="shared" si="39"/>
        <v xml:space="preserve"> </v>
      </c>
      <c r="R115" s="58" t="str">
        <f t="shared" si="40"/>
        <v xml:space="preserve">. </v>
      </c>
      <c r="S115" s="58" t="str">
        <f t="shared" si="41"/>
        <v xml:space="preserve">. </v>
      </c>
      <c r="T115" s="59" t="str">
        <f t="shared" si="42"/>
        <v/>
      </c>
      <c r="U115" s="59" t="str">
        <f t="shared" si="43"/>
        <v xml:space="preserve"> </v>
      </c>
      <c r="V115" s="59" t="str">
        <f t="shared" si="44"/>
        <v/>
      </c>
      <c r="W115" s="59" t="str">
        <f t="shared" si="45"/>
        <v/>
      </c>
      <c r="X115" s="59" t="str">
        <f t="shared" si="46"/>
        <v/>
      </c>
      <c r="Y115" s="59" t="str">
        <f t="shared" si="47"/>
        <v xml:space="preserve">  </v>
      </c>
      <c r="Z115" s="59" t="str">
        <f t="shared" si="48"/>
        <v xml:space="preserve">  </v>
      </c>
    </row>
    <row r="116" spans="1:26">
      <c r="A116" s="70"/>
      <c r="B116" s="14"/>
      <c r="C116" s="5"/>
      <c r="D116" s="5"/>
      <c r="E116" s="5"/>
      <c r="F116" s="5"/>
      <c r="G116" s="5"/>
      <c r="H116" s="5"/>
      <c r="I116" s="5"/>
      <c r="J116" s="5"/>
      <c r="M116" s="15" t="e">
        <f t="shared" si="37"/>
        <v>#N/A</v>
      </c>
      <c r="N116" s="16" t="str">
        <f t="shared" si="38"/>
        <v/>
      </c>
      <c r="O116" s="15" t="str">
        <f>"D:\IMS Images\Headshots\CFB\"&amp;'Team Info'!$B$8&amp;"\"&amp;D116&amp;"_"&amp;C116&amp;".png"</f>
        <v>D:\IMS Images\Headshots\CFB\VANDERBILT\_.png</v>
      </c>
      <c r="P116" s="15" t="str">
        <f>"D:\IMS Images\Actionshots\CFB\"&amp;'Team Info'!$B$8&amp;"\"&amp;D116&amp;"_"&amp;C116&amp;".png"</f>
        <v>D:\IMS Images\Actionshots\CFB\VANDERBILT\_.png</v>
      </c>
      <c r="Q116" s="58" t="str">
        <f t="shared" si="39"/>
        <v xml:space="preserve"> </v>
      </c>
      <c r="R116" s="58" t="str">
        <f t="shared" si="40"/>
        <v xml:space="preserve">. </v>
      </c>
      <c r="S116" s="58" t="str">
        <f t="shared" si="41"/>
        <v xml:space="preserve">. </v>
      </c>
      <c r="T116" s="59" t="str">
        <f t="shared" si="42"/>
        <v/>
      </c>
      <c r="U116" s="59" t="str">
        <f t="shared" si="43"/>
        <v xml:space="preserve"> </v>
      </c>
      <c r="V116" s="59" t="str">
        <f t="shared" si="44"/>
        <v/>
      </c>
      <c r="W116" s="59" t="str">
        <f t="shared" si="45"/>
        <v/>
      </c>
      <c r="X116" s="59" t="str">
        <f t="shared" si="46"/>
        <v/>
      </c>
      <c r="Y116" s="59" t="str">
        <f t="shared" si="47"/>
        <v xml:space="preserve">  </v>
      </c>
      <c r="Z116" s="59" t="str">
        <f t="shared" si="48"/>
        <v xml:space="preserve">  </v>
      </c>
    </row>
    <row r="117" spans="1:26">
      <c r="A117" s="70"/>
      <c r="B117" s="14"/>
      <c r="C117" s="5"/>
      <c r="D117" s="5"/>
      <c r="E117" s="5"/>
      <c r="F117" s="5"/>
      <c r="G117" s="5"/>
      <c r="H117" s="5"/>
      <c r="I117" s="5"/>
      <c r="J117" s="5"/>
      <c r="M117" s="15" t="e">
        <f t="shared" si="37"/>
        <v>#N/A</v>
      </c>
      <c r="N117" s="16" t="str">
        <f t="shared" si="38"/>
        <v/>
      </c>
      <c r="O117" s="15" t="str">
        <f>"D:\IMS Images\Headshots\CFB\"&amp;'Team Info'!$B$8&amp;"\"&amp;D117&amp;"_"&amp;C117&amp;".png"</f>
        <v>D:\IMS Images\Headshots\CFB\VANDERBILT\_.png</v>
      </c>
      <c r="P117" s="15" t="str">
        <f>"D:\IMS Images\Actionshots\CFB\"&amp;'Team Info'!$B$8&amp;"\"&amp;D117&amp;"_"&amp;C117&amp;".png"</f>
        <v>D:\IMS Images\Actionshots\CFB\VANDERBILT\_.png</v>
      </c>
      <c r="Q117" s="58" t="str">
        <f t="shared" si="39"/>
        <v xml:space="preserve"> </v>
      </c>
      <c r="R117" s="58" t="str">
        <f t="shared" si="40"/>
        <v xml:space="preserve">. </v>
      </c>
      <c r="S117" s="58" t="str">
        <f t="shared" si="41"/>
        <v xml:space="preserve">. </v>
      </c>
      <c r="T117" s="59" t="str">
        <f t="shared" si="42"/>
        <v/>
      </c>
      <c r="U117" s="59" t="str">
        <f t="shared" si="43"/>
        <v xml:space="preserve"> </v>
      </c>
      <c r="V117" s="59" t="str">
        <f t="shared" si="44"/>
        <v/>
      </c>
      <c r="W117" s="59" t="str">
        <f t="shared" si="45"/>
        <v/>
      </c>
      <c r="X117" s="59" t="str">
        <f t="shared" si="46"/>
        <v/>
      </c>
      <c r="Y117" s="59" t="str">
        <f t="shared" si="47"/>
        <v xml:space="preserve">  </v>
      </c>
      <c r="Z117" s="59" t="str">
        <f t="shared" si="48"/>
        <v xml:space="preserve">  </v>
      </c>
    </row>
    <row r="118" spans="1:26">
      <c r="A118" s="70"/>
      <c r="B118" s="14"/>
      <c r="C118" s="5"/>
      <c r="D118" s="5"/>
      <c r="E118" s="5"/>
      <c r="F118" s="5"/>
      <c r="G118" s="5"/>
      <c r="H118" s="5"/>
      <c r="I118" s="5"/>
      <c r="J118" s="5"/>
      <c r="M118" s="15" t="e">
        <f t="shared" si="37"/>
        <v>#N/A</v>
      </c>
      <c r="N118" s="16" t="str">
        <f t="shared" si="38"/>
        <v/>
      </c>
      <c r="O118" s="15" t="str">
        <f>"D:\IMS Images\Headshots\CFB\"&amp;'Team Info'!$B$8&amp;"\"&amp;D118&amp;"_"&amp;C118&amp;".png"</f>
        <v>D:\IMS Images\Headshots\CFB\VANDERBILT\_.png</v>
      </c>
      <c r="P118" s="15" t="str">
        <f>"D:\IMS Images\Actionshots\CFB\"&amp;'Team Info'!$B$8&amp;"\"&amp;D118&amp;"_"&amp;C118&amp;".png"</f>
        <v>D:\IMS Images\Actionshots\CFB\VANDERBILT\_.png</v>
      </c>
      <c r="Q118" s="58" t="str">
        <f t="shared" si="39"/>
        <v xml:space="preserve"> </v>
      </c>
      <c r="R118" s="58" t="str">
        <f t="shared" si="40"/>
        <v xml:space="preserve">. </v>
      </c>
      <c r="S118" s="58" t="str">
        <f t="shared" si="41"/>
        <v xml:space="preserve">. </v>
      </c>
      <c r="T118" s="59" t="str">
        <f t="shared" si="42"/>
        <v/>
      </c>
      <c r="U118" s="59" t="str">
        <f t="shared" si="43"/>
        <v xml:space="preserve"> </v>
      </c>
      <c r="V118" s="59" t="str">
        <f t="shared" si="44"/>
        <v/>
      </c>
      <c r="W118" s="59" t="str">
        <f t="shared" si="45"/>
        <v/>
      </c>
      <c r="X118" s="59" t="str">
        <f t="shared" si="46"/>
        <v/>
      </c>
      <c r="Y118" s="59" t="str">
        <f t="shared" si="47"/>
        <v xml:space="preserve">  </v>
      </c>
      <c r="Z118" s="59" t="str">
        <f t="shared" si="48"/>
        <v xml:space="preserve">  </v>
      </c>
    </row>
    <row r="119" spans="1:26">
      <c r="A119" s="70"/>
      <c r="B119" s="14"/>
      <c r="C119" s="5"/>
      <c r="D119" s="5"/>
      <c r="E119" s="5"/>
      <c r="F119" s="5"/>
      <c r="G119" s="5"/>
      <c r="H119" s="5"/>
      <c r="I119" s="5"/>
      <c r="J119" s="5"/>
      <c r="M119" s="15" t="e">
        <f t="shared" si="37"/>
        <v>#N/A</v>
      </c>
      <c r="N119" s="16" t="str">
        <f t="shared" si="38"/>
        <v/>
      </c>
      <c r="O119" s="15" t="str">
        <f>"D:\IMS Images\Headshots\CFB\"&amp;'Team Info'!$B$8&amp;"\"&amp;D119&amp;"_"&amp;C119&amp;".png"</f>
        <v>D:\IMS Images\Headshots\CFB\VANDERBILT\_.png</v>
      </c>
      <c r="P119" s="15" t="str">
        <f>"D:\IMS Images\Actionshots\CFB\"&amp;'Team Info'!$B$8&amp;"\"&amp;D119&amp;"_"&amp;C119&amp;".png"</f>
        <v>D:\IMS Images\Actionshots\CFB\VANDERBILT\_.png</v>
      </c>
      <c r="Q119" s="58" t="str">
        <f t="shared" si="39"/>
        <v xml:space="preserve"> </v>
      </c>
      <c r="R119" s="58" t="str">
        <f t="shared" si="40"/>
        <v xml:space="preserve">. </v>
      </c>
      <c r="S119" s="58" t="str">
        <f t="shared" si="41"/>
        <v xml:space="preserve">. </v>
      </c>
      <c r="T119" s="59" t="str">
        <f t="shared" si="42"/>
        <v/>
      </c>
      <c r="U119" s="59" t="str">
        <f t="shared" si="43"/>
        <v xml:space="preserve"> </v>
      </c>
      <c r="V119" s="59" t="str">
        <f t="shared" si="44"/>
        <v/>
      </c>
      <c r="W119" s="59" t="str">
        <f t="shared" si="45"/>
        <v/>
      </c>
      <c r="X119" s="59" t="str">
        <f t="shared" si="46"/>
        <v/>
      </c>
      <c r="Y119" s="59" t="str">
        <f t="shared" si="47"/>
        <v xml:space="preserve">  </v>
      </c>
      <c r="Z119" s="59" t="str">
        <f t="shared" si="48"/>
        <v xml:space="preserve">  </v>
      </c>
    </row>
    <row r="120" spans="1:26">
      <c r="A120" s="70"/>
      <c r="B120" s="14"/>
      <c r="C120" s="5"/>
      <c r="D120" s="5"/>
      <c r="E120" s="5"/>
      <c r="F120" s="5"/>
      <c r="G120" s="5"/>
      <c r="H120" s="5"/>
      <c r="I120" s="5"/>
      <c r="J120" s="5"/>
      <c r="M120" s="15" t="e">
        <f t="shared" si="37"/>
        <v>#N/A</v>
      </c>
      <c r="N120" s="16" t="str">
        <f t="shared" si="38"/>
        <v/>
      </c>
      <c r="O120" s="15" t="str">
        <f>"D:\IMS Images\Headshots\CFB\"&amp;'Team Info'!$B$8&amp;"\"&amp;D120&amp;"_"&amp;C120&amp;".png"</f>
        <v>D:\IMS Images\Headshots\CFB\VANDERBILT\_.png</v>
      </c>
      <c r="P120" s="15" t="str">
        <f>"D:\IMS Images\Actionshots\CFB\"&amp;'Team Info'!$B$8&amp;"\"&amp;D120&amp;"_"&amp;C120&amp;".png"</f>
        <v>D:\IMS Images\Actionshots\CFB\VANDERBILT\_.png</v>
      </c>
      <c r="Q120" s="58" t="str">
        <f t="shared" si="39"/>
        <v xml:space="preserve"> </v>
      </c>
      <c r="R120" s="58" t="str">
        <f t="shared" si="40"/>
        <v xml:space="preserve">. </v>
      </c>
      <c r="S120" s="58" t="str">
        <f t="shared" si="41"/>
        <v xml:space="preserve">. </v>
      </c>
      <c r="T120" s="59" t="str">
        <f t="shared" si="42"/>
        <v/>
      </c>
      <c r="U120" s="59" t="str">
        <f t="shared" si="43"/>
        <v xml:space="preserve"> </v>
      </c>
      <c r="V120" s="59" t="str">
        <f t="shared" si="44"/>
        <v/>
      </c>
      <c r="W120" s="59" t="str">
        <f t="shared" si="45"/>
        <v/>
      </c>
      <c r="X120" s="59" t="str">
        <f t="shared" si="46"/>
        <v/>
      </c>
      <c r="Y120" s="59" t="str">
        <f t="shared" si="47"/>
        <v xml:space="preserve">  </v>
      </c>
      <c r="Z120" s="59" t="str">
        <f t="shared" si="48"/>
        <v xml:space="preserve">  </v>
      </c>
    </row>
    <row r="121" spans="1:26">
      <c r="A121" s="70"/>
      <c r="B121" s="14"/>
      <c r="C121" s="5"/>
      <c r="D121" s="5"/>
      <c r="E121" s="5"/>
      <c r="F121" s="5"/>
      <c r="G121" s="5"/>
      <c r="H121" s="5"/>
      <c r="I121" s="5"/>
      <c r="J121" s="5"/>
      <c r="M121" s="15" t="e">
        <f t="shared" si="37"/>
        <v>#N/A</v>
      </c>
      <c r="N121" s="16" t="str">
        <f t="shared" si="38"/>
        <v/>
      </c>
      <c r="O121" s="15" t="str">
        <f>"D:\IMS Images\Headshots\CFB\"&amp;'Team Info'!$B$8&amp;"\"&amp;D121&amp;"_"&amp;C121&amp;".png"</f>
        <v>D:\IMS Images\Headshots\CFB\VANDERBILT\_.png</v>
      </c>
      <c r="P121" s="15" t="str">
        <f>"D:\IMS Images\Actionshots\CFB\"&amp;'Team Info'!$B$8&amp;"\"&amp;D121&amp;"_"&amp;C121&amp;".png"</f>
        <v>D:\IMS Images\Actionshots\CFB\VANDERBILT\_.png</v>
      </c>
      <c r="Q121" s="58" t="str">
        <f t="shared" si="39"/>
        <v xml:space="preserve"> </v>
      </c>
      <c r="R121" s="58" t="str">
        <f t="shared" si="40"/>
        <v xml:space="preserve">. </v>
      </c>
      <c r="S121" s="58" t="str">
        <f t="shared" si="41"/>
        <v xml:space="preserve">. </v>
      </c>
      <c r="T121" s="59" t="str">
        <f t="shared" si="42"/>
        <v/>
      </c>
      <c r="U121" s="59" t="str">
        <f t="shared" si="43"/>
        <v xml:space="preserve"> </v>
      </c>
      <c r="V121" s="59" t="str">
        <f t="shared" si="44"/>
        <v/>
      </c>
      <c r="W121" s="59" t="str">
        <f t="shared" si="45"/>
        <v/>
      </c>
      <c r="X121" s="59" t="str">
        <f t="shared" si="46"/>
        <v/>
      </c>
      <c r="Y121" s="59" t="str">
        <f t="shared" si="47"/>
        <v xml:space="preserve">  </v>
      </c>
      <c r="Z121" s="59" t="str">
        <f t="shared" si="48"/>
        <v xml:space="preserve">  </v>
      </c>
    </row>
    <row r="122" spans="1:26">
      <c r="A122" s="70"/>
      <c r="B122" s="14"/>
      <c r="C122" s="5"/>
      <c r="D122" s="5"/>
      <c r="E122" s="5"/>
      <c r="F122" s="5"/>
      <c r="G122" s="5"/>
      <c r="H122" s="5"/>
      <c r="I122" s="5"/>
      <c r="J122" s="5"/>
      <c r="M122" s="15" t="e">
        <f t="shared" si="37"/>
        <v>#N/A</v>
      </c>
      <c r="N122" s="16" t="str">
        <f t="shared" si="38"/>
        <v/>
      </c>
      <c r="O122" s="15" t="str">
        <f>"D:\IMS Images\Headshots\CFB\"&amp;'Team Info'!$B$8&amp;"\"&amp;D122&amp;"_"&amp;C122&amp;".png"</f>
        <v>D:\IMS Images\Headshots\CFB\VANDERBILT\_.png</v>
      </c>
      <c r="P122" s="15" t="str">
        <f>"D:\IMS Images\Actionshots\CFB\"&amp;'Team Info'!$B$8&amp;"\"&amp;D122&amp;"_"&amp;C122&amp;".png"</f>
        <v>D:\IMS Images\Actionshots\CFB\VANDERBILT\_.png</v>
      </c>
      <c r="Q122" s="58" t="str">
        <f t="shared" si="39"/>
        <v xml:space="preserve"> </v>
      </c>
      <c r="R122" s="58" t="str">
        <f t="shared" si="40"/>
        <v xml:space="preserve">. </v>
      </c>
      <c r="S122" s="58" t="str">
        <f t="shared" si="41"/>
        <v xml:space="preserve">. </v>
      </c>
      <c r="T122" s="59" t="str">
        <f t="shared" si="42"/>
        <v/>
      </c>
      <c r="U122" s="59" t="str">
        <f t="shared" si="43"/>
        <v xml:space="preserve"> </v>
      </c>
      <c r="V122" s="59" t="str">
        <f t="shared" si="44"/>
        <v/>
      </c>
      <c r="W122" s="59" t="str">
        <f t="shared" si="45"/>
        <v/>
      </c>
      <c r="X122" s="59" t="str">
        <f t="shared" si="46"/>
        <v/>
      </c>
      <c r="Y122" s="59" t="str">
        <f t="shared" si="47"/>
        <v xml:space="preserve">  </v>
      </c>
      <c r="Z122" s="59" t="str">
        <f t="shared" si="48"/>
        <v xml:space="preserve">  </v>
      </c>
    </row>
    <row r="123" spans="1:26">
      <c r="A123" s="70"/>
      <c r="B123" s="14"/>
      <c r="C123" s="5"/>
      <c r="D123" s="5"/>
      <c r="E123" s="5"/>
      <c r="F123" s="5"/>
      <c r="G123" s="5"/>
      <c r="H123" s="5"/>
      <c r="I123" s="5"/>
      <c r="J123" s="5"/>
      <c r="M123" s="15" t="e">
        <f t="shared" si="37"/>
        <v>#N/A</v>
      </c>
      <c r="N123" s="16" t="str">
        <f t="shared" si="38"/>
        <v/>
      </c>
      <c r="O123" s="15" t="str">
        <f>"D:\IMS Images\Headshots\CFB\"&amp;'Team Info'!$B$8&amp;"\"&amp;D123&amp;"_"&amp;C123&amp;".png"</f>
        <v>D:\IMS Images\Headshots\CFB\VANDERBILT\_.png</v>
      </c>
      <c r="P123" s="15" t="str">
        <f>"D:\IMS Images\Actionshots\CFB\"&amp;'Team Info'!$B$8&amp;"\"&amp;D123&amp;"_"&amp;C123&amp;".png"</f>
        <v>D:\IMS Images\Actionshots\CFB\VANDERBILT\_.png</v>
      </c>
      <c r="Q123" s="58" t="str">
        <f t="shared" si="39"/>
        <v xml:space="preserve"> </v>
      </c>
      <c r="R123" s="58" t="str">
        <f t="shared" si="40"/>
        <v xml:space="preserve">. </v>
      </c>
      <c r="S123" s="58" t="str">
        <f t="shared" si="41"/>
        <v xml:space="preserve">. </v>
      </c>
      <c r="T123" s="59" t="str">
        <f t="shared" si="42"/>
        <v/>
      </c>
      <c r="U123" s="59" t="str">
        <f t="shared" si="43"/>
        <v xml:space="preserve"> </v>
      </c>
      <c r="V123" s="59" t="str">
        <f t="shared" si="44"/>
        <v/>
      </c>
      <c r="W123" s="59" t="str">
        <f t="shared" si="45"/>
        <v/>
      </c>
      <c r="X123" s="59" t="str">
        <f t="shared" si="46"/>
        <v/>
      </c>
      <c r="Y123" s="59" t="str">
        <f t="shared" si="47"/>
        <v xml:space="preserve">  </v>
      </c>
      <c r="Z123" s="59" t="str">
        <f t="shared" si="48"/>
        <v xml:space="preserve">  </v>
      </c>
    </row>
    <row r="124" spans="1:26">
      <c r="A124" s="70"/>
      <c r="B124" s="14"/>
      <c r="C124" s="5"/>
      <c r="D124" s="5"/>
      <c r="E124" s="5"/>
      <c r="F124" s="5"/>
      <c r="G124" s="5"/>
      <c r="H124" s="5"/>
      <c r="I124" s="5"/>
      <c r="J124" s="5"/>
      <c r="M124" s="15" t="e">
        <f t="shared" si="37"/>
        <v>#N/A</v>
      </c>
      <c r="N124" s="16" t="str">
        <f t="shared" si="38"/>
        <v/>
      </c>
      <c r="O124" s="15" t="str">
        <f>"D:\IMS Images\Headshots\CFB\"&amp;'Team Info'!$B$8&amp;"\"&amp;D124&amp;"_"&amp;C124&amp;".png"</f>
        <v>D:\IMS Images\Headshots\CFB\VANDERBILT\_.png</v>
      </c>
      <c r="P124" s="15" t="str">
        <f>"D:\IMS Images\Actionshots\CFB\"&amp;'Team Info'!$B$8&amp;"\"&amp;D124&amp;"_"&amp;C124&amp;".png"</f>
        <v>D:\IMS Images\Actionshots\CFB\VANDERBILT\_.png</v>
      </c>
      <c r="Q124" s="58" t="str">
        <f t="shared" si="39"/>
        <v xml:space="preserve"> </v>
      </c>
      <c r="R124" s="58" t="str">
        <f t="shared" si="40"/>
        <v xml:space="preserve">. </v>
      </c>
      <c r="S124" s="58" t="str">
        <f t="shared" si="41"/>
        <v xml:space="preserve">. </v>
      </c>
      <c r="T124" s="59" t="str">
        <f t="shared" si="42"/>
        <v/>
      </c>
      <c r="U124" s="59" t="str">
        <f t="shared" si="43"/>
        <v xml:space="preserve"> </v>
      </c>
      <c r="V124" s="59" t="str">
        <f t="shared" si="44"/>
        <v/>
      </c>
      <c r="W124" s="59" t="str">
        <f t="shared" si="45"/>
        <v/>
      </c>
      <c r="X124" s="59" t="str">
        <f t="shared" si="46"/>
        <v/>
      </c>
      <c r="Y124" s="59" t="str">
        <f t="shared" si="47"/>
        <v xml:space="preserve">  </v>
      </c>
      <c r="Z124" s="59" t="str">
        <f t="shared" si="48"/>
        <v xml:space="preserve">  </v>
      </c>
    </row>
    <row r="125" spans="1:26">
      <c r="A125" s="70"/>
      <c r="B125" s="14"/>
      <c r="C125" s="5"/>
      <c r="D125" s="5"/>
      <c r="E125" s="5"/>
      <c r="F125" s="5"/>
      <c r="G125" s="5"/>
      <c r="H125" s="5"/>
      <c r="I125" s="5"/>
      <c r="J125" s="5"/>
      <c r="M125" s="15" t="e">
        <f t="shared" si="37"/>
        <v>#N/A</v>
      </c>
      <c r="N125" s="16" t="str">
        <f t="shared" si="38"/>
        <v/>
      </c>
      <c r="O125" s="15" t="str">
        <f>"D:\IMS Images\Headshots\CFB\"&amp;'Team Info'!$B$8&amp;"\"&amp;D125&amp;"_"&amp;C125&amp;".png"</f>
        <v>D:\IMS Images\Headshots\CFB\VANDERBILT\_.png</v>
      </c>
      <c r="P125" s="15" t="str">
        <f>"D:\IMS Images\Actionshots\CFB\"&amp;'Team Info'!$B$8&amp;"\"&amp;D125&amp;"_"&amp;C125&amp;".png"</f>
        <v>D:\IMS Images\Actionshots\CFB\VANDERBILT\_.png</v>
      </c>
      <c r="Q125" s="58" t="str">
        <f t="shared" si="39"/>
        <v xml:space="preserve"> </v>
      </c>
      <c r="R125" s="58" t="str">
        <f t="shared" si="40"/>
        <v xml:space="preserve">. </v>
      </c>
      <c r="S125" s="58" t="str">
        <f t="shared" si="41"/>
        <v xml:space="preserve">. </v>
      </c>
      <c r="T125" s="59" t="str">
        <f t="shared" si="42"/>
        <v/>
      </c>
      <c r="U125" s="59" t="str">
        <f t="shared" si="43"/>
        <v xml:space="preserve"> </v>
      </c>
      <c r="V125" s="59" t="str">
        <f t="shared" si="44"/>
        <v/>
      </c>
      <c r="W125" s="59" t="str">
        <f t="shared" si="45"/>
        <v/>
      </c>
      <c r="X125" s="59" t="str">
        <f t="shared" si="46"/>
        <v/>
      </c>
      <c r="Y125" s="59" t="str">
        <f t="shared" si="47"/>
        <v xml:space="preserve">  </v>
      </c>
      <c r="Z125" s="59" t="str">
        <f t="shared" si="48"/>
        <v xml:space="preserve">  </v>
      </c>
    </row>
    <row r="126" spans="1:26">
      <c r="A126" s="70"/>
      <c r="B126" s="14"/>
      <c r="C126" s="5"/>
      <c r="D126" s="5"/>
      <c r="E126" s="5"/>
      <c r="F126" s="5"/>
      <c r="G126" s="5"/>
      <c r="H126" s="5"/>
      <c r="I126" s="5"/>
      <c r="J126" s="5"/>
      <c r="M126" s="15" t="e">
        <f t="shared" si="37"/>
        <v>#N/A</v>
      </c>
      <c r="N126" s="16" t="str">
        <f t="shared" si="38"/>
        <v/>
      </c>
      <c r="O126" s="15" t="str">
        <f>"D:\IMS Images\Headshots\CFB\"&amp;'Team Info'!$B$8&amp;"\"&amp;D126&amp;"_"&amp;C126&amp;".png"</f>
        <v>D:\IMS Images\Headshots\CFB\VANDERBILT\_.png</v>
      </c>
      <c r="P126" s="15" t="str">
        <f>"D:\IMS Images\Actionshots\CFB\"&amp;'Team Info'!$B$8&amp;"\"&amp;D126&amp;"_"&amp;C126&amp;".png"</f>
        <v>D:\IMS Images\Actionshots\CFB\VANDERBILT\_.png</v>
      </c>
      <c r="Q126" s="58" t="str">
        <f t="shared" si="39"/>
        <v xml:space="preserve"> </v>
      </c>
      <c r="R126" s="58" t="str">
        <f t="shared" si="40"/>
        <v xml:space="preserve">. </v>
      </c>
      <c r="S126" s="58" t="str">
        <f t="shared" si="41"/>
        <v xml:space="preserve">. </v>
      </c>
      <c r="T126" s="59" t="str">
        <f t="shared" si="42"/>
        <v/>
      </c>
      <c r="U126" s="59" t="str">
        <f t="shared" si="43"/>
        <v xml:space="preserve"> </v>
      </c>
      <c r="V126" s="59" t="str">
        <f t="shared" si="44"/>
        <v/>
      </c>
      <c r="W126" s="59" t="str">
        <f t="shared" si="45"/>
        <v/>
      </c>
      <c r="X126" s="59" t="str">
        <f t="shared" si="46"/>
        <v/>
      </c>
      <c r="Y126" s="59" t="str">
        <f t="shared" si="47"/>
        <v xml:space="preserve">  </v>
      </c>
      <c r="Z126" s="59" t="str">
        <f t="shared" si="48"/>
        <v xml:space="preserve">  </v>
      </c>
    </row>
    <row r="127" spans="1:26">
      <c r="A127" s="70"/>
      <c r="B127" s="14"/>
      <c r="C127" s="5"/>
      <c r="D127" s="5"/>
      <c r="E127" s="5"/>
      <c r="F127" s="5"/>
      <c r="G127" s="5"/>
      <c r="H127" s="5"/>
      <c r="I127" s="5"/>
      <c r="J127" s="5"/>
      <c r="M127" s="15" t="e">
        <f t="shared" si="37"/>
        <v>#N/A</v>
      </c>
      <c r="N127" s="16" t="str">
        <f t="shared" si="38"/>
        <v/>
      </c>
      <c r="O127" s="15" t="str">
        <f>"D:\IMS Images\Headshots\CFB\"&amp;'Team Info'!$B$8&amp;"\"&amp;D127&amp;"_"&amp;C127&amp;".png"</f>
        <v>D:\IMS Images\Headshots\CFB\VANDERBILT\_.png</v>
      </c>
      <c r="P127" s="15" t="str">
        <f>"D:\IMS Images\Actionshots\CFB\"&amp;'Team Info'!$B$8&amp;"\"&amp;D127&amp;"_"&amp;C127&amp;".png"</f>
        <v>D:\IMS Images\Actionshots\CFB\VANDERBILT\_.png</v>
      </c>
      <c r="Q127" s="58" t="str">
        <f t="shared" si="39"/>
        <v xml:space="preserve"> </v>
      </c>
      <c r="R127" s="58" t="str">
        <f t="shared" si="40"/>
        <v xml:space="preserve">. </v>
      </c>
      <c r="S127" s="58" t="str">
        <f t="shared" si="41"/>
        <v xml:space="preserve">. </v>
      </c>
      <c r="T127" s="59" t="str">
        <f t="shared" si="42"/>
        <v/>
      </c>
      <c r="U127" s="59" t="str">
        <f t="shared" si="43"/>
        <v xml:space="preserve"> </v>
      </c>
      <c r="V127" s="59" t="str">
        <f t="shared" si="44"/>
        <v/>
      </c>
      <c r="W127" s="59" t="str">
        <f t="shared" si="45"/>
        <v/>
      </c>
      <c r="X127" s="59" t="str">
        <f t="shared" si="46"/>
        <v/>
      </c>
      <c r="Y127" s="59" t="str">
        <f t="shared" si="47"/>
        <v xml:space="preserve">  </v>
      </c>
      <c r="Z127" s="59" t="str">
        <f t="shared" si="48"/>
        <v xml:space="preserve">  </v>
      </c>
    </row>
    <row r="128" spans="1:26">
      <c r="A128" s="70"/>
      <c r="B128" s="14"/>
      <c r="C128" s="5"/>
      <c r="D128" s="5"/>
      <c r="E128" s="5"/>
      <c r="F128" s="5"/>
      <c r="G128" s="5"/>
      <c r="H128" s="5"/>
      <c r="I128" s="5"/>
      <c r="J128" s="5"/>
      <c r="M128" s="15" t="e">
        <f t="shared" si="37"/>
        <v>#N/A</v>
      </c>
      <c r="N128" s="16" t="str">
        <f t="shared" si="38"/>
        <v/>
      </c>
      <c r="O128" s="15" t="str">
        <f>"D:\IMS Images\Headshots\CFB\"&amp;'Team Info'!$B$8&amp;"\"&amp;D128&amp;"_"&amp;C128&amp;".png"</f>
        <v>D:\IMS Images\Headshots\CFB\VANDERBILT\_.png</v>
      </c>
      <c r="P128" s="15" t="str">
        <f>"D:\IMS Images\Actionshots\CFB\"&amp;'Team Info'!$B$8&amp;"\"&amp;D128&amp;"_"&amp;C128&amp;".png"</f>
        <v>D:\IMS Images\Actionshots\CFB\VANDERBILT\_.png</v>
      </c>
      <c r="Q128" s="58" t="str">
        <f t="shared" si="39"/>
        <v xml:space="preserve"> </v>
      </c>
      <c r="R128" s="58" t="str">
        <f t="shared" si="40"/>
        <v xml:space="preserve">. </v>
      </c>
      <c r="S128" s="58" t="str">
        <f t="shared" si="41"/>
        <v xml:space="preserve">. </v>
      </c>
      <c r="T128" s="59" t="str">
        <f t="shared" si="42"/>
        <v/>
      </c>
      <c r="U128" s="59" t="str">
        <f t="shared" si="43"/>
        <v xml:space="preserve"> </v>
      </c>
      <c r="V128" s="59" t="str">
        <f t="shared" si="44"/>
        <v/>
      </c>
      <c r="W128" s="59" t="str">
        <f t="shared" si="45"/>
        <v/>
      </c>
      <c r="X128" s="59" t="str">
        <f t="shared" si="46"/>
        <v/>
      </c>
      <c r="Y128" s="59" t="str">
        <f t="shared" si="47"/>
        <v xml:space="preserve">  </v>
      </c>
      <c r="Z128" s="59" t="str">
        <f t="shared" si="48"/>
        <v xml:space="preserve">  </v>
      </c>
    </row>
    <row r="129" spans="1:26">
      <c r="A129" s="70"/>
      <c r="B129" s="14"/>
      <c r="C129" s="5"/>
      <c r="D129" s="5"/>
      <c r="E129" s="5"/>
      <c r="F129" s="5"/>
      <c r="G129" s="5"/>
      <c r="H129" s="5"/>
      <c r="I129" s="5"/>
      <c r="J129" s="5"/>
      <c r="M129" s="15" t="e">
        <f t="shared" si="37"/>
        <v>#N/A</v>
      </c>
      <c r="N129" s="16" t="str">
        <f t="shared" si="38"/>
        <v/>
      </c>
      <c r="O129" s="15" t="str">
        <f>"D:\IMS Images\Headshots\CFB\"&amp;'Team Info'!$B$8&amp;"\"&amp;D129&amp;"_"&amp;C129&amp;".png"</f>
        <v>D:\IMS Images\Headshots\CFB\VANDERBILT\_.png</v>
      </c>
      <c r="P129" s="15" t="str">
        <f>"D:\IMS Images\Actionshots\CFB\"&amp;'Team Info'!$B$8&amp;"\"&amp;D129&amp;"_"&amp;C129&amp;".png"</f>
        <v>D:\IMS Images\Actionshots\CFB\VANDERBILT\_.png</v>
      </c>
      <c r="Q129" s="58" t="str">
        <f t="shared" si="39"/>
        <v xml:space="preserve"> </v>
      </c>
      <c r="R129" s="58" t="str">
        <f t="shared" si="40"/>
        <v xml:space="preserve">. </v>
      </c>
      <c r="S129" s="58" t="str">
        <f t="shared" si="41"/>
        <v xml:space="preserve">. </v>
      </c>
      <c r="T129" s="59" t="str">
        <f t="shared" si="42"/>
        <v/>
      </c>
      <c r="U129" s="59" t="str">
        <f t="shared" si="43"/>
        <v xml:space="preserve"> </v>
      </c>
      <c r="V129" s="59" t="str">
        <f t="shared" si="44"/>
        <v/>
      </c>
      <c r="W129" s="59" t="str">
        <f t="shared" si="45"/>
        <v/>
      </c>
      <c r="X129" s="59" t="str">
        <f t="shared" si="46"/>
        <v/>
      </c>
      <c r="Y129" s="59" t="str">
        <f t="shared" si="47"/>
        <v xml:space="preserve">  </v>
      </c>
      <c r="Z129" s="59" t="str">
        <f t="shared" si="48"/>
        <v xml:space="preserve">  </v>
      </c>
    </row>
    <row r="130" spans="1:26">
      <c r="A130" s="70"/>
      <c r="B130" s="14"/>
      <c r="C130" s="5"/>
      <c r="D130" s="5"/>
      <c r="E130" s="5"/>
      <c r="F130" s="5"/>
      <c r="G130" s="5"/>
      <c r="H130" s="5"/>
      <c r="I130" s="5"/>
      <c r="J130" s="5"/>
      <c r="M130" s="15" t="e">
        <f t="shared" si="37"/>
        <v>#N/A</v>
      </c>
      <c r="N130" s="16" t="str">
        <f t="shared" si="38"/>
        <v/>
      </c>
      <c r="O130" s="15" t="str">
        <f>"D:\IMS Images\Headshots\CFB\"&amp;'Team Info'!$B$8&amp;"\"&amp;D130&amp;"_"&amp;C130&amp;".png"</f>
        <v>D:\IMS Images\Headshots\CFB\VANDERBILT\_.png</v>
      </c>
      <c r="P130" s="15" t="str">
        <f>"D:\IMS Images\Actionshots\CFB\"&amp;'Team Info'!$B$8&amp;"\"&amp;D130&amp;"_"&amp;C130&amp;".png"</f>
        <v>D:\IMS Images\Actionshots\CFB\VANDERBILT\_.png</v>
      </c>
      <c r="Q130" s="58" t="str">
        <f t="shared" si="39"/>
        <v xml:space="preserve"> </v>
      </c>
      <c r="R130" s="58" t="str">
        <f t="shared" si="40"/>
        <v xml:space="preserve">. </v>
      </c>
      <c r="S130" s="58" t="str">
        <f t="shared" si="41"/>
        <v xml:space="preserve">. </v>
      </c>
      <c r="T130" s="59" t="str">
        <f t="shared" si="42"/>
        <v/>
      </c>
      <c r="U130" s="59" t="str">
        <f t="shared" si="43"/>
        <v xml:space="preserve"> </v>
      </c>
      <c r="V130" s="59" t="str">
        <f t="shared" si="44"/>
        <v/>
      </c>
      <c r="W130" s="59" t="str">
        <f t="shared" si="45"/>
        <v/>
      </c>
      <c r="X130" s="59" t="str">
        <f t="shared" si="46"/>
        <v/>
      </c>
      <c r="Y130" s="59" t="str">
        <f t="shared" si="47"/>
        <v xml:space="preserve">  </v>
      </c>
      <c r="Z130" s="59" t="str">
        <f t="shared" si="48"/>
        <v xml:space="preserve">  </v>
      </c>
    </row>
    <row r="131" spans="1:26">
      <c r="A131" s="70"/>
      <c r="B131" s="14"/>
      <c r="C131" s="5"/>
      <c r="D131" s="5"/>
      <c r="E131" s="5"/>
      <c r="F131" s="5"/>
      <c r="G131" s="5"/>
      <c r="H131" s="5"/>
      <c r="I131" s="5"/>
      <c r="J131" s="5"/>
      <c r="M131" s="15" t="e">
        <f t="shared" ref="M131:M150" si="49">VLOOKUP(E131,$AB$3:$AD$36,3,0)</f>
        <v>#N/A</v>
      </c>
      <c r="N131" s="16" t="str">
        <f t="shared" ref="N131:N150" si="50">IF($I131=4,"Senior",IF($I131=3,"Junior",IF($I131=2,"Sophomore",IF($I131=1,"Freshman",""))))</f>
        <v/>
      </c>
      <c r="O131" s="15" t="str">
        <f>"D:\IMS Images\Headshots\CFB\"&amp;'Team Info'!$B$8&amp;"\"&amp;D131&amp;"_"&amp;C131&amp;".png"</f>
        <v>D:\IMS Images\Headshots\CFB\VANDERBILT\_.png</v>
      </c>
      <c r="P131" s="15" t="str">
        <f>"D:\IMS Images\Actionshots\CFB\"&amp;'Team Info'!$B$8&amp;"\"&amp;D131&amp;"_"&amp;C131&amp;".png"</f>
        <v>D:\IMS Images\Actionshots\CFB\VANDERBILT\_.png</v>
      </c>
      <c r="Q131" s="58" t="str">
        <f t="shared" ref="Q131:Q150" si="51">C131&amp;" "&amp;D131</f>
        <v xml:space="preserve"> </v>
      </c>
      <c r="R131" s="58" t="str">
        <f t="shared" ref="R131:R150" si="52">LEFT(C131,1)&amp;". "&amp;D131</f>
        <v xml:space="preserve">. </v>
      </c>
      <c r="S131" s="58" t="str">
        <f t="shared" ref="S131:S150" si="53">UPPER(R131)</f>
        <v xml:space="preserve">. </v>
      </c>
      <c r="T131" s="59" t="str">
        <f t="shared" ref="T131:T150" si="54">IF($I131=4,"SR",IF($I131=3,"JR",IF($I131=2,"SO",IF($I131=1,"FR",""))))</f>
        <v/>
      </c>
      <c r="U131" s="59" t="str">
        <f t="shared" ref="U131:U150" si="55">UPPER(Q131)</f>
        <v xml:space="preserve"> </v>
      </c>
      <c r="V131" s="59" t="str">
        <f t="shared" ref="V131:V150" si="56">UPPER(C131)</f>
        <v/>
      </c>
      <c r="W131" s="59" t="str">
        <f t="shared" ref="W131:W150" si="57">UPPER(D131)</f>
        <v/>
      </c>
      <c r="X131" s="59" t="str">
        <f t="shared" ref="X131:X150" si="58">UPPER(N131)</f>
        <v/>
      </c>
      <c r="Y131" s="59" t="str">
        <f t="shared" ref="Y131:Y150" si="59">B131 &amp;" " &amp; U131</f>
        <v xml:space="preserve">  </v>
      </c>
      <c r="Z131" s="59" t="str">
        <f t="shared" ref="Z131:Z150" si="60">B131 &amp;" " &amp; Q131</f>
        <v xml:space="preserve">  </v>
      </c>
    </row>
    <row r="132" spans="1:26">
      <c r="A132" s="70"/>
      <c r="B132" s="14"/>
      <c r="C132" s="5"/>
      <c r="D132" s="5"/>
      <c r="E132" s="5"/>
      <c r="F132" s="5"/>
      <c r="G132" s="5"/>
      <c r="H132" s="5"/>
      <c r="I132" s="5"/>
      <c r="J132" s="5"/>
      <c r="M132" s="15" t="e">
        <f t="shared" si="49"/>
        <v>#N/A</v>
      </c>
      <c r="N132" s="16" t="str">
        <f t="shared" si="50"/>
        <v/>
      </c>
      <c r="O132" s="15" t="str">
        <f>"D:\IMS Images\Headshots\CFB\"&amp;'Team Info'!$B$8&amp;"\"&amp;D132&amp;"_"&amp;C132&amp;".png"</f>
        <v>D:\IMS Images\Headshots\CFB\VANDERBILT\_.png</v>
      </c>
      <c r="P132" s="15" t="str">
        <f>"D:\IMS Images\Actionshots\CFB\"&amp;'Team Info'!$B$8&amp;"\"&amp;D132&amp;"_"&amp;C132&amp;".png"</f>
        <v>D:\IMS Images\Actionshots\CFB\VANDERBILT\_.png</v>
      </c>
      <c r="Q132" s="58" t="str">
        <f t="shared" si="51"/>
        <v xml:space="preserve"> </v>
      </c>
      <c r="R132" s="58" t="str">
        <f t="shared" si="52"/>
        <v xml:space="preserve">. </v>
      </c>
      <c r="S132" s="58" t="str">
        <f t="shared" si="53"/>
        <v xml:space="preserve">. </v>
      </c>
      <c r="T132" s="59" t="str">
        <f t="shared" si="54"/>
        <v/>
      </c>
      <c r="U132" s="59" t="str">
        <f t="shared" si="55"/>
        <v xml:space="preserve"> </v>
      </c>
      <c r="V132" s="59" t="str">
        <f t="shared" si="56"/>
        <v/>
      </c>
      <c r="W132" s="59" t="str">
        <f t="shared" si="57"/>
        <v/>
      </c>
      <c r="X132" s="59" t="str">
        <f t="shared" si="58"/>
        <v/>
      </c>
      <c r="Y132" s="59" t="str">
        <f t="shared" si="59"/>
        <v xml:space="preserve">  </v>
      </c>
      <c r="Z132" s="59" t="str">
        <f t="shared" si="60"/>
        <v xml:space="preserve">  </v>
      </c>
    </row>
    <row r="133" spans="1:26">
      <c r="A133" s="70"/>
      <c r="B133" s="14"/>
      <c r="C133" s="5"/>
      <c r="D133" s="5"/>
      <c r="E133" s="5"/>
      <c r="F133" s="5"/>
      <c r="G133" s="5"/>
      <c r="H133" s="5"/>
      <c r="I133" s="5"/>
      <c r="J133" s="5"/>
      <c r="M133" s="15" t="e">
        <f t="shared" si="49"/>
        <v>#N/A</v>
      </c>
      <c r="N133" s="16" t="str">
        <f t="shared" si="50"/>
        <v/>
      </c>
      <c r="O133" s="15" t="str">
        <f>"D:\IMS Images\Headshots\CFB\"&amp;'Team Info'!$B$8&amp;"\"&amp;D133&amp;"_"&amp;C133&amp;".png"</f>
        <v>D:\IMS Images\Headshots\CFB\VANDERBILT\_.png</v>
      </c>
      <c r="P133" s="15" t="str">
        <f>"D:\IMS Images\Actionshots\CFB\"&amp;'Team Info'!$B$8&amp;"\"&amp;D133&amp;"_"&amp;C133&amp;".png"</f>
        <v>D:\IMS Images\Actionshots\CFB\VANDERBILT\_.png</v>
      </c>
      <c r="Q133" s="58" t="str">
        <f t="shared" si="51"/>
        <v xml:space="preserve"> </v>
      </c>
      <c r="R133" s="58" t="str">
        <f t="shared" si="52"/>
        <v xml:space="preserve">. </v>
      </c>
      <c r="S133" s="58" t="str">
        <f t="shared" si="53"/>
        <v xml:space="preserve">. </v>
      </c>
      <c r="T133" s="59" t="str">
        <f t="shared" si="54"/>
        <v/>
      </c>
      <c r="U133" s="59" t="str">
        <f t="shared" si="55"/>
        <v xml:space="preserve"> </v>
      </c>
      <c r="V133" s="59" t="str">
        <f t="shared" si="56"/>
        <v/>
      </c>
      <c r="W133" s="59" t="str">
        <f t="shared" si="57"/>
        <v/>
      </c>
      <c r="X133" s="59" t="str">
        <f t="shared" si="58"/>
        <v/>
      </c>
      <c r="Y133" s="59" t="str">
        <f t="shared" si="59"/>
        <v xml:space="preserve">  </v>
      </c>
      <c r="Z133" s="59" t="str">
        <f t="shared" si="60"/>
        <v xml:space="preserve">  </v>
      </c>
    </row>
    <row r="134" spans="1:26">
      <c r="A134" s="70"/>
      <c r="B134" s="14"/>
      <c r="C134" s="5"/>
      <c r="D134" s="5"/>
      <c r="E134" s="5"/>
      <c r="F134" s="5"/>
      <c r="G134" s="5"/>
      <c r="H134" s="5"/>
      <c r="I134" s="5"/>
      <c r="J134" s="5"/>
      <c r="M134" s="15" t="e">
        <f t="shared" si="49"/>
        <v>#N/A</v>
      </c>
      <c r="N134" s="16" t="str">
        <f t="shared" si="50"/>
        <v/>
      </c>
      <c r="O134" s="15" t="str">
        <f>"D:\IMS Images\Headshots\CFB\"&amp;'Team Info'!$B$8&amp;"\"&amp;D134&amp;"_"&amp;C134&amp;".png"</f>
        <v>D:\IMS Images\Headshots\CFB\VANDERBILT\_.png</v>
      </c>
      <c r="P134" s="15" t="str">
        <f>"D:\IMS Images\Actionshots\CFB\"&amp;'Team Info'!$B$8&amp;"\"&amp;D134&amp;"_"&amp;C134&amp;".png"</f>
        <v>D:\IMS Images\Actionshots\CFB\VANDERBILT\_.png</v>
      </c>
      <c r="Q134" s="58" t="str">
        <f t="shared" si="51"/>
        <v xml:space="preserve"> </v>
      </c>
      <c r="R134" s="58" t="str">
        <f t="shared" si="52"/>
        <v xml:space="preserve">. </v>
      </c>
      <c r="S134" s="58" t="str">
        <f t="shared" si="53"/>
        <v xml:space="preserve">. </v>
      </c>
      <c r="T134" s="59" t="str">
        <f t="shared" si="54"/>
        <v/>
      </c>
      <c r="U134" s="59" t="str">
        <f t="shared" si="55"/>
        <v xml:space="preserve"> </v>
      </c>
      <c r="V134" s="59" t="str">
        <f t="shared" si="56"/>
        <v/>
      </c>
      <c r="W134" s="59" t="str">
        <f t="shared" si="57"/>
        <v/>
      </c>
      <c r="X134" s="59" t="str">
        <f t="shared" si="58"/>
        <v/>
      </c>
      <c r="Y134" s="59" t="str">
        <f t="shared" si="59"/>
        <v xml:space="preserve">  </v>
      </c>
      <c r="Z134" s="59" t="str">
        <f t="shared" si="60"/>
        <v xml:space="preserve">  </v>
      </c>
    </row>
    <row r="135" spans="1:26">
      <c r="A135" s="70"/>
      <c r="B135" s="14"/>
      <c r="C135" s="5"/>
      <c r="D135" s="5"/>
      <c r="E135" s="5"/>
      <c r="F135" s="5"/>
      <c r="G135" s="5"/>
      <c r="H135" s="5"/>
      <c r="I135" s="5"/>
      <c r="J135" s="5"/>
      <c r="M135" s="15" t="e">
        <f t="shared" si="49"/>
        <v>#N/A</v>
      </c>
      <c r="N135" s="16" t="str">
        <f t="shared" si="50"/>
        <v/>
      </c>
      <c r="O135" s="15" t="str">
        <f>"D:\IMS Images\Headshots\CFB\"&amp;'Team Info'!$B$8&amp;"\"&amp;D135&amp;"_"&amp;C135&amp;".png"</f>
        <v>D:\IMS Images\Headshots\CFB\VANDERBILT\_.png</v>
      </c>
      <c r="P135" s="15" t="str">
        <f>"D:\IMS Images\Actionshots\CFB\"&amp;'Team Info'!$B$8&amp;"\"&amp;D135&amp;"_"&amp;C135&amp;".png"</f>
        <v>D:\IMS Images\Actionshots\CFB\VANDERBILT\_.png</v>
      </c>
      <c r="Q135" s="58" t="str">
        <f t="shared" si="51"/>
        <v xml:space="preserve"> </v>
      </c>
      <c r="R135" s="58" t="str">
        <f t="shared" si="52"/>
        <v xml:space="preserve">. </v>
      </c>
      <c r="S135" s="58" t="str">
        <f t="shared" si="53"/>
        <v xml:space="preserve">. </v>
      </c>
      <c r="T135" s="59" t="str">
        <f t="shared" si="54"/>
        <v/>
      </c>
      <c r="U135" s="59" t="str">
        <f t="shared" si="55"/>
        <v xml:space="preserve"> </v>
      </c>
      <c r="V135" s="59" t="str">
        <f t="shared" si="56"/>
        <v/>
      </c>
      <c r="W135" s="59" t="str">
        <f t="shared" si="57"/>
        <v/>
      </c>
      <c r="X135" s="59" t="str">
        <f t="shared" si="58"/>
        <v/>
      </c>
      <c r="Y135" s="59" t="str">
        <f t="shared" si="59"/>
        <v xml:space="preserve">  </v>
      </c>
      <c r="Z135" s="59" t="str">
        <f t="shared" si="60"/>
        <v xml:space="preserve">  </v>
      </c>
    </row>
    <row r="136" spans="1:26">
      <c r="A136" s="70"/>
      <c r="B136" s="14"/>
      <c r="C136" s="5"/>
      <c r="D136" s="5"/>
      <c r="E136" s="5"/>
      <c r="F136" s="5"/>
      <c r="G136" s="5"/>
      <c r="H136" s="5"/>
      <c r="I136" s="5"/>
      <c r="J136" s="5"/>
      <c r="M136" s="15" t="e">
        <f t="shared" si="49"/>
        <v>#N/A</v>
      </c>
      <c r="N136" s="16" t="str">
        <f t="shared" si="50"/>
        <v/>
      </c>
      <c r="O136" s="15" t="str">
        <f>"D:\IMS Images\Headshots\CFB\"&amp;'Team Info'!$B$8&amp;"\"&amp;D136&amp;"_"&amp;C136&amp;".png"</f>
        <v>D:\IMS Images\Headshots\CFB\VANDERBILT\_.png</v>
      </c>
      <c r="P136" s="15" t="str">
        <f>"D:\IMS Images\Actionshots\CFB\"&amp;'Team Info'!$B$8&amp;"\"&amp;D136&amp;"_"&amp;C136&amp;".png"</f>
        <v>D:\IMS Images\Actionshots\CFB\VANDERBILT\_.png</v>
      </c>
      <c r="Q136" s="58" t="str">
        <f t="shared" si="51"/>
        <v xml:space="preserve"> </v>
      </c>
      <c r="R136" s="58" t="str">
        <f t="shared" si="52"/>
        <v xml:space="preserve">. </v>
      </c>
      <c r="S136" s="58" t="str">
        <f t="shared" si="53"/>
        <v xml:space="preserve">. </v>
      </c>
      <c r="T136" s="59" t="str">
        <f t="shared" si="54"/>
        <v/>
      </c>
      <c r="U136" s="59" t="str">
        <f t="shared" si="55"/>
        <v xml:space="preserve"> </v>
      </c>
      <c r="V136" s="59" t="str">
        <f t="shared" si="56"/>
        <v/>
      </c>
      <c r="W136" s="59" t="str">
        <f t="shared" si="57"/>
        <v/>
      </c>
      <c r="X136" s="59" t="str">
        <f t="shared" si="58"/>
        <v/>
      </c>
      <c r="Y136" s="59" t="str">
        <f t="shared" si="59"/>
        <v xml:space="preserve">  </v>
      </c>
      <c r="Z136" s="59" t="str">
        <f t="shared" si="60"/>
        <v xml:space="preserve">  </v>
      </c>
    </row>
    <row r="137" spans="1:26">
      <c r="A137" s="70"/>
      <c r="B137" s="14"/>
      <c r="C137" s="5"/>
      <c r="D137" s="5"/>
      <c r="E137" s="5"/>
      <c r="F137" s="5"/>
      <c r="G137" s="5"/>
      <c r="H137" s="5"/>
      <c r="I137" s="5"/>
      <c r="J137" s="5"/>
      <c r="M137" s="15" t="e">
        <f t="shared" si="49"/>
        <v>#N/A</v>
      </c>
      <c r="N137" s="16" t="str">
        <f t="shared" si="50"/>
        <v/>
      </c>
      <c r="O137" s="15" t="str">
        <f>"D:\IMS Images\Headshots\CFB\"&amp;'Team Info'!$B$8&amp;"\"&amp;D137&amp;"_"&amp;C137&amp;".png"</f>
        <v>D:\IMS Images\Headshots\CFB\VANDERBILT\_.png</v>
      </c>
      <c r="P137" s="15" t="str">
        <f>"D:\IMS Images\Actionshots\CFB\"&amp;'Team Info'!$B$8&amp;"\"&amp;D137&amp;"_"&amp;C137&amp;".png"</f>
        <v>D:\IMS Images\Actionshots\CFB\VANDERBILT\_.png</v>
      </c>
      <c r="Q137" s="58" t="str">
        <f t="shared" si="51"/>
        <v xml:space="preserve"> </v>
      </c>
      <c r="R137" s="58" t="str">
        <f t="shared" si="52"/>
        <v xml:space="preserve">. </v>
      </c>
      <c r="S137" s="58" t="str">
        <f t="shared" si="53"/>
        <v xml:space="preserve">. </v>
      </c>
      <c r="T137" s="59" t="str">
        <f t="shared" si="54"/>
        <v/>
      </c>
      <c r="U137" s="59" t="str">
        <f t="shared" si="55"/>
        <v xml:space="preserve"> </v>
      </c>
      <c r="V137" s="59" t="str">
        <f t="shared" si="56"/>
        <v/>
      </c>
      <c r="W137" s="59" t="str">
        <f t="shared" si="57"/>
        <v/>
      </c>
      <c r="X137" s="59" t="str">
        <f t="shared" si="58"/>
        <v/>
      </c>
      <c r="Y137" s="59" t="str">
        <f t="shared" si="59"/>
        <v xml:space="preserve">  </v>
      </c>
      <c r="Z137" s="59" t="str">
        <f t="shared" si="60"/>
        <v xml:space="preserve">  </v>
      </c>
    </row>
    <row r="138" spans="1:26">
      <c r="A138" s="70"/>
      <c r="B138" s="14"/>
      <c r="C138" s="5"/>
      <c r="D138" s="5"/>
      <c r="E138" s="5"/>
      <c r="F138" s="5"/>
      <c r="G138" s="5"/>
      <c r="H138" s="5"/>
      <c r="I138" s="5"/>
      <c r="J138" s="5"/>
      <c r="M138" s="15" t="e">
        <f t="shared" si="49"/>
        <v>#N/A</v>
      </c>
      <c r="N138" s="16" t="str">
        <f t="shared" si="50"/>
        <v/>
      </c>
      <c r="O138" s="15" t="str">
        <f>"D:\IMS Images\Headshots\CFB\"&amp;'Team Info'!$B$8&amp;"\"&amp;D138&amp;"_"&amp;C138&amp;".png"</f>
        <v>D:\IMS Images\Headshots\CFB\VANDERBILT\_.png</v>
      </c>
      <c r="P138" s="15" t="str">
        <f>"D:\IMS Images\Actionshots\CFB\"&amp;'Team Info'!$B$8&amp;"\"&amp;D138&amp;"_"&amp;C138&amp;".png"</f>
        <v>D:\IMS Images\Actionshots\CFB\VANDERBILT\_.png</v>
      </c>
      <c r="Q138" s="58" t="str">
        <f t="shared" si="51"/>
        <v xml:space="preserve"> </v>
      </c>
      <c r="R138" s="58" t="str">
        <f t="shared" si="52"/>
        <v xml:space="preserve">. </v>
      </c>
      <c r="S138" s="58" t="str">
        <f t="shared" si="53"/>
        <v xml:space="preserve">. </v>
      </c>
      <c r="T138" s="59" t="str">
        <f t="shared" si="54"/>
        <v/>
      </c>
      <c r="U138" s="59" t="str">
        <f t="shared" si="55"/>
        <v xml:space="preserve"> </v>
      </c>
      <c r="V138" s="59" t="str">
        <f t="shared" si="56"/>
        <v/>
      </c>
      <c r="W138" s="59" t="str">
        <f t="shared" si="57"/>
        <v/>
      </c>
      <c r="X138" s="59" t="str">
        <f t="shared" si="58"/>
        <v/>
      </c>
      <c r="Y138" s="59" t="str">
        <f t="shared" si="59"/>
        <v xml:space="preserve">  </v>
      </c>
      <c r="Z138" s="59" t="str">
        <f t="shared" si="60"/>
        <v xml:space="preserve">  </v>
      </c>
    </row>
    <row r="139" spans="1:26">
      <c r="A139" s="70"/>
      <c r="B139" s="14"/>
      <c r="C139" s="5"/>
      <c r="D139" s="5"/>
      <c r="E139" s="5"/>
      <c r="F139" s="5"/>
      <c r="G139" s="5"/>
      <c r="H139" s="5"/>
      <c r="I139" s="5"/>
      <c r="J139" s="5"/>
      <c r="M139" s="15" t="e">
        <f t="shared" si="49"/>
        <v>#N/A</v>
      </c>
      <c r="N139" s="16" t="str">
        <f t="shared" si="50"/>
        <v/>
      </c>
      <c r="O139" s="15" t="str">
        <f>"D:\IMS Images\Headshots\CFB\"&amp;'Team Info'!$B$8&amp;"\"&amp;D139&amp;"_"&amp;C139&amp;".png"</f>
        <v>D:\IMS Images\Headshots\CFB\VANDERBILT\_.png</v>
      </c>
      <c r="P139" s="15" t="str">
        <f>"D:\IMS Images\Actionshots\CFB\"&amp;'Team Info'!$B$8&amp;"\"&amp;D139&amp;"_"&amp;C139&amp;".png"</f>
        <v>D:\IMS Images\Actionshots\CFB\VANDERBILT\_.png</v>
      </c>
      <c r="Q139" s="58" t="str">
        <f t="shared" si="51"/>
        <v xml:space="preserve"> </v>
      </c>
      <c r="R139" s="58" t="str">
        <f t="shared" si="52"/>
        <v xml:space="preserve">. </v>
      </c>
      <c r="S139" s="58" t="str">
        <f t="shared" si="53"/>
        <v xml:space="preserve">. </v>
      </c>
      <c r="T139" s="59" t="str">
        <f t="shared" si="54"/>
        <v/>
      </c>
      <c r="U139" s="59" t="str">
        <f t="shared" si="55"/>
        <v xml:space="preserve"> </v>
      </c>
      <c r="V139" s="59" t="str">
        <f t="shared" si="56"/>
        <v/>
      </c>
      <c r="W139" s="59" t="str">
        <f t="shared" si="57"/>
        <v/>
      </c>
      <c r="X139" s="59" t="str">
        <f t="shared" si="58"/>
        <v/>
      </c>
      <c r="Y139" s="59" t="str">
        <f t="shared" si="59"/>
        <v xml:space="preserve">  </v>
      </c>
      <c r="Z139" s="59" t="str">
        <f t="shared" si="60"/>
        <v xml:space="preserve">  </v>
      </c>
    </row>
    <row r="140" spans="1:26">
      <c r="A140" s="70"/>
      <c r="B140" s="14"/>
      <c r="C140" s="5"/>
      <c r="D140" s="5"/>
      <c r="E140" s="5"/>
      <c r="F140" s="5"/>
      <c r="G140" s="5"/>
      <c r="H140" s="5"/>
      <c r="I140" s="5"/>
      <c r="J140" s="5"/>
      <c r="M140" s="15" t="e">
        <f t="shared" si="49"/>
        <v>#N/A</v>
      </c>
      <c r="N140" s="16" t="str">
        <f t="shared" si="50"/>
        <v/>
      </c>
      <c r="O140" s="15" t="str">
        <f>"D:\IMS Images\Headshots\CFB\"&amp;'Team Info'!$B$8&amp;"\"&amp;D140&amp;"_"&amp;C140&amp;".png"</f>
        <v>D:\IMS Images\Headshots\CFB\VANDERBILT\_.png</v>
      </c>
      <c r="P140" s="15" t="str">
        <f>"D:\IMS Images\Actionshots\CFB\"&amp;'Team Info'!$B$8&amp;"\"&amp;D140&amp;"_"&amp;C140&amp;".png"</f>
        <v>D:\IMS Images\Actionshots\CFB\VANDERBILT\_.png</v>
      </c>
      <c r="Q140" s="58" t="str">
        <f t="shared" si="51"/>
        <v xml:space="preserve"> </v>
      </c>
      <c r="R140" s="58" t="str">
        <f t="shared" si="52"/>
        <v xml:space="preserve">. </v>
      </c>
      <c r="S140" s="58" t="str">
        <f t="shared" si="53"/>
        <v xml:space="preserve">. </v>
      </c>
      <c r="T140" s="59" t="str">
        <f t="shared" si="54"/>
        <v/>
      </c>
      <c r="U140" s="59" t="str">
        <f t="shared" si="55"/>
        <v xml:space="preserve"> </v>
      </c>
      <c r="V140" s="59" t="str">
        <f t="shared" si="56"/>
        <v/>
      </c>
      <c r="W140" s="59" t="str">
        <f t="shared" si="57"/>
        <v/>
      </c>
      <c r="X140" s="59" t="str">
        <f t="shared" si="58"/>
        <v/>
      </c>
      <c r="Y140" s="59" t="str">
        <f t="shared" si="59"/>
        <v xml:space="preserve">  </v>
      </c>
      <c r="Z140" s="59" t="str">
        <f t="shared" si="60"/>
        <v xml:space="preserve">  </v>
      </c>
    </row>
    <row r="141" spans="1:26">
      <c r="A141" s="70"/>
      <c r="B141" s="14"/>
      <c r="C141" s="5"/>
      <c r="D141" s="5"/>
      <c r="E141" s="5"/>
      <c r="F141" s="5"/>
      <c r="G141" s="5"/>
      <c r="H141" s="5"/>
      <c r="I141" s="5"/>
      <c r="J141" s="5"/>
      <c r="M141" s="15" t="e">
        <f t="shared" si="49"/>
        <v>#N/A</v>
      </c>
      <c r="N141" s="16" t="str">
        <f t="shared" si="50"/>
        <v/>
      </c>
      <c r="O141" s="15" t="str">
        <f>"D:\IMS Images\Headshots\CFB\"&amp;'Team Info'!$B$8&amp;"\"&amp;D141&amp;"_"&amp;C141&amp;".png"</f>
        <v>D:\IMS Images\Headshots\CFB\VANDERBILT\_.png</v>
      </c>
      <c r="P141" s="15" t="str">
        <f>"D:\IMS Images\Actionshots\CFB\"&amp;'Team Info'!$B$8&amp;"\"&amp;D141&amp;"_"&amp;C141&amp;".png"</f>
        <v>D:\IMS Images\Actionshots\CFB\VANDERBILT\_.png</v>
      </c>
      <c r="Q141" s="58" t="str">
        <f t="shared" si="51"/>
        <v xml:space="preserve"> </v>
      </c>
      <c r="R141" s="58" t="str">
        <f t="shared" si="52"/>
        <v xml:space="preserve">. </v>
      </c>
      <c r="S141" s="58" t="str">
        <f t="shared" si="53"/>
        <v xml:space="preserve">. </v>
      </c>
      <c r="T141" s="59" t="str">
        <f t="shared" si="54"/>
        <v/>
      </c>
      <c r="U141" s="59" t="str">
        <f t="shared" si="55"/>
        <v xml:space="preserve"> </v>
      </c>
      <c r="V141" s="59" t="str">
        <f t="shared" si="56"/>
        <v/>
      </c>
      <c r="W141" s="59" t="str">
        <f t="shared" si="57"/>
        <v/>
      </c>
      <c r="X141" s="59" t="str">
        <f t="shared" si="58"/>
        <v/>
      </c>
      <c r="Y141" s="59" t="str">
        <f t="shared" si="59"/>
        <v xml:space="preserve">  </v>
      </c>
      <c r="Z141" s="59" t="str">
        <f t="shared" si="60"/>
        <v xml:space="preserve">  </v>
      </c>
    </row>
    <row r="142" spans="1:26">
      <c r="A142" s="70"/>
      <c r="B142" s="14"/>
      <c r="C142" s="5"/>
      <c r="D142" s="5"/>
      <c r="E142" s="5"/>
      <c r="F142" s="5"/>
      <c r="G142" s="5"/>
      <c r="H142" s="5"/>
      <c r="I142" s="5"/>
      <c r="J142" s="5"/>
      <c r="M142" s="15" t="e">
        <f t="shared" si="49"/>
        <v>#N/A</v>
      </c>
      <c r="N142" s="16" t="str">
        <f t="shared" si="50"/>
        <v/>
      </c>
      <c r="O142" s="15" t="str">
        <f>"D:\IMS Images\Headshots\CFB\"&amp;'Team Info'!$B$8&amp;"\"&amp;D142&amp;"_"&amp;C142&amp;".png"</f>
        <v>D:\IMS Images\Headshots\CFB\VANDERBILT\_.png</v>
      </c>
      <c r="P142" s="15" t="str">
        <f>"D:\IMS Images\Actionshots\CFB\"&amp;'Team Info'!$B$8&amp;"\"&amp;D142&amp;"_"&amp;C142&amp;".png"</f>
        <v>D:\IMS Images\Actionshots\CFB\VANDERBILT\_.png</v>
      </c>
      <c r="Q142" s="58" t="str">
        <f t="shared" si="51"/>
        <v xml:space="preserve"> </v>
      </c>
      <c r="R142" s="58" t="str">
        <f t="shared" si="52"/>
        <v xml:space="preserve">. </v>
      </c>
      <c r="S142" s="58" t="str">
        <f t="shared" si="53"/>
        <v xml:space="preserve">. </v>
      </c>
      <c r="T142" s="59" t="str">
        <f t="shared" si="54"/>
        <v/>
      </c>
      <c r="U142" s="59" t="str">
        <f t="shared" si="55"/>
        <v xml:space="preserve"> </v>
      </c>
      <c r="V142" s="59" t="str">
        <f t="shared" si="56"/>
        <v/>
      </c>
      <c r="W142" s="59" t="str">
        <f t="shared" si="57"/>
        <v/>
      </c>
      <c r="X142" s="59" t="str">
        <f t="shared" si="58"/>
        <v/>
      </c>
      <c r="Y142" s="59" t="str">
        <f t="shared" si="59"/>
        <v xml:space="preserve">  </v>
      </c>
      <c r="Z142" s="59" t="str">
        <f t="shared" si="60"/>
        <v xml:space="preserve">  </v>
      </c>
    </row>
    <row r="143" spans="1:26">
      <c r="A143" s="70"/>
      <c r="B143" s="14"/>
      <c r="C143" s="5"/>
      <c r="D143" s="5"/>
      <c r="E143" s="5"/>
      <c r="F143" s="5"/>
      <c r="G143" s="5"/>
      <c r="H143" s="5"/>
      <c r="I143" s="5"/>
      <c r="J143" s="5"/>
      <c r="M143" s="15" t="e">
        <f t="shared" si="49"/>
        <v>#N/A</v>
      </c>
      <c r="N143" s="16" t="str">
        <f t="shared" si="50"/>
        <v/>
      </c>
      <c r="O143" s="15" t="str">
        <f>"D:\IMS Images\Headshots\CFB\"&amp;'Team Info'!$B$8&amp;"\"&amp;D143&amp;"_"&amp;C143&amp;".png"</f>
        <v>D:\IMS Images\Headshots\CFB\VANDERBILT\_.png</v>
      </c>
      <c r="P143" s="15" t="str">
        <f>"D:\IMS Images\Actionshots\CFB\"&amp;'Team Info'!$B$8&amp;"\"&amp;D143&amp;"_"&amp;C143&amp;".png"</f>
        <v>D:\IMS Images\Actionshots\CFB\VANDERBILT\_.png</v>
      </c>
      <c r="Q143" s="58" t="str">
        <f t="shared" si="51"/>
        <v xml:space="preserve"> </v>
      </c>
      <c r="R143" s="58" t="str">
        <f t="shared" si="52"/>
        <v xml:space="preserve">. </v>
      </c>
      <c r="S143" s="58" t="str">
        <f t="shared" si="53"/>
        <v xml:space="preserve">. </v>
      </c>
      <c r="T143" s="59" t="str">
        <f t="shared" si="54"/>
        <v/>
      </c>
      <c r="U143" s="59" t="str">
        <f t="shared" si="55"/>
        <v xml:space="preserve"> </v>
      </c>
      <c r="V143" s="59" t="str">
        <f t="shared" si="56"/>
        <v/>
      </c>
      <c r="W143" s="59" t="str">
        <f t="shared" si="57"/>
        <v/>
      </c>
      <c r="X143" s="59" t="str">
        <f t="shared" si="58"/>
        <v/>
      </c>
      <c r="Y143" s="59" t="str">
        <f t="shared" si="59"/>
        <v xml:space="preserve">  </v>
      </c>
      <c r="Z143" s="59" t="str">
        <f t="shared" si="60"/>
        <v xml:space="preserve">  </v>
      </c>
    </row>
    <row r="144" spans="1:26">
      <c r="A144" s="70"/>
      <c r="B144" s="14"/>
      <c r="C144" s="5"/>
      <c r="D144" s="5"/>
      <c r="E144" s="5"/>
      <c r="F144" s="5"/>
      <c r="G144" s="5"/>
      <c r="H144" s="5"/>
      <c r="I144" s="5"/>
      <c r="J144" s="5"/>
      <c r="M144" s="15" t="e">
        <f t="shared" si="49"/>
        <v>#N/A</v>
      </c>
      <c r="N144" s="16" t="str">
        <f t="shared" si="50"/>
        <v/>
      </c>
      <c r="O144" s="15" t="str">
        <f>"D:\IMS Images\Headshots\CFB\"&amp;'Team Info'!$B$8&amp;"\"&amp;D144&amp;"_"&amp;C144&amp;".png"</f>
        <v>D:\IMS Images\Headshots\CFB\VANDERBILT\_.png</v>
      </c>
      <c r="P144" s="15" t="str">
        <f>"D:\IMS Images\Actionshots\CFB\"&amp;'Team Info'!$B$8&amp;"\"&amp;D144&amp;"_"&amp;C144&amp;".png"</f>
        <v>D:\IMS Images\Actionshots\CFB\VANDERBILT\_.png</v>
      </c>
      <c r="Q144" s="58" t="str">
        <f t="shared" si="51"/>
        <v xml:space="preserve"> </v>
      </c>
      <c r="R144" s="58" t="str">
        <f t="shared" si="52"/>
        <v xml:space="preserve">. </v>
      </c>
      <c r="S144" s="58" t="str">
        <f t="shared" si="53"/>
        <v xml:space="preserve">. </v>
      </c>
      <c r="T144" s="59" t="str">
        <f t="shared" si="54"/>
        <v/>
      </c>
      <c r="U144" s="59" t="str">
        <f t="shared" si="55"/>
        <v xml:space="preserve"> </v>
      </c>
      <c r="V144" s="59" t="str">
        <f t="shared" si="56"/>
        <v/>
      </c>
      <c r="W144" s="59" t="str">
        <f t="shared" si="57"/>
        <v/>
      </c>
      <c r="X144" s="59" t="str">
        <f t="shared" si="58"/>
        <v/>
      </c>
      <c r="Y144" s="59" t="str">
        <f t="shared" si="59"/>
        <v xml:space="preserve">  </v>
      </c>
      <c r="Z144" s="59" t="str">
        <f t="shared" si="60"/>
        <v xml:space="preserve">  </v>
      </c>
    </row>
    <row r="145" spans="1:26">
      <c r="A145" s="70"/>
      <c r="B145" s="14"/>
      <c r="C145" s="5"/>
      <c r="D145" s="5"/>
      <c r="E145" s="5"/>
      <c r="F145" s="5"/>
      <c r="G145" s="5"/>
      <c r="H145" s="5"/>
      <c r="I145" s="5"/>
      <c r="J145" s="5"/>
      <c r="M145" s="15" t="e">
        <f t="shared" si="49"/>
        <v>#N/A</v>
      </c>
      <c r="N145" s="16" t="str">
        <f t="shared" si="50"/>
        <v/>
      </c>
      <c r="O145" s="15" t="str">
        <f>"D:\IMS Images\Headshots\CFB\"&amp;'Team Info'!$B$8&amp;"\"&amp;D145&amp;"_"&amp;C145&amp;".png"</f>
        <v>D:\IMS Images\Headshots\CFB\VANDERBILT\_.png</v>
      </c>
      <c r="P145" s="15" t="str">
        <f>"D:\IMS Images\Actionshots\CFB\"&amp;'Team Info'!$B$8&amp;"\"&amp;D145&amp;"_"&amp;C145&amp;".png"</f>
        <v>D:\IMS Images\Actionshots\CFB\VANDERBILT\_.png</v>
      </c>
      <c r="Q145" s="58" t="str">
        <f t="shared" si="51"/>
        <v xml:space="preserve"> </v>
      </c>
      <c r="R145" s="58" t="str">
        <f t="shared" si="52"/>
        <v xml:space="preserve">. </v>
      </c>
      <c r="S145" s="58" t="str">
        <f t="shared" si="53"/>
        <v xml:space="preserve">. </v>
      </c>
      <c r="T145" s="59" t="str">
        <f t="shared" si="54"/>
        <v/>
      </c>
      <c r="U145" s="59" t="str">
        <f t="shared" si="55"/>
        <v xml:space="preserve"> </v>
      </c>
      <c r="V145" s="59" t="str">
        <f t="shared" si="56"/>
        <v/>
      </c>
      <c r="W145" s="59" t="str">
        <f t="shared" si="57"/>
        <v/>
      </c>
      <c r="X145" s="59" t="str">
        <f t="shared" si="58"/>
        <v/>
      </c>
      <c r="Y145" s="59" t="str">
        <f t="shared" si="59"/>
        <v xml:space="preserve">  </v>
      </c>
      <c r="Z145" s="59" t="str">
        <f t="shared" si="60"/>
        <v xml:space="preserve">  </v>
      </c>
    </row>
    <row r="146" spans="1:26">
      <c r="A146" s="70"/>
      <c r="B146" s="14"/>
      <c r="C146" s="5"/>
      <c r="D146" s="5"/>
      <c r="E146" s="5"/>
      <c r="F146" s="5"/>
      <c r="G146" s="5"/>
      <c r="H146" s="5"/>
      <c r="I146" s="5"/>
      <c r="J146" s="5"/>
      <c r="M146" s="15" t="e">
        <f t="shared" si="49"/>
        <v>#N/A</v>
      </c>
      <c r="N146" s="16" t="str">
        <f t="shared" si="50"/>
        <v/>
      </c>
      <c r="O146" s="15" t="str">
        <f>"D:\IMS Images\Headshots\CFB\"&amp;'Team Info'!$B$8&amp;"\"&amp;D146&amp;"_"&amp;C146&amp;".png"</f>
        <v>D:\IMS Images\Headshots\CFB\VANDERBILT\_.png</v>
      </c>
      <c r="P146" s="15" t="str">
        <f>"D:\IMS Images\Actionshots\CFB\"&amp;'Team Info'!$B$8&amp;"\"&amp;D146&amp;"_"&amp;C146&amp;".png"</f>
        <v>D:\IMS Images\Actionshots\CFB\VANDERBILT\_.png</v>
      </c>
      <c r="Q146" s="58" t="str">
        <f t="shared" si="51"/>
        <v xml:space="preserve"> </v>
      </c>
      <c r="R146" s="58" t="str">
        <f t="shared" si="52"/>
        <v xml:space="preserve">. </v>
      </c>
      <c r="S146" s="58" t="str">
        <f t="shared" si="53"/>
        <v xml:space="preserve">. </v>
      </c>
      <c r="T146" s="59" t="str">
        <f t="shared" si="54"/>
        <v/>
      </c>
      <c r="U146" s="59" t="str">
        <f t="shared" si="55"/>
        <v xml:space="preserve"> </v>
      </c>
      <c r="V146" s="59" t="str">
        <f t="shared" si="56"/>
        <v/>
      </c>
      <c r="W146" s="59" t="str">
        <f t="shared" si="57"/>
        <v/>
      </c>
      <c r="X146" s="59" t="str">
        <f t="shared" si="58"/>
        <v/>
      </c>
      <c r="Y146" s="59" t="str">
        <f t="shared" si="59"/>
        <v xml:space="preserve">  </v>
      </c>
      <c r="Z146" s="59" t="str">
        <f t="shared" si="60"/>
        <v xml:space="preserve">  </v>
      </c>
    </row>
    <row r="147" spans="1:26">
      <c r="A147" s="70"/>
      <c r="B147" s="14"/>
      <c r="C147" s="5"/>
      <c r="D147" s="5"/>
      <c r="E147" s="5"/>
      <c r="F147" s="5"/>
      <c r="G147" s="5"/>
      <c r="H147" s="5"/>
      <c r="I147" s="5"/>
      <c r="J147" s="5"/>
      <c r="M147" s="15" t="e">
        <f t="shared" si="49"/>
        <v>#N/A</v>
      </c>
      <c r="N147" s="16" t="str">
        <f t="shared" si="50"/>
        <v/>
      </c>
      <c r="O147" s="15" t="str">
        <f>"D:\IMS Images\Headshots\CFB\"&amp;'Team Info'!$B$8&amp;"\"&amp;D147&amp;"_"&amp;C147&amp;".png"</f>
        <v>D:\IMS Images\Headshots\CFB\VANDERBILT\_.png</v>
      </c>
      <c r="P147" s="15" t="str">
        <f>"D:\IMS Images\Actionshots\CFB\"&amp;'Team Info'!$B$8&amp;"\"&amp;D147&amp;"_"&amp;C147&amp;".png"</f>
        <v>D:\IMS Images\Actionshots\CFB\VANDERBILT\_.png</v>
      </c>
      <c r="Q147" s="58" t="str">
        <f t="shared" si="51"/>
        <v xml:space="preserve"> </v>
      </c>
      <c r="R147" s="58" t="str">
        <f t="shared" si="52"/>
        <v xml:space="preserve">. </v>
      </c>
      <c r="S147" s="58" t="str">
        <f t="shared" si="53"/>
        <v xml:space="preserve">. </v>
      </c>
      <c r="T147" s="59" t="str">
        <f t="shared" si="54"/>
        <v/>
      </c>
      <c r="U147" s="59" t="str">
        <f t="shared" si="55"/>
        <v xml:space="preserve"> </v>
      </c>
      <c r="V147" s="59" t="str">
        <f t="shared" si="56"/>
        <v/>
      </c>
      <c r="W147" s="59" t="str">
        <f t="shared" si="57"/>
        <v/>
      </c>
      <c r="X147" s="59" t="str">
        <f t="shared" si="58"/>
        <v/>
      </c>
      <c r="Y147" s="59" t="str">
        <f t="shared" si="59"/>
        <v xml:space="preserve">  </v>
      </c>
      <c r="Z147" s="59" t="str">
        <f t="shared" si="60"/>
        <v xml:space="preserve">  </v>
      </c>
    </row>
    <row r="148" spans="1:26">
      <c r="A148" s="70"/>
      <c r="B148" s="14"/>
      <c r="C148" s="5"/>
      <c r="D148" s="5"/>
      <c r="E148" s="5"/>
      <c r="F148" s="5"/>
      <c r="G148" s="5"/>
      <c r="H148" s="5"/>
      <c r="I148" s="5"/>
      <c r="J148" s="5"/>
      <c r="M148" s="15" t="e">
        <f t="shared" si="49"/>
        <v>#N/A</v>
      </c>
      <c r="N148" s="16" t="str">
        <f t="shared" si="50"/>
        <v/>
      </c>
      <c r="O148" s="15" t="str">
        <f>"D:\IMS Images\Headshots\CFB\"&amp;'Team Info'!$B$8&amp;"\"&amp;D148&amp;"_"&amp;C148&amp;".png"</f>
        <v>D:\IMS Images\Headshots\CFB\VANDERBILT\_.png</v>
      </c>
      <c r="P148" s="15" t="str">
        <f>"D:\IMS Images\Actionshots\CFB\"&amp;'Team Info'!$B$8&amp;"\"&amp;D148&amp;"_"&amp;C148&amp;".png"</f>
        <v>D:\IMS Images\Actionshots\CFB\VANDERBILT\_.png</v>
      </c>
      <c r="Q148" s="58" t="str">
        <f t="shared" si="51"/>
        <v xml:space="preserve"> </v>
      </c>
      <c r="R148" s="58" t="str">
        <f t="shared" si="52"/>
        <v xml:space="preserve">. </v>
      </c>
      <c r="S148" s="58" t="str">
        <f t="shared" si="53"/>
        <v xml:space="preserve">. </v>
      </c>
      <c r="T148" s="59" t="str">
        <f t="shared" si="54"/>
        <v/>
      </c>
      <c r="U148" s="59" t="str">
        <f t="shared" si="55"/>
        <v xml:space="preserve"> </v>
      </c>
      <c r="V148" s="59" t="str">
        <f t="shared" si="56"/>
        <v/>
      </c>
      <c r="W148" s="59" t="str">
        <f t="shared" si="57"/>
        <v/>
      </c>
      <c r="X148" s="59" t="str">
        <f t="shared" si="58"/>
        <v/>
      </c>
      <c r="Y148" s="59" t="str">
        <f t="shared" si="59"/>
        <v xml:space="preserve">  </v>
      </c>
      <c r="Z148" s="59" t="str">
        <f t="shared" si="60"/>
        <v xml:space="preserve">  </v>
      </c>
    </row>
    <row r="149" spans="1:26">
      <c r="A149" s="70"/>
      <c r="B149" s="14"/>
      <c r="C149" s="5"/>
      <c r="D149" s="5"/>
      <c r="E149" s="5"/>
      <c r="F149" s="5"/>
      <c r="G149" s="5"/>
      <c r="H149" s="5"/>
      <c r="I149" s="5"/>
      <c r="J149" s="5"/>
      <c r="M149" s="15" t="e">
        <f t="shared" si="49"/>
        <v>#N/A</v>
      </c>
      <c r="N149" s="16" t="str">
        <f t="shared" si="50"/>
        <v/>
      </c>
      <c r="O149" s="15" t="str">
        <f>"D:\IMS Images\Headshots\CFB\"&amp;'Team Info'!$B$8&amp;"\"&amp;D149&amp;"_"&amp;C149&amp;".png"</f>
        <v>D:\IMS Images\Headshots\CFB\VANDERBILT\_.png</v>
      </c>
      <c r="P149" s="15" t="str">
        <f>"D:\IMS Images\Actionshots\CFB\"&amp;'Team Info'!$B$8&amp;"\"&amp;D149&amp;"_"&amp;C149&amp;".png"</f>
        <v>D:\IMS Images\Actionshots\CFB\VANDERBILT\_.png</v>
      </c>
      <c r="Q149" s="58" t="str">
        <f t="shared" si="51"/>
        <v xml:space="preserve"> </v>
      </c>
      <c r="R149" s="58" t="str">
        <f t="shared" si="52"/>
        <v xml:space="preserve">. </v>
      </c>
      <c r="S149" s="58" t="str">
        <f t="shared" si="53"/>
        <v xml:space="preserve">. </v>
      </c>
      <c r="T149" s="59" t="str">
        <f t="shared" si="54"/>
        <v/>
      </c>
      <c r="U149" s="59" t="str">
        <f t="shared" si="55"/>
        <v xml:space="preserve"> </v>
      </c>
      <c r="V149" s="59" t="str">
        <f t="shared" si="56"/>
        <v/>
      </c>
      <c r="W149" s="59" t="str">
        <f t="shared" si="57"/>
        <v/>
      </c>
      <c r="X149" s="59" t="str">
        <f t="shared" si="58"/>
        <v/>
      </c>
      <c r="Y149" s="59" t="str">
        <f t="shared" si="59"/>
        <v xml:space="preserve">  </v>
      </c>
      <c r="Z149" s="59" t="str">
        <f t="shared" si="60"/>
        <v xml:space="preserve">  </v>
      </c>
    </row>
    <row r="150" spans="1:26">
      <c r="A150" s="70"/>
      <c r="B150" s="14"/>
      <c r="C150" s="5"/>
      <c r="D150" s="5"/>
      <c r="E150" s="5"/>
      <c r="F150" s="5"/>
      <c r="G150" s="5"/>
      <c r="H150" s="5"/>
      <c r="I150" s="5"/>
      <c r="J150" s="5"/>
      <c r="M150" s="15" t="e">
        <f t="shared" si="49"/>
        <v>#N/A</v>
      </c>
      <c r="N150" s="16" t="str">
        <f t="shared" si="50"/>
        <v/>
      </c>
      <c r="O150" s="15" t="str">
        <f>"D:\IMS Images\Headshots\CFB\"&amp;'Team Info'!$B$8&amp;"\"&amp;D150&amp;"_"&amp;C150&amp;".png"</f>
        <v>D:\IMS Images\Headshots\CFB\VANDERBILT\_.png</v>
      </c>
      <c r="P150" s="15" t="str">
        <f>"D:\IMS Images\Actionshots\CFB\"&amp;'Team Info'!$B$8&amp;"\"&amp;D150&amp;"_"&amp;C150&amp;".png"</f>
        <v>D:\IMS Images\Actionshots\CFB\VANDERBILT\_.png</v>
      </c>
      <c r="Q150" s="58" t="str">
        <f t="shared" si="51"/>
        <v xml:space="preserve"> </v>
      </c>
      <c r="R150" s="58" t="str">
        <f t="shared" si="52"/>
        <v xml:space="preserve">. </v>
      </c>
      <c r="S150" s="58" t="str">
        <f t="shared" si="53"/>
        <v xml:space="preserve">. </v>
      </c>
      <c r="T150" s="59" t="str">
        <f t="shared" si="54"/>
        <v/>
      </c>
      <c r="U150" s="59" t="str">
        <f t="shared" si="55"/>
        <v xml:space="preserve"> </v>
      </c>
      <c r="V150" s="59" t="str">
        <f t="shared" si="56"/>
        <v/>
      </c>
      <c r="W150" s="59" t="str">
        <f t="shared" si="57"/>
        <v/>
      </c>
      <c r="X150" s="59" t="str">
        <f t="shared" si="58"/>
        <v/>
      </c>
      <c r="Y150" s="59" t="str">
        <f t="shared" si="59"/>
        <v xml:space="preserve">  </v>
      </c>
      <c r="Z150" s="59" t="str">
        <f t="shared" si="60"/>
        <v xml:space="preserve">  </v>
      </c>
    </row>
    <row r="151" spans="1:26">
      <c r="U151" s="60" t="str">
        <f>UPPER(Q152)</f>
        <v/>
      </c>
      <c r="V151" s="60" t="str">
        <f>UPPER(C152)</f>
        <v/>
      </c>
      <c r="W151" s="60" t="str">
        <f>UPPER(D152)</f>
        <v/>
      </c>
      <c r="X151" s="60" t="str">
        <f>UPPER(N152)</f>
        <v/>
      </c>
    </row>
  </sheetData>
  <customSheetViews>
    <customSheetView guid="{706B170E-5520-469F-B13E-35DA6E3D1646}" scale="90" hiddenColumns="1">
      <pane ySplit="2" topLeftCell="A3" activePane="bottomLeft" state="frozen"/>
      <selection pane="bottomLeft" activeCell="A3" sqref="A3"/>
      <pageMargins left="0" right="0" top="0" bottom="0" header="0" footer="0"/>
      <pageSetup orientation="portrait" useFirstPageNumber="1" horizontalDpi="300" verticalDpi="300"/>
    </customSheetView>
    <customSheetView guid="{88E4902B-1443-461B-A72D-73CDB04FDAA8}" scale="90" hiddenColumns="1">
      <pane ySplit="2" topLeftCell="A3" activePane="bottomLeft" state="frozen"/>
      <selection pane="bottomLeft" activeCell="A3" sqref="A3"/>
      <pageMargins left="0" right="0" top="0" bottom="0" header="0" footer="0"/>
      <pageSetup orientation="portrait" useFirstPageNumber="1" horizontalDpi="300" verticalDpi="300"/>
    </customSheetView>
    <customSheetView guid="{1D9A851A-AB00-4F5F-A9E8-E1D0DD45E8C9}" scale="90" hiddenColumns="1">
      <pane ySplit="2" topLeftCell="A3" activePane="bottomLeft" state="frozen"/>
      <selection pane="bottomLeft" activeCell="A3" sqref="A3"/>
      <pageMargins left="0" right="0" top="0" bottom="0" header="0" footer="0"/>
      <pageSetup orientation="portrait" useFirstPageNumber="1" horizontalDpi="300" verticalDpi="300"/>
    </customSheetView>
    <customSheetView guid="{70533415-B255-4E4B-BD1B-222113DCA8F8}" scale="120" hiddenColumns="1">
      <pane ySplit="2" topLeftCell="A3" activePane="bottomLeft" state="frozen"/>
      <selection pane="bottomLeft" sqref="A1:XFD1"/>
      <pageMargins left="0" right="0" top="0" bottom="0" header="0" footer="0"/>
      <pageSetup orientation="portrait" useFirstPageNumber="1" horizontalDpi="300" verticalDpi="300"/>
    </customSheetView>
  </customSheetViews>
  <pageMargins left="0.7" right="0.7" top="0.75" bottom="0.75" header="0.51180555555555496" footer="0.51180555555555496"/>
  <pageSetup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5089-80B5-47CB-8F14-E5AA5D435C28}">
  <dimension ref="A1:AE156"/>
  <sheetViews>
    <sheetView zoomScale="90" zoomScaleNormal="90" workbookViewId="0">
      <pane ySplit="8" topLeftCell="A9" activePane="bottomLeft" state="frozen"/>
      <selection pane="bottomLeft" activeCell="D9" sqref="D9:K18"/>
    </sheetView>
  </sheetViews>
  <sheetFormatPr defaultColWidth="8.85546875" defaultRowHeight="14.45"/>
  <cols>
    <col min="1" max="1" width="8.42578125" style="26" customWidth="1"/>
    <col min="2" max="2" width="17.5703125" style="26" customWidth="1"/>
    <col min="3" max="3" width="49.7109375" style="26" customWidth="1"/>
    <col min="4" max="4" width="12.7109375" style="26" customWidth="1"/>
    <col min="5" max="5" width="20.7109375" style="26" customWidth="1"/>
    <col min="6" max="6" width="8.7109375" style="26" customWidth="1"/>
    <col min="7" max="7" width="20.7109375" style="26" customWidth="1"/>
    <col min="8" max="8" width="8.7109375" style="26" customWidth="1"/>
    <col min="9" max="9" width="20.7109375" style="26" customWidth="1"/>
    <col min="10" max="10" width="8.7109375" style="26" customWidth="1"/>
    <col min="11" max="11" width="20.7109375" style="26" customWidth="1"/>
    <col min="12" max="12" width="8.7109375" style="26" customWidth="1"/>
    <col min="13" max="13" width="20.7109375" style="26" customWidth="1"/>
    <col min="14" max="14" width="8.7109375" style="26" customWidth="1"/>
    <col min="15" max="15" width="20.7109375" style="26" customWidth="1"/>
    <col min="16" max="16" width="8.7109375" style="26" customWidth="1"/>
    <col min="17" max="17" width="30.7109375" style="26" customWidth="1"/>
    <col min="18" max="18" width="12.7109375" style="26" customWidth="1"/>
    <col min="19" max="19" width="20.7109375" style="26" customWidth="1"/>
    <col min="20" max="20" width="8.7109375" style="26" customWidth="1"/>
    <col min="21" max="21" width="20.7109375" style="26" customWidth="1"/>
    <col min="22" max="22" width="8.7109375" style="26" customWidth="1"/>
    <col min="23" max="23" width="20.7109375" style="26" customWidth="1"/>
    <col min="24" max="24" width="8.7109375" style="26" customWidth="1"/>
    <col min="25" max="25" width="20.7109375" style="26" customWidth="1"/>
    <col min="26" max="26" width="8.7109375" style="26" customWidth="1"/>
    <col min="27" max="27" width="20.7109375" style="26" customWidth="1"/>
    <col min="28" max="28" width="8.7109375" style="26" customWidth="1"/>
    <col min="29" max="29" width="20.7109375" style="26" customWidth="1"/>
    <col min="30" max="30" width="8.7109375" style="26" customWidth="1"/>
    <col min="31" max="31" width="30.7109375" style="26" customWidth="1"/>
    <col min="32" max="1025" width="8.42578125" style="26" customWidth="1"/>
    <col min="1026" max="16384" width="8.85546875" style="26"/>
  </cols>
  <sheetData>
    <row r="1" spans="1:31" ht="19.899999999999999" customHeight="1">
      <c r="A1" s="83" t="s">
        <v>157</v>
      </c>
      <c r="B1" s="84"/>
      <c r="C1" s="31" t="s">
        <v>158</v>
      </c>
      <c r="D1" s="31"/>
      <c r="E1" s="31" t="s">
        <v>159</v>
      </c>
      <c r="F1" s="31"/>
      <c r="G1" s="31" t="s">
        <v>160</v>
      </c>
      <c r="H1" s="31"/>
      <c r="I1" s="31" t="s">
        <v>161</v>
      </c>
      <c r="J1" s="31"/>
      <c r="K1" s="31" t="s">
        <v>162</v>
      </c>
      <c r="L1" s="31"/>
      <c r="M1" s="31"/>
      <c r="N1" s="29"/>
      <c r="O1" s="99" t="s">
        <v>163</v>
      </c>
      <c r="P1" s="100"/>
      <c r="Q1" s="101"/>
      <c r="R1" s="30"/>
      <c r="T1" s="29"/>
      <c r="V1" s="29"/>
      <c r="X1" s="29"/>
      <c r="Z1" s="29"/>
      <c r="AA1" s="29"/>
      <c r="AB1" s="29"/>
      <c r="AC1" s="29"/>
      <c r="AD1" s="29"/>
    </row>
    <row r="2" spans="1:31" ht="19.899999999999999" customHeight="1" thickBot="1">
      <c r="A2" s="83" t="s">
        <v>164</v>
      </c>
      <c r="B2" s="84"/>
      <c r="C2" s="31" t="s">
        <v>165</v>
      </c>
      <c r="D2" s="31"/>
      <c r="E2" s="31" t="s">
        <v>166</v>
      </c>
      <c r="F2" s="31"/>
      <c r="G2" s="31" t="s">
        <v>160</v>
      </c>
      <c r="H2" s="31"/>
      <c r="I2" s="31" t="s">
        <v>167</v>
      </c>
      <c r="J2" s="31"/>
      <c r="K2" s="31" t="s">
        <v>161</v>
      </c>
      <c r="L2" s="31"/>
      <c r="M2" s="31"/>
      <c r="N2" s="29"/>
      <c r="O2" s="102"/>
      <c r="P2" s="103"/>
      <c r="Q2" s="104"/>
      <c r="R2" s="30"/>
      <c r="T2" s="29"/>
      <c r="V2" s="29"/>
      <c r="X2" s="29"/>
      <c r="Z2" s="29"/>
      <c r="AA2" s="29"/>
      <c r="AB2" s="29"/>
      <c r="AC2" s="29"/>
      <c r="AD2" s="29"/>
    </row>
    <row r="3" spans="1:31" ht="19.899999999999999" customHeight="1">
      <c r="A3" s="84" t="s">
        <v>168</v>
      </c>
      <c r="B3" s="84"/>
      <c r="C3" s="31" t="s">
        <v>169</v>
      </c>
      <c r="D3" s="31"/>
      <c r="E3" s="31" t="s">
        <v>170</v>
      </c>
      <c r="F3" s="31"/>
      <c r="G3" s="31" t="s">
        <v>160</v>
      </c>
      <c r="H3" s="31"/>
      <c r="I3" s="31" t="s">
        <v>167</v>
      </c>
      <c r="J3" s="31"/>
      <c r="K3" s="31" t="s">
        <v>161</v>
      </c>
      <c r="L3" s="31"/>
      <c r="M3" s="31"/>
      <c r="N3" s="29"/>
      <c r="O3" s="99" t="s">
        <v>171</v>
      </c>
      <c r="P3" s="100"/>
      <c r="Q3" s="101"/>
      <c r="R3" s="30"/>
      <c r="T3" s="29"/>
      <c r="V3" s="29"/>
      <c r="X3" s="29"/>
      <c r="Z3" s="29"/>
      <c r="AA3" s="29"/>
      <c r="AB3" s="29"/>
      <c r="AC3" s="29"/>
      <c r="AD3" s="29"/>
    </row>
    <row r="4" spans="1:31" ht="19.899999999999999" customHeight="1">
      <c r="A4" s="84" t="s">
        <v>172</v>
      </c>
      <c r="B4" s="84"/>
      <c r="C4" s="31" t="s">
        <v>173</v>
      </c>
      <c r="D4" s="31"/>
      <c r="E4" s="31" t="s">
        <v>174</v>
      </c>
      <c r="F4" s="31"/>
      <c r="G4" s="31" t="s">
        <v>167</v>
      </c>
      <c r="H4" s="31"/>
      <c r="I4" s="31" t="s">
        <v>175</v>
      </c>
      <c r="J4" s="31"/>
      <c r="K4" s="31" t="s">
        <v>176</v>
      </c>
      <c r="L4" s="31"/>
      <c r="M4" s="31"/>
      <c r="N4" s="29"/>
      <c r="O4" s="105"/>
      <c r="P4" s="106"/>
      <c r="Q4" s="107"/>
      <c r="R4" s="30"/>
      <c r="T4" s="29"/>
      <c r="V4" s="29"/>
      <c r="X4" s="29"/>
      <c r="Z4" s="29"/>
      <c r="AA4" s="29"/>
      <c r="AB4" s="29"/>
      <c r="AC4" s="29"/>
      <c r="AD4" s="29"/>
    </row>
    <row r="5" spans="1:31" ht="19.899999999999999" customHeight="1" thickBot="1">
      <c r="A5" s="84" t="s">
        <v>177</v>
      </c>
      <c r="B5" s="84"/>
      <c r="C5" s="31" t="s">
        <v>178</v>
      </c>
      <c r="D5" s="31"/>
      <c r="E5" s="31" t="s">
        <v>179</v>
      </c>
      <c r="F5" s="31"/>
      <c r="G5" s="31" t="s">
        <v>180</v>
      </c>
      <c r="H5" s="31"/>
      <c r="I5" s="31" t="s">
        <v>175</v>
      </c>
      <c r="J5" s="31"/>
      <c r="K5" s="31"/>
      <c r="L5" s="31"/>
      <c r="M5" s="31"/>
      <c r="N5" s="29"/>
      <c r="O5" s="102"/>
      <c r="P5" s="103"/>
      <c r="Q5" s="104"/>
      <c r="R5" s="30"/>
      <c r="T5" s="29"/>
      <c r="V5" s="29"/>
      <c r="X5" s="29"/>
      <c r="Z5" s="29"/>
      <c r="AA5" s="29"/>
      <c r="AB5" s="29"/>
      <c r="AC5" s="29"/>
      <c r="AD5" s="29"/>
    </row>
    <row r="6" spans="1:31" ht="19.899999999999999" customHeight="1">
      <c r="A6" s="84"/>
      <c r="B6" s="84"/>
      <c r="C6" s="31" t="s">
        <v>181</v>
      </c>
      <c r="D6" s="31"/>
      <c r="E6" s="31" t="s">
        <v>182</v>
      </c>
      <c r="F6" s="31"/>
      <c r="G6" s="31" t="s">
        <v>183</v>
      </c>
      <c r="H6" s="31"/>
      <c r="I6" s="31" t="s">
        <v>184</v>
      </c>
      <c r="J6" s="31"/>
      <c r="K6" s="31" t="s">
        <v>185</v>
      </c>
      <c r="L6" s="31"/>
      <c r="M6" s="31" t="s">
        <v>186</v>
      </c>
      <c r="N6" s="29"/>
      <c r="O6" s="29"/>
      <c r="P6" s="29"/>
      <c r="R6" s="29"/>
      <c r="T6" s="29"/>
      <c r="V6" s="29"/>
      <c r="X6" s="29"/>
      <c r="Z6" s="29"/>
      <c r="AA6" s="29"/>
      <c r="AB6" s="29"/>
      <c r="AC6" s="29"/>
      <c r="AD6" s="29"/>
    </row>
    <row r="7" spans="1:31" ht="19.899999999999999" customHeight="1">
      <c r="C7" s="29"/>
      <c r="D7" s="29"/>
      <c r="E7" s="91" t="s">
        <v>187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R7" s="29"/>
      <c r="T7" s="29"/>
      <c r="V7" s="29"/>
      <c r="X7" s="29"/>
      <c r="Z7" s="29"/>
      <c r="AA7" s="29"/>
      <c r="AB7" s="29"/>
      <c r="AC7" s="29"/>
      <c r="AD7" s="29"/>
    </row>
    <row r="8" spans="1:31" s="32" customFormat="1" ht="15.75" customHeight="1">
      <c r="A8" s="41" t="s">
        <v>188</v>
      </c>
      <c r="B8" s="41" t="s">
        <v>189</v>
      </c>
      <c r="C8" s="41" t="s">
        <v>190</v>
      </c>
      <c r="D8" s="40" t="s">
        <v>191</v>
      </c>
      <c r="E8" s="40" t="s">
        <v>192</v>
      </c>
      <c r="F8" s="40" t="s">
        <v>193</v>
      </c>
      <c r="G8" s="40" t="s">
        <v>194</v>
      </c>
      <c r="H8" s="40" t="s">
        <v>195</v>
      </c>
      <c r="I8" s="40" t="s">
        <v>196</v>
      </c>
      <c r="J8" s="40" t="s">
        <v>197</v>
      </c>
      <c r="K8" s="40" t="s">
        <v>198</v>
      </c>
      <c r="L8" s="40" t="s">
        <v>199</v>
      </c>
      <c r="M8" s="40" t="s">
        <v>200</v>
      </c>
      <c r="N8" s="40" t="s">
        <v>201</v>
      </c>
      <c r="O8" s="40" t="s">
        <v>202</v>
      </c>
      <c r="P8" s="40" t="s">
        <v>203</v>
      </c>
      <c r="Q8" s="40" t="s">
        <v>204</v>
      </c>
      <c r="R8" s="40" t="s">
        <v>191</v>
      </c>
      <c r="S8" s="40" t="s">
        <v>205</v>
      </c>
      <c r="T8" s="40" t="s">
        <v>193</v>
      </c>
      <c r="U8" s="40" t="s">
        <v>206</v>
      </c>
      <c r="V8" s="40" t="s">
        <v>195</v>
      </c>
      <c r="W8" s="40" t="s">
        <v>207</v>
      </c>
      <c r="X8" s="40" t="s">
        <v>197</v>
      </c>
      <c r="Y8" s="40" t="s">
        <v>208</v>
      </c>
      <c r="Z8" s="40" t="s">
        <v>199</v>
      </c>
      <c r="AA8" s="40" t="s">
        <v>209</v>
      </c>
      <c r="AB8" s="40" t="s">
        <v>201</v>
      </c>
      <c r="AC8" s="40" t="s">
        <v>210</v>
      </c>
      <c r="AD8" s="40" t="s">
        <v>203</v>
      </c>
      <c r="AE8" s="40" t="s">
        <v>211</v>
      </c>
    </row>
    <row r="9" spans="1:31">
      <c r="A9" s="28">
        <f>Roster!$A3</f>
        <v>1</v>
      </c>
      <c r="B9" s="28">
        <f>Roster!$A3</f>
        <v>1</v>
      </c>
      <c r="C9" s="28" t="str">
        <f>Roster!$Q3</f>
        <v>First Name Last Name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>
      <c r="A10" s="28">
        <f>Roster!$A4</f>
        <v>2</v>
      </c>
      <c r="B10" s="28">
        <f>Roster!$A4</f>
        <v>2</v>
      </c>
      <c r="C10" s="28" t="str">
        <f>Roster!$Q4</f>
        <v xml:space="preserve"> 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spans="1:31">
      <c r="A11" s="28">
        <f>Roster!$A5</f>
        <v>3</v>
      </c>
      <c r="B11" s="28">
        <f>Roster!$A5</f>
        <v>3</v>
      </c>
      <c r="C11" s="28" t="str">
        <f>Roster!$Q5</f>
        <v xml:space="preserve"> 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 spans="1:31">
      <c r="A12" s="28">
        <f>Roster!$A6</f>
        <v>4</v>
      </c>
      <c r="B12" s="28">
        <f>Roster!$A6</f>
        <v>4</v>
      </c>
      <c r="C12" s="28" t="str">
        <f>Roster!$Q6</f>
        <v xml:space="preserve"> 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 spans="1:31">
      <c r="A13" s="28">
        <f>Roster!$A7</f>
        <v>5</v>
      </c>
      <c r="B13" s="28">
        <f>Roster!$A7</f>
        <v>5</v>
      </c>
      <c r="C13" s="28" t="str">
        <f>Roster!$Q7</f>
        <v xml:space="preserve"> </v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spans="1:31">
      <c r="A14" s="28">
        <f>Roster!$A8</f>
        <v>6</v>
      </c>
      <c r="B14" s="28">
        <f>Roster!$A8</f>
        <v>6</v>
      </c>
      <c r="C14" s="28" t="str">
        <f>Roster!$Q8</f>
        <v xml:space="preserve"> </v>
      </c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 spans="1:31">
      <c r="A15" s="28">
        <f>Roster!$A9</f>
        <v>7</v>
      </c>
      <c r="B15" s="28">
        <f>Roster!$A9</f>
        <v>7</v>
      </c>
      <c r="C15" s="28" t="str">
        <f>Roster!$Q9</f>
        <v xml:space="preserve"> </v>
      </c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 spans="1:31">
      <c r="A16" s="28">
        <f>Roster!$A10</f>
        <v>8</v>
      </c>
      <c r="B16" s="28">
        <f>Roster!$A10</f>
        <v>8</v>
      </c>
      <c r="C16" s="28" t="str">
        <f>Roster!$Q10</f>
        <v xml:space="preserve"> 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</row>
    <row r="17" spans="1:31">
      <c r="A17" s="28">
        <f>Roster!$A11</f>
        <v>9</v>
      </c>
      <c r="B17" s="28">
        <f>Roster!$A11</f>
        <v>9</v>
      </c>
      <c r="C17" s="28" t="str">
        <f>Roster!$Q11</f>
        <v xml:space="preserve"> 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 t="s">
        <v>212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spans="1:31">
      <c r="A18" s="28">
        <f>Roster!$A12</f>
        <v>10</v>
      </c>
      <c r="B18" s="28">
        <f>Roster!$A12</f>
        <v>10</v>
      </c>
      <c r="C18" s="28" t="str">
        <f>Roster!$Q12</f>
        <v xml:space="preserve"> </v>
      </c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spans="1:31">
      <c r="A19" s="28">
        <f>Roster!$A13</f>
        <v>11</v>
      </c>
      <c r="B19" s="28">
        <f>Roster!$A13</f>
        <v>11</v>
      </c>
      <c r="C19" s="28" t="str">
        <f>Roster!$Q13</f>
        <v xml:space="preserve"> 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 spans="1:31">
      <c r="A20" s="28">
        <f>Roster!$A14</f>
        <v>12</v>
      </c>
      <c r="B20" s="28">
        <f>Roster!$A14</f>
        <v>12</v>
      </c>
      <c r="C20" s="28" t="str">
        <f>Roster!$Q14</f>
        <v xml:space="preserve"> 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</row>
    <row r="21" spans="1:31">
      <c r="A21" s="28">
        <f>Roster!$A15</f>
        <v>13</v>
      </c>
      <c r="B21" s="28">
        <f>Roster!$A15</f>
        <v>13</v>
      </c>
      <c r="C21" s="28" t="str">
        <f>Roster!$Q15</f>
        <v xml:space="preserve"> 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spans="1:31">
      <c r="A22" s="28">
        <f>Roster!$A16</f>
        <v>14</v>
      </c>
      <c r="B22" s="28">
        <f>Roster!$A16</f>
        <v>14</v>
      </c>
      <c r="C22" s="28" t="str">
        <f>Roster!$Q16</f>
        <v xml:space="preserve"> 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 spans="1:31">
      <c r="A23" s="28">
        <f>Roster!$A17</f>
        <v>15</v>
      </c>
      <c r="B23" s="28">
        <f>Roster!$A17</f>
        <v>15</v>
      </c>
      <c r="C23" s="28" t="str">
        <f>Roster!$Q17</f>
        <v xml:space="preserve"> 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 spans="1:31">
      <c r="A24" s="28">
        <f>Roster!$A18</f>
        <v>16</v>
      </c>
      <c r="B24" s="28">
        <f>Roster!$A18</f>
        <v>16</v>
      </c>
      <c r="C24" s="28" t="str">
        <f>Roster!$Q18</f>
        <v xml:space="preserve"> 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</row>
    <row r="25" spans="1:31">
      <c r="A25" s="28">
        <f>Roster!$A19</f>
        <v>17</v>
      </c>
      <c r="B25" s="28">
        <f>Roster!$A19</f>
        <v>17</v>
      </c>
      <c r="C25" s="28" t="str">
        <f>Roster!$Q19</f>
        <v xml:space="preserve"> 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 spans="1:31">
      <c r="A26" s="28">
        <f>Roster!$A20</f>
        <v>18</v>
      </c>
      <c r="B26" s="28">
        <f>Roster!$A20</f>
        <v>18</v>
      </c>
      <c r="C26" s="28" t="str">
        <f>Roster!$Q20</f>
        <v xml:space="preserve"> 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 spans="1:31">
      <c r="A27" s="28">
        <f>Roster!$A21</f>
        <v>19</v>
      </c>
      <c r="B27" s="28">
        <f>Roster!$A21</f>
        <v>19</v>
      </c>
      <c r="C27" s="28" t="str">
        <f>Roster!$Q21</f>
        <v xml:space="preserve"> 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spans="1:31">
      <c r="A28" s="28">
        <f>Roster!$A22</f>
        <v>20</v>
      </c>
      <c r="B28" s="28">
        <f>Roster!$A22</f>
        <v>20</v>
      </c>
      <c r="C28" s="28" t="str">
        <f>Roster!$Q22</f>
        <v xml:space="preserve"> 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1:31">
      <c r="A29" s="28">
        <f>Roster!$A23</f>
        <v>21</v>
      </c>
      <c r="B29" s="28">
        <f>Roster!$A23</f>
        <v>21</v>
      </c>
      <c r="C29" s="28" t="str">
        <f>Roster!$Q23</f>
        <v xml:space="preserve"> 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1:31">
      <c r="A30" s="28">
        <f>Roster!$A24</f>
        <v>22</v>
      </c>
      <c r="B30" s="28">
        <f>Roster!$A24</f>
        <v>22</v>
      </c>
      <c r="C30" s="28" t="str">
        <f>Roster!$Q24</f>
        <v xml:space="preserve"> 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1:31">
      <c r="A31" s="28">
        <f>Roster!$A25</f>
        <v>23</v>
      </c>
      <c r="B31" s="28">
        <f>Roster!$A25</f>
        <v>23</v>
      </c>
      <c r="C31" s="28" t="str">
        <f>Roster!$Q25</f>
        <v xml:space="preserve"> 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1:31">
      <c r="A32" s="28">
        <f>Roster!$A26</f>
        <v>24</v>
      </c>
      <c r="B32" s="28">
        <f>Roster!$A26</f>
        <v>24</v>
      </c>
      <c r="C32" s="28" t="str">
        <f>Roster!$Q26</f>
        <v xml:space="preserve"> 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1:31">
      <c r="A33" s="28">
        <f>Roster!$A27</f>
        <v>25</v>
      </c>
      <c r="B33" s="28">
        <f>Roster!$A27</f>
        <v>25</v>
      </c>
      <c r="C33" s="28" t="str">
        <f>Roster!$Q27</f>
        <v xml:space="preserve"> 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1:31">
      <c r="A34" s="28">
        <f>Roster!$A28</f>
        <v>26</v>
      </c>
      <c r="B34" s="28">
        <f>Roster!$A28</f>
        <v>26</v>
      </c>
      <c r="C34" s="28" t="str">
        <f>Roster!$Q28</f>
        <v xml:space="preserve"> 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spans="1:31">
      <c r="A35" s="28">
        <f>Roster!$A29</f>
        <v>27</v>
      </c>
      <c r="B35" s="28">
        <f>Roster!$A29</f>
        <v>27</v>
      </c>
      <c r="C35" s="28" t="str">
        <f>Roster!$Q29</f>
        <v xml:space="preserve"> 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1:31">
      <c r="A36" s="28">
        <f>Roster!$A30</f>
        <v>28</v>
      </c>
      <c r="B36" s="28">
        <f>Roster!$A30</f>
        <v>28</v>
      </c>
      <c r="C36" s="28" t="str">
        <f>Roster!$Q30</f>
        <v xml:space="preserve"> 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spans="1:31">
      <c r="A37" s="28">
        <f>Roster!$A31</f>
        <v>29</v>
      </c>
      <c r="B37" s="28">
        <f>Roster!$A31</f>
        <v>29</v>
      </c>
      <c r="C37" s="28" t="str">
        <f>Roster!$Q31</f>
        <v xml:space="preserve"> 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>
      <c r="A38" s="28">
        <f>Roster!$A32</f>
        <v>30</v>
      </c>
      <c r="B38" s="28">
        <f>Roster!$A32</f>
        <v>30</v>
      </c>
      <c r="C38" s="28" t="str">
        <f>Roster!$Q32</f>
        <v xml:space="preserve"> 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spans="1:31">
      <c r="A39" s="28">
        <f>Roster!$A33</f>
        <v>31</v>
      </c>
      <c r="B39" s="28">
        <f>Roster!$A33</f>
        <v>31</v>
      </c>
      <c r="C39" s="28" t="str">
        <f>Roster!$Q33</f>
        <v xml:space="preserve"> 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spans="1:31">
      <c r="A40" s="28">
        <f>Roster!$A34</f>
        <v>32</v>
      </c>
      <c r="B40" s="28">
        <f>Roster!$A34</f>
        <v>32</v>
      </c>
      <c r="C40" s="28" t="str">
        <f>Roster!$Q34</f>
        <v xml:space="preserve"> 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spans="1:31">
      <c r="A41" s="28">
        <f>Roster!$A35</f>
        <v>33</v>
      </c>
      <c r="B41" s="28">
        <f>Roster!$A35</f>
        <v>33</v>
      </c>
      <c r="C41" s="28" t="str">
        <f>Roster!$Q35</f>
        <v xml:space="preserve"> 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 spans="1:31">
      <c r="A42" s="28">
        <f>Roster!$A36</f>
        <v>34</v>
      </c>
      <c r="B42" s="28">
        <f>Roster!$A36</f>
        <v>34</v>
      </c>
      <c r="C42" s="28" t="str">
        <f>Roster!$Q36</f>
        <v xml:space="preserve"> 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</row>
    <row r="43" spans="1:31">
      <c r="A43" s="28">
        <f>Roster!$A37</f>
        <v>35</v>
      </c>
      <c r="B43" s="28">
        <f>Roster!$A37</f>
        <v>35</v>
      </c>
      <c r="C43" s="28" t="str">
        <f>Roster!$Q37</f>
        <v xml:space="preserve"> 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spans="1:31">
      <c r="A44" s="28">
        <f>Roster!$A38</f>
        <v>36</v>
      </c>
      <c r="B44" s="28">
        <f>Roster!$A38</f>
        <v>36</v>
      </c>
      <c r="C44" s="28" t="str">
        <f>Roster!$Q38</f>
        <v xml:space="preserve"> 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</row>
    <row r="45" spans="1:31">
      <c r="A45" s="28">
        <f>Roster!$A39</f>
        <v>37</v>
      </c>
      <c r="B45" s="28">
        <f>Roster!$A39</f>
        <v>37</v>
      </c>
      <c r="C45" s="28" t="str">
        <f>Roster!$Q39</f>
        <v xml:space="preserve"> 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</row>
    <row r="46" spans="1:31">
      <c r="A46" s="28">
        <f>Roster!$A40</f>
        <v>38</v>
      </c>
      <c r="B46" s="28">
        <f>Roster!$A40</f>
        <v>38</v>
      </c>
      <c r="C46" s="28" t="str">
        <f>Roster!$Q40</f>
        <v xml:space="preserve"> 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 spans="1:31">
      <c r="A47" s="28">
        <f>Roster!$A41</f>
        <v>39</v>
      </c>
      <c r="B47" s="28">
        <f>Roster!$A41</f>
        <v>39</v>
      </c>
      <c r="C47" s="28" t="str">
        <f>Roster!$Q41</f>
        <v xml:space="preserve"> 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spans="1:31">
      <c r="A48" s="28">
        <f>Roster!$A42</f>
        <v>40</v>
      </c>
      <c r="B48" s="28">
        <f>Roster!$A42</f>
        <v>40</v>
      </c>
      <c r="C48" s="28" t="str">
        <f>Roster!$Q42</f>
        <v xml:space="preserve"> 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spans="1:31">
      <c r="A49" s="28">
        <f>Roster!$A43</f>
        <v>41</v>
      </c>
      <c r="B49" s="28">
        <f>Roster!$A43</f>
        <v>41</v>
      </c>
      <c r="C49" s="28" t="str">
        <f>Roster!$Q43</f>
        <v xml:space="preserve"> 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spans="1:31">
      <c r="A50" s="28">
        <f>Roster!$A44</f>
        <v>42</v>
      </c>
      <c r="B50" s="28">
        <f>Roster!$A44</f>
        <v>42</v>
      </c>
      <c r="C50" s="28" t="str">
        <f>Roster!$Q44</f>
        <v xml:space="preserve"> 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</row>
    <row r="51" spans="1:31">
      <c r="A51" s="28">
        <f>Roster!$A45</f>
        <v>43</v>
      </c>
      <c r="B51" s="28">
        <f>Roster!$A45</f>
        <v>43</v>
      </c>
      <c r="C51" s="28" t="str">
        <f>Roster!$Q45</f>
        <v xml:space="preserve"> 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 spans="1:31">
      <c r="A52" s="28">
        <f>Roster!$A46</f>
        <v>44</v>
      </c>
      <c r="B52" s="28">
        <f>Roster!$A46</f>
        <v>44</v>
      </c>
      <c r="C52" s="28" t="str">
        <f>Roster!$Q46</f>
        <v xml:space="preserve"> 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</row>
    <row r="53" spans="1:31">
      <c r="A53" s="28">
        <f>Roster!$A47</f>
        <v>45</v>
      </c>
      <c r="B53" s="28">
        <f>Roster!$A47</f>
        <v>45</v>
      </c>
      <c r="C53" s="28" t="str">
        <f>Roster!$Q47</f>
        <v xml:space="preserve"> 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</row>
    <row r="54" spans="1:31">
      <c r="A54" s="28">
        <f>Roster!$A48</f>
        <v>46</v>
      </c>
      <c r="B54" s="28">
        <f>Roster!$A48</f>
        <v>46</v>
      </c>
      <c r="C54" s="28" t="str">
        <f>Roster!$Q48</f>
        <v xml:space="preserve"> 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 spans="1:31">
      <c r="A55" s="28">
        <f>Roster!$A49</f>
        <v>47</v>
      </c>
      <c r="B55" s="28">
        <f>Roster!$A49</f>
        <v>47</v>
      </c>
      <c r="C55" s="28" t="str">
        <f>Roster!$Q49</f>
        <v xml:space="preserve"> 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 spans="1:31">
      <c r="A56" s="28">
        <f>Roster!$A50</f>
        <v>48</v>
      </c>
      <c r="B56" s="28">
        <f>Roster!$A50</f>
        <v>48</v>
      </c>
      <c r="C56" s="28" t="str">
        <f>Roster!$Q50</f>
        <v xml:space="preserve"> 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</row>
    <row r="57" spans="1:31">
      <c r="A57" s="28">
        <f>Roster!$A51</f>
        <v>49</v>
      </c>
      <c r="B57" s="28">
        <f>Roster!$A51</f>
        <v>49</v>
      </c>
      <c r="C57" s="28" t="str">
        <f>Roster!$Q51</f>
        <v xml:space="preserve"> 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</row>
    <row r="58" spans="1:31">
      <c r="A58" s="28">
        <f>Roster!$A52</f>
        <v>50</v>
      </c>
      <c r="B58" s="28">
        <f>Roster!$A52</f>
        <v>50</v>
      </c>
      <c r="C58" s="28" t="str">
        <f>Roster!$Q52</f>
        <v xml:space="preserve"> 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</row>
    <row r="59" spans="1:31">
      <c r="A59" s="28">
        <f>Roster!$A53</f>
        <v>51</v>
      </c>
      <c r="B59" s="28">
        <f>Roster!$A53</f>
        <v>51</v>
      </c>
      <c r="C59" s="28" t="str">
        <f>Roster!$Q53</f>
        <v xml:space="preserve"> 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</row>
    <row r="60" spans="1:31">
      <c r="A60" s="28">
        <f>Roster!$A54</f>
        <v>52</v>
      </c>
      <c r="B60" s="28">
        <f>Roster!$A54</f>
        <v>52</v>
      </c>
      <c r="C60" s="28" t="str">
        <f>Roster!$Q54</f>
        <v xml:space="preserve"> 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</row>
    <row r="61" spans="1:31">
      <c r="A61" s="28">
        <f>Roster!$A55</f>
        <v>53</v>
      </c>
      <c r="B61" s="28">
        <f>Roster!$A55</f>
        <v>53</v>
      </c>
      <c r="C61" s="28" t="str">
        <f>Roster!$Q55</f>
        <v xml:space="preserve"> 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 spans="1:31">
      <c r="A62" s="28">
        <f>Roster!$A56</f>
        <v>54</v>
      </c>
      <c r="B62" s="28">
        <f>Roster!$A56</f>
        <v>54</v>
      </c>
      <c r="C62" s="28" t="str">
        <f>Roster!$Q56</f>
        <v xml:space="preserve"> 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</row>
    <row r="63" spans="1:31">
      <c r="A63" s="28">
        <f>Roster!$A57</f>
        <v>55</v>
      </c>
      <c r="B63" s="28">
        <f>Roster!$A57</f>
        <v>55</v>
      </c>
      <c r="C63" s="28" t="str">
        <f>Roster!$Q57</f>
        <v xml:space="preserve"> 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</row>
    <row r="64" spans="1:31">
      <c r="A64" s="28">
        <f>Roster!$A58</f>
        <v>56</v>
      </c>
      <c r="B64" s="28">
        <f>Roster!$A58</f>
        <v>56</v>
      </c>
      <c r="C64" s="28" t="str">
        <f>Roster!$Q58</f>
        <v xml:space="preserve"> 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</row>
    <row r="65" spans="1:31">
      <c r="A65" s="28">
        <f>Roster!$A59</f>
        <v>57</v>
      </c>
      <c r="B65" s="28">
        <f>Roster!$A59</f>
        <v>57</v>
      </c>
      <c r="C65" s="28" t="str">
        <f>Roster!$Q59</f>
        <v xml:space="preserve"> 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</row>
    <row r="66" spans="1:31">
      <c r="A66" s="28">
        <f>Roster!$A60</f>
        <v>58</v>
      </c>
      <c r="B66" s="28">
        <f>Roster!$A60</f>
        <v>58</v>
      </c>
      <c r="C66" s="28" t="str">
        <f>Roster!$Q60</f>
        <v xml:space="preserve"> 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</row>
    <row r="67" spans="1:31">
      <c r="A67" s="28">
        <f>Roster!$A61</f>
        <v>59</v>
      </c>
      <c r="B67" s="28">
        <f>Roster!$A61</f>
        <v>59</v>
      </c>
      <c r="C67" s="28" t="str">
        <f>Roster!$Q61</f>
        <v xml:space="preserve"> 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</row>
    <row r="68" spans="1:31">
      <c r="A68" s="28">
        <f>Roster!$A62</f>
        <v>60</v>
      </c>
      <c r="B68" s="28">
        <f>Roster!$A62</f>
        <v>60</v>
      </c>
      <c r="C68" s="28" t="str">
        <f>Roster!$Q62</f>
        <v xml:space="preserve"> 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</row>
    <row r="69" spans="1:31">
      <c r="A69" s="28">
        <f>Roster!$A63</f>
        <v>61</v>
      </c>
      <c r="B69" s="28">
        <f>Roster!$A63</f>
        <v>61</v>
      </c>
      <c r="C69" s="28" t="str">
        <f>Roster!$Q63</f>
        <v xml:space="preserve"> 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 spans="1:31">
      <c r="A70" s="28">
        <f>Roster!$A64</f>
        <v>62</v>
      </c>
      <c r="B70" s="28">
        <f>Roster!$A64</f>
        <v>62</v>
      </c>
      <c r="C70" s="28" t="str">
        <f>Roster!$Q64</f>
        <v xml:space="preserve"> 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</row>
    <row r="71" spans="1:31">
      <c r="A71" s="28">
        <f>Roster!$A65</f>
        <v>63</v>
      </c>
      <c r="B71" s="28">
        <f>Roster!$A65</f>
        <v>63</v>
      </c>
      <c r="C71" s="28" t="str">
        <f>Roster!$Q65</f>
        <v xml:space="preserve"> 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</row>
    <row r="72" spans="1:31">
      <c r="A72" s="28">
        <f>Roster!$A66</f>
        <v>64</v>
      </c>
      <c r="B72" s="28">
        <f>Roster!$A66</f>
        <v>64</v>
      </c>
      <c r="C72" s="28" t="str">
        <f>Roster!$Q66</f>
        <v xml:space="preserve"> 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 spans="1:31">
      <c r="A73" s="28">
        <f>Roster!$A67</f>
        <v>65</v>
      </c>
      <c r="B73" s="28">
        <f>Roster!$A67</f>
        <v>65</v>
      </c>
      <c r="C73" s="28" t="str">
        <f>Roster!$Q67</f>
        <v xml:space="preserve"> 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</row>
    <row r="74" spans="1:31">
      <c r="A74" s="28">
        <f>Roster!$A68</f>
        <v>66</v>
      </c>
      <c r="B74" s="28">
        <f>Roster!$A68</f>
        <v>66</v>
      </c>
      <c r="C74" s="28" t="str">
        <f>Roster!$Q68</f>
        <v xml:space="preserve"> 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</row>
    <row r="75" spans="1:31">
      <c r="A75" s="28">
        <f>Roster!$A69</f>
        <v>67</v>
      </c>
      <c r="B75" s="28">
        <f>Roster!$A69</f>
        <v>67</v>
      </c>
      <c r="C75" s="28" t="str">
        <f>Roster!$Q69</f>
        <v xml:space="preserve"> 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</row>
    <row r="76" spans="1:31">
      <c r="A76" s="28">
        <f>Roster!$A70</f>
        <v>68</v>
      </c>
      <c r="B76" s="28">
        <f>Roster!$A70</f>
        <v>68</v>
      </c>
      <c r="C76" s="28" t="str">
        <f>Roster!$Q70</f>
        <v xml:space="preserve"> 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</row>
    <row r="77" spans="1:31">
      <c r="A77" s="28">
        <f>Roster!$A71</f>
        <v>69</v>
      </c>
      <c r="B77" s="28">
        <f>Roster!$A71</f>
        <v>69</v>
      </c>
      <c r="C77" s="28" t="str">
        <f>Roster!$Q71</f>
        <v xml:space="preserve"> 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</row>
    <row r="78" spans="1:31">
      <c r="A78" s="28">
        <f>Roster!$A72</f>
        <v>70</v>
      </c>
      <c r="B78" s="28">
        <f>Roster!$A72</f>
        <v>70</v>
      </c>
      <c r="C78" s="28" t="str">
        <f>Roster!$Q72</f>
        <v xml:space="preserve"> 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</row>
    <row r="79" spans="1:31">
      <c r="A79" s="28">
        <f>Roster!$A73</f>
        <v>71</v>
      </c>
      <c r="B79" s="28">
        <f>Roster!$A73</f>
        <v>71</v>
      </c>
      <c r="C79" s="28" t="str">
        <f>Roster!$Q73</f>
        <v xml:space="preserve"> 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</row>
    <row r="80" spans="1:31">
      <c r="A80" s="28">
        <f>Roster!$A74</f>
        <v>72</v>
      </c>
      <c r="B80" s="28">
        <f>Roster!$A74</f>
        <v>72</v>
      </c>
      <c r="C80" s="28" t="str">
        <f>Roster!$Q74</f>
        <v xml:space="preserve"> 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</row>
    <row r="81" spans="1:31">
      <c r="A81" s="28">
        <f>Roster!$A75</f>
        <v>73</v>
      </c>
      <c r="B81" s="28">
        <f>Roster!$A75</f>
        <v>73</v>
      </c>
      <c r="C81" s="28" t="str">
        <f>Roster!$Q75</f>
        <v xml:space="preserve"> 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</row>
    <row r="82" spans="1:31">
      <c r="A82" s="28">
        <f>Roster!$A76</f>
        <v>74</v>
      </c>
      <c r="B82" s="28">
        <f>Roster!$A76</f>
        <v>74</v>
      </c>
      <c r="C82" s="28" t="str">
        <f>Roster!$Q76</f>
        <v xml:space="preserve"> 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</row>
    <row r="83" spans="1:31">
      <c r="A83" s="28">
        <f>Roster!$A77</f>
        <v>75</v>
      </c>
      <c r="B83" s="28">
        <f>Roster!$A77</f>
        <v>75</v>
      </c>
      <c r="C83" s="28" t="str">
        <f>Roster!$Q77</f>
        <v xml:space="preserve"> 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</row>
    <row r="84" spans="1:31">
      <c r="A84" s="28">
        <f>Roster!$A78</f>
        <v>76</v>
      </c>
      <c r="B84" s="28">
        <f>Roster!$A78</f>
        <v>76</v>
      </c>
      <c r="C84" s="28" t="str">
        <f>Roster!$Q78</f>
        <v xml:space="preserve"> 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</row>
    <row r="85" spans="1:31">
      <c r="A85" s="28">
        <f>Roster!$A79</f>
        <v>77</v>
      </c>
      <c r="B85" s="28">
        <f>Roster!$A79</f>
        <v>77</v>
      </c>
      <c r="C85" s="28" t="str">
        <f>Roster!$Q79</f>
        <v xml:space="preserve"> 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</row>
    <row r="86" spans="1:31">
      <c r="A86" s="28">
        <f>Roster!$A80</f>
        <v>78</v>
      </c>
      <c r="B86" s="28">
        <f>Roster!$A80</f>
        <v>78</v>
      </c>
      <c r="C86" s="28" t="str">
        <f>Roster!$Q80</f>
        <v xml:space="preserve"> 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</row>
    <row r="87" spans="1:31">
      <c r="A87" s="28">
        <f>Roster!$A81</f>
        <v>79</v>
      </c>
      <c r="B87" s="28">
        <f>Roster!$A81</f>
        <v>79</v>
      </c>
      <c r="C87" s="28" t="str">
        <f>Roster!$Q81</f>
        <v xml:space="preserve"> 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</row>
    <row r="88" spans="1:31">
      <c r="A88" s="28">
        <f>Roster!$A82</f>
        <v>80</v>
      </c>
      <c r="B88" s="28">
        <f>Roster!$A82</f>
        <v>80</v>
      </c>
      <c r="C88" s="28" t="str">
        <f>Roster!$Q82</f>
        <v xml:space="preserve"> 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</row>
    <row r="89" spans="1:31">
      <c r="A89" s="28">
        <f>Roster!$A83</f>
        <v>81</v>
      </c>
      <c r="B89" s="28">
        <f>Roster!$A83</f>
        <v>81</v>
      </c>
      <c r="C89" s="28" t="str">
        <f>Roster!$Q83</f>
        <v xml:space="preserve"> 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</row>
    <row r="90" spans="1:31">
      <c r="A90" s="28">
        <f>Roster!$A84</f>
        <v>82</v>
      </c>
      <c r="B90" s="28">
        <f>Roster!$A84</f>
        <v>82</v>
      </c>
      <c r="C90" s="28" t="str">
        <f>Roster!$Q84</f>
        <v xml:space="preserve"> 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</row>
    <row r="91" spans="1:31">
      <c r="A91" s="28">
        <f>Roster!$A85</f>
        <v>83</v>
      </c>
      <c r="B91" s="28">
        <f>Roster!$A85</f>
        <v>83</v>
      </c>
      <c r="C91" s="28" t="str">
        <f>Roster!$Q85</f>
        <v xml:space="preserve"> 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</row>
    <row r="92" spans="1:31">
      <c r="A92" s="28">
        <f>Roster!$A86</f>
        <v>84</v>
      </c>
      <c r="B92" s="28">
        <f>Roster!$A86</f>
        <v>84</v>
      </c>
      <c r="C92" s="28" t="str">
        <f>Roster!$Q86</f>
        <v xml:space="preserve"> 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</row>
    <row r="93" spans="1:31">
      <c r="A93" s="28">
        <f>Roster!$A87</f>
        <v>85</v>
      </c>
      <c r="B93" s="28">
        <f>Roster!$A87</f>
        <v>85</v>
      </c>
      <c r="C93" s="28" t="str">
        <f>Roster!$Q87</f>
        <v xml:space="preserve"> 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</row>
    <row r="94" spans="1:31">
      <c r="A94" s="28">
        <f>Roster!$A88</f>
        <v>86</v>
      </c>
      <c r="B94" s="28">
        <f>Roster!$A88</f>
        <v>86</v>
      </c>
      <c r="C94" s="28" t="str">
        <f>Roster!$Q88</f>
        <v xml:space="preserve"> 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</row>
    <row r="95" spans="1:31">
      <c r="A95" s="28">
        <f>Roster!$A89</f>
        <v>87</v>
      </c>
      <c r="B95" s="28">
        <f>Roster!$A89</f>
        <v>87</v>
      </c>
      <c r="C95" s="28" t="str">
        <f>Roster!$Q89</f>
        <v xml:space="preserve"> 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</row>
    <row r="96" spans="1:31">
      <c r="A96" s="28">
        <f>Roster!$A90</f>
        <v>88</v>
      </c>
      <c r="B96" s="28">
        <f>Roster!$A90</f>
        <v>88</v>
      </c>
      <c r="C96" s="28" t="str">
        <f>Roster!$Q90</f>
        <v xml:space="preserve"> 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</row>
    <row r="97" spans="1:31">
      <c r="A97" s="28">
        <f>Roster!$A91</f>
        <v>89</v>
      </c>
      <c r="B97" s="28">
        <f>Roster!$A91</f>
        <v>89</v>
      </c>
      <c r="C97" s="28" t="str">
        <f>Roster!$Q91</f>
        <v xml:space="preserve"> 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</row>
    <row r="98" spans="1:31">
      <c r="A98" s="28">
        <f>Roster!$A92</f>
        <v>90</v>
      </c>
      <c r="B98" s="28">
        <f>Roster!$A92</f>
        <v>90</v>
      </c>
      <c r="C98" s="28" t="str">
        <f>Roster!$Q92</f>
        <v xml:space="preserve"> 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</row>
    <row r="99" spans="1:31">
      <c r="A99" s="28">
        <f>Roster!$A93</f>
        <v>91</v>
      </c>
      <c r="B99" s="28">
        <f>Roster!$A93</f>
        <v>91</v>
      </c>
      <c r="C99" s="28" t="str">
        <f>Roster!$Q93</f>
        <v xml:space="preserve"> </v>
      </c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</row>
    <row r="100" spans="1:31">
      <c r="A100" s="28">
        <f>Roster!$A94</f>
        <v>92</v>
      </c>
      <c r="B100" s="28">
        <f>Roster!$A94</f>
        <v>92</v>
      </c>
      <c r="C100" s="28" t="str">
        <f>Roster!$Q94</f>
        <v xml:space="preserve"> 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</row>
    <row r="101" spans="1:31">
      <c r="A101" s="28">
        <f>Roster!$A95</f>
        <v>93</v>
      </c>
      <c r="B101" s="28">
        <f>Roster!$A95</f>
        <v>93</v>
      </c>
      <c r="C101" s="28" t="str">
        <f>Roster!$Q95</f>
        <v xml:space="preserve"> 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</row>
    <row r="102" spans="1:31">
      <c r="A102" s="28">
        <f>Roster!$A96</f>
        <v>94</v>
      </c>
      <c r="B102" s="28">
        <f>Roster!$A96</f>
        <v>94</v>
      </c>
      <c r="C102" s="28" t="str">
        <f>Roster!$Q96</f>
        <v xml:space="preserve"> 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</row>
    <row r="103" spans="1:31">
      <c r="A103" s="28">
        <f>Roster!$A97</f>
        <v>95</v>
      </c>
      <c r="B103" s="28">
        <f>Roster!$A97</f>
        <v>95</v>
      </c>
      <c r="C103" s="28" t="str">
        <f>Roster!$Q97</f>
        <v xml:space="preserve"> </v>
      </c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</row>
    <row r="104" spans="1:31">
      <c r="A104" s="28">
        <f>Roster!$A98</f>
        <v>96</v>
      </c>
      <c r="B104" s="28">
        <f>Roster!$A98</f>
        <v>96</v>
      </c>
      <c r="C104" s="28" t="str">
        <f>Roster!$Q98</f>
        <v xml:space="preserve"> 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</row>
    <row r="105" spans="1:31">
      <c r="A105" s="28">
        <f>Roster!$A99</f>
        <v>97</v>
      </c>
      <c r="B105" s="28">
        <f>Roster!$A99</f>
        <v>97</v>
      </c>
      <c r="C105" s="28" t="str">
        <f>Roster!$Q99</f>
        <v xml:space="preserve"> 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</row>
    <row r="106" spans="1:31">
      <c r="A106" s="28">
        <f>Roster!$A100</f>
        <v>98</v>
      </c>
      <c r="B106" s="28">
        <f>Roster!$A100</f>
        <v>98</v>
      </c>
      <c r="C106" s="28" t="str">
        <f>Roster!$Q100</f>
        <v xml:space="preserve"> 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</row>
    <row r="107" spans="1:31">
      <c r="A107" s="28">
        <f>Roster!$A101</f>
        <v>99</v>
      </c>
      <c r="B107" s="28">
        <f>Roster!$A101</f>
        <v>99</v>
      </c>
      <c r="C107" s="28" t="str">
        <f>Roster!$Q101</f>
        <v xml:space="preserve"> </v>
      </c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</row>
    <row r="108" spans="1:31">
      <c r="A108" s="28">
        <f>Roster!$A102</f>
        <v>99</v>
      </c>
      <c r="B108" s="28">
        <f>Roster!$A102</f>
        <v>99</v>
      </c>
      <c r="C108" s="28" t="str">
        <f>Roster!$Q102</f>
        <v xml:space="preserve"> </v>
      </c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</row>
    <row r="109" spans="1:31">
      <c r="A109" s="28">
        <f>Roster!$A103</f>
        <v>0</v>
      </c>
      <c r="B109" s="28">
        <f>Roster!$A103</f>
        <v>0</v>
      </c>
      <c r="C109" s="28" t="str">
        <f>Roster!$Q103</f>
        <v xml:space="preserve"> </v>
      </c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</row>
    <row r="110" spans="1:31">
      <c r="A110" s="28">
        <f>Roster!$A104</f>
        <v>-1</v>
      </c>
      <c r="B110" s="28">
        <f>Roster!$A104</f>
        <v>-1</v>
      </c>
      <c r="C110" s="28" t="str">
        <f>Roster!$Q104</f>
        <v xml:space="preserve"> 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</row>
    <row r="111" spans="1:31">
      <c r="A111" s="28">
        <f>Roster!$A105</f>
        <v>-1</v>
      </c>
      <c r="B111" s="28">
        <f>Roster!$A105</f>
        <v>-1</v>
      </c>
      <c r="C111" s="28" t="str">
        <f>Roster!$Q105</f>
        <v xml:space="preserve"> 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</row>
    <row r="112" spans="1:31">
      <c r="A112" s="28">
        <f>Roster!$A106</f>
        <v>-1</v>
      </c>
      <c r="B112" s="28">
        <f>Roster!$A106</f>
        <v>-1</v>
      </c>
      <c r="C112" s="28" t="str">
        <f>Roster!$Q106</f>
        <v xml:space="preserve"> 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</row>
    <row r="113" spans="1:31">
      <c r="A113" s="28">
        <f>Roster!$A107</f>
        <v>-1</v>
      </c>
      <c r="B113" s="28">
        <f>Roster!$A107</f>
        <v>-1</v>
      </c>
      <c r="C113" s="28" t="str">
        <f>Roster!$Q107</f>
        <v xml:space="preserve"> 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 spans="1:31">
      <c r="A114" s="28">
        <f>Roster!$A108</f>
        <v>-1</v>
      </c>
      <c r="B114" s="28">
        <f>Roster!$A108</f>
        <v>-1</v>
      </c>
      <c r="C114" s="28" t="str">
        <f>Roster!$Q108</f>
        <v xml:space="preserve"> 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</row>
    <row r="115" spans="1:31">
      <c r="A115" s="28">
        <f>Roster!$A109</f>
        <v>-1</v>
      </c>
      <c r="B115" s="28">
        <f>Roster!$A109</f>
        <v>-1</v>
      </c>
      <c r="C115" s="28" t="str">
        <f>Roster!$Q109</f>
        <v xml:space="preserve"> </v>
      </c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</row>
    <row r="116" spans="1:31">
      <c r="A116" s="28">
        <f>Roster!$A110</f>
        <v>-1</v>
      </c>
      <c r="B116" s="28">
        <f>Roster!$A110</f>
        <v>-1</v>
      </c>
      <c r="C116" s="28" t="str">
        <f>Roster!$Q110</f>
        <v xml:space="preserve"> </v>
      </c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</row>
    <row r="117" spans="1:31">
      <c r="A117" s="28">
        <f>Roster!$A111</f>
        <v>-1</v>
      </c>
      <c r="B117" s="28">
        <f>Roster!$A111</f>
        <v>-1</v>
      </c>
      <c r="C117" s="28" t="str">
        <f>Roster!$Q111</f>
        <v xml:space="preserve"> </v>
      </c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</row>
    <row r="118" spans="1:31">
      <c r="A118" s="28">
        <f>Roster!$A112</f>
        <v>-1</v>
      </c>
      <c r="B118" s="28">
        <f>Roster!$A112</f>
        <v>-1</v>
      </c>
      <c r="C118" s="28" t="str">
        <f>Roster!$Q112</f>
        <v xml:space="preserve"> </v>
      </c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</row>
    <row r="119" spans="1:31">
      <c r="A119" s="28">
        <f>Roster!$A113</f>
        <v>-1</v>
      </c>
      <c r="B119" s="28">
        <f>Roster!$A113</f>
        <v>-1</v>
      </c>
      <c r="C119" s="28" t="str">
        <f>Roster!$Q113</f>
        <v xml:space="preserve"> </v>
      </c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</row>
    <row r="120" spans="1:31">
      <c r="A120" s="28">
        <f>Roster!$A114</f>
        <v>-1</v>
      </c>
      <c r="B120" s="28">
        <f>Roster!$A114</f>
        <v>-1</v>
      </c>
      <c r="C120" s="28" t="str">
        <f>Roster!$Q114</f>
        <v xml:space="preserve"> </v>
      </c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</row>
    <row r="121" spans="1:31">
      <c r="A121" s="28">
        <f>Roster!$A115</f>
        <v>-1</v>
      </c>
      <c r="B121" s="28">
        <f>Roster!$A115</f>
        <v>-1</v>
      </c>
      <c r="C121" s="28" t="str">
        <f>Roster!$Q115</f>
        <v xml:space="preserve"> </v>
      </c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</row>
    <row r="122" spans="1:31">
      <c r="A122" s="28">
        <f>Roster!$A116</f>
        <v>0</v>
      </c>
      <c r="B122" s="28">
        <f>Roster!$A116</f>
        <v>0</v>
      </c>
      <c r="C122" s="28" t="str">
        <f>Roster!$Q116</f>
        <v xml:space="preserve"> </v>
      </c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</row>
    <row r="123" spans="1:31">
      <c r="A123" s="28">
        <f>Roster!$A117</f>
        <v>0</v>
      </c>
      <c r="B123" s="28">
        <f>Roster!$A117</f>
        <v>0</v>
      </c>
      <c r="C123" s="28" t="str">
        <f>Roster!$Q117</f>
        <v xml:space="preserve"> </v>
      </c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</row>
    <row r="124" spans="1:31">
      <c r="A124" s="28">
        <f>Roster!$A118</f>
        <v>0</v>
      </c>
      <c r="B124" s="28">
        <f>Roster!$A118</f>
        <v>0</v>
      </c>
      <c r="C124" s="28" t="str">
        <f>Roster!$Q118</f>
        <v xml:space="preserve"> </v>
      </c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</row>
    <row r="125" spans="1:31">
      <c r="A125" s="28">
        <f>Roster!$A119</f>
        <v>0</v>
      </c>
      <c r="B125" s="28">
        <f>Roster!$A119</f>
        <v>0</v>
      </c>
      <c r="C125" s="28" t="str">
        <f>Roster!$Q119</f>
        <v xml:space="preserve"> </v>
      </c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</row>
    <row r="126" spans="1:31">
      <c r="A126" s="28">
        <f>Roster!$A120</f>
        <v>0</v>
      </c>
      <c r="B126" s="28">
        <f>Roster!$A120</f>
        <v>0</v>
      </c>
      <c r="C126" s="28" t="str">
        <f>Roster!$Q120</f>
        <v xml:space="preserve"> 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</row>
    <row r="127" spans="1:31">
      <c r="A127" s="28">
        <f>Roster!$A121</f>
        <v>0</v>
      </c>
      <c r="B127" s="28">
        <f>Roster!$A121</f>
        <v>0</v>
      </c>
      <c r="C127" s="28" t="str">
        <f>Roster!$Q121</f>
        <v xml:space="preserve"> 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</row>
    <row r="128" spans="1:31">
      <c r="A128" s="28">
        <f>Roster!$A122</f>
        <v>0</v>
      </c>
      <c r="B128" s="28">
        <f>Roster!$A122</f>
        <v>0</v>
      </c>
      <c r="C128" s="28" t="str">
        <f>Roster!$Q122</f>
        <v xml:space="preserve"> 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</row>
    <row r="129" spans="1:31">
      <c r="A129" s="28">
        <f>Roster!$A123</f>
        <v>0</v>
      </c>
      <c r="B129" s="28">
        <f>Roster!$A123</f>
        <v>0</v>
      </c>
      <c r="C129" s="28" t="str">
        <f>Roster!$Q123</f>
        <v xml:space="preserve"> </v>
      </c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</row>
    <row r="130" spans="1:31">
      <c r="A130" s="28">
        <f>Roster!$A124</f>
        <v>0</v>
      </c>
      <c r="B130" s="28">
        <f>Roster!$A124</f>
        <v>0</v>
      </c>
      <c r="C130" s="28" t="str">
        <f>Roster!$Q124</f>
        <v xml:space="preserve"> </v>
      </c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</row>
    <row r="131" spans="1:31">
      <c r="A131" s="28">
        <f>Roster!$A125</f>
        <v>0</v>
      </c>
      <c r="B131" s="28">
        <f>Roster!$A125</f>
        <v>0</v>
      </c>
      <c r="C131" s="28" t="str">
        <f>Roster!$Q125</f>
        <v xml:space="preserve"> </v>
      </c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</row>
    <row r="132" spans="1:31">
      <c r="A132" s="28">
        <f>Roster!$A126</f>
        <v>0</v>
      </c>
      <c r="B132" s="28">
        <f>Roster!$A126</f>
        <v>0</v>
      </c>
      <c r="C132" s="28" t="str">
        <f>Roster!$Q126</f>
        <v xml:space="preserve"> </v>
      </c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</row>
    <row r="133" spans="1:31">
      <c r="A133" s="28">
        <f>Roster!$A127</f>
        <v>0</v>
      </c>
      <c r="B133" s="28">
        <f>Roster!$A127</f>
        <v>0</v>
      </c>
      <c r="C133" s="28" t="str">
        <f>Roster!$Q127</f>
        <v xml:space="preserve"> </v>
      </c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</row>
    <row r="134" spans="1:31">
      <c r="A134" s="28">
        <f>Roster!$A128</f>
        <v>0</v>
      </c>
      <c r="B134" s="28">
        <f>Roster!$A128</f>
        <v>0</v>
      </c>
      <c r="C134" s="28" t="str">
        <f>Roster!$Q128</f>
        <v xml:space="preserve"> </v>
      </c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</row>
    <row r="135" spans="1:31">
      <c r="A135" s="28">
        <f>Roster!$A129</f>
        <v>0</v>
      </c>
      <c r="B135" s="28">
        <f>Roster!$A129</f>
        <v>0</v>
      </c>
      <c r="C135" s="28" t="str">
        <f>Roster!$Q129</f>
        <v xml:space="preserve"> </v>
      </c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</row>
    <row r="136" spans="1:31">
      <c r="A136" s="28">
        <f>Roster!$A130</f>
        <v>0</v>
      </c>
      <c r="B136" s="28">
        <f>Roster!$A130</f>
        <v>0</v>
      </c>
      <c r="C136" s="28" t="str">
        <f>Roster!$Q130</f>
        <v xml:space="preserve"> </v>
      </c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</row>
    <row r="137" spans="1:31">
      <c r="A137" s="28">
        <f>Roster!$A131</f>
        <v>0</v>
      </c>
      <c r="B137" s="28">
        <f>Roster!$A131</f>
        <v>0</v>
      </c>
      <c r="C137" s="28" t="str">
        <f>Roster!$Q131</f>
        <v xml:space="preserve"> </v>
      </c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</row>
    <row r="138" spans="1:31">
      <c r="A138" s="28">
        <f>Roster!$A132</f>
        <v>0</v>
      </c>
      <c r="B138" s="28">
        <f>Roster!$A132</f>
        <v>0</v>
      </c>
      <c r="C138" s="28" t="str">
        <f>Roster!$Q132</f>
        <v xml:space="preserve"> </v>
      </c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</row>
    <row r="139" spans="1:31">
      <c r="A139" s="28">
        <f>Roster!$A133</f>
        <v>0</v>
      </c>
      <c r="B139" s="28">
        <f>Roster!$A133</f>
        <v>0</v>
      </c>
      <c r="C139" s="28" t="str">
        <f>Roster!$Q133</f>
        <v xml:space="preserve"> </v>
      </c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</row>
    <row r="140" spans="1:31">
      <c r="A140" s="28">
        <f>Roster!$A134</f>
        <v>0</v>
      </c>
      <c r="B140" s="28">
        <f>Roster!$A134</f>
        <v>0</v>
      </c>
      <c r="C140" s="28" t="str">
        <f>Roster!$Q134</f>
        <v xml:space="preserve"> </v>
      </c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</row>
    <row r="141" spans="1:31">
      <c r="A141" s="28">
        <f>Roster!$A135</f>
        <v>0</v>
      </c>
      <c r="B141" s="28">
        <f>Roster!$A135</f>
        <v>0</v>
      </c>
      <c r="C141" s="28" t="str">
        <f>Roster!$Q135</f>
        <v xml:space="preserve"> </v>
      </c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</row>
    <row r="142" spans="1:31">
      <c r="A142" s="28">
        <f>Roster!$A136</f>
        <v>0</v>
      </c>
      <c r="B142" s="28">
        <f>Roster!$A136</f>
        <v>0</v>
      </c>
      <c r="C142" s="28" t="str">
        <f>Roster!$Q136</f>
        <v xml:space="preserve"> </v>
      </c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</row>
    <row r="143" spans="1:31">
      <c r="A143" s="28">
        <f>Roster!$A137</f>
        <v>0</v>
      </c>
      <c r="B143" s="28">
        <f>Roster!$A137</f>
        <v>0</v>
      </c>
      <c r="C143" s="28" t="str">
        <f>Roster!$Q137</f>
        <v xml:space="preserve"> </v>
      </c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</row>
    <row r="144" spans="1:31">
      <c r="A144" s="28">
        <f>Roster!$A138</f>
        <v>0</v>
      </c>
      <c r="B144" s="28">
        <f>Roster!$A138</f>
        <v>0</v>
      </c>
      <c r="C144" s="28" t="str">
        <f>Roster!$Q138</f>
        <v xml:space="preserve"> </v>
      </c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</row>
    <row r="145" spans="1:31">
      <c r="A145" s="28">
        <f>Roster!$A139</f>
        <v>0</v>
      </c>
      <c r="B145" s="28">
        <f>Roster!$A139</f>
        <v>0</v>
      </c>
      <c r="C145" s="28" t="str">
        <f>Roster!$Q139</f>
        <v xml:space="preserve"> </v>
      </c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</row>
    <row r="146" spans="1:31">
      <c r="A146" s="28">
        <f>Roster!$A140</f>
        <v>0</v>
      </c>
      <c r="B146" s="28">
        <f>Roster!$A140</f>
        <v>0</v>
      </c>
      <c r="C146" s="28" t="str">
        <f>Roster!$Q140</f>
        <v xml:space="preserve"> </v>
      </c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</row>
    <row r="147" spans="1:31">
      <c r="A147" s="28">
        <f>Roster!$A141</f>
        <v>0</v>
      </c>
      <c r="B147" s="28">
        <f>Roster!$A141</f>
        <v>0</v>
      </c>
      <c r="C147" s="28" t="str">
        <f>Roster!$Q141</f>
        <v xml:space="preserve"> </v>
      </c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</row>
    <row r="148" spans="1:31">
      <c r="A148" s="28">
        <f>Roster!$A142</f>
        <v>0</v>
      </c>
      <c r="B148" s="28">
        <f>Roster!$A142</f>
        <v>0</v>
      </c>
      <c r="C148" s="28" t="str">
        <f>Roster!$Q142</f>
        <v xml:space="preserve"> 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</row>
    <row r="149" spans="1:31">
      <c r="A149" s="28">
        <f>Roster!$A143</f>
        <v>0</v>
      </c>
      <c r="B149" s="28">
        <f>Roster!$A143</f>
        <v>0</v>
      </c>
      <c r="C149" s="28" t="str">
        <f>Roster!$Q143</f>
        <v xml:space="preserve"> </v>
      </c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</row>
    <row r="150" spans="1:31">
      <c r="A150" s="28">
        <f>Roster!$A144</f>
        <v>0</v>
      </c>
      <c r="B150" s="28">
        <f>Roster!$A144</f>
        <v>0</v>
      </c>
      <c r="C150" s="28" t="str">
        <f>Roster!$Q144</f>
        <v xml:space="preserve"> </v>
      </c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</row>
    <row r="151" spans="1:31">
      <c r="A151" s="28">
        <f>Roster!$A145</f>
        <v>0</v>
      </c>
      <c r="B151" s="28">
        <f>Roster!$A145</f>
        <v>0</v>
      </c>
      <c r="C151" s="28" t="str">
        <f>Roster!$Q145</f>
        <v xml:space="preserve"> </v>
      </c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</row>
    <row r="152" spans="1:31">
      <c r="A152" s="28">
        <f>Roster!$A146</f>
        <v>0</v>
      </c>
      <c r="B152" s="28">
        <f>Roster!$A146</f>
        <v>0</v>
      </c>
      <c r="C152" s="28" t="str">
        <f>Roster!$Q146</f>
        <v xml:space="preserve"> </v>
      </c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</row>
    <row r="153" spans="1:31">
      <c r="A153" s="28">
        <f>Roster!$A147</f>
        <v>0</v>
      </c>
      <c r="B153" s="28">
        <f>Roster!$A147</f>
        <v>0</v>
      </c>
      <c r="C153" s="28" t="str">
        <f>Roster!$Q147</f>
        <v xml:space="preserve"> </v>
      </c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</row>
    <row r="154" spans="1:31">
      <c r="A154" s="28">
        <f>Roster!$A148</f>
        <v>0</v>
      </c>
      <c r="B154" s="28">
        <f>Roster!$A148</f>
        <v>0</v>
      </c>
      <c r="C154" s="28" t="str">
        <f>Roster!$Q148</f>
        <v xml:space="preserve"> </v>
      </c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</row>
    <row r="155" spans="1:31">
      <c r="A155" s="28">
        <f>Roster!$A149</f>
        <v>0</v>
      </c>
      <c r="B155" s="28">
        <f>Roster!$A149</f>
        <v>0</v>
      </c>
      <c r="C155" s="28" t="str">
        <f>Roster!$Q149</f>
        <v xml:space="preserve"> </v>
      </c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</row>
    <row r="156" spans="1:31">
      <c r="A156" s="28">
        <f>Roster!$A150</f>
        <v>0</v>
      </c>
      <c r="B156" s="28">
        <f>Roster!$A150</f>
        <v>0</v>
      </c>
      <c r="C156" s="28" t="str">
        <f>Roster!$Q150</f>
        <v xml:space="preserve"> </v>
      </c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</row>
  </sheetData>
  <mergeCells count="2">
    <mergeCell ref="O1:Q2"/>
    <mergeCell ref="O3:Q5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zoomScale="110" zoomScaleNormal="110" workbookViewId="0">
      <selection activeCell="B5" sqref="B5"/>
    </sheetView>
  </sheetViews>
  <sheetFormatPr defaultColWidth="8.85546875" defaultRowHeight="13.9"/>
  <cols>
    <col min="1" max="1" width="30.7109375" style="7" customWidth="1"/>
    <col min="2" max="2" width="20.7109375" style="7" customWidth="1"/>
    <col min="3" max="3" width="24.28515625" style="7" customWidth="1"/>
    <col min="4" max="4" width="5.7109375" style="7" customWidth="1"/>
    <col min="5" max="6" width="20.7109375" style="7" customWidth="1"/>
    <col min="7" max="7" width="30.7109375" style="7" customWidth="1"/>
    <col min="8" max="8" width="8.42578125" style="7" customWidth="1"/>
    <col min="9" max="10" width="20.7109375" style="7" hidden="1" customWidth="1"/>
    <col min="11" max="11" width="30.7109375" style="7" hidden="1" customWidth="1"/>
    <col min="12" max="1025" width="8.42578125" style="7" customWidth="1"/>
    <col min="1026" max="16384" width="8.85546875" style="7"/>
  </cols>
  <sheetData>
    <row r="1" spans="1:11">
      <c r="A1" s="51" t="s">
        <v>213</v>
      </c>
      <c r="B1" s="51" t="s">
        <v>214</v>
      </c>
      <c r="C1" s="51" t="s">
        <v>215</v>
      </c>
      <c r="D1" s="20"/>
      <c r="E1" s="19" t="s">
        <v>216</v>
      </c>
      <c r="F1" s="19" t="s">
        <v>217</v>
      </c>
      <c r="G1" s="19" t="s">
        <v>218</v>
      </c>
      <c r="I1" s="19" t="s">
        <v>216</v>
      </c>
      <c r="J1" s="19" t="s">
        <v>217</v>
      </c>
      <c r="K1" s="19" t="s">
        <v>218</v>
      </c>
    </row>
    <row r="2" spans="1:11" ht="19.899999999999999" customHeight="1">
      <c r="A2" s="22" t="s">
        <v>219</v>
      </c>
      <c r="B2" s="42" t="s">
        <v>220</v>
      </c>
      <c r="C2" s="43" t="s">
        <v>221</v>
      </c>
      <c r="D2" s="17"/>
      <c r="E2" s="21" t="str">
        <f>B2&amp;" PPG"</f>
        <v>34.6 PPG</v>
      </c>
      <c r="F2" s="21" t="str">
        <f>"("&amp;C2&amp;")"</f>
        <v>(T-26th in FBS)</v>
      </c>
      <c r="G2" s="21" t="str">
        <f>E2&amp;" "&amp;F2</f>
        <v>34.6 PPG (T-26th in FBS)</v>
      </c>
      <c r="I2" s="21" t="str">
        <f t="shared" ref="I2:I34" si="0">UPPER(E2)</f>
        <v>34.6 PPG</v>
      </c>
      <c r="J2" s="21" t="str">
        <f t="shared" ref="J2:J34" si="1">UPPER(F2)</f>
        <v>(T-26TH IN FBS)</v>
      </c>
      <c r="K2" s="21" t="str">
        <f t="shared" ref="K2:K34" si="2">UPPER(G2)</f>
        <v>34.6 PPG (T-26TH IN FBS)</v>
      </c>
    </row>
    <row r="3" spans="1:11" ht="19.899999999999999" customHeight="1">
      <c r="A3" s="23" t="s">
        <v>222</v>
      </c>
      <c r="B3" s="42" t="s">
        <v>223</v>
      </c>
      <c r="C3" s="43" t="s">
        <v>224</v>
      </c>
      <c r="D3" s="17"/>
      <c r="E3" s="21" t="str">
        <f>B3&amp;" YPG"</f>
        <v>345.7 YPG</v>
      </c>
      <c r="F3" s="21" t="str">
        <f t="shared" ref="F3:F34" si="3">"("&amp;C3&amp;")"</f>
        <v>(6th in SEC)</v>
      </c>
      <c r="G3" s="21" t="str">
        <f t="shared" ref="G3:G34" si="4">E3&amp;" "&amp;F3</f>
        <v>345.7 YPG (6th in SEC)</v>
      </c>
      <c r="I3" s="21" t="str">
        <f t="shared" si="0"/>
        <v>345.7 YPG</v>
      </c>
      <c r="J3" s="21" t="str">
        <f t="shared" si="1"/>
        <v>(6TH IN SEC)</v>
      </c>
      <c r="K3" s="21" t="str">
        <f t="shared" si="2"/>
        <v>345.7 YPG (6TH IN SEC)</v>
      </c>
    </row>
    <row r="4" spans="1:11" ht="19.899999999999999" customHeight="1">
      <c r="A4" s="23" t="s">
        <v>225</v>
      </c>
      <c r="B4" s="42"/>
      <c r="C4" s="43"/>
      <c r="D4" s="17"/>
      <c r="E4" s="21" t="s">
        <v>226</v>
      </c>
      <c r="F4" s="21" t="str">
        <f t="shared" si="3"/>
        <v>()</v>
      </c>
      <c r="G4" s="21" t="str">
        <f t="shared" si="4"/>
        <v>YPG ()</v>
      </c>
      <c r="I4" s="21" t="str">
        <f t="shared" si="0"/>
        <v>YPG</v>
      </c>
      <c r="J4" s="21" t="str">
        <f t="shared" si="1"/>
        <v>()</v>
      </c>
      <c r="K4" s="21" t="str">
        <f t="shared" si="2"/>
        <v>YPG ()</v>
      </c>
    </row>
    <row r="5" spans="1:11" ht="19.899999999999999" customHeight="1">
      <c r="A5" s="23" t="s">
        <v>227</v>
      </c>
      <c r="B5" s="42"/>
      <c r="C5" s="43"/>
      <c r="D5" s="17"/>
      <c r="E5" s="21" t="s">
        <v>226</v>
      </c>
      <c r="F5" s="21" t="str">
        <f t="shared" si="3"/>
        <v>()</v>
      </c>
      <c r="G5" s="21" t="str">
        <f t="shared" si="4"/>
        <v>YPG ()</v>
      </c>
      <c r="I5" s="21" t="str">
        <f t="shared" si="0"/>
        <v>YPG</v>
      </c>
      <c r="J5" s="21" t="str">
        <f t="shared" si="1"/>
        <v>()</v>
      </c>
      <c r="K5" s="21" t="str">
        <f t="shared" si="2"/>
        <v>YPG ()</v>
      </c>
    </row>
    <row r="6" spans="1:11" ht="19.899999999999999" customHeight="1">
      <c r="A6" s="23" t="s">
        <v>228</v>
      </c>
      <c r="B6" s="42"/>
      <c r="C6" s="43"/>
      <c r="D6" s="17"/>
      <c r="E6" s="21">
        <f>B6</f>
        <v>0</v>
      </c>
      <c r="F6" s="21" t="str">
        <f t="shared" si="3"/>
        <v>()</v>
      </c>
      <c r="G6" s="21" t="str">
        <f t="shared" si="4"/>
        <v>0 ()</v>
      </c>
      <c r="I6" s="21" t="str">
        <f t="shared" si="0"/>
        <v>0</v>
      </c>
      <c r="J6" s="21" t="str">
        <f t="shared" si="1"/>
        <v>()</v>
      </c>
      <c r="K6" s="21" t="str">
        <f t="shared" si="2"/>
        <v>0 ()</v>
      </c>
    </row>
    <row r="7" spans="1:11" ht="19.899999999999999" customHeight="1">
      <c r="A7" s="23" t="s">
        <v>229</v>
      </c>
      <c r="B7" s="42"/>
      <c r="C7" s="43"/>
      <c r="D7" s="18"/>
      <c r="E7" s="21" t="str">
        <f>B7&amp;" poss"</f>
        <v xml:space="preserve"> poss</v>
      </c>
      <c r="F7" s="21" t="str">
        <f t="shared" si="3"/>
        <v>()</v>
      </c>
      <c r="G7" s="21" t="str">
        <f t="shared" si="4"/>
        <v xml:space="preserve"> poss ()</v>
      </c>
      <c r="I7" s="21" t="str">
        <f t="shared" si="0"/>
        <v xml:space="preserve"> POSS</v>
      </c>
      <c r="J7" s="21" t="str">
        <f t="shared" si="1"/>
        <v>()</v>
      </c>
      <c r="K7" s="21" t="str">
        <f t="shared" si="2"/>
        <v xml:space="preserve"> POSS ()</v>
      </c>
    </row>
    <row r="8" spans="1:11" ht="19.899999999999999" customHeight="1">
      <c r="A8" s="23" t="s">
        <v>230</v>
      </c>
      <c r="B8" s="42"/>
      <c r="C8" s="43"/>
      <c r="D8" s="17"/>
      <c r="E8" s="21" t="str">
        <f>B8&amp;" FG"</f>
        <v xml:space="preserve"> FG</v>
      </c>
      <c r="F8" s="21" t="str">
        <f t="shared" si="3"/>
        <v>()</v>
      </c>
      <c r="G8" s="21" t="str">
        <f t="shared" si="4"/>
        <v xml:space="preserve"> FG ()</v>
      </c>
      <c r="I8" s="21" t="str">
        <f t="shared" si="0"/>
        <v xml:space="preserve"> FG</v>
      </c>
      <c r="J8" s="21" t="str">
        <f t="shared" si="1"/>
        <v>()</v>
      </c>
      <c r="K8" s="21" t="str">
        <f t="shared" si="2"/>
        <v xml:space="preserve"> FG ()</v>
      </c>
    </row>
    <row r="9" spans="1:11" ht="19.899999999999999" customHeight="1">
      <c r="A9" s="23" t="s">
        <v>231</v>
      </c>
      <c r="B9" s="42"/>
      <c r="C9" s="43"/>
      <c r="D9" s="18"/>
      <c r="E9" s="21" t="str">
        <f>B9&amp;" TD"</f>
        <v xml:space="preserve"> TD</v>
      </c>
      <c r="F9" s="21" t="str">
        <f t="shared" si="3"/>
        <v>()</v>
      </c>
      <c r="G9" s="21" t="str">
        <f t="shared" si="4"/>
        <v xml:space="preserve"> TD ()</v>
      </c>
      <c r="I9" s="21" t="str">
        <f t="shared" si="0"/>
        <v xml:space="preserve"> TD</v>
      </c>
      <c r="J9" s="21" t="str">
        <f t="shared" si="1"/>
        <v>()</v>
      </c>
      <c r="K9" s="21" t="str">
        <f t="shared" si="2"/>
        <v xml:space="preserve"> TD ()</v>
      </c>
    </row>
    <row r="10" spans="1:11" ht="19.899999999999999" customHeight="1">
      <c r="A10" s="23" t="s">
        <v>232</v>
      </c>
      <c r="B10" s="42"/>
      <c r="C10" s="43"/>
      <c r="D10" s="17"/>
      <c r="E10" s="21">
        <f>B10</f>
        <v>0</v>
      </c>
      <c r="F10" s="21" t="str">
        <f t="shared" si="3"/>
        <v>()</v>
      </c>
      <c r="G10" s="21" t="str">
        <f t="shared" si="4"/>
        <v>0 ()</v>
      </c>
      <c r="I10" s="21" t="str">
        <f t="shared" si="0"/>
        <v>0</v>
      </c>
      <c r="J10" s="21" t="str">
        <f t="shared" si="1"/>
        <v>()</v>
      </c>
      <c r="K10" s="21" t="str">
        <f t="shared" si="2"/>
        <v>0 ()</v>
      </c>
    </row>
    <row r="11" spans="1:11" ht="19.899999999999999" customHeight="1">
      <c r="A11" s="23" t="s">
        <v>233</v>
      </c>
      <c r="B11" s="42"/>
      <c r="C11" s="43"/>
      <c r="D11" s="17"/>
      <c r="E11" s="21">
        <f>B11</f>
        <v>0</v>
      </c>
      <c r="F11" s="21" t="str">
        <f t="shared" si="3"/>
        <v>()</v>
      </c>
      <c r="G11" s="21" t="str">
        <f t="shared" si="4"/>
        <v>0 ()</v>
      </c>
      <c r="I11" s="21" t="str">
        <f t="shared" si="0"/>
        <v>0</v>
      </c>
      <c r="J11" s="21" t="str">
        <f t="shared" si="1"/>
        <v>()</v>
      </c>
      <c r="K11" s="21" t="str">
        <f t="shared" si="2"/>
        <v>0 ()</v>
      </c>
    </row>
    <row r="12" spans="1:11" ht="19.899999999999999" customHeight="1">
      <c r="A12" s="23" t="s">
        <v>234</v>
      </c>
      <c r="B12" s="42"/>
      <c r="C12" s="43"/>
      <c r="D12" s="17"/>
      <c r="E12" s="21">
        <f>B12</f>
        <v>0</v>
      </c>
      <c r="F12" s="21" t="str">
        <f t="shared" si="3"/>
        <v>()</v>
      </c>
      <c r="G12" s="21" t="str">
        <f t="shared" si="4"/>
        <v>0 ()</v>
      </c>
      <c r="I12" s="21" t="str">
        <f t="shared" si="0"/>
        <v>0</v>
      </c>
      <c r="J12" s="21" t="str">
        <f t="shared" si="1"/>
        <v>()</v>
      </c>
      <c r="K12" s="21" t="str">
        <f t="shared" si="2"/>
        <v>0 ()</v>
      </c>
    </row>
    <row r="13" spans="1:11" ht="19.899999999999999" customHeight="1">
      <c r="A13" s="23" t="s">
        <v>235</v>
      </c>
      <c r="B13" s="42"/>
      <c r="C13" s="43"/>
      <c r="D13" s="17"/>
      <c r="E13" s="21">
        <f>B13</f>
        <v>0</v>
      </c>
      <c r="F13" s="21" t="str">
        <f t="shared" si="3"/>
        <v>()</v>
      </c>
      <c r="G13" s="21" t="str">
        <f t="shared" si="4"/>
        <v>0 ()</v>
      </c>
      <c r="I13" s="21" t="str">
        <f t="shared" si="0"/>
        <v>0</v>
      </c>
      <c r="J13" s="21" t="str">
        <f t="shared" si="1"/>
        <v>()</v>
      </c>
      <c r="K13" s="21" t="str">
        <f t="shared" si="2"/>
        <v>0 ()</v>
      </c>
    </row>
    <row r="14" spans="1:11" ht="19.899999999999999" customHeight="1">
      <c r="A14" s="23" t="s">
        <v>236</v>
      </c>
      <c r="B14" s="42"/>
      <c r="C14" s="43"/>
      <c r="D14" s="17"/>
      <c r="E14" s="21">
        <f>B14</f>
        <v>0</v>
      </c>
      <c r="F14" s="21" t="str">
        <f t="shared" si="3"/>
        <v>()</v>
      </c>
      <c r="G14" s="21" t="str">
        <f t="shared" si="4"/>
        <v>0 ()</v>
      </c>
      <c r="I14" s="21" t="str">
        <f t="shared" si="0"/>
        <v>0</v>
      </c>
      <c r="J14" s="21" t="str">
        <f t="shared" si="1"/>
        <v>()</v>
      </c>
      <c r="K14" s="21" t="str">
        <f t="shared" si="2"/>
        <v>0 ()</v>
      </c>
    </row>
    <row r="15" spans="1:11" ht="19.899999999999999" customHeight="1">
      <c r="A15" s="23" t="s">
        <v>237</v>
      </c>
      <c r="B15" s="42"/>
      <c r="C15" s="43"/>
      <c r="D15" s="17"/>
      <c r="E15" s="21" t="s">
        <v>226</v>
      </c>
      <c r="F15" s="21" t="str">
        <f t="shared" si="3"/>
        <v>()</v>
      </c>
      <c r="G15" s="21" t="str">
        <f t="shared" si="4"/>
        <v>YPG ()</v>
      </c>
      <c r="I15" s="21" t="str">
        <f t="shared" si="0"/>
        <v>YPG</v>
      </c>
      <c r="J15" s="21" t="str">
        <f t="shared" si="1"/>
        <v>()</v>
      </c>
      <c r="K15" s="21" t="str">
        <f t="shared" si="2"/>
        <v>YPG ()</v>
      </c>
    </row>
    <row r="16" spans="1:11" ht="19.899999999999999" customHeight="1">
      <c r="A16" s="23" t="s">
        <v>238</v>
      </c>
      <c r="B16" s="42"/>
      <c r="C16" s="43"/>
      <c r="D16" s="17"/>
      <c r="E16" s="21">
        <f t="shared" ref="E16:E23" si="5">B16</f>
        <v>0</v>
      </c>
      <c r="F16" s="21" t="str">
        <f t="shared" si="3"/>
        <v>()</v>
      </c>
      <c r="G16" s="21" t="str">
        <f t="shared" si="4"/>
        <v>0 ()</v>
      </c>
      <c r="I16" s="21" t="str">
        <f t="shared" si="0"/>
        <v>0</v>
      </c>
      <c r="J16" s="21" t="str">
        <f t="shared" si="1"/>
        <v>()</v>
      </c>
      <c r="K16" s="21" t="str">
        <f t="shared" si="2"/>
        <v>0 ()</v>
      </c>
    </row>
    <row r="17" spans="1:11" ht="19.899999999999999" customHeight="1">
      <c r="A17" s="23" t="s">
        <v>239</v>
      </c>
      <c r="B17" s="42"/>
      <c r="C17" s="43"/>
      <c r="D17" s="18"/>
      <c r="E17" s="21">
        <f t="shared" si="5"/>
        <v>0</v>
      </c>
      <c r="F17" s="21" t="str">
        <f t="shared" si="3"/>
        <v>()</v>
      </c>
      <c r="G17" s="21" t="str">
        <f t="shared" si="4"/>
        <v>0 ()</v>
      </c>
      <c r="I17" s="21" t="str">
        <f t="shared" si="0"/>
        <v>0</v>
      </c>
      <c r="J17" s="21" t="str">
        <f t="shared" si="1"/>
        <v>()</v>
      </c>
      <c r="K17" s="21" t="str">
        <f t="shared" si="2"/>
        <v>0 ()</v>
      </c>
    </row>
    <row r="18" spans="1:11" ht="19.899999999999999" customHeight="1">
      <c r="A18" s="23" t="s">
        <v>240</v>
      </c>
      <c r="B18" s="42"/>
      <c r="C18" s="43"/>
      <c r="D18" s="17"/>
      <c r="E18" s="21">
        <f t="shared" si="5"/>
        <v>0</v>
      </c>
      <c r="F18" s="21" t="str">
        <f t="shared" si="3"/>
        <v>()</v>
      </c>
      <c r="G18" s="21" t="str">
        <f t="shared" si="4"/>
        <v>0 ()</v>
      </c>
      <c r="I18" s="21" t="str">
        <f t="shared" si="0"/>
        <v>0</v>
      </c>
      <c r="J18" s="21" t="str">
        <f t="shared" si="1"/>
        <v>()</v>
      </c>
      <c r="K18" s="21" t="str">
        <f t="shared" si="2"/>
        <v>0 ()</v>
      </c>
    </row>
    <row r="19" spans="1:11" ht="19.899999999999999" customHeight="1">
      <c r="A19" s="23" t="s">
        <v>241</v>
      </c>
      <c r="B19" s="42"/>
      <c r="C19" s="43"/>
      <c r="D19" s="17"/>
      <c r="E19" s="21">
        <f t="shared" si="5"/>
        <v>0</v>
      </c>
      <c r="F19" s="21" t="str">
        <f t="shared" si="3"/>
        <v>()</v>
      </c>
      <c r="G19" s="21" t="str">
        <f t="shared" si="4"/>
        <v>0 ()</v>
      </c>
      <c r="I19" s="21" t="str">
        <f t="shared" si="0"/>
        <v>0</v>
      </c>
      <c r="J19" s="21" t="str">
        <f t="shared" si="1"/>
        <v>()</v>
      </c>
      <c r="K19" s="21" t="str">
        <f t="shared" si="2"/>
        <v>0 ()</v>
      </c>
    </row>
    <row r="20" spans="1:11" ht="19.899999999999999" customHeight="1">
      <c r="A20" s="23" t="s">
        <v>242</v>
      </c>
      <c r="B20" s="42"/>
      <c r="C20" s="43"/>
      <c r="D20" s="17"/>
      <c r="E20" s="21">
        <f t="shared" si="5"/>
        <v>0</v>
      </c>
      <c r="F20" s="21" t="str">
        <f t="shared" si="3"/>
        <v>()</v>
      </c>
      <c r="G20" s="21" t="str">
        <f t="shared" si="4"/>
        <v>0 ()</v>
      </c>
      <c r="I20" s="21" t="str">
        <f t="shared" si="0"/>
        <v>0</v>
      </c>
      <c r="J20" s="21" t="str">
        <f t="shared" si="1"/>
        <v>()</v>
      </c>
      <c r="K20" s="21" t="str">
        <f t="shared" si="2"/>
        <v>0 ()</v>
      </c>
    </row>
    <row r="21" spans="1:11" ht="19.899999999999999" customHeight="1">
      <c r="A21" s="23" t="s">
        <v>243</v>
      </c>
      <c r="B21" s="42"/>
      <c r="C21" s="43"/>
      <c r="D21" s="17"/>
      <c r="E21" s="21">
        <f t="shared" si="5"/>
        <v>0</v>
      </c>
      <c r="F21" s="21" t="str">
        <f t="shared" si="3"/>
        <v>()</v>
      </c>
      <c r="G21" s="21" t="str">
        <f t="shared" si="4"/>
        <v>0 ()</v>
      </c>
      <c r="I21" s="21" t="str">
        <f t="shared" si="0"/>
        <v>0</v>
      </c>
      <c r="J21" s="21" t="str">
        <f t="shared" si="1"/>
        <v>()</v>
      </c>
      <c r="K21" s="21" t="str">
        <f t="shared" si="2"/>
        <v>0 ()</v>
      </c>
    </row>
    <row r="22" spans="1:11" ht="19.899999999999999" customHeight="1">
      <c r="A22" s="23" t="s">
        <v>244</v>
      </c>
      <c r="B22" s="42"/>
      <c r="C22" s="43"/>
      <c r="D22" s="17"/>
      <c r="E22" s="21">
        <f t="shared" si="5"/>
        <v>0</v>
      </c>
      <c r="F22" s="21" t="str">
        <f t="shared" si="3"/>
        <v>()</v>
      </c>
      <c r="G22" s="21" t="str">
        <f t="shared" si="4"/>
        <v>0 ()</v>
      </c>
      <c r="I22" s="21" t="str">
        <f t="shared" si="0"/>
        <v>0</v>
      </c>
      <c r="J22" s="21" t="str">
        <f t="shared" si="1"/>
        <v>()</v>
      </c>
      <c r="K22" s="21" t="str">
        <f t="shared" si="2"/>
        <v>0 ()</v>
      </c>
    </row>
    <row r="23" spans="1:11" ht="19.899999999999999" customHeight="1">
      <c r="A23" s="23" t="s">
        <v>245</v>
      </c>
      <c r="B23" s="42"/>
      <c r="C23" s="43"/>
      <c r="D23" s="17"/>
      <c r="E23" s="21">
        <f t="shared" si="5"/>
        <v>0</v>
      </c>
      <c r="F23" s="21" t="str">
        <f t="shared" si="3"/>
        <v>()</v>
      </c>
      <c r="G23" s="21" t="str">
        <f t="shared" si="4"/>
        <v>0 ()</v>
      </c>
      <c r="I23" s="21" t="str">
        <f t="shared" si="0"/>
        <v>0</v>
      </c>
      <c r="J23" s="21" t="str">
        <f t="shared" si="1"/>
        <v>()</v>
      </c>
      <c r="K23" s="21" t="str">
        <f t="shared" si="2"/>
        <v>0 ()</v>
      </c>
    </row>
    <row r="24" spans="1:11" ht="19.899999999999999" customHeight="1">
      <c r="A24" s="23" t="s">
        <v>246</v>
      </c>
      <c r="B24" s="42"/>
      <c r="C24" s="43"/>
      <c r="D24" s="17"/>
      <c r="E24" s="21" t="s">
        <v>247</v>
      </c>
      <c r="F24" s="21" t="str">
        <f t="shared" si="3"/>
        <v>()</v>
      </c>
      <c r="G24" s="21" t="str">
        <f t="shared" si="4"/>
        <v>PPG ()</v>
      </c>
      <c r="I24" s="21" t="str">
        <f t="shared" si="0"/>
        <v>PPG</v>
      </c>
      <c r="J24" s="21" t="str">
        <f t="shared" si="1"/>
        <v>()</v>
      </c>
      <c r="K24" s="21" t="str">
        <f t="shared" si="2"/>
        <v>PPG ()</v>
      </c>
    </row>
    <row r="25" spans="1:11" ht="19.899999999999999" customHeight="1">
      <c r="A25" s="23" t="s">
        <v>248</v>
      </c>
      <c r="B25" s="42"/>
      <c r="C25" s="43"/>
      <c r="D25" s="17"/>
      <c r="E25" s="21" t="s">
        <v>226</v>
      </c>
      <c r="F25" s="21" t="str">
        <f t="shared" si="3"/>
        <v>()</v>
      </c>
      <c r="G25" s="21" t="str">
        <f t="shared" si="4"/>
        <v>YPG ()</v>
      </c>
      <c r="I25" s="21" t="str">
        <f t="shared" si="0"/>
        <v>YPG</v>
      </c>
      <c r="J25" s="21" t="str">
        <f t="shared" si="1"/>
        <v>()</v>
      </c>
      <c r="K25" s="21" t="str">
        <f t="shared" si="2"/>
        <v>YPG ()</v>
      </c>
    </row>
    <row r="26" spans="1:11" ht="19.899999999999999" customHeight="1">
      <c r="A26" s="23" t="s">
        <v>249</v>
      </c>
      <c r="B26" s="42"/>
      <c r="C26" s="43"/>
      <c r="D26" s="17"/>
      <c r="E26" s="21" t="s">
        <v>226</v>
      </c>
      <c r="F26" s="21" t="str">
        <f t="shared" si="3"/>
        <v>()</v>
      </c>
      <c r="G26" s="21" t="str">
        <f t="shared" si="4"/>
        <v>YPG ()</v>
      </c>
      <c r="I26" s="21" t="str">
        <f t="shared" si="0"/>
        <v>YPG</v>
      </c>
      <c r="J26" s="21" t="str">
        <f t="shared" si="1"/>
        <v>()</v>
      </c>
      <c r="K26" s="21" t="str">
        <f t="shared" si="2"/>
        <v>YPG ()</v>
      </c>
    </row>
    <row r="27" spans="1:11" ht="19.899999999999999" customHeight="1">
      <c r="A27" s="23" t="s">
        <v>250</v>
      </c>
      <c r="B27" s="42"/>
      <c r="C27" s="43"/>
      <c r="D27" s="17"/>
      <c r="E27" s="21" t="s">
        <v>226</v>
      </c>
      <c r="F27" s="21" t="str">
        <f t="shared" si="3"/>
        <v>()</v>
      </c>
      <c r="G27" s="21" t="str">
        <f t="shared" si="4"/>
        <v>YPG ()</v>
      </c>
      <c r="I27" s="21" t="str">
        <f t="shared" si="0"/>
        <v>YPG</v>
      </c>
      <c r="J27" s="21" t="str">
        <f t="shared" si="1"/>
        <v>()</v>
      </c>
      <c r="K27" s="21" t="str">
        <f t="shared" si="2"/>
        <v>YPG ()</v>
      </c>
    </row>
    <row r="28" spans="1:11" ht="19.899999999999999" customHeight="1">
      <c r="A28" s="23" t="s">
        <v>251</v>
      </c>
      <c r="B28" s="42"/>
      <c r="C28" s="43"/>
      <c r="D28" s="17"/>
      <c r="E28" s="21">
        <f>B28</f>
        <v>0</v>
      </c>
      <c r="F28" s="21" t="str">
        <f t="shared" si="3"/>
        <v>()</v>
      </c>
      <c r="G28" s="21" t="str">
        <f t="shared" si="4"/>
        <v>0 ()</v>
      </c>
      <c r="I28" s="21" t="str">
        <f t="shared" si="0"/>
        <v>0</v>
      </c>
      <c r="J28" s="21" t="str">
        <f t="shared" si="1"/>
        <v>()</v>
      </c>
      <c r="K28" s="21" t="str">
        <f t="shared" si="2"/>
        <v>0 ()</v>
      </c>
    </row>
    <row r="29" spans="1:11" ht="19.899999999999999" customHeight="1">
      <c r="A29" s="23" t="s">
        <v>252</v>
      </c>
      <c r="B29" s="42"/>
      <c r="C29" s="43"/>
      <c r="D29" s="17"/>
      <c r="E29" s="21">
        <f>B29</f>
        <v>0</v>
      </c>
      <c r="F29" s="21" t="str">
        <f t="shared" si="3"/>
        <v>()</v>
      </c>
      <c r="G29" s="21" t="str">
        <f t="shared" si="4"/>
        <v>0 ()</v>
      </c>
      <c r="I29" s="21" t="str">
        <f t="shared" si="0"/>
        <v>0</v>
      </c>
      <c r="J29" s="21" t="str">
        <f t="shared" si="1"/>
        <v>()</v>
      </c>
      <c r="K29" s="21" t="str">
        <f t="shared" si="2"/>
        <v>0 ()</v>
      </c>
    </row>
    <row r="30" spans="1:11" ht="19.899999999999999" customHeight="1">
      <c r="A30" s="23" t="s">
        <v>253</v>
      </c>
      <c r="B30" s="42"/>
      <c r="C30" s="43"/>
      <c r="D30" s="17"/>
      <c r="E30" s="21">
        <f>B30</f>
        <v>0</v>
      </c>
      <c r="F30" s="21" t="str">
        <f t="shared" si="3"/>
        <v>()</v>
      </c>
      <c r="G30" s="21" t="str">
        <f t="shared" si="4"/>
        <v>0 ()</v>
      </c>
      <c r="I30" s="21" t="str">
        <f t="shared" si="0"/>
        <v>0</v>
      </c>
      <c r="J30" s="21" t="str">
        <f t="shared" si="1"/>
        <v>()</v>
      </c>
      <c r="K30" s="21" t="str">
        <f t="shared" si="2"/>
        <v>0 ()</v>
      </c>
    </row>
    <row r="31" spans="1:11" ht="19.899999999999999" customHeight="1">
      <c r="A31" s="23" t="s">
        <v>254</v>
      </c>
      <c r="B31" s="42"/>
      <c r="C31" s="43"/>
      <c r="D31" s="17"/>
      <c r="E31" s="21">
        <f>B31</f>
        <v>0</v>
      </c>
      <c r="F31" s="21" t="str">
        <f t="shared" si="3"/>
        <v>()</v>
      </c>
      <c r="G31" s="21" t="str">
        <f t="shared" si="4"/>
        <v>0 ()</v>
      </c>
      <c r="I31" s="21" t="str">
        <f t="shared" si="0"/>
        <v>0</v>
      </c>
      <c r="J31" s="21" t="str">
        <f t="shared" si="1"/>
        <v>()</v>
      </c>
      <c r="K31" s="21" t="str">
        <f t="shared" si="2"/>
        <v>0 ()</v>
      </c>
    </row>
    <row r="32" spans="1:11" ht="19.899999999999999" customHeight="1">
      <c r="A32" s="23" t="s">
        <v>255</v>
      </c>
      <c r="B32" s="42"/>
      <c r="C32" s="43"/>
      <c r="D32" s="17"/>
      <c r="E32" s="21">
        <f>B32</f>
        <v>0</v>
      </c>
      <c r="F32" s="21" t="str">
        <f t="shared" si="3"/>
        <v>()</v>
      </c>
      <c r="G32" s="21" t="str">
        <f t="shared" si="4"/>
        <v>0 ()</v>
      </c>
      <c r="I32" s="21" t="str">
        <f t="shared" si="0"/>
        <v>0</v>
      </c>
      <c r="J32" s="21" t="str">
        <f t="shared" si="1"/>
        <v>()</v>
      </c>
      <c r="K32" s="21" t="str">
        <f t="shared" si="2"/>
        <v>0 ()</v>
      </c>
    </row>
    <row r="33" spans="1:11" ht="19.899999999999999" customHeight="1">
      <c r="A33" s="23" t="s">
        <v>256</v>
      </c>
      <c r="B33" s="42"/>
      <c r="C33" s="43"/>
      <c r="D33" s="17"/>
      <c r="E33" s="21" t="str">
        <f>B33&amp;" INT"</f>
        <v xml:space="preserve"> INT</v>
      </c>
      <c r="F33" s="21" t="str">
        <f t="shared" si="3"/>
        <v>()</v>
      </c>
      <c r="G33" s="21" t="str">
        <f t="shared" si="4"/>
        <v xml:space="preserve"> INT ()</v>
      </c>
      <c r="I33" s="21" t="str">
        <f t="shared" si="0"/>
        <v xml:space="preserve"> INT</v>
      </c>
      <c r="J33" s="21" t="str">
        <f t="shared" si="1"/>
        <v>()</v>
      </c>
      <c r="K33" s="21" t="str">
        <f t="shared" si="2"/>
        <v xml:space="preserve"> INT ()</v>
      </c>
    </row>
    <row r="34" spans="1:11" ht="19.899999999999999" customHeight="1">
      <c r="A34" s="24" t="s">
        <v>257</v>
      </c>
      <c r="B34" s="42"/>
      <c r="C34" s="43"/>
      <c r="D34" s="17"/>
      <c r="E34" s="21" t="str">
        <f>B34&amp;" Takeaways"</f>
        <v xml:space="preserve"> Takeaways</v>
      </c>
      <c r="F34" s="21" t="str">
        <f t="shared" si="3"/>
        <v>()</v>
      </c>
      <c r="G34" s="21" t="str">
        <f t="shared" si="4"/>
        <v xml:space="preserve"> Takeaways ()</v>
      </c>
      <c r="I34" s="21" t="str">
        <f t="shared" si="0"/>
        <v xml:space="preserve"> TAKEAWAYS</v>
      </c>
      <c r="J34" s="21" t="str">
        <f t="shared" si="1"/>
        <v>()</v>
      </c>
      <c r="K34" s="21" t="str">
        <f t="shared" si="2"/>
        <v xml:space="preserve"> TAKEAWAYS ()</v>
      </c>
    </row>
  </sheetData>
  <customSheetViews>
    <customSheetView guid="{706B170E-5520-469F-B13E-35DA6E3D1646}" scale="90" hiddenColumns="1">
      <selection activeCell="F3" sqref="F3:G34"/>
      <pageMargins left="0" right="0" top="0" bottom="0" header="0" footer="0"/>
      <pageSetup firstPageNumber="0" orientation="portrait" horizontalDpi="300" verticalDpi="300"/>
    </customSheetView>
    <customSheetView guid="{88E4902B-1443-461B-A72D-73CDB04FDAA8}" scale="90" hiddenColumns="1">
      <selection activeCell="F21" sqref="F21"/>
      <pageMargins left="0" right="0" top="0" bottom="0" header="0" footer="0"/>
      <pageSetup firstPageNumber="0" orientation="portrait" horizontalDpi="300" verticalDpi="300"/>
    </customSheetView>
    <customSheetView guid="{1D9A851A-AB00-4F5F-A9E8-E1D0DD45E8C9}" scale="90" hiddenColumns="1">
      <selection activeCell="F3" sqref="F3:G34"/>
      <pageMargins left="0" right="0" top="0" bottom="0" header="0" footer="0"/>
      <pageSetup firstPageNumber="0" orientation="portrait" horizontalDpi="300" verticalDpi="300"/>
    </customSheetView>
    <customSheetView guid="{70533415-B255-4E4B-BD1B-222113DCA8F8}" scale="90" hiddenColumns="1">
      <selection activeCell="F3" sqref="F3:G34"/>
      <pageMargins left="0" right="0" top="0" bottom="0" header="0" footer="0"/>
      <pageSetup firstPageNumber="0" orientation="portrait" horizontalDpi="300" verticalDpi="300"/>
    </customSheetView>
  </customSheetViews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tabSelected="1" zoomScale="110" zoomScaleNormal="110" workbookViewId="0">
      <selection activeCell="F6" sqref="F6"/>
    </sheetView>
  </sheetViews>
  <sheetFormatPr defaultColWidth="8.85546875" defaultRowHeight="13.9"/>
  <cols>
    <col min="1" max="1" width="7.28515625" style="7" customWidth="1"/>
    <col min="2" max="2" width="6.28515625" style="7" customWidth="1"/>
    <col min="3" max="3" width="26.85546875" style="7" customWidth="1"/>
    <col min="4" max="4" width="13.7109375" style="7" customWidth="1"/>
    <col min="5" max="5" width="12.7109375" style="7" hidden="1" customWidth="1"/>
    <col min="6" max="6" width="28.42578125" style="7" customWidth="1"/>
    <col min="7" max="7" width="8.42578125" style="7" customWidth="1"/>
    <col min="8" max="8" width="8.42578125" style="7" hidden="1" customWidth="1"/>
    <col min="9" max="9" width="29.5703125" style="7" hidden="1" customWidth="1"/>
    <col min="10" max="10" width="9.140625" style="7" hidden="1" customWidth="1"/>
    <col min="11" max="11" width="60.42578125" style="7" hidden="1" customWidth="1"/>
    <col min="12" max="12" width="2.7109375" style="7" customWidth="1"/>
    <col min="13" max="1025" width="8.42578125" style="7" customWidth="1"/>
    <col min="1026" max="16384" width="8.85546875" style="7"/>
  </cols>
  <sheetData>
    <row r="1" spans="1:11" ht="20.45" customHeight="1">
      <c r="A1" s="108" t="s">
        <v>258</v>
      </c>
      <c r="B1" s="108"/>
      <c r="C1" s="108"/>
      <c r="D1" s="109" t="s">
        <v>259</v>
      </c>
      <c r="E1" s="109"/>
      <c r="F1" s="109"/>
      <c r="I1" t="s">
        <v>260</v>
      </c>
      <c r="J1"/>
      <c r="K1" t="s">
        <v>261</v>
      </c>
    </row>
    <row r="2" spans="1:11">
      <c r="A2" s="19" t="s">
        <v>262</v>
      </c>
      <c r="B2" s="19" t="s">
        <v>263</v>
      </c>
      <c r="C2" s="25" t="s">
        <v>264</v>
      </c>
      <c r="D2" s="25" t="s">
        <v>265</v>
      </c>
      <c r="E2" s="25" t="s">
        <v>266</v>
      </c>
      <c r="F2" s="25" t="s">
        <v>267</v>
      </c>
      <c r="I2" s="7" t="str">
        <f>"D:\IMS Images\Network\Primary\"</f>
        <v>D:\IMS Images\Network\Primary\</v>
      </c>
      <c r="K2" s="7" t="str">
        <f t="shared" ref="K2:K13" si="0">$I$2&amp;F3&amp;".png"</f>
        <v>D:\IMS Images\Network\Primary\ABC.png</v>
      </c>
    </row>
    <row r="3" spans="1:11" ht="19.899999999999999" customHeight="1">
      <c r="A3" s="49">
        <v>1</v>
      </c>
      <c r="B3" s="45" t="s">
        <v>263</v>
      </c>
      <c r="C3" s="44" t="s">
        <v>268</v>
      </c>
      <c r="D3" s="45" t="s">
        <v>269</v>
      </c>
      <c r="E3" s="44"/>
      <c r="F3" s="46" t="s">
        <v>270</v>
      </c>
      <c r="K3" s="7" t="str">
        <f t="shared" si="0"/>
        <v>D:\IMS Images\Network\Primary\SEC_NETWORK.png</v>
      </c>
    </row>
    <row r="4" spans="1:11" ht="19.899999999999999" customHeight="1">
      <c r="A4" s="49">
        <v>2</v>
      </c>
      <c r="B4" s="95" t="s">
        <v>271</v>
      </c>
      <c r="C4" s="44" t="s">
        <v>272</v>
      </c>
      <c r="D4" s="45" t="s">
        <v>273</v>
      </c>
      <c r="E4" s="44"/>
      <c r="F4" s="46" t="s">
        <v>274</v>
      </c>
      <c r="K4" s="7" t="str">
        <f t="shared" si="0"/>
        <v>D:\IMS Images\Network\Primary\BLANK_LOGO.png</v>
      </c>
    </row>
    <row r="5" spans="1:11" ht="19.899999999999999" customHeight="1">
      <c r="A5" s="49">
        <v>3</v>
      </c>
      <c r="B5" s="95" t="s">
        <v>271</v>
      </c>
      <c r="C5" s="44" t="s">
        <v>275</v>
      </c>
      <c r="D5" s="45" t="s">
        <v>276</v>
      </c>
      <c r="E5" s="44"/>
      <c r="F5" s="46" t="s">
        <v>277</v>
      </c>
      <c r="K5" s="7" t="str">
        <f t="shared" si="0"/>
        <v>D:\IMS Images\Network\Primary\.png</v>
      </c>
    </row>
    <row r="6" spans="1:11" ht="19.899999999999999" customHeight="1">
      <c r="A6" s="49">
        <v>4</v>
      </c>
      <c r="B6" s="95" t="s">
        <v>271</v>
      </c>
      <c r="C6" s="44" t="s">
        <v>278</v>
      </c>
      <c r="D6" s="45"/>
      <c r="E6" s="44"/>
      <c r="F6" s="46"/>
      <c r="K6" s="7" t="str">
        <f t="shared" si="0"/>
        <v>D:\IMS Images\Network\Primary\.png</v>
      </c>
    </row>
    <row r="7" spans="1:11" ht="19.899999999999999" customHeight="1">
      <c r="A7" s="49">
        <v>5</v>
      </c>
      <c r="B7" s="45" t="s">
        <v>263</v>
      </c>
      <c r="C7" s="44" t="s">
        <v>279</v>
      </c>
      <c r="D7" s="45" t="s">
        <v>280</v>
      </c>
      <c r="E7" s="44"/>
      <c r="F7" s="46"/>
      <c r="K7" s="7" t="str">
        <f t="shared" si="0"/>
        <v>D:\IMS Images\Network\Primary\.png</v>
      </c>
    </row>
    <row r="8" spans="1:11" ht="19.899999999999999" customHeight="1">
      <c r="A8" s="49">
        <v>6</v>
      </c>
      <c r="B8" s="95" t="s">
        <v>271</v>
      </c>
      <c r="C8" s="44" t="s">
        <v>281</v>
      </c>
      <c r="D8" s="45" t="s">
        <v>282</v>
      </c>
      <c r="E8" s="44"/>
      <c r="F8" s="46"/>
      <c r="K8" s="7" t="str">
        <f t="shared" si="0"/>
        <v>D:\IMS Images\Network\Primary\.png</v>
      </c>
    </row>
    <row r="9" spans="1:11" ht="19.899999999999999" customHeight="1">
      <c r="A9" s="49">
        <v>7</v>
      </c>
      <c r="B9" s="45" t="s">
        <v>263</v>
      </c>
      <c r="C9" s="44" t="s">
        <v>283</v>
      </c>
      <c r="D9" s="45" t="s">
        <v>284</v>
      </c>
      <c r="E9" s="44"/>
      <c r="F9" s="46"/>
      <c r="K9" s="7" t="str">
        <f t="shared" si="0"/>
        <v>D:\IMS Images\Network\Primary\ABC.png</v>
      </c>
    </row>
    <row r="10" spans="1:11" ht="19.899999999999999" customHeight="1">
      <c r="A10" s="50">
        <v>8</v>
      </c>
      <c r="B10" s="96" t="s">
        <v>271</v>
      </c>
      <c r="C10" s="47" t="s">
        <v>285</v>
      </c>
      <c r="D10" s="45" t="s">
        <v>286</v>
      </c>
      <c r="E10" s="44"/>
      <c r="F10" s="46" t="s">
        <v>270</v>
      </c>
      <c r="K10" s="7" t="str">
        <f t="shared" si="0"/>
        <v>D:\IMS Images\Network\Primary\.png</v>
      </c>
    </row>
    <row r="11" spans="1:11" ht="19.899999999999999" customHeight="1">
      <c r="A11" s="50">
        <v>9</v>
      </c>
      <c r="B11" s="48" t="s">
        <v>263</v>
      </c>
      <c r="C11" s="47" t="s">
        <v>287</v>
      </c>
      <c r="D11" s="45" t="s">
        <v>288</v>
      </c>
      <c r="E11" s="44"/>
      <c r="F11" s="46"/>
      <c r="K11" s="7" t="str">
        <f t="shared" si="0"/>
        <v>D:\IMS Images\Network\Primary\.png</v>
      </c>
    </row>
    <row r="12" spans="1:11" ht="19.899999999999999" customHeight="1">
      <c r="A12" s="50">
        <v>10</v>
      </c>
      <c r="B12" s="96" t="s">
        <v>271</v>
      </c>
      <c r="C12" s="44" t="s">
        <v>278</v>
      </c>
      <c r="D12" s="45"/>
      <c r="E12" s="44"/>
      <c r="F12" s="46"/>
      <c r="K12" s="7" t="str">
        <f t="shared" si="0"/>
        <v>D:\IMS Images\Network\Primary\.png</v>
      </c>
    </row>
    <row r="13" spans="1:11" ht="19.899999999999999" customHeight="1">
      <c r="A13" s="50">
        <v>11</v>
      </c>
      <c r="B13" s="96" t="s">
        <v>271</v>
      </c>
      <c r="C13" s="47" t="s">
        <v>289</v>
      </c>
      <c r="D13" s="45" t="s">
        <v>290</v>
      </c>
      <c r="E13" s="44"/>
      <c r="F13" s="46"/>
      <c r="K13" s="7" t="str">
        <f t="shared" si="0"/>
        <v>D:\IMS Images\Network\Primary\.png</v>
      </c>
    </row>
    <row r="14" spans="1:11" ht="19.899999999999999" customHeight="1">
      <c r="A14" s="50">
        <v>12</v>
      </c>
      <c r="B14" s="96" t="s">
        <v>271</v>
      </c>
      <c r="C14" s="47" t="s">
        <v>291</v>
      </c>
      <c r="D14" s="48" t="s">
        <v>292</v>
      </c>
      <c r="E14" s="44"/>
      <c r="F14" s="46"/>
    </row>
    <row r="15" spans="1:11" ht="19.899999999999999" customHeight="1">
      <c r="A15" s="50">
        <v>13</v>
      </c>
      <c r="B15" s="96" t="s">
        <v>271</v>
      </c>
      <c r="C15" s="47" t="s">
        <v>293</v>
      </c>
      <c r="D15" s="48" t="s">
        <v>294</v>
      </c>
      <c r="E15" s="44"/>
      <c r="F15" s="46" t="s">
        <v>295</v>
      </c>
    </row>
    <row r="16" spans="1:11" ht="19.899999999999999" customHeight="1">
      <c r="A16" s="110" t="s">
        <v>296</v>
      </c>
      <c r="B16" s="110"/>
      <c r="C16" s="110"/>
      <c r="D16" s="110"/>
      <c r="E16" s="110"/>
      <c r="F16" s="110"/>
    </row>
    <row r="17" spans="1:6" ht="19.899999999999999" customHeight="1"/>
    <row r="18" spans="1:6" ht="19.899999999999999" customHeight="1">
      <c r="A18" s="108" t="s">
        <v>297</v>
      </c>
      <c r="B18" s="108"/>
      <c r="C18" s="108"/>
      <c r="D18" s="46">
        <v>1</v>
      </c>
    </row>
    <row r="19" spans="1:6" ht="19.899999999999999" customHeight="1"/>
    <row r="20" spans="1:6" ht="19.899999999999999" customHeight="1">
      <c r="A20" s="108" t="s">
        <v>298</v>
      </c>
      <c r="B20" s="108"/>
      <c r="C20" s="108"/>
      <c r="D20" s="109" t="s">
        <v>299</v>
      </c>
      <c r="E20" s="109"/>
      <c r="F20" s="109"/>
    </row>
    <row r="21" spans="1:6" ht="19.899999999999999" customHeight="1">
      <c r="A21" s="19" t="s">
        <v>262</v>
      </c>
      <c r="B21" s="19" t="s">
        <v>263</v>
      </c>
      <c r="C21" s="25" t="s">
        <v>264</v>
      </c>
      <c r="D21" s="25" t="s">
        <v>265</v>
      </c>
      <c r="E21" s="25" t="s">
        <v>266</v>
      </c>
      <c r="F21" s="25" t="s">
        <v>300</v>
      </c>
    </row>
    <row r="22" spans="1:6" ht="19.899999999999999" customHeight="1">
      <c r="A22" s="49">
        <f>D18+1</f>
        <v>2</v>
      </c>
      <c r="B22" s="90" t="str">
        <f>VLOOKUP(A22,A1:F15,2,TRUE)</f>
        <v/>
      </c>
      <c r="C22" s="37" t="str">
        <f>VLOOKUP(A22,A1:F15,3,TRUE)</f>
        <v>UL Monroe</v>
      </c>
      <c r="D22" s="54" t="str">
        <f>VLOOKUP(A22,A1:F15,4,TRUE)</f>
        <v>Sept 6</v>
      </c>
      <c r="E22" s="44"/>
      <c r="F22" s="45" t="s">
        <v>301</v>
      </c>
    </row>
    <row r="23" spans="1:6" ht="19.899999999999999" customHeight="1">
      <c r="A23" s="49">
        <f>A22+1</f>
        <v>3</v>
      </c>
      <c r="B23" s="90" t="str">
        <f>VLOOKUP(A23,A1:F15,2,TRUE)</f>
        <v/>
      </c>
      <c r="C23" s="37" t="str">
        <f>VLOOKUP(A23,A1:F15,3,TRUE)</f>
        <v>23 Wisconsin</v>
      </c>
      <c r="D23" s="54" t="str">
        <f>VLOOKUP(A23,A1:F15,4,TRUE)</f>
        <v>Sept 13</v>
      </c>
      <c r="E23" s="44"/>
      <c r="F23" s="45" t="s">
        <v>302</v>
      </c>
    </row>
    <row r="24" spans="1:6" ht="19.899999999999999" customHeight="1">
      <c r="A24" s="49">
        <f t="shared" ref="A24:A26" si="1">A23+1</f>
        <v>4</v>
      </c>
      <c r="B24" s="90" t="str">
        <f>VLOOKUP(A24,A1:F15,2,TRUE)</f>
        <v/>
      </c>
      <c r="C24" s="37" t="str">
        <f>VLOOKUP(A24,A1:F15,3,TRUE)</f>
        <v>Idle</v>
      </c>
      <c r="D24" s="54">
        <f>VLOOKUP(A24,A1:F15,4,TRUE)</f>
        <v>0</v>
      </c>
      <c r="E24" s="44"/>
      <c r="F24" s="45"/>
    </row>
    <row r="25" spans="1:6" ht="19.899999999999999" customHeight="1">
      <c r="A25" s="49">
        <f t="shared" si="1"/>
        <v>5</v>
      </c>
      <c r="B25" s="90" t="str">
        <f>VLOOKUP(A25,A1:F15,2,TRUE)</f>
        <v>at</v>
      </c>
      <c r="C25" s="37" t="str">
        <f>VLOOKUP(A25,A1:F15,3,TRUE)</f>
        <v>2 Georgia</v>
      </c>
      <c r="D25" s="54" t="str">
        <f>VLOOKUP(A25,A1:F15,4,TRUE)</f>
        <v>Sept 27</v>
      </c>
      <c r="E25" s="44"/>
      <c r="F25" s="45" t="s">
        <v>303</v>
      </c>
    </row>
    <row r="26" spans="1:6" ht="19.899999999999999" customHeight="1">
      <c r="A26" s="49">
        <f t="shared" si="1"/>
        <v>6</v>
      </c>
      <c r="B26" s="90" t="str">
        <f>VLOOKUP(A26,A1:F15,2,TRUE)</f>
        <v/>
      </c>
      <c r="C26" s="37" t="str">
        <f>VLOOKUP(A26,A1:F15,3,TRUE)</f>
        <v>Vanderbilt</v>
      </c>
      <c r="D26" s="54" t="str">
        <f>VLOOKUP(A26,A1:F15,4,TRUE)</f>
        <v>Oct 4</v>
      </c>
      <c r="E26" s="44"/>
      <c r="F26" s="45" t="s">
        <v>9</v>
      </c>
    </row>
    <row r="27" spans="1:6" ht="19.899999999999999" customHeight="1">
      <c r="A27" s="111" t="s">
        <v>304</v>
      </c>
      <c r="B27" s="111"/>
      <c r="C27" s="111"/>
      <c r="D27" s="111"/>
      <c r="E27" s="111"/>
      <c r="F27" s="111"/>
    </row>
    <row r="28" spans="1:6" ht="19.899999999999999" customHeight="1"/>
  </sheetData>
  <customSheetViews>
    <customSheetView guid="{706B170E-5520-469F-B13E-35DA6E3D1646}" scale="90" hiddenColumns="1">
      <selection activeCell="E2" sqref="E2"/>
      <pageMargins left="0" right="0" top="0" bottom="0" header="0" footer="0"/>
      <pageSetup orientation="portrait" useFirstPageNumber="1" horizontalDpi="300" verticalDpi="300"/>
    </customSheetView>
    <customSheetView guid="{88E4902B-1443-461B-A72D-73CDB04FDAA8}" scale="90" hiddenColumns="1">
      <selection activeCell="E2" sqref="E2"/>
      <pageMargins left="0" right="0" top="0" bottom="0" header="0" footer="0"/>
      <pageSetup orientation="portrait" useFirstPageNumber="1" horizontalDpi="300" verticalDpi="300"/>
    </customSheetView>
    <customSheetView guid="{1D9A851A-AB00-4F5F-A9E8-E1D0DD45E8C9}" scale="90" hiddenColumns="1">
      <selection activeCell="E2" sqref="E2"/>
      <pageMargins left="0" right="0" top="0" bottom="0" header="0" footer="0"/>
      <pageSetup orientation="portrait" useFirstPageNumber="1" horizontalDpi="300" verticalDpi="300"/>
    </customSheetView>
    <customSheetView guid="{70533415-B255-4E4B-BD1B-222113DCA8F8}" scale="90" hiddenColumns="1">
      <selection activeCell="E2" sqref="E2"/>
      <pageMargins left="0" right="0" top="0" bottom="0" header="0" footer="0"/>
      <pageSetup orientation="portrait" useFirstPageNumber="1" horizontalDpi="300" verticalDpi="300"/>
    </customSheetView>
  </customSheetViews>
  <mergeCells count="7">
    <mergeCell ref="A1:C1"/>
    <mergeCell ref="D1:F1"/>
    <mergeCell ref="A18:C18"/>
    <mergeCell ref="A16:F16"/>
    <mergeCell ref="A27:F27"/>
    <mergeCell ref="A20:C20"/>
    <mergeCell ref="D20:F20"/>
  </mergeCells>
  <dataValidations count="2">
    <dataValidation type="list" allowBlank="1" showInputMessage="1" showErrorMessage="1" sqref="F3:F15" xr:uid="{00000000-0002-0000-0600-000000000000}">
      <formula1>NETWORK_LOGOS</formula1>
      <formula2>0</formula2>
    </dataValidation>
    <dataValidation type="list" allowBlank="1" showInputMessage="1" showErrorMessage="1" sqref="D18" xr:uid="{74CA08B4-EE93-4FC1-9141-F81BABD04B98}">
      <formula1>$A$3:$A$15</formula1>
    </dataValidation>
  </dataValidations>
  <pageMargins left="0.7" right="0.7" top="0.75" bottom="0.75" header="0.51180555555555496" footer="0.51180555555555496"/>
  <pageSetup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481F06-9FFA-4537-966C-75E6BAE335A1}">
          <x14:formula1>
            <xm:f>LOGOS!$A$2:$A$342</xm:f>
          </x14:formula1>
          <xm:sqref>F22:F26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"/>
  <sheetViews>
    <sheetView zoomScale="90" zoomScaleNormal="90" workbookViewId="0">
      <selection activeCell="D6" sqref="D6"/>
    </sheetView>
  </sheetViews>
  <sheetFormatPr defaultColWidth="8.85546875" defaultRowHeight="13.9"/>
  <cols>
    <col min="1" max="1" width="8.7109375" style="7" customWidth="1"/>
    <col min="2" max="2" width="10.7109375" style="7" customWidth="1"/>
    <col min="3" max="4" width="30.7109375" style="7" customWidth="1"/>
    <col min="5" max="5" width="55.7109375" style="7" customWidth="1"/>
    <col min="6" max="6" width="25.7109375" style="7" hidden="1" customWidth="1"/>
    <col min="7" max="7" width="9.140625" style="7" hidden="1" customWidth="1"/>
    <col min="8" max="8" width="15.7109375" style="7" hidden="1" customWidth="1"/>
    <col min="9" max="9" width="8.42578125" style="7" customWidth="1"/>
    <col min="10" max="11" width="9.140625" style="7" hidden="1" customWidth="1"/>
    <col min="12" max="1025" width="8.42578125" style="7" customWidth="1"/>
    <col min="1026" max="16384" width="8.85546875" style="7"/>
  </cols>
  <sheetData>
    <row r="1" spans="1:11" ht="25.15" customHeight="1">
      <c r="A1" s="114" t="s">
        <v>305</v>
      </c>
      <c r="B1" s="115"/>
      <c r="C1" s="115"/>
      <c r="D1" s="115"/>
      <c r="E1" s="71" t="s">
        <v>306</v>
      </c>
    </row>
    <row r="2" spans="1:11">
      <c r="A2" s="34" t="s">
        <v>64</v>
      </c>
      <c r="B2" s="34" t="s">
        <v>41</v>
      </c>
      <c r="C2" s="34" t="s">
        <v>190</v>
      </c>
      <c r="D2" s="35" t="s">
        <v>307</v>
      </c>
      <c r="E2" s="35" t="s">
        <v>308</v>
      </c>
      <c r="F2" s="35" t="s">
        <v>309</v>
      </c>
      <c r="G2" s="116" t="s">
        <v>310</v>
      </c>
      <c r="H2" s="116"/>
    </row>
    <row r="3" spans="1:11">
      <c r="A3" s="38">
        <v>1</v>
      </c>
      <c r="B3" s="37">
        <f>IF('Team Info'!B2="Away",8701,8801)</f>
        <v>8801</v>
      </c>
      <c r="C3" s="37" t="str">
        <f t="shared" ref="C3:C17" si="0">VLOOKUP(A3,ROSTER,17,0)</f>
        <v>First Name Last Name</v>
      </c>
      <c r="D3" s="38" t="s">
        <v>311</v>
      </c>
      <c r="E3" s="38" t="s">
        <v>312</v>
      </c>
      <c r="F3" s="37" t="str">
        <f t="shared" ref="F3:F17" si="1">VLOOKUP(A3,ROSTER,4,0) &amp; "_" &amp; VLOOKUP(A3,ROSTER,3,0)</f>
        <v>Last Name_First Name</v>
      </c>
      <c r="G3" s="112" t="str">
        <f>'Team Info'!$B$8</f>
        <v>VANDERBILT</v>
      </c>
      <c r="H3" s="113"/>
      <c r="J3" s="7">
        <v>0</v>
      </c>
      <c r="K3" s="7" t="s">
        <v>313</v>
      </c>
    </row>
    <row r="4" spans="1:11">
      <c r="A4" s="38">
        <v>2</v>
      </c>
      <c r="B4" s="37">
        <f t="shared" ref="B4:B17" si="2">B3+1</f>
        <v>8802</v>
      </c>
      <c r="C4" s="37" t="str">
        <f t="shared" si="0"/>
        <v xml:space="preserve"> </v>
      </c>
      <c r="D4" s="38"/>
      <c r="E4" s="38"/>
      <c r="F4" s="37" t="str">
        <f t="shared" si="1"/>
        <v>_</v>
      </c>
      <c r="G4" s="112" t="str">
        <f>'Team Info'!$B$8</f>
        <v>VANDERBILT</v>
      </c>
      <c r="H4" s="113"/>
      <c r="J4" s="7">
        <v>1</v>
      </c>
      <c r="K4" s="7" t="s">
        <v>314</v>
      </c>
    </row>
    <row r="5" spans="1:11">
      <c r="A5" s="38">
        <v>3</v>
      </c>
      <c r="B5" s="37">
        <f t="shared" si="2"/>
        <v>8803</v>
      </c>
      <c r="C5" s="37" t="str">
        <f t="shared" si="0"/>
        <v xml:space="preserve"> </v>
      </c>
      <c r="D5" s="38"/>
      <c r="E5" s="38"/>
      <c r="F5" s="37" t="str">
        <f t="shared" si="1"/>
        <v>_</v>
      </c>
      <c r="G5" s="112" t="str">
        <f>'Team Info'!$B$8</f>
        <v>VANDERBILT</v>
      </c>
      <c r="H5" s="113"/>
      <c r="J5" s="7">
        <v>2</v>
      </c>
      <c r="K5" s="7" t="s">
        <v>315</v>
      </c>
    </row>
    <row r="6" spans="1:11">
      <c r="A6" s="38">
        <v>4</v>
      </c>
      <c r="B6" s="37">
        <f t="shared" si="2"/>
        <v>8804</v>
      </c>
      <c r="C6" s="37" t="str">
        <f t="shared" si="0"/>
        <v xml:space="preserve"> </v>
      </c>
      <c r="D6" s="38"/>
      <c r="E6" s="38"/>
      <c r="F6" s="37" t="str">
        <f t="shared" si="1"/>
        <v>_</v>
      </c>
      <c r="G6" s="112" t="str">
        <f>'Team Info'!$B$8</f>
        <v>VANDERBILT</v>
      </c>
      <c r="H6" s="113"/>
    </row>
    <row r="7" spans="1:11">
      <c r="A7" s="38">
        <v>5</v>
      </c>
      <c r="B7" s="37">
        <f t="shared" si="2"/>
        <v>8805</v>
      </c>
      <c r="C7" s="37" t="str">
        <f t="shared" si="0"/>
        <v xml:space="preserve"> </v>
      </c>
      <c r="D7" s="38"/>
      <c r="E7" s="38"/>
      <c r="F7" s="37" t="str">
        <f t="shared" si="1"/>
        <v>_</v>
      </c>
      <c r="G7" s="112" t="str">
        <f>'Team Info'!$B$8</f>
        <v>VANDERBILT</v>
      </c>
      <c r="H7" s="113"/>
    </row>
    <row r="8" spans="1:11">
      <c r="A8" s="38">
        <v>6</v>
      </c>
      <c r="B8" s="37">
        <f t="shared" si="2"/>
        <v>8806</v>
      </c>
      <c r="C8" s="37" t="str">
        <f t="shared" si="0"/>
        <v xml:space="preserve"> </v>
      </c>
      <c r="D8" s="38"/>
      <c r="E8" s="38"/>
      <c r="F8" s="37" t="str">
        <f t="shared" si="1"/>
        <v>_</v>
      </c>
      <c r="G8" s="112" t="str">
        <f>'Team Info'!$B$8</f>
        <v>VANDERBILT</v>
      </c>
      <c r="H8" s="113"/>
    </row>
    <row r="9" spans="1:11">
      <c r="A9" s="38">
        <v>7</v>
      </c>
      <c r="B9" s="37">
        <f t="shared" si="2"/>
        <v>8807</v>
      </c>
      <c r="C9" s="37" t="str">
        <f t="shared" si="0"/>
        <v xml:space="preserve"> </v>
      </c>
      <c r="D9" s="38"/>
      <c r="E9" s="38"/>
      <c r="F9" s="37" t="str">
        <f t="shared" si="1"/>
        <v>_</v>
      </c>
      <c r="G9" s="112" t="str">
        <f>'Team Info'!$B$8</f>
        <v>VANDERBILT</v>
      </c>
      <c r="H9" s="113"/>
    </row>
    <row r="10" spans="1:11">
      <c r="A10" s="38">
        <v>8</v>
      </c>
      <c r="B10" s="37">
        <f t="shared" si="2"/>
        <v>8808</v>
      </c>
      <c r="C10" s="37" t="str">
        <f t="shared" si="0"/>
        <v xml:space="preserve"> </v>
      </c>
      <c r="D10" s="38"/>
      <c r="E10" s="38"/>
      <c r="F10" s="37" t="str">
        <f t="shared" si="1"/>
        <v>_</v>
      </c>
      <c r="G10" s="112" t="str">
        <f>'Team Info'!$B$8</f>
        <v>VANDERBILT</v>
      </c>
      <c r="H10" s="113"/>
    </row>
    <row r="11" spans="1:11">
      <c r="A11" s="38">
        <v>9</v>
      </c>
      <c r="B11" s="37">
        <f t="shared" si="2"/>
        <v>8809</v>
      </c>
      <c r="C11" s="37" t="str">
        <f t="shared" si="0"/>
        <v xml:space="preserve"> </v>
      </c>
      <c r="D11" s="38"/>
      <c r="E11" s="38"/>
      <c r="F11" s="37" t="str">
        <f t="shared" si="1"/>
        <v>_</v>
      </c>
      <c r="G11" s="112" t="str">
        <f>'Team Info'!$B$8</f>
        <v>VANDERBILT</v>
      </c>
      <c r="H11" s="113"/>
    </row>
    <row r="12" spans="1:11">
      <c r="A12" s="38">
        <v>10</v>
      </c>
      <c r="B12" s="37">
        <f t="shared" si="2"/>
        <v>8810</v>
      </c>
      <c r="C12" s="37" t="str">
        <f t="shared" si="0"/>
        <v xml:space="preserve"> </v>
      </c>
      <c r="D12" s="38"/>
      <c r="E12" s="38"/>
      <c r="F12" s="37" t="str">
        <f t="shared" si="1"/>
        <v>_</v>
      </c>
      <c r="G12" s="112" t="str">
        <f>'Team Info'!$B$8</f>
        <v>VANDERBILT</v>
      </c>
      <c r="H12" s="113"/>
    </row>
    <row r="13" spans="1:11">
      <c r="A13" s="38">
        <v>28</v>
      </c>
      <c r="B13" s="37">
        <f t="shared" si="2"/>
        <v>8811</v>
      </c>
      <c r="C13" s="37" t="str">
        <f t="shared" si="0"/>
        <v xml:space="preserve"> </v>
      </c>
      <c r="D13" s="38"/>
      <c r="E13" s="38"/>
      <c r="F13" s="37" t="str">
        <f t="shared" si="1"/>
        <v>_</v>
      </c>
      <c r="G13" s="112" t="str">
        <f>'Team Info'!$B$8</f>
        <v>VANDERBILT</v>
      </c>
      <c r="H13" s="113"/>
    </row>
    <row r="14" spans="1:11">
      <c r="A14" s="38">
        <v>30</v>
      </c>
      <c r="B14" s="37">
        <f t="shared" si="2"/>
        <v>8812</v>
      </c>
      <c r="C14" s="37" t="str">
        <f t="shared" si="0"/>
        <v xml:space="preserve"> </v>
      </c>
      <c r="D14" s="38"/>
      <c r="E14" s="38"/>
      <c r="F14" s="37" t="str">
        <f t="shared" si="1"/>
        <v>_</v>
      </c>
      <c r="G14" s="112" t="str">
        <f>'Team Info'!$B$8</f>
        <v>VANDERBILT</v>
      </c>
      <c r="H14" s="113"/>
    </row>
    <row r="15" spans="1:11">
      <c r="A15" s="38">
        <v>31</v>
      </c>
      <c r="B15" s="37">
        <f t="shared" si="2"/>
        <v>8813</v>
      </c>
      <c r="C15" s="37" t="str">
        <f t="shared" si="0"/>
        <v xml:space="preserve"> </v>
      </c>
      <c r="D15" s="38"/>
      <c r="E15" s="38"/>
      <c r="F15" s="37" t="str">
        <f t="shared" si="1"/>
        <v>_</v>
      </c>
      <c r="G15" s="112" t="str">
        <f>'Team Info'!$B$8</f>
        <v>VANDERBILT</v>
      </c>
      <c r="H15" s="113"/>
    </row>
    <row r="16" spans="1:11">
      <c r="A16" s="38">
        <v>32</v>
      </c>
      <c r="B16" s="37">
        <f t="shared" si="2"/>
        <v>8814</v>
      </c>
      <c r="C16" s="37" t="str">
        <f t="shared" si="0"/>
        <v xml:space="preserve"> </v>
      </c>
      <c r="D16" s="38"/>
      <c r="E16" s="38"/>
      <c r="F16" s="37" t="str">
        <f t="shared" si="1"/>
        <v>_</v>
      </c>
      <c r="G16" s="112" t="str">
        <f>'Team Info'!$B$8</f>
        <v>VANDERBILT</v>
      </c>
      <c r="H16" s="113"/>
    </row>
    <row r="17" spans="1:11">
      <c r="A17" s="38">
        <v>80</v>
      </c>
      <c r="B17" s="37">
        <f t="shared" si="2"/>
        <v>8815</v>
      </c>
      <c r="C17" s="37" t="str">
        <f t="shared" si="0"/>
        <v xml:space="preserve"> </v>
      </c>
      <c r="D17" s="38"/>
      <c r="E17" s="38"/>
      <c r="F17" s="37" t="str">
        <f t="shared" si="1"/>
        <v>_</v>
      </c>
      <c r="G17" s="112" t="str">
        <f>'Team Info'!$B$8</f>
        <v>VANDERBILT</v>
      </c>
      <c r="H17" s="113"/>
    </row>
    <row r="18" spans="1:11">
      <c r="B18" s="97" t="s">
        <v>316</v>
      </c>
      <c r="C18" s="98"/>
      <c r="D18" s="98"/>
      <c r="E18" s="69" t="s">
        <v>317</v>
      </c>
      <c r="K18" s="7" t="s">
        <v>318</v>
      </c>
    </row>
    <row r="19" spans="1:11" ht="15.75" customHeight="1"/>
    <row r="20" spans="1:11" ht="25.15" customHeight="1">
      <c r="A20" s="114" t="s">
        <v>319</v>
      </c>
      <c r="B20" s="115"/>
      <c r="C20" s="115"/>
      <c r="D20" s="115"/>
      <c r="E20" s="71" t="s">
        <v>320</v>
      </c>
      <c r="F20" s="55"/>
    </row>
    <row r="21" spans="1:11">
      <c r="A21" s="34" t="s">
        <v>64</v>
      </c>
      <c r="B21" s="34" t="s">
        <v>41</v>
      </c>
      <c r="C21" s="34" t="s">
        <v>42</v>
      </c>
      <c r="D21" s="35" t="s">
        <v>43</v>
      </c>
      <c r="E21" s="35" t="s">
        <v>321</v>
      </c>
      <c r="F21" s="35" t="s">
        <v>310</v>
      </c>
      <c r="G21" s="35" t="s">
        <v>322</v>
      </c>
      <c r="H21" s="36"/>
    </row>
    <row r="22" spans="1:11">
      <c r="A22" s="38">
        <v>1</v>
      </c>
      <c r="B22" s="37">
        <f>IF('Team Info'!B2="Away",87001,88001)</f>
        <v>88001</v>
      </c>
      <c r="C22" s="37" t="str">
        <f t="shared" ref="C22:C36" si="3">VLOOKUP(A22,ROSTER,3,0)</f>
        <v>First Name</v>
      </c>
      <c r="D22" s="37" t="str">
        <f t="shared" ref="D22:D36" si="4">VLOOKUP(A22,ROSTER,4,0)</f>
        <v>Last Name</v>
      </c>
      <c r="E22" s="37" t="str">
        <f t="shared" ref="E22:E36" si="5">D22 &amp; "_" &amp; C22</f>
        <v>Last Name_First Name</v>
      </c>
      <c r="F22" s="90" t="str">
        <f>'Team Info'!$B$8</f>
        <v>VANDERBILT</v>
      </c>
      <c r="G22" s="38">
        <v>1</v>
      </c>
      <c r="H22" s="39" t="str">
        <f t="shared" ref="H22:H36" si="6">VLOOKUP(G22,$J$22:$K$23,2,0)</f>
        <v>ON</v>
      </c>
      <c r="J22" s="7">
        <v>0</v>
      </c>
      <c r="K22" s="7" t="s">
        <v>313</v>
      </c>
    </row>
    <row r="23" spans="1:11">
      <c r="A23" s="38">
        <v>2</v>
      </c>
      <c r="B23" s="37">
        <f t="shared" ref="B23:B36" si="7">B22+1</f>
        <v>88002</v>
      </c>
      <c r="C23" s="37">
        <f t="shared" si="3"/>
        <v>0</v>
      </c>
      <c r="D23" s="37">
        <f t="shared" si="4"/>
        <v>0</v>
      </c>
      <c r="E23" s="37" t="str">
        <f t="shared" si="5"/>
        <v>0_0</v>
      </c>
      <c r="F23" s="90" t="str">
        <f>'Team Info'!$B$8</f>
        <v>VANDERBILT</v>
      </c>
      <c r="G23" s="38">
        <v>1</v>
      </c>
      <c r="H23" s="39" t="str">
        <f t="shared" si="6"/>
        <v>ON</v>
      </c>
      <c r="J23" s="7">
        <v>1</v>
      </c>
      <c r="K23" s="7" t="s">
        <v>323</v>
      </c>
    </row>
    <row r="24" spans="1:11">
      <c r="A24" s="38">
        <v>3</v>
      </c>
      <c r="B24" s="37">
        <f t="shared" si="7"/>
        <v>88003</v>
      </c>
      <c r="C24" s="37">
        <f t="shared" si="3"/>
        <v>0</v>
      </c>
      <c r="D24" s="37">
        <f t="shared" si="4"/>
        <v>0</v>
      </c>
      <c r="E24" s="37" t="str">
        <f t="shared" si="5"/>
        <v>0_0</v>
      </c>
      <c r="F24" s="90" t="str">
        <f>'Team Info'!$B$8</f>
        <v>VANDERBILT</v>
      </c>
      <c r="G24" s="38">
        <v>1</v>
      </c>
      <c r="H24" s="39" t="str">
        <f t="shared" si="6"/>
        <v>ON</v>
      </c>
    </row>
    <row r="25" spans="1:11">
      <c r="A25" s="38">
        <v>4</v>
      </c>
      <c r="B25" s="37">
        <f t="shared" si="7"/>
        <v>88004</v>
      </c>
      <c r="C25" s="37">
        <f t="shared" si="3"/>
        <v>0</v>
      </c>
      <c r="D25" s="37">
        <f t="shared" si="4"/>
        <v>0</v>
      </c>
      <c r="E25" s="37" t="str">
        <f t="shared" si="5"/>
        <v>0_0</v>
      </c>
      <c r="F25" s="90" t="str">
        <f>'Team Info'!$B$8</f>
        <v>VANDERBILT</v>
      </c>
      <c r="G25" s="38">
        <v>1</v>
      </c>
      <c r="H25" s="39" t="str">
        <f t="shared" si="6"/>
        <v>ON</v>
      </c>
    </row>
    <row r="26" spans="1:11">
      <c r="A26" s="38">
        <v>5</v>
      </c>
      <c r="B26" s="37">
        <f t="shared" si="7"/>
        <v>88005</v>
      </c>
      <c r="C26" s="37">
        <f t="shared" si="3"/>
        <v>0</v>
      </c>
      <c r="D26" s="37">
        <f t="shared" si="4"/>
        <v>0</v>
      </c>
      <c r="E26" s="37" t="str">
        <f t="shared" si="5"/>
        <v>0_0</v>
      </c>
      <c r="F26" s="90" t="str">
        <f>'Team Info'!$B$8</f>
        <v>VANDERBILT</v>
      </c>
      <c r="G26" s="38">
        <v>1</v>
      </c>
      <c r="H26" s="39" t="str">
        <f t="shared" si="6"/>
        <v>ON</v>
      </c>
    </row>
    <row r="27" spans="1:11">
      <c r="A27" s="38">
        <v>6</v>
      </c>
      <c r="B27" s="37">
        <f t="shared" si="7"/>
        <v>88006</v>
      </c>
      <c r="C27" s="37">
        <f t="shared" si="3"/>
        <v>0</v>
      </c>
      <c r="D27" s="37">
        <f t="shared" si="4"/>
        <v>0</v>
      </c>
      <c r="E27" s="37" t="str">
        <f t="shared" si="5"/>
        <v>0_0</v>
      </c>
      <c r="F27" s="90" t="str">
        <f>'Team Info'!$B$8</f>
        <v>VANDERBILT</v>
      </c>
      <c r="G27" s="38">
        <v>1</v>
      </c>
      <c r="H27" s="39" t="str">
        <f t="shared" si="6"/>
        <v>ON</v>
      </c>
    </row>
    <row r="28" spans="1:11">
      <c r="A28" s="38">
        <v>7</v>
      </c>
      <c r="B28" s="37">
        <f t="shared" si="7"/>
        <v>88007</v>
      </c>
      <c r="C28" s="37">
        <f t="shared" si="3"/>
        <v>0</v>
      </c>
      <c r="D28" s="37">
        <f t="shared" si="4"/>
        <v>0</v>
      </c>
      <c r="E28" s="37" t="str">
        <f t="shared" si="5"/>
        <v>0_0</v>
      </c>
      <c r="F28" s="90" t="str">
        <f>'Team Info'!$B$8</f>
        <v>VANDERBILT</v>
      </c>
      <c r="G28" s="38">
        <v>1</v>
      </c>
      <c r="H28" s="39" t="str">
        <f t="shared" si="6"/>
        <v>ON</v>
      </c>
    </row>
    <row r="29" spans="1:11">
      <c r="A29" s="38">
        <v>8</v>
      </c>
      <c r="B29" s="37">
        <f t="shared" si="7"/>
        <v>88008</v>
      </c>
      <c r="C29" s="37">
        <f t="shared" si="3"/>
        <v>0</v>
      </c>
      <c r="D29" s="37">
        <f t="shared" si="4"/>
        <v>0</v>
      </c>
      <c r="E29" s="37" t="str">
        <f t="shared" si="5"/>
        <v>0_0</v>
      </c>
      <c r="F29" s="90" t="str">
        <f>'Team Info'!$B$8</f>
        <v>VANDERBILT</v>
      </c>
      <c r="G29" s="38">
        <v>1</v>
      </c>
      <c r="H29" s="39" t="str">
        <f t="shared" si="6"/>
        <v>ON</v>
      </c>
    </row>
    <row r="30" spans="1:11">
      <c r="A30" s="38">
        <v>9</v>
      </c>
      <c r="B30" s="37">
        <f t="shared" si="7"/>
        <v>88009</v>
      </c>
      <c r="C30" s="37">
        <f t="shared" si="3"/>
        <v>0</v>
      </c>
      <c r="D30" s="37">
        <f t="shared" si="4"/>
        <v>0</v>
      </c>
      <c r="E30" s="37" t="str">
        <f t="shared" si="5"/>
        <v>0_0</v>
      </c>
      <c r="F30" s="90" t="str">
        <f>'Team Info'!$B$8</f>
        <v>VANDERBILT</v>
      </c>
      <c r="G30" s="38">
        <v>1</v>
      </c>
      <c r="H30" s="39" t="str">
        <f t="shared" si="6"/>
        <v>ON</v>
      </c>
    </row>
    <row r="31" spans="1:11">
      <c r="A31" s="38">
        <v>10</v>
      </c>
      <c r="B31" s="37">
        <f t="shared" si="7"/>
        <v>88010</v>
      </c>
      <c r="C31" s="37">
        <f t="shared" si="3"/>
        <v>0</v>
      </c>
      <c r="D31" s="37">
        <f t="shared" si="4"/>
        <v>0</v>
      </c>
      <c r="E31" s="37" t="str">
        <f t="shared" si="5"/>
        <v>0_0</v>
      </c>
      <c r="F31" s="90" t="str">
        <f>'Team Info'!$B$8</f>
        <v>VANDERBILT</v>
      </c>
      <c r="G31" s="38">
        <v>1</v>
      </c>
      <c r="H31" s="39" t="str">
        <f t="shared" si="6"/>
        <v>ON</v>
      </c>
    </row>
    <row r="32" spans="1:11">
      <c r="A32" s="38">
        <v>28</v>
      </c>
      <c r="B32" s="37">
        <f t="shared" si="7"/>
        <v>88011</v>
      </c>
      <c r="C32" s="37">
        <f t="shared" si="3"/>
        <v>0</v>
      </c>
      <c r="D32" s="37">
        <f t="shared" si="4"/>
        <v>0</v>
      </c>
      <c r="E32" s="37" t="str">
        <f t="shared" si="5"/>
        <v>0_0</v>
      </c>
      <c r="F32" s="90" t="str">
        <f>'Team Info'!$B$8</f>
        <v>VANDERBILT</v>
      </c>
      <c r="G32" s="38">
        <v>1</v>
      </c>
      <c r="H32" s="39" t="str">
        <f t="shared" si="6"/>
        <v>ON</v>
      </c>
    </row>
    <row r="33" spans="1:8">
      <c r="A33" s="38">
        <v>30</v>
      </c>
      <c r="B33" s="37">
        <f t="shared" si="7"/>
        <v>88012</v>
      </c>
      <c r="C33" s="37">
        <f t="shared" si="3"/>
        <v>0</v>
      </c>
      <c r="D33" s="37">
        <f t="shared" si="4"/>
        <v>0</v>
      </c>
      <c r="E33" s="37" t="str">
        <f t="shared" si="5"/>
        <v>0_0</v>
      </c>
      <c r="F33" s="90" t="str">
        <f>'Team Info'!$B$8</f>
        <v>VANDERBILT</v>
      </c>
      <c r="G33" s="38">
        <v>1</v>
      </c>
      <c r="H33" s="39" t="str">
        <f t="shared" si="6"/>
        <v>ON</v>
      </c>
    </row>
    <row r="34" spans="1:8">
      <c r="A34" s="38">
        <v>35</v>
      </c>
      <c r="B34" s="37">
        <f t="shared" si="7"/>
        <v>88013</v>
      </c>
      <c r="C34" s="37">
        <f t="shared" si="3"/>
        <v>0</v>
      </c>
      <c r="D34" s="37">
        <f t="shared" si="4"/>
        <v>0</v>
      </c>
      <c r="E34" s="37" t="str">
        <f t="shared" si="5"/>
        <v>0_0</v>
      </c>
      <c r="F34" s="90" t="str">
        <f>'Team Info'!$B$8</f>
        <v>VANDERBILT</v>
      </c>
      <c r="G34" s="38">
        <v>1</v>
      </c>
      <c r="H34" s="39" t="str">
        <f t="shared" si="6"/>
        <v>ON</v>
      </c>
    </row>
    <row r="35" spans="1:8">
      <c r="A35" s="38">
        <v>40</v>
      </c>
      <c r="B35" s="37">
        <f t="shared" si="7"/>
        <v>88014</v>
      </c>
      <c r="C35" s="37">
        <f t="shared" si="3"/>
        <v>0</v>
      </c>
      <c r="D35" s="37">
        <f t="shared" si="4"/>
        <v>0</v>
      </c>
      <c r="E35" s="37" t="str">
        <f t="shared" si="5"/>
        <v>0_0</v>
      </c>
      <c r="F35" s="90" t="str">
        <f>'Team Info'!$B$8</f>
        <v>VANDERBILT</v>
      </c>
      <c r="G35" s="38">
        <v>1</v>
      </c>
      <c r="H35" s="39" t="str">
        <f t="shared" si="6"/>
        <v>ON</v>
      </c>
    </row>
    <row r="36" spans="1:8">
      <c r="A36" s="38">
        <v>85</v>
      </c>
      <c r="B36" s="37">
        <f t="shared" si="7"/>
        <v>88015</v>
      </c>
      <c r="C36" s="37">
        <f t="shared" si="3"/>
        <v>0</v>
      </c>
      <c r="D36" s="37">
        <f t="shared" si="4"/>
        <v>0</v>
      </c>
      <c r="E36" s="37" t="str">
        <f t="shared" si="5"/>
        <v>0_0</v>
      </c>
      <c r="F36" s="90" t="str">
        <f>'Team Info'!$B$8</f>
        <v>VANDERBILT</v>
      </c>
      <c r="G36" s="38">
        <v>1</v>
      </c>
      <c r="H36" s="39" t="str">
        <f t="shared" si="6"/>
        <v>ON</v>
      </c>
    </row>
    <row r="37" spans="1:8">
      <c r="B37" s="97" t="s">
        <v>324</v>
      </c>
      <c r="C37" s="98"/>
      <c r="D37" s="98"/>
      <c r="E37" s="69" t="s">
        <v>325</v>
      </c>
    </row>
  </sheetData>
  <customSheetViews>
    <customSheetView guid="{706B170E-5520-469F-B13E-35DA6E3D1646}" scale="90" hiddenColumns="1">
      <selection activeCell="D5" sqref="D5"/>
      <pageMargins left="0" right="0" top="0" bottom="0" header="0" footer="0"/>
      <pageSetup orientation="portrait" useFirstPageNumber="1" horizontalDpi="300" verticalDpi="300"/>
    </customSheetView>
    <customSheetView guid="{88E4902B-1443-461B-A72D-73CDB04FDAA8}" scale="90" hiddenColumns="1">
      <selection activeCell="D5" sqref="D5"/>
      <pageMargins left="0" right="0" top="0" bottom="0" header="0" footer="0"/>
      <pageSetup orientation="portrait" useFirstPageNumber="1" horizontalDpi="300" verticalDpi="300"/>
    </customSheetView>
    <customSheetView guid="{1D9A851A-AB00-4F5F-A9E8-E1D0DD45E8C9}" scale="90" hiddenColumns="1">
      <selection activeCell="D5" sqref="D5"/>
      <pageMargins left="0" right="0" top="0" bottom="0" header="0" footer="0"/>
      <pageSetup orientation="portrait" useFirstPageNumber="1" horizontalDpi="300" verticalDpi="300"/>
    </customSheetView>
    <customSheetView guid="{70533415-B255-4E4B-BD1B-222113DCA8F8}" scale="90" hiddenColumns="1">
      <selection activeCell="D5" sqref="D5"/>
      <pageMargins left="0" right="0" top="0" bottom="0" header="0" footer="0"/>
      <pageSetup orientation="portrait" useFirstPageNumber="1" horizontalDpi="300" verticalDpi="300"/>
    </customSheetView>
  </customSheetViews>
  <mergeCells count="20">
    <mergeCell ref="G2:H2"/>
    <mergeCell ref="G3:H3"/>
    <mergeCell ref="G4:H4"/>
    <mergeCell ref="G5:H5"/>
    <mergeCell ref="G6:H6"/>
    <mergeCell ref="B18:D18"/>
    <mergeCell ref="B37:D37"/>
    <mergeCell ref="A20:D20"/>
    <mergeCell ref="A1:D1"/>
    <mergeCell ref="G17:H17"/>
    <mergeCell ref="G12:H12"/>
    <mergeCell ref="G13:H13"/>
    <mergeCell ref="G14:H14"/>
    <mergeCell ref="G15:H15"/>
    <mergeCell ref="G16:H16"/>
    <mergeCell ref="G7:H7"/>
    <mergeCell ref="G8:H8"/>
    <mergeCell ref="G9:H9"/>
    <mergeCell ref="G10:H10"/>
    <mergeCell ref="G11:H11"/>
  </mergeCells>
  <dataValidations count="1">
    <dataValidation type="list" allowBlank="1" showInputMessage="1" showErrorMessage="1" sqref="G22:G36" xr:uid="{00000000-0002-0000-0800-000000000000}">
      <formula1>$J$22:$J$24</formula1>
      <formula2>0</formula2>
    </dataValidation>
  </dataValidations>
  <pageMargins left="0.7" right="0.7" top="0.75" bottom="0.75" header="0.51180555555555496" footer="0.51180555555555496"/>
  <pageSetup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2"/>
  <sheetViews>
    <sheetView zoomScale="90" zoomScaleNormal="90" workbookViewId="0">
      <selection activeCell="E500" sqref="E500:G504"/>
    </sheetView>
  </sheetViews>
  <sheetFormatPr defaultRowHeight="14.45"/>
  <cols>
    <col min="1" max="1" width="32.7109375" customWidth="1"/>
    <col min="2" max="2" width="2.7109375" customWidth="1"/>
    <col min="3" max="3" width="32.7109375" customWidth="1"/>
    <col min="4" max="4" width="2.7109375" customWidth="1"/>
    <col min="5" max="5" width="60.28515625" customWidth="1"/>
    <col min="6" max="1025" width="8.42578125" customWidth="1"/>
  </cols>
  <sheetData>
    <row r="1" spans="1:5">
      <c r="A1" s="1" t="s">
        <v>326</v>
      </c>
      <c r="C1" s="1" t="s">
        <v>327</v>
      </c>
      <c r="E1" s="1" t="s">
        <v>328</v>
      </c>
    </row>
    <row r="2" spans="1:5">
      <c r="A2" t="s">
        <v>329</v>
      </c>
      <c r="C2" t="s">
        <v>330</v>
      </c>
      <c r="E2" t="s">
        <v>331</v>
      </c>
    </row>
    <row r="3" spans="1:5">
      <c r="A3" t="s">
        <v>332</v>
      </c>
      <c r="C3" t="s">
        <v>333</v>
      </c>
      <c r="E3" t="s">
        <v>334</v>
      </c>
    </row>
    <row r="4" spans="1:5">
      <c r="A4" t="s">
        <v>335</v>
      </c>
      <c r="C4" t="s">
        <v>336</v>
      </c>
      <c r="E4" t="s">
        <v>270</v>
      </c>
    </row>
    <row r="5" spans="1:5">
      <c r="A5" t="s">
        <v>337</v>
      </c>
      <c r="C5" t="s">
        <v>338</v>
      </c>
      <c r="E5" t="s">
        <v>339</v>
      </c>
    </row>
    <row r="6" spans="1:5">
      <c r="A6" t="s">
        <v>340</v>
      </c>
      <c r="C6" t="s">
        <v>341</v>
      </c>
      <c r="E6" t="s">
        <v>342</v>
      </c>
    </row>
    <row r="7" spans="1:5">
      <c r="A7" t="s">
        <v>343</v>
      </c>
      <c r="C7" t="s">
        <v>344</v>
      </c>
      <c r="E7" t="s">
        <v>345</v>
      </c>
    </row>
    <row r="8" spans="1:5">
      <c r="A8" t="s">
        <v>346</v>
      </c>
      <c r="C8" t="s">
        <v>347</v>
      </c>
      <c r="E8" t="s">
        <v>348</v>
      </c>
    </row>
    <row r="9" spans="1:5">
      <c r="A9" t="s">
        <v>349</v>
      </c>
      <c r="C9" t="s">
        <v>350</v>
      </c>
      <c r="E9" t="s">
        <v>351</v>
      </c>
    </row>
    <row r="10" spans="1:5">
      <c r="A10" t="s">
        <v>352</v>
      </c>
      <c r="C10" t="s">
        <v>353</v>
      </c>
      <c r="E10" t="s">
        <v>354</v>
      </c>
    </row>
    <row r="11" spans="1:5">
      <c r="A11" t="s">
        <v>355</v>
      </c>
      <c r="C11" t="s">
        <v>356</v>
      </c>
      <c r="E11" t="s">
        <v>357</v>
      </c>
    </row>
    <row r="12" spans="1:5">
      <c r="A12" t="s">
        <v>358</v>
      </c>
      <c r="C12" t="s">
        <v>359</v>
      </c>
      <c r="E12" t="s">
        <v>295</v>
      </c>
    </row>
    <row r="13" spans="1:5">
      <c r="A13" t="s">
        <v>360</v>
      </c>
      <c r="C13" t="s">
        <v>361</v>
      </c>
      <c r="E13" t="s">
        <v>362</v>
      </c>
    </row>
    <row r="14" spans="1:5">
      <c r="A14" t="s">
        <v>363</v>
      </c>
      <c r="C14" t="s">
        <v>364</v>
      </c>
      <c r="E14" t="s">
        <v>365</v>
      </c>
    </row>
    <row r="15" spans="1:5">
      <c r="A15" t="s">
        <v>366</v>
      </c>
      <c r="C15" t="s">
        <v>367</v>
      </c>
      <c r="E15" t="s">
        <v>368</v>
      </c>
    </row>
    <row r="16" spans="1:5">
      <c r="A16" t="s">
        <v>369</v>
      </c>
      <c r="C16" t="s">
        <v>370</v>
      </c>
      <c r="E16" t="s">
        <v>371</v>
      </c>
    </row>
    <row r="17" spans="1:5">
      <c r="A17" t="s">
        <v>372</v>
      </c>
      <c r="C17" t="s">
        <v>373</v>
      </c>
      <c r="E17" t="s">
        <v>374</v>
      </c>
    </row>
    <row r="18" spans="1:5">
      <c r="A18" t="s">
        <v>375</v>
      </c>
      <c r="C18" t="s">
        <v>376</v>
      </c>
      <c r="E18" t="s">
        <v>377</v>
      </c>
    </row>
    <row r="19" spans="1:5">
      <c r="A19" t="s">
        <v>378</v>
      </c>
      <c r="C19" t="s">
        <v>379</v>
      </c>
      <c r="E19" t="s">
        <v>380</v>
      </c>
    </row>
    <row r="20" spans="1:5">
      <c r="A20" t="s">
        <v>381</v>
      </c>
      <c r="C20" t="s">
        <v>382</v>
      </c>
      <c r="E20" t="s">
        <v>383</v>
      </c>
    </row>
    <row r="21" spans="1:5">
      <c r="A21" t="s">
        <v>384</v>
      </c>
      <c r="C21" t="s">
        <v>385</v>
      </c>
      <c r="E21" t="s">
        <v>386</v>
      </c>
    </row>
    <row r="22" spans="1:5">
      <c r="A22" t="s">
        <v>387</v>
      </c>
      <c r="C22" t="s">
        <v>388</v>
      </c>
      <c r="E22" t="s">
        <v>389</v>
      </c>
    </row>
    <row r="23" spans="1:5">
      <c r="A23" t="s">
        <v>390</v>
      </c>
      <c r="E23" t="s">
        <v>391</v>
      </c>
    </row>
    <row r="24" spans="1:5">
      <c r="A24" t="s">
        <v>392</v>
      </c>
      <c r="E24" t="s">
        <v>393</v>
      </c>
    </row>
    <row r="25" spans="1:5">
      <c r="A25" t="s">
        <v>394</v>
      </c>
      <c r="E25" t="s">
        <v>395</v>
      </c>
    </row>
    <row r="26" spans="1:5">
      <c r="A26" t="s">
        <v>396</v>
      </c>
      <c r="E26" t="s">
        <v>397</v>
      </c>
    </row>
    <row r="27" spans="1:5">
      <c r="A27" t="s">
        <v>398</v>
      </c>
      <c r="E27" t="s">
        <v>399</v>
      </c>
    </row>
    <row r="28" spans="1:5">
      <c r="A28" t="s">
        <v>400</v>
      </c>
    </row>
    <row r="29" spans="1:5">
      <c r="A29" t="s">
        <v>401</v>
      </c>
      <c r="E29" t="s">
        <v>402</v>
      </c>
    </row>
    <row r="30" spans="1:5">
      <c r="A30" t="s">
        <v>403</v>
      </c>
      <c r="E30" t="s">
        <v>404</v>
      </c>
    </row>
    <row r="31" spans="1:5">
      <c r="A31" t="s">
        <v>405</v>
      </c>
      <c r="E31" t="s">
        <v>406</v>
      </c>
    </row>
    <row r="32" spans="1:5">
      <c r="A32" t="s">
        <v>407</v>
      </c>
      <c r="E32" t="s">
        <v>408</v>
      </c>
    </row>
    <row r="33" spans="1:5">
      <c r="A33" t="s">
        <v>409</v>
      </c>
      <c r="E33" t="s">
        <v>410</v>
      </c>
    </row>
    <row r="34" spans="1:5">
      <c r="A34" t="s">
        <v>411</v>
      </c>
      <c r="E34" t="s">
        <v>412</v>
      </c>
    </row>
    <row r="35" spans="1:5">
      <c r="A35" t="s">
        <v>413</v>
      </c>
      <c r="E35" t="s">
        <v>414</v>
      </c>
    </row>
    <row r="36" spans="1:5">
      <c r="A36" t="s">
        <v>415</v>
      </c>
      <c r="E36" t="s">
        <v>416</v>
      </c>
    </row>
    <row r="37" spans="1:5">
      <c r="A37" t="s">
        <v>417</v>
      </c>
      <c r="E37" t="s">
        <v>418</v>
      </c>
    </row>
    <row r="38" spans="1:5">
      <c r="A38" t="s">
        <v>419</v>
      </c>
      <c r="E38" t="s">
        <v>420</v>
      </c>
    </row>
    <row r="39" spans="1:5">
      <c r="A39" t="s">
        <v>421</v>
      </c>
      <c r="E39" t="s">
        <v>422</v>
      </c>
    </row>
    <row r="40" spans="1:5">
      <c r="A40" t="s">
        <v>423</v>
      </c>
      <c r="E40" t="s">
        <v>424</v>
      </c>
    </row>
    <row r="41" spans="1:5">
      <c r="A41" t="s">
        <v>425</v>
      </c>
      <c r="E41" t="s">
        <v>426</v>
      </c>
    </row>
    <row r="42" spans="1:5">
      <c r="A42" t="s">
        <v>427</v>
      </c>
      <c r="E42" t="s">
        <v>428</v>
      </c>
    </row>
    <row r="43" spans="1:5">
      <c r="A43" t="s">
        <v>429</v>
      </c>
      <c r="E43" t="s">
        <v>430</v>
      </c>
    </row>
    <row r="44" spans="1:5">
      <c r="A44" t="s">
        <v>431</v>
      </c>
      <c r="E44" t="s">
        <v>432</v>
      </c>
    </row>
    <row r="45" spans="1:5">
      <c r="A45" t="s">
        <v>433</v>
      </c>
      <c r="E45" t="s">
        <v>434</v>
      </c>
    </row>
    <row r="46" spans="1:5">
      <c r="A46" t="s">
        <v>435</v>
      </c>
      <c r="E46" t="s">
        <v>436</v>
      </c>
    </row>
    <row r="47" spans="1:5">
      <c r="A47" t="s">
        <v>437</v>
      </c>
      <c r="E47" t="s">
        <v>438</v>
      </c>
    </row>
    <row r="48" spans="1:5">
      <c r="A48" t="s">
        <v>439</v>
      </c>
      <c r="E48" t="s">
        <v>440</v>
      </c>
    </row>
    <row r="49" spans="1:5">
      <c r="A49" t="s">
        <v>441</v>
      </c>
      <c r="E49" t="s">
        <v>442</v>
      </c>
    </row>
    <row r="50" spans="1:5">
      <c r="A50" t="s">
        <v>443</v>
      </c>
      <c r="E50" t="s">
        <v>444</v>
      </c>
    </row>
    <row r="51" spans="1:5">
      <c r="A51" t="s">
        <v>445</v>
      </c>
      <c r="E51" t="s">
        <v>446</v>
      </c>
    </row>
    <row r="52" spans="1:5">
      <c r="A52" t="s">
        <v>447</v>
      </c>
      <c r="E52" t="s">
        <v>448</v>
      </c>
    </row>
    <row r="53" spans="1:5">
      <c r="A53" t="s">
        <v>449</v>
      </c>
      <c r="E53" t="s">
        <v>450</v>
      </c>
    </row>
    <row r="54" spans="1:5">
      <c r="A54" t="s">
        <v>451</v>
      </c>
      <c r="E54" t="s">
        <v>452</v>
      </c>
    </row>
    <row r="55" spans="1:5">
      <c r="A55" t="s">
        <v>453</v>
      </c>
      <c r="E55" t="s">
        <v>454</v>
      </c>
    </row>
    <row r="56" spans="1:5">
      <c r="A56" t="s">
        <v>455</v>
      </c>
      <c r="E56" t="s">
        <v>456</v>
      </c>
    </row>
    <row r="57" spans="1:5">
      <c r="A57" t="s">
        <v>457</v>
      </c>
      <c r="E57" t="s">
        <v>458</v>
      </c>
    </row>
    <row r="58" spans="1:5">
      <c r="A58" t="s">
        <v>459</v>
      </c>
      <c r="E58" t="s">
        <v>460</v>
      </c>
    </row>
    <row r="59" spans="1:5">
      <c r="A59" t="s">
        <v>461</v>
      </c>
      <c r="E59" t="s">
        <v>462</v>
      </c>
    </row>
    <row r="60" spans="1:5">
      <c r="A60" t="s">
        <v>463</v>
      </c>
      <c r="E60" t="s">
        <v>464</v>
      </c>
    </row>
    <row r="61" spans="1:5">
      <c r="A61" t="s">
        <v>465</v>
      </c>
      <c r="E61" t="s">
        <v>466</v>
      </c>
    </row>
    <row r="62" spans="1:5">
      <c r="A62" t="s">
        <v>467</v>
      </c>
      <c r="E62" t="s">
        <v>468</v>
      </c>
    </row>
    <row r="63" spans="1:5">
      <c r="A63" t="s">
        <v>469</v>
      </c>
      <c r="E63" t="s">
        <v>470</v>
      </c>
    </row>
    <row r="64" spans="1:5">
      <c r="A64" t="s">
        <v>471</v>
      </c>
      <c r="E64" t="s">
        <v>472</v>
      </c>
    </row>
    <row r="65" spans="1:5">
      <c r="A65" t="s">
        <v>473</v>
      </c>
      <c r="E65" t="s">
        <v>474</v>
      </c>
    </row>
    <row r="66" spans="1:5">
      <c r="A66" t="s">
        <v>475</v>
      </c>
      <c r="E66" t="s">
        <v>476</v>
      </c>
    </row>
    <row r="67" spans="1:5">
      <c r="A67" t="s">
        <v>477</v>
      </c>
      <c r="E67" t="s">
        <v>478</v>
      </c>
    </row>
    <row r="68" spans="1:5">
      <c r="A68" t="s">
        <v>479</v>
      </c>
      <c r="E68" t="s">
        <v>480</v>
      </c>
    </row>
    <row r="69" spans="1:5">
      <c r="A69" t="s">
        <v>481</v>
      </c>
      <c r="E69" t="s">
        <v>482</v>
      </c>
    </row>
    <row r="70" spans="1:5">
      <c r="A70" t="s">
        <v>483</v>
      </c>
      <c r="E70" t="s">
        <v>484</v>
      </c>
    </row>
    <row r="71" spans="1:5">
      <c r="A71" t="s">
        <v>485</v>
      </c>
      <c r="E71" t="s">
        <v>486</v>
      </c>
    </row>
    <row r="72" spans="1:5">
      <c r="A72" t="s">
        <v>487</v>
      </c>
      <c r="E72" t="s">
        <v>488</v>
      </c>
    </row>
    <row r="73" spans="1:5">
      <c r="A73" t="s">
        <v>489</v>
      </c>
      <c r="E73" t="s">
        <v>490</v>
      </c>
    </row>
    <row r="74" spans="1:5">
      <c r="A74" t="s">
        <v>491</v>
      </c>
      <c r="E74" t="s">
        <v>492</v>
      </c>
    </row>
    <row r="75" spans="1:5">
      <c r="A75" t="s">
        <v>493</v>
      </c>
      <c r="E75" t="s">
        <v>494</v>
      </c>
    </row>
    <row r="76" spans="1:5">
      <c r="A76" t="s">
        <v>495</v>
      </c>
      <c r="E76" t="s">
        <v>496</v>
      </c>
    </row>
    <row r="77" spans="1:5">
      <c r="A77" t="s">
        <v>497</v>
      </c>
      <c r="E77" t="s">
        <v>498</v>
      </c>
    </row>
    <row r="78" spans="1:5">
      <c r="A78" t="s">
        <v>499</v>
      </c>
      <c r="E78" t="s">
        <v>500</v>
      </c>
    </row>
    <row r="79" spans="1:5">
      <c r="A79" t="s">
        <v>501</v>
      </c>
      <c r="E79" t="s">
        <v>502</v>
      </c>
    </row>
    <row r="80" spans="1:5">
      <c r="A80" t="s">
        <v>503</v>
      </c>
      <c r="E80" t="s">
        <v>504</v>
      </c>
    </row>
    <row r="81" spans="1:5">
      <c r="A81" t="s">
        <v>505</v>
      </c>
      <c r="E81" t="s">
        <v>506</v>
      </c>
    </row>
    <row r="82" spans="1:5">
      <c r="A82" t="s">
        <v>507</v>
      </c>
      <c r="E82" t="s">
        <v>508</v>
      </c>
    </row>
    <row r="83" spans="1:5">
      <c r="A83" t="s">
        <v>509</v>
      </c>
      <c r="E83" t="s">
        <v>510</v>
      </c>
    </row>
    <row r="84" spans="1:5">
      <c r="A84" t="s">
        <v>511</v>
      </c>
      <c r="E84" t="s">
        <v>512</v>
      </c>
    </row>
    <row r="85" spans="1:5">
      <c r="A85" t="s">
        <v>513</v>
      </c>
      <c r="E85" t="s">
        <v>514</v>
      </c>
    </row>
    <row r="86" spans="1:5">
      <c r="A86" t="s">
        <v>515</v>
      </c>
      <c r="E86" t="s">
        <v>516</v>
      </c>
    </row>
    <row r="87" spans="1:5">
      <c r="A87" t="s">
        <v>517</v>
      </c>
      <c r="E87" t="s">
        <v>518</v>
      </c>
    </row>
    <row r="88" spans="1:5">
      <c r="A88" t="s">
        <v>519</v>
      </c>
      <c r="E88" t="s">
        <v>520</v>
      </c>
    </row>
    <row r="89" spans="1:5">
      <c r="A89" t="s">
        <v>521</v>
      </c>
      <c r="E89" t="s">
        <v>522</v>
      </c>
    </row>
    <row r="90" spans="1:5">
      <c r="A90" t="s">
        <v>523</v>
      </c>
      <c r="E90" t="s">
        <v>524</v>
      </c>
    </row>
    <row r="91" spans="1:5">
      <c r="A91" t="s">
        <v>525</v>
      </c>
      <c r="E91" t="s">
        <v>526</v>
      </c>
    </row>
    <row r="92" spans="1:5">
      <c r="A92" t="s">
        <v>527</v>
      </c>
      <c r="E92" t="s">
        <v>528</v>
      </c>
    </row>
    <row r="93" spans="1:5">
      <c r="A93" t="s">
        <v>529</v>
      </c>
      <c r="E93" t="s">
        <v>530</v>
      </c>
    </row>
    <row r="94" spans="1:5">
      <c r="A94" t="s">
        <v>531</v>
      </c>
      <c r="E94" t="s">
        <v>532</v>
      </c>
    </row>
    <row r="95" spans="1:5">
      <c r="A95" t="s">
        <v>533</v>
      </c>
      <c r="E95" t="s">
        <v>534</v>
      </c>
    </row>
    <row r="96" spans="1:5">
      <c r="A96" t="s">
        <v>303</v>
      </c>
      <c r="E96" t="s">
        <v>535</v>
      </c>
    </row>
    <row r="97" spans="1:5">
      <c r="A97" t="s">
        <v>536</v>
      </c>
      <c r="E97" t="s">
        <v>537</v>
      </c>
    </row>
    <row r="98" spans="1:5">
      <c r="A98" t="s">
        <v>538</v>
      </c>
      <c r="E98" t="s">
        <v>539</v>
      </c>
    </row>
    <row r="99" spans="1:5">
      <c r="A99" t="s">
        <v>540</v>
      </c>
      <c r="E99" t="s">
        <v>541</v>
      </c>
    </row>
    <row r="100" spans="1:5">
      <c r="A100" t="s">
        <v>542</v>
      </c>
      <c r="E100" t="s">
        <v>543</v>
      </c>
    </row>
    <row r="101" spans="1:5">
      <c r="A101" t="s">
        <v>544</v>
      </c>
      <c r="E101" t="s">
        <v>545</v>
      </c>
    </row>
    <row r="102" spans="1:5">
      <c r="A102" t="s">
        <v>546</v>
      </c>
      <c r="E102" t="s">
        <v>547</v>
      </c>
    </row>
    <row r="103" spans="1:5">
      <c r="A103" t="s">
        <v>548</v>
      </c>
      <c r="E103" t="s">
        <v>549</v>
      </c>
    </row>
    <row r="104" spans="1:5">
      <c r="A104" t="s">
        <v>550</v>
      </c>
      <c r="E104" t="s">
        <v>551</v>
      </c>
    </row>
    <row r="105" spans="1:5">
      <c r="A105" t="s">
        <v>552</v>
      </c>
      <c r="E105" t="s">
        <v>553</v>
      </c>
    </row>
    <row r="106" spans="1:5">
      <c r="A106" t="s">
        <v>554</v>
      </c>
      <c r="E106" t="s">
        <v>555</v>
      </c>
    </row>
    <row r="107" spans="1:5">
      <c r="A107" t="s">
        <v>556</v>
      </c>
      <c r="E107" t="s">
        <v>557</v>
      </c>
    </row>
    <row r="108" spans="1:5">
      <c r="A108" t="s">
        <v>558</v>
      </c>
      <c r="E108" t="s">
        <v>559</v>
      </c>
    </row>
    <row r="109" spans="1:5">
      <c r="A109" t="s">
        <v>560</v>
      </c>
      <c r="E109" t="s">
        <v>561</v>
      </c>
    </row>
    <row r="110" spans="1:5">
      <c r="A110" t="s">
        <v>562</v>
      </c>
      <c r="E110" t="s">
        <v>563</v>
      </c>
    </row>
    <row r="111" spans="1:5">
      <c r="A111" t="s">
        <v>564</v>
      </c>
      <c r="E111" t="s">
        <v>565</v>
      </c>
    </row>
    <row r="112" spans="1:5">
      <c r="A112" t="s">
        <v>566</v>
      </c>
      <c r="E112" t="s">
        <v>567</v>
      </c>
    </row>
    <row r="113" spans="1:5">
      <c r="A113" t="s">
        <v>568</v>
      </c>
      <c r="E113" t="s">
        <v>569</v>
      </c>
    </row>
    <row r="114" spans="1:5">
      <c r="A114" t="s">
        <v>570</v>
      </c>
      <c r="E114" t="s">
        <v>571</v>
      </c>
    </row>
    <row r="115" spans="1:5">
      <c r="A115" t="s">
        <v>572</v>
      </c>
      <c r="E115" t="s">
        <v>573</v>
      </c>
    </row>
    <row r="116" spans="1:5">
      <c r="A116" t="s">
        <v>574</v>
      </c>
      <c r="E116" t="s">
        <v>575</v>
      </c>
    </row>
    <row r="117" spans="1:5">
      <c r="A117" t="s">
        <v>576</v>
      </c>
      <c r="E117" t="s">
        <v>577</v>
      </c>
    </row>
    <row r="118" spans="1:5">
      <c r="A118" t="s">
        <v>578</v>
      </c>
      <c r="E118" t="s">
        <v>579</v>
      </c>
    </row>
    <row r="119" spans="1:5">
      <c r="A119" t="s">
        <v>580</v>
      </c>
      <c r="E119" t="s">
        <v>581</v>
      </c>
    </row>
    <row r="120" spans="1:5">
      <c r="A120" t="s">
        <v>582</v>
      </c>
      <c r="E120" t="s">
        <v>583</v>
      </c>
    </row>
    <row r="121" spans="1:5">
      <c r="A121" t="s">
        <v>584</v>
      </c>
      <c r="E121" t="s">
        <v>585</v>
      </c>
    </row>
    <row r="122" spans="1:5">
      <c r="A122" t="s">
        <v>586</v>
      </c>
      <c r="E122" t="s">
        <v>587</v>
      </c>
    </row>
    <row r="123" spans="1:5">
      <c r="A123" t="s">
        <v>588</v>
      </c>
      <c r="E123" t="s">
        <v>589</v>
      </c>
    </row>
    <row r="124" spans="1:5">
      <c r="A124" t="s">
        <v>590</v>
      </c>
      <c r="E124" t="s">
        <v>591</v>
      </c>
    </row>
    <row r="125" spans="1:5">
      <c r="A125" t="s">
        <v>592</v>
      </c>
      <c r="E125" t="s">
        <v>593</v>
      </c>
    </row>
    <row r="126" spans="1:5">
      <c r="A126" t="s">
        <v>594</v>
      </c>
      <c r="E126" t="s">
        <v>595</v>
      </c>
    </row>
    <row r="127" spans="1:5">
      <c r="A127" t="s">
        <v>596</v>
      </c>
      <c r="E127" t="s">
        <v>597</v>
      </c>
    </row>
    <row r="128" spans="1:5">
      <c r="A128" t="s">
        <v>598</v>
      </c>
      <c r="E128" t="s">
        <v>599</v>
      </c>
    </row>
    <row r="129" spans="1:5">
      <c r="A129" t="s">
        <v>600</v>
      </c>
      <c r="E129" t="s">
        <v>601</v>
      </c>
    </row>
    <row r="130" spans="1:5">
      <c r="A130" t="s">
        <v>602</v>
      </c>
      <c r="E130" t="s">
        <v>603</v>
      </c>
    </row>
    <row r="131" spans="1:5">
      <c r="A131" t="s">
        <v>604</v>
      </c>
      <c r="E131" t="s">
        <v>605</v>
      </c>
    </row>
    <row r="132" spans="1:5">
      <c r="A132" t="s">
        <v>606</v>
      </c>
      <c r="E132" t="s">
        <v>607</v>
      </c>
    </row>
    <row r="133" spans="1:5">
      <c r="A133" t="s">
        <v>608</v>
      </c>
      <c r="E133" t="s">
        <v>609</v>
      </c>
    </row>
    <row r="134" spans="1:5">
      <c r="A134" t="s">
        <v>610</v>
      </c>
      <c r="E134" t="s">
        <v>611</v>
      </c>
    </row>
    <row r="135" spans="1:5">
      <c r="A135" t="s">
        <v>612</v>
      </c>
      <c r="E135" t="s">
        <v>613</v>
      </c>
    </row>
    <row r="136" spans="1:5">
      <c r="A136" t="s">
        <v>614</v>
      </c>
      <c r="E136" t="s">
        <v>615</v>
      </c>
    </row>
    <row r="137" spans="1:5">
      <c r="A137" t="s">
        <v>616</v>
      </c>
      <c r="E137" t="s">
        <v>617</v>
      </c>
    </row>
    <row r="138" spans="1:5">
      <c r="A138" t="s">
        <v>618</v>
      </c>
      <c r="E138" t="s">
        <v>619</v>
      </c>
    </row>
    <row r="139" spans="1:5">
      <c r="A139" t="s">
        <v>620</v>
      </c>
      <c r="E139" t="s">
        <v>621</v>
      </c>
    </row>
    <row r="140" spans="1:5">
      <c r="A140" t="s">
        <v>622</v>
      </c>
      <c r="E140" t="s">
        <v>623</v>
      </c>
    </row>
    <row r="141" spans="1:5">
      <c r="A141" t="s">
        <v>624</v>
      </c>
      <c r="E141" t="s">
        <v>625</v>
      </c>
    </row>
    <row r="142" spans="1:5">
      <c r="A142" t="s">
        <v>626</v>
      </c>
      <c r="E142" t="s">
        <v>627</v>
      </c>
    </row>
    <row r="143" spans="1:5">
      <c r="A143" t="s">
        <v>628</v>
      </c>
      <c r="E143" t="s">
        <v>629</v>
      </c>
    </row>
    <row r="144" spans="1:5">
      <c r="A144" t="s">
        <v>630</v>
      </c>
      <c r="E144" t="s">
        <v>631</v>
      </c>
    </row>
    <row r="145" spans="1:5">
      <c r="A145" t="s">
        <v>632</v>
      </c>
      <c r="E145" t="s">
        <v>633</v>
      </c>
    </row>
    <row r="146" spans="1:5">
      <c r="A146" t="s">
        <v>634</v>
      </c>
      <c r="E146" t="s">
        <v>635</v>
      </c>
    </row>
    <row r="147" spans="1:5">
      <c r="A147" t="s">
        <v>636</v>
      </c>
      <c r="E147" t="s">
        <v>637</v>
      </c>
    </row>
    <row r="148" spans="1:5">
      <c r="A148" t="s">
        <v>638</v>
      </c>
      <c r="E148" t="s">
        <v>639</v>
      </c>
    </row>
    <row r="149" spans="1:5">
      <c r="A149" t="s">
        <v>640</v>
      </c>
      <c r="E149" t="s">
        <v>641</v>
      </c>
    </row>
    <row r="150" spans="1:5">
      <c r="A150" t="s">
        <v>642</v>
      </c>
      <c r="E150" t="s">
        <v>643</v>
      </c>
    </row>
    <row r="151" spans="1:5">
      <c r="A151" t="s">
        <v>644</v>
      </c>
      <c r="E151" t="s">
        <v>645</v>
      </c>
    </row>
    <row r="152" spans="1:5">
      <c r="A152" t="s">
        <v>646</v>
      </c>
      <c r="E152" t="s">
        <v>647</v>
      </c>
    </row>
    <row r="153" spans="1:5">
      <c r="A153" t="s">
        <v>648</v>
      </c>
      <c r="E153" t="s">
        <v>649</v>
      </c>
    </row>
    <row r="154" spans="1:5">
      <c r="A154" t="s">
        <v>650</v>
      </c>
      <c r="E154" t="s">
        <v>651</v>
      </c>
    </row>
    <row r="155" spans="1:5">
      <c r="A155" t="s">
        <v>652</v>
      </c>
      <c r="E155" t="s">
        <v>653</v>
      </c>
    </row>
    <row r="156" spans="1:5">
      <c r="A156" t="s">
        <v>654</v>
      </c>
      <c r="E156" t="s">
        <v>655</v>
      </c>
    </row>
    <row r="157" spans="1:5">
      <c r="A157" t="s">
        <v>656</v>
      </c>
      <c r="E157" t="s">
        <v>657</v>
      </c>
    </row>
    <row r="158" spans="1:5">
      <c r="A158" t="s">
        <v>658</v>
      </c>
      <c r="E158" t="s">
        <v>659</v>
      </c>
    </row>
    <row r="159" spans="1:5">
      <c r="A159" t="s">
        <v>660</v>
      </c>
      <c r="E159" t="s">
        <v>661</v>
      </c>
    </row>
    <row r="160" spans="1:5">
      <c r="A160" t="s">
        <v>662</v>
      </c>
      <c r="E160" t="s">
        <v>663</v>
      </c>
    </row>
    <row r="161" spans="1:5">
      <c r="A161" t="s">
        <v>664</v>
      </c>
      <c r="E161" t="s">
        <v>665</v>
      </c>
    </row>
    <row r="162" spans="1:5">
      <c r="A162" t="s">
        <v>666</v>
      </c>
      <c r="E162" t="s">
        <v>667</v>
      </c>
    </row>
    <row r="163" spans="1:5">
      <c r="A163" t="s">
        <v>668</v>
      </c>
      <c r="E163" t="s">
        <v>669</v>
      </c>
    </row>
    <row r="164" spans="1:5">
      <c r="A164" t="s">
        <v>670</v>
      </c>
      <c r="E164" t="s">
        <v>671</v>
      </c>
    </row>
    <row r="165" spans="1:5">
      <c r="A165" t="s">
        <v>672</v>
      </c>
      <c r="E165" t="s">
        <v>673</v>
      </c>
    </row>
    <row r="166" spans="1:5">
      <c r="A166" t="s">
        <v>674</v>
      </c>
      <c r="E166" t="s">
        <v>675</v>
      </c>
    </row>
    <row r="167" spans="1:5">
      <c r="A167" t="s">
        <v>676</v>
      </c>
      <c r="E167" t="s">
        <v>677</v>
      </c>
    </row>
    <row r="168" spans="1:5">
      <c r="A168" t="s">
        <v>678</v>
      </c>
      <c r="E168" t="s">
        <v>679</v>
      </c>
    </row>
    <row r="169" spans="1:5">
      <c r="A169" t="s">
        <v>680</v>
      </c>
      <c r="E169" t="s">
        <v>681</v>
      </c>
    </row>
    <row r="170" spans="1:5">
      <c r="A170" t="s">
        <v>682</v>
      </c>
      <c r="E170" t="s">
        <v>683</v>
      </c>
    </row>
    <row r="171" spans="1:5">
      <c r="A171" t="s">
        <v>684</v>
      </c>
      <c r="E171" t="s">
        <v>685</v>
      </c>
    </row>
    <row r="172" spans="1:5">
      <c r="A172" t="s">
        <v>686</v>
      </c>
      <c r="E172" t="s">
        <v>687</v>
      </c>
    </row>
    <row r="173" spans="1:5">
      <c r="A173" t="s">
        <v>688</v>
      </c>
      <c r="E173" t="s">
        <v>689</v>
      </c>
    </row>
    <row r="174" spans="1:5">
      <c r="A174" t="s">
        <v>690</v>
      </c>
      <c r="E174" t="s">
        <v>691</v>
      </c>
    </row>
    <row r="175" spans="1:5">
      <c r="A175" t="s">
        <v>692</v>
      </c>
      <c r="E175" t="s">
        <v>693</v>
      </c>
    </row>
    <row r="176" spans="1:5">
      <c r="A176" t="s">
        <v>694</v>
      </c>
      <c r="E176" t="s">
        <v>695</v>
      </c>
    </row>
    <row r="177" spans="1:5">
      <c r="A177" t="s">
        <v>696</v>
      </c>
      <c r="E177" t="s">
        <v>697</v>
      </c>
    </row>
    <row r="178" spans="1:5">
      <c r="A178" t="s">
        <v>698</v>
      </c>
      <c r="E178" t="s">
        <v>699</v>
      </c>
    </row>
    <row r="179" spans="1:5">
      <c r="A179" t="s">
        <v>700</v>
      </c>
      <c r="E179" t="s">
        <v>701</v>
      </c>
    </row>
    <row r="180" spans="1:5">
      <c r="A180" t="s">
        <v>702</v>
      </c>
      <c r="E180" t="s">
        <v>703</v>
      </c>
    </row>
    <row r="181" spans="1:5">
      <c r="A181" t="s">
        <v>704</v>
      </c>
      <c r="E181" t="s">
        <v>705</v>
      </c>
    </row>
    <row r="182" spans="1:5">
      <c r="A182" t="s">
        <v>706</v>
      </c>
      <c r="E182" t="s">
        <v>707</v>
      </c>
    </row>
    <row r="183" spans="1:5">
      <c r="A183" t="s">
        <v>708</v>
      </c>
      <c r="E183" t="s">
        <v>709</v>
      </c>
    </row>
    <row r="184" spans="1:5">
      <c r="A184" t="s">
        <v>710</v>
      </c>
      <c r="E184" t="s">
        <v>711</v>
      </c>
    </row>
    <row r="185" spans="1:5">
      <c r="A185" t="s">
        <v>712</v>
      </c>
      <c r="E185" t="s">
        <v>713</v>
      </c>
    </row>
    <row r="186" spans="1:5">
      <c r="A186" t="s">
        <v>714</v>
      </c>
      <c r="E186" t="s">
        <v>715</v>
      </c>
    </row>
    <row r="187" spans="1:5">
      <c r="A187" t="s">
        <v>716</v>
      </c>
      <c r="E187" t="s">
        <v>717</v>
      </c>
    </row>
    <row r="188" spans="1:5">
      <c r="A188" t="s">
        <v>718</v>
      </c>
      <c r="E188" t="s">
        <v>719</v>
      </c>
    </row>
    <row r="189" spans="1:5">
      <c r="A189" t="s">
        <v>720</v>
      </c>
      <c r="E189" t="s">
        <v>721</v>
      </c>
    </row>
    <row r="190" spans="1:5">
      <c r="A190" t="s">
        <v>722</v>
      </c>
      <c r="E190" t="s">
        <v>723</v>
      </c>
    </row>
    <row r="191" spans="1:5">
      <c r="A191" t="s">
        <v>724</v>
      </c>
      <c r="E191" t="s">
        <v>725</v>
      </c>
    </row>
    <row r="192" spans="1:5">
      <c r="A192" t="s">
        <v>726</v>
      </c>
      <c r="E192" t="s">
        <v>727</v>
      </c>
    </row>
    <row r="193" spans="1:5">
      <c r="A193" t="s">
        <v>728</v>
      </c>
      <c r="E193" t="s">
        <v>729</v>
      </c>
    </row>
    <row r="194" spans="1:5">
      <c r="A194" t="s">
        <v>730</v>
      </c>
      <c r="E194" t="s">
        <v>731</v>
      </c>
    </row>
    <row r="195" spans="1:5">
      <c r="A195" t="s">
        <v>732</v>
      </c>
      <c r="E195" t="s">
        <v>733</v>
      </c>
    </row>
    <row r="196" spans="1:5">
      <c r="A196" t="s">
        <v>734</v>
      </c>
      <c r="E196" t="s">
        <v>735</v>
      </c>
    </row>
    <row r="197" spans="1:5">
      <c r="A197" t="s">
        <v>736</v>
      </c>
      <c r="E197" t="s">
        <v>737</v>
      </c>
    </row>
    <row r="198" spans="1:5">
      <c r="A198" t="s">
        <v>738</v>
      </c>
      <c r="E198" t="s">
        <v>739</v>
      </c>
    </row>
    <row r="199" spans="1:5">
      <c r="A199" t="s">
        <v>740</v>
      </c>
      <c r="E199" t="s">
        <v>741</v>
      </c>
    </row>
    <row r="200" spans="1:5">
      <c r="A200" t="s">
        <v>742</v>
      </c>
      <c r="E200" t="s">
        <v>743</v>
      </c>
    </row>
    <row r="201" spans="1:5">
      <c r="A201" t="s">
        <v>744</v>
      </c>
      <c r="E201" t="s">
        <v>745</v>
      </c>
    </row>
    <row r="202" spans="1:5">
      <c r="A202" t="s">
        <v>746</v>
      </c>
      <c r="E202" t="s">
        <v>747</v>
      </c>
    </row>
    <row r="203" spans="1:5">
      <c r="A203" t="s">
        <v>748</v>
      </c>
      <c r="E203" t="s">
        <v>749</v>
      </c>
    </row>
    <row r="204" spans="1:5">
      <c r="A204" t="s">
        <v>750</v>
      </c>
      <c r="E204" t="s">
        <v>751</v>
      </c>
    </row>
    <row r="205" spans="1:5">
      <c r="A205" t="s">
        <v>752</v>
      </c>
      <c r="E205" t="s">
        <v>753</v>
      </c>
    </row>
    <row r="206" spans="1:5">
      <c r="A206" t="s">
        <v>754</v>
      </c>
      <c r="E206" t="s">
        <v>755</v>
      </c>
    </row>
    <row r="207" spans="1:5">
      <c r="A207" t="s">
        <v>756</v>
      </c>
      <c r="E207" t="s">
        <v>757</v>
      </c>
    </row>
    <row r="208" spans="1:5">
      <c r="A208" t="s">
        <v>758</v>
      </c>
      <c r="E208" t="s">
        <v>759</v>
      </c>
    </row>
    <row r="209" spans="1:5">
      <c r="A209" t="s">
        <v>760</v>
      </c>
      <c r="E209" t="s">
        <v>761</v>
      </c>
    </row>
    <row r="210" spans="1:5">
      <c r="A210" t="s">
        <v>762</v>
      </c>
      <c r="E210" t="s">
        <v>763</v>
      </c>
    </row>
    <row r="211" spans="1:5">
      <c r="A211" t="s">
        <v>764</v>
      </c>
      <c r="E211" t="s">
        <v>765</v>
      </c>
    </row>
    <row r="212" spans="1:5">
      <c r="A212" t="s">
        <v>766</v>
      </c>
      <c r="E212" t="s">
        <v>767</v>
      </c>
    </row>
    <row r="213" spans="1:5">
      <c r="A213" t="s">
        <v>768</v>
      </c>
      <c r="E213" t="s">
        <v>769</v>
      </c>
    </row>
    <row r="214" spans="1:5">
      <c r="A214" t="s">
        <v>770</v>
      </c>
      <c r="E214" t="s">
        <v>771</v>
      </c>
    </row>
    <row r="215" spans="1:5">
      <c r="A215" t="s">
        <v>772</v>
      </c>
      <c r="E215" t="s">
        <v>773</v>
      </c>
    </row>
    <row r="216" spans="1:5">
      <c r="A216" t="s">
        <v>774</v>
      </c>
      <c r="E216" t="s">
        <v>775</v>
      </c>
    </row>
    <row r="217" spans="1:5">
      <c r="A217" t="s">
        <v>776</v>
      </c>
      <c r="E217" t="s">
        <v>777</v>
      </c>
    </row>
    <row r="218" spans="1:5">
      <c r="A218" t="s">
        <v>778</v>
      </c>
      <c r="E218" t="s">
        <v>779</v>
      </c>
    </row>
    <row r="219" spans="1:5">
      <c r="A219" t="s">
        <v>780</v>
      </c>
      <c r="E219" t="s">
        <v>781</v>
      </c>
    </row>
    <row r="220" spans="1:5">
      <c r="A220" t="s">
        <v>782</v>
      </c>
      <c r="E220" t="s">
        <v>783</v>
      </c>
    </row>
    <row r="221" spans="1:5">
      <c r="A221" t="s">
        <v>784</v>
      </c>
      <c r="E221" t="s">
        <v>785</v>
      </c>
    </row>
    <row r="222" spans="1:5">
      <c r="A222" t="s">
        <v>786</v>
      </c>
      <c r="E222" t="s">
        <v>787</v>
      </c>
    </row>
    <row r="223" spans="1:5">
      <c r="A223" t="s">
        <v>788</v>
      </c>
      <c r="E223" t="s">
        <v>789</v>
      </c>
    </row>
    <row r="224" spans="1:5">
      <c r="A224" t="s">
        <v>790</v>
      </c>
      <c r="E224" t="s">
        <v>791</v>
      </c>
    </row>
    <row r="225" spans="1:5">
      <c r="A225" t="s">
        <v>792</v>
      </c>
      <c r="E225" t="s">
        <v>793</v>
      </c>
    </row>
    <row r="226" spans="1:5">
      <c r="A226" t="s">
        <v>794</v>
      </c>
      <c r="E226" t="s">
        <v>795</v>
      </c>
    </row>
    <row r="227" spans="1:5">
      <c r="A227" t="s">
        <v>796</v>
      </c>
      <c r="E227" t="s">
        <v>797</v>
      </c>
    </row>
    <row r="228" spans="1:5">
      <c r="A228" t="s">
        <v>798</v>
      </c>
      <c r="E228" t="s">
        <v>799</v>
      </c>
    </row>
    <row r="229" spans="1:5">
      <c r="A229" t="s">
        <v>800</v>
      </c>
      <c r="E229" t="s">
        <v>801</v>
      </c>
    </row>
    <row r="230" spans="1:5">
      <c r="A230" t="s">
        <v>802</v>
      </c>
      <c r="E230" t="s">
        <v>803</v>
      </c>
    </row>
    <row r="231" spans="1:5">
      <c r="A231" t="s">
        <v>804</v>
      </c>
      <c r="E231" t="s">
        <v>805</v>
      </c>
    </row>
    <row r="232" spans="1:5">
      <c r="A232" t="s">
        <v>806</v>
      </c>
      <c r="E232" t="s">
        <v>807</v>
      </c>
    </row>
    <row r="233" spans="1:5">
      <c r="A233" t="s">
        <v>808</v>
      </c>
      <c r="E233" t="s">
        <v>809</v>
      </c>
    </row>
    <row r="234" spans="1:5">
      <c r="A234" t="s">
        <v>810</v>
      </c>
      <c r="E234" t="s">
        <v>811</v>
      </c>
    </row>
    <row r="235" spans="1:5">
      <c r="A235" t="s">
        <v>812</v>
      </c>
      <c r="E235" t="s">
        <v>813</v>
      </c>
    </row>
    <row r="236" spans="1:5">
      <c r="A236" t="s">
        <v>814</v>
      </c>
      <c r="E236" t="s">
        <v>815</v>
      </c>
    </row>
    <row r="237" spans="1:5">
      <c r="A237" t="s">
        <v>816</v>
      </c>
      <c r="E237" t="s">
        <v>817</v>
      </c>
    </row>
    <row r="238" spans="1:5">
      <c r="A238" t="s">
        <v>818</v>
      </c>
      <c r="E238" t="s">
        <v>819</v>
      </c>
    </row>
    <row r="239" spans="1:5">
      <c r="A239" t="s">
        <v>820</v>
      </c>
      <c r="E239" t="s">
        <v>821</v>
      </c>
    </row>
    <row r="240" spans="1:5">
      <c r="A240" t="s">
        <v>822</v>
      </c>
      <c r="E240" t="s">
        <v>823</v>
      </c>
    </row>
    <row r="241" spans="1:5">
      <c r="A241" t="s">
        <v>824</v>
      </c>
      <c r="E241" t="s">
        <v>825</v>
      </c>
    </row>
    <row r="242" spans="1:5">
      <c r="A242" t="s">
        <v>826</v>
      </c>
      <c r="E242" t="s">
        <v>827</v>
      </c>
    </row>
    <row r="243" spans="1:5">
      <c r="A243" t="s">
        <v>828</v>
      </c>
      <c r="E243" t="s">
        <v>829</v>
      </c>
    </row>
    <row r="244" spans="1:5">
      <c r="A244" t="s">
        <v>830</v>
      </c>
      <c r="E244" t="s">
        <v>831</v>
      </c>
    </row>
    <row r="245" spans="1:5">
      <c r="A245" t="s">
        <v>832</v>
      </c>
      <c r="E245" t="s">
        <v>833</v>
      </c>
    </row>
    <row r="246" spans="1:5">
      <c r="A246" t="s">
        <v>834</v>
      </c>
      <c r="E246" t="s">
        <v>835</v>
      </c>
    </row>
    <row r="247" spans="1:5">
      <c r="A247" t="s">
        <v>836</v>
      </c>
      <c r="E247" t="s">
        <v>837</v>
      </c>
    </row>
    <row r="248" spans="1:5">
      <c r="A248" t="s">
        <v>838</v>
      </c>
      <c r="E248" t="s">
        <v>839</v>
      </c>
    </row>
    <row r="249" spans="1:5">
      <c r="A249" t="s">
        <v>840</v>
      </c>
      <c r="E249" t="s">
        <v>841</v>
      </c>
    </row>
    <row r="250" spans="1:5">
      <c r="A250" t="s">
        <v>842</v>
      </c>
      <c r="E250" t="s">
        <v>843</v>
      </c>
    </row>
    <row r="251" spans="1:5">
      <c r="A251" t="s">
        <v>844</v>
      </c>
      <c r="E251" t="s">
        <v>845</v>
      </c>
    </row>
    <row r="252" spans="1:5">
      <c r="A252" t="s">
        <v>846</v>
      </c>
      <c r="E252" t="s">
        <v>847</v>
      </c>
    </row>
    <row r="253" spans="1:5">
      <c r="A253" t="s">
        <v>848</v>
      </c>
      <c r="E253" t="s">
        <v>849</v>
      </c>
    </row>
    <row r="254" spans="1:5">
      <c r="A254" t="s">
        <v>850</v>
      </c>
      <c r="E254" t="s">
        <v>851</v>
      </c>
    </row>
    <row r="255" spans="1:5">
      <c r="A255" t="s">
        <v>852</v>
      </c>
      <c r="E255" t="s">
        <v>853</v>
      </c>
    </row>
    <row r="256" spans="1:5">
      <c r="A256" t="s">
        <v>854</v>
      </c>
      <c r="E256" t="s">
        <v>855</v>
      </c>
    </row>
    <row r="257" spans="1:5">
      <c r="A257" t="s">
        <v>856</v>
      </c>
      <c r="E257" t="s">
        <v>857</v>
      </c>
    </row>
    <row r="258" spans="1:5">
      <c r="A258" t="s">
        <v>858</v>
      </c>
      <c r="E258" t="s">
        <v>859</v>
      </c>
    </row>
    <row r="259" spans="1:5">
      <c r="A259" t="s">
        <v>860</v>
      </c>
      <c r="E259" t="s">
        <v>861</v>
      </c>
    </row>
    <row r="260" spans="1:5">
      <c r="A260" t="s">
        <v>862</v>
      </c>
      <c r="E260" t="s">
        <v>863</v>
      </c>
    </row>
    <row r="261" spans="1:5">
      <c r="A261" t="s">
        <v>864</v>
      </c>
      <c r="E261" t="s">
        <v>865</v>
      </c>
    </row>
    <row r="262" spans="1:5">
      <c r="A262" t="s">
        <v>866</v>
      </c>
      <c r="E262" t="s">
        <v>867</v>
      </c>
    </row>
    <row r="263" spans="1:5">
      <c r="A263" t="s">
        <v>868</v>
      </c>
      <c r="E263" t="s">
        <v>869</v>
      </c>
    </row>
    <row r="264" spans="1:5">
      <c r="A264" t="s">
        <v>870</v>
      </c>
      <c r="E264" t="s">
        <v>871</v>
      </c>
    </row>
    <row r="265" spans="1:5">
      <c r="A265" t="s">
        <v>872</v>
      </c>
      <c r="E265" t="s">
        <v>873</v>
      </c>
    </row>
    <row r="266" spans="1:5">
      <c r="A266" t="s">
        <v>874</v>
      </c>
      <c r="E266" t="s">
        <v>875</v>
      </c>
    </row>
    <row r="267" spans="1:5">
      <c r="A267" t="s">
        <v>876</v>
      </c>
      <c r="E267" t="s">
        <v>877</v>
      </c>
    </row>
    <row r="268" spans="1:5">
      <c r="A268" t="s">
        <v>878</v>
      </c>
      <c r="E268" t="s">
        <v>879</v>
      </c>
    </row>
    <row r="269" spans="1:5">
      <c r="A269" t="s">
        <v>880</v>
      </c>
      <c r="E269" t="s">
        <v>881</v>
      </c>
    </row>
    <row r="270" spans="1:5">
      <c r="A270" t="s">
        <v>882</v>
      </c>
      <c r="E270" t="s">
        <v>883</v>
      </c>
    </row>
    <row r="271" spans="1:5">
      <c r="A271" t="s">
        <v>884</v>
      </c>
      <c r="E271" t="s">
        <v>885</v>
      </c>
    </row>
    <row r="272" spans="1:5">
      <c r="A272" t="s">
        <v>886</v>
      </c>
      <c r="E272" t="s">
        <v>887</v>
      </c>
    </row>
    <row r="273" spans="1:5">
      <c r="A273" t="s">
        <v>888</v>
      </c>
      <c r="E273" t="s">
        <v>889</v>
      </c>
    </row>
    <row r="274" spans="1:5">
      <c r="A274" t="s">
        <v>890</v>
      </c>
      <c r="E274" t="s">
        <v>891</v>
      </c>
    </row>
    <row r="275" spans="1:5">
      <c r="A275" t="s">
        <v>892</v>
      </c>
      <c r="E275" t="s">
        <v>893</v>
      </c>
    </row>
    <row r="276" spans="1:5">
      <c r="A276" t="s">
        <v>894</v>
      </c>
      <c r="E276" t="s">
        <v>895</v>
      </c>
    </row>
    <row r="277" spans="1:5">
      <c r="A277" t="s">
        <v>896</v>
      </c>
      <c r="E277" t="s">
        <v>897</v>
      </c>
    </row>
    <row r="278" spans="1:5">
      <c r="A278" t="s">
        <v>898</v>
      </c>
      <c r="E278" t="s">
        <v>899</v>
      </c>
    </row>
    <row r="279" spans="1:5">
      <c r="A279" t="s">
        <v>900</v>
      </c>
      <c r="E279" t="s">
        <v>901</v>
      </c>
    </row>
    <row r="280" spans="1:5">
      <c r="A280" t="s">
        <v>902</v>
      </c>
      <c r="E280" t="s">
        <v>903</v>
      </c>
    </row>
    <row r="281" spans="1:5">
      <c r="A281" t="s">
        <v>904</v>
      </c>
      <c r="E281" t="s">
        <v>905</v>
      </c>
    </row>
    <row r="282" spans="1:5">
      <c r="A282" t="s">
        <v>906</v>
      </c>
      <c r="E282" t="s">
        <v>907</v>
      </c>
    </row>
    <row r="283" spans="1:5">
      <c r="A283" t="s">
        <v>908</v>
      </c>
      <c r="E283" t="s">
        <v>909</v>
      </c>
    </row>
    <row r="284" spans="1:5">
      <c r="A284" t="s">
        <v>910</v>
      </c>
      <c r="E284" t="s">
        <v>911</v>
      </c>
    </row>
    <row r="285" spans="1:5">
      <c r="A285" t="s">
        <v>912</v>
      </c>
      <c r="E285" t="s">
        <v>913</v>
      </c>
    </row>
    <row r="286" spans="1:5">
      <c r="A286" t="s">
        <v>914</v>
      </c>
      <c r="E286" t="s">
        <v>915</v>
      </c>
    </row>
    <row r="287" spans="1:5">
      <c r="A287" t="s">
        <v>916</v>
      </c>
      <c r="E287" t="s">
        <v>917</v>
      </c>
    </row>
    <row r="288" spans="1:5">
      <c r="A288" t="s">
        <v>918</v>
      </c>
      <c r="E288" t="s">
        <v>919</v>
      </c>
    </row>
    <row r="289" spans="1:5">
      <c r="A289" t="s">
        <v>920</v>
      </c>
      <c r="E289" t="s">
        <v>921</v>
      </c>
    </row>
    <row r="290" spans="1:5">
      <c r="A290" t="s">
        <v>922</v>
      </c>
      <c r="E290" t="s">
        <v>923</v>
      </c>
    </row>
    <row r="291" spans="1:5">
      <c r="A291" t="s">
        <v>924</v>
      </c>
      <c r="E291" t="s">
        <v>925</v>
      </c>
    </row>
    <row r="292" spans="1:5">
      <c r="A292" t="s">
        <v>926</v>
      </c>
      <c r="E292" t="s">
        <v>927</v>
      </c>
    </row>
    <row r="293" spans="1:5">
      <c r="A293" t="s">
        <v>928</v>
      </c>
      <c r="E293" t="s">
        <v>929</v>
      </c>
    </row>
    <row r="294" spans="1:5">
      <c r="A294" t="s">
        <v>930</v>
      </c>
      <c r="E294" t="s">
        <v>931</v>
      </c>
    </row>
    <row r="295" spans="1:5">
      <c r="A295" t="s">
        <v>932</v>
      </c>
      <c r="E295" t="s">
        <v>933</v>
      </c>
    </row>
    <row r="296" spans="1:5">
      <c r="A296" t="s">
        <v>934</v>
      </c>
      <c r="E296" t="s">
        <v>935</v>
      </c>
    </row>
    <row r="297" spans="1:5">
      <c r="A297" t="s">
        <v>936</v>
      </c>
      <c r="E297" t="s">
        <v>937</v>
      </c>
    </row>
    <row r="298" spans="1:5">
      <c r="A298" t="s">
        <v>938</v>
      </c>
      <c r="E298" t="s">
        <v>939</v>
      </c>
    </row>
    <row r="299" spans="1:5">
      <c r="A299" t="s">
        <v>940</v>
      </c>
      <c r="E299" t="s">
        <v>941</v>
      </c>
    </row>
    <row r="300" spans="1:5">
      <c r="A300" t="s">
        <v>942</v>
      </c>
      <c r="E300" t="s">
        <v>943</v>
      </c>
    </row>
    <row r="301" spans="1:5">
      <c r="A301" t="s">
        <v>944</v>
      </c>
      <c r="E301" t="s">
        <v>945</v>
      </c>
    </row>
    <row r="302" spans="1:5">
      <c r="A302" t="s">
        <v>946</v>
      </c>
      <c r="E302" t="s">
        <v>947</v>
      </c>
    </row>
    <row r="303" spans="1:5">
      <c r="A303" t="s">
        <v>301</v>
      </c>
      <c r="E303" t="s">
        <v>948</v>
      </c>
    </row>
    <row r="304" spans="1:5">
      <c r="A304" t="s">
        <v>949</v>
      </c>
      <c r="E304" t="s">
        <v>950</v>
      </c>
    </row>
    <row r="305" spans="1:5">
      <c r="A305" t="s">
        <v>951</v>
      </c>
      <c r="E305" t="s">
        <v>952</v>
      </c>
    </row>
    <row r="306" spans="1:5">
      <c r="A306" t="s">
        <v>953</v>
      </c>
      <c r="E306" t="s">
        <v>954</v>
      </c>
    </row>
    <row r="307" spans="1:5">
      <c r="A307" t="s">
        <v>955</v>
      </c>
      <c r="E307" t="s">
        <v>956</v>
      </c>
    </row>
    <row r="308" spans="1:5">
      <c r="A308" t="s">
        <v>957</v>
      </c>
      <c r="E308" t="s">
        <v>958</v>
      </c>
    </row>
    <row r="309" spans="1:5">
      <c r="A309" t="s">
        <v>959</v>
      </c>
      <c r="E309" t="s">
        <v>960</v>
      </c>
    </row>
    <row r="310" spans="1:5">
      <c r="A310" t="s">
        <v>961</v>
      </c>
      <c r="E310" t="s">
        <v>962</v>
      </c>
    </row>
    <row r="311" spans="1:5">
      <c r="A311" t="s">
        <v>963</v>
      </c>
      <c r="E311" t="s">
        <v>964</v>
      </c>
    </row>
    <row r="312" spans="1:5">
      <c r="A312" t="s">
        <v>965</v>
      </c>
      <c r="E312" t="s">
        <v>966</v>
      </c>
    </row>
    <row r="313" spans="1:5">
      <c r="A313" t="s">
        <v>967</v>
      </c>
      <c r="E313" t="s">
        <v>968</v>
      </c>
    </row>
    <row r="314" spans="1:5">
      <c r="A314" t="s">
        <v>969</v>
      </c>
      <c r="E314" t="s">
        <v>970</v>
      </c>
    </row>
    <row r="315" spans="1:5">
      <c r="A315" t="s">
        <v>971</v>
      </c>
      <c r="E315" t="s">
        <v>972</v>
      </c>
    </row>
    <row r="316" spans="1:5">
      <c r="A316" t="s">
        <v>973</v>
      </c>
      <c r="E316" t="s">
        <v>974</v>
      </c>
    </row>
    <row r="317" spans="1:5">
      <c r="A317" t="s">
        <v>975</v>
      </c>
      <c r="E317" t="s">
        <v>976</v>
      </c>
    </row>
    <row r="318" spans="1:5">
      <c r="A318" t="s">
        <v>977</v>
      </c>
      <c r="E318" t="s">
        <v>978</v>
      </c>
    </row>
    <row r="319" spans="1:5">
      <c r="A319" t="s">
        <v>9</v>
      </c>
      <c r="E319" t="s">
        <v>979</v>
      </c>
    </row>
    <row r="320" spans="1:5">
      <c r="A320" t="s">
        <v>980</v>
      </c>
      <c r="E320" t="s">
        <v>981</v>
      </c>
    </row>
    <row r="321" spans="1:5">
      <c r="A321" t="s">
        <v>982</v>
      </c>
      <c r="E321" t="s">
        <v>983</v>
      </c>
    </row>
    <row r="322" spans="1:5">
      <c r="A322" t="s">
        <v>984</v>
      </c>
      <c r="E322" t="s">
        <v>985</v>
      </c>
    </row>
    <row r="323" spans="1:5">
      <c r="A323" t="s">
        <v>986</v>
      </c>
      <c r="E323" t="s">
        <v>987</v>
      </c>
    </row>
    <row r="324" spans="1:5">
      <c r="A324" t="s">
        <v>988</v>
      </c>
      <c r="E324" t="s">
        <v>989</v>
      </c>
    </row>
    <row r="325" spans="1:5">
      <c r="A325" t="s">
        <v>990</v>
      </c>
      <c r="E325" t="s">
        <v>991</v>
      </c>
    </row>
    <row r="326" spans="1:5">
      <c r="A326" t="s">
        <v>992</v>
      </c>
      <c r="E326" t="s">
        <v>993</v>
      </c>
    </row>
    <row r="327" spans="1:5">
      <c r="A327" t="s">
        <v>994</v>
      </c>
      <c r="E327" t="s">
        <v>995</v>
      </c>
    </row>
    <row r="328" spans="1:5">
      <c r="A328" t="s">
        <v>996</v>
      </c>
      <c r="E328" t="s">
        <v>997</v>
      </c>
    </row>
    <row r="329" spans="1:5">
      <c r="A329" t="s">
        <v>998</v>
      </c>
      <c r="E329" t="s">
        <v>999</v>
      </c>
    </row>
    <row r="330" spans="1:5">
      <c r="A330" t="s">
        <v>1000</v>
      </c>
      <c r="E330" t="s">
        <v>1001</v>
      </c>
    </row>
    <row r="331" spans="1:5">
      <c r="A331" t="s">
        <v>1002</v>
      </c>
      <c r="E331" t="s">
        <v>1003</v>
      </c>
    </row>
    <row r="332" spans="1:5">
      <c r="A332" t="s">
        <v>1004</v>
      </c>
      <c r="E332" t="s">
        <v>1005</v>
      </c>
    </row>
    <row r="333" spans="1:5">
      <c r="A333" t="s">
        <v>1006</v>
      </c>
      <c r="E333" t="s">
        <v>1007</v>
      </c>
    </row>
    <row r="334" spans="1:5">
      <c r="A334" t="s">
        <v>1008</v>
      </c>
      <c r="E334" t="s">
        <v>1009</v>
      </c>
    </row>
    <row r="335" spans="1:5">
      <c r="A335" t="s">
        <v>1010</v>
      </c>
      <c r="E335" t="s">
        <v>1011</v>
      </c>
    </row>
    <row r="336" spans="1:5">
      <c r="A336" t="s">
        <v>1012</v>
      </c>
      <c r="E336" t="s">
        <v>1013</v>
      </c>
    </row>
    <row r="337" spans="1:5">
      <c r="A337" t="s">
        <v>302</v>
      </c>
      <c r="E337" t="s">
        <v>1014</v>
      </c>
    </row>
    <row r="338" spans="1:5">
      <c r="A338" t="s">
        <v>1015</v>
      </c>
      <c r="E338" t="s">
        <v>1016</v>
      </c>
    </row>
    <row r="339" spans="1:5">
      <c r="A339" t="s">
        <v>1017</v>
      </c>
      <c r="E339" t="s">
        <v>1018</v>
      </c>
    </row>
    <row r="340" spans="1:5">
      <c r="A340" t="s">
        <v>1019</v>
      </c>
      <c r="E340" t="s">
        <v>1020</v>
      </c>
    </row>
    <row r="341" spans="1:5">
      <c r="A341" t="s">
        <v>1021</v>
      </c>
      <c r="E341" t="s">
        <v>1022</v>
      </c>
    </row>
    <row r="342" spans="1:5">
      <c r="A342" t="s">
        <v>1023</v>
      </c>
      <c r="E342" t="s">
        <v>1024</v>
      </c>
    </row>
    <row r="343" spans="1:5">
      <c r="E343" t="s">
        <v>1025</v>
      </c>
    </row>
    <row r="344" spans="1:5">
      <c r="E344" t="s">
        <v>1026</v>
      </c>
    </row>
    <row r="345" spans="1:5">
      <c r="E345" t="s">
        <v>1027</v>
      </c>
    </row>
    <row r="346" spans="1:5">
      <c r="E346" t="s">
        <v>1028</v>
      </c>
    </row>
    <row r="347" spans="1:5">
      <c r="E347" t="s">
        <v>1029</v>
      </c>
    </row>
    <row r="348" spans="1:5">
      <c r="E348" t="s">
        <v>1030</v>
      </c>
    </row>
    <row r="349" spans="1:5">
      <c r="E349" t="s">
        <v>1031</v>
      </c>
    </row>
    <row r="350" spans="1:5">
      <c r="E350" t="s">
        <v>1032</v>
      </c>
    </row>
    <row r="351" spans="1:5">
      <c r="E351" t="s">
        <v>1033</v>
      </c>
    </row>
    <row r="352" spans="1:5">
      <c r="E352" t="s">
        <v>1034</v>
      </c>
    </row>
    <row r="353" spans="5:5">
      <c r="E353" t="s">
        <v>1035</v>
      </c>
    </row>
    <row r="354" spans="5:5">
      <c r="E354" t="s">
        <v>1036</v>
      </c>
    </row>
    <row r="355" spans="5:5">
      <c r="E355" t="s">
        <v>1037</v>
      </c>
    </row>
    <row r="356" spans="5:5">
      <c r="E356" t="s">
        <v>1038</v>
      </c>
    </row>
    <row r="357" spans="5:5">
      <c r="E357" t="s">
        <v>1039</v>
      </c>
    </row>
    <row r="358" spans="5:5">
      <c r="E358" t="s">
        <v>1040</v>
      </c>
    </row>
    <row r="359" spans="5:5">
      <c r="E359" t="s">
        <v>1041</v>
      </c>
    </row>
    <row r="360" spans="5:5">
      <c r="E360" t="s">
        <v>1042</v>
      </c>
    </row>
    <row r="361" spans="5:5">
      <c r="E361" t="s">
        <v>1043</v>
      </c>
    </row>
    <row r="362" spans="5:5">
      <c r="E362" t="s">
        <v>1044</v>
      </c>
    </row>
  </sheetData>
  <customSheetViews>
    <customSheetView guid="{706B170E-5520-469F-B13E-35DA6E3D1646}" scale="90">
      <pageMargins left="0" right="0" top="0" bottom="0" header="0" footer="0"/>
      <pageSetup orientation="portrait" useFirstPageNumber="1" horizontalDpi="300" verticalDpi="300"/>
    </customSheetView>
    <customSheetView guid="{88E4902B-1443-461B-A72D-73CDB04FDAA8}" scale="90">
      <pageMargins left="0" right="0" top="0" bottom="0" header="0" footer="0"/>
      <pageSetup orientation="portrait" useFirstPageNumber="1" horizontalDpi="300" verticalDpi="300"/>
    </customSheetView>
    <customSheetView guid="{1D9A851A-AB00-4F5F-A9E8-E1D0DD45E8C9}" scale="90">
      <pageMargins left="0" right="0" top="0" bottom="0" header="0" footer="0"/>
      <pageSetup orientation="portrait" useFirstPageNumber="1" horizontalDpi="300" verticalDpi="300"/>
    </customSheetView>
    <customSheetView guid="{70533415-B255-4E4B-BD1B-222113DCA8F8}" scale="90">
      <pageMargins left="0" right="0" top="0" bottom="0" header="0" footer="0"/>
      <pageSetup orientation="portrait" useFirstPageNumber="1" horizontalDpi="300" verticalDpi="300"/>
    </customSheetView>
  </customSheetViews>
  <pageMargins left="0.7" right="0.7" top="0.75" bottom="0.75" header="0.51180555555555496" footer="0.51180555555555496"/>
  <pageSetup orientation="portrait" useFirstPageNumber="1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7fe5153245fe71ff578198f4ebfc72d7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b7ac6e96688fd5075812c60918c4010c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A5DE02-7C8D-4AC4-9775-5CDABB516BB2}"/>
</file>

<file path=customXml/itemProps2.xml><?xml version="1.0" encoding="utf-8"?>
<ds:datastoreItem xmlns:ds="http://schemas.openxmlformats.org/officeDocument/2006/customXml" ds:itemID="{BA03EFA9-D8DA-4744-9974-EF617A558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ESPN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joshkegs</cp:lastModifiedBy>
  <cp:revision>1</cp:revision>
  <dcterms:created xsi:type="dcterms:W3CDTF">2019-06-06T15:21:47Z</dcterms:created>
  <dcterms:modified xsi:type="dcterms:W3CDTF">2025-08-21T20:41:19Z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ESPN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SIP_Label_c62e0584-010f-4004-8a6a-d5c118c8b4bd_Enabled">
    <vt:lpwstr>true</vt:lpwstr>
  </property>
  <property fmtid="{D5CDD505-2E9C-101B-9397-08002B2CF9AE}" pid="10" name="MSIP_Label_c62e0584-010f-4004-8a6a-d5c118c8b4bd_SetDate">
    <vt:lpwstr>2025-07-09T15:53:32Z</vt:lpwstr>
  </property>
  <property fmtid="{D5CDD505-2E9C-101B-9397-08002B2CF9AE}" pid="11" name="MSIP_Label_c62e0584-010f-4004-8a6a-d5c118c8b4bd_Method">
    <vt:lpwstr>Standard</vt:lpwstr>
  </property>
  <property fmtid="{D5CDD505-2E9C-101B-9397-08002B2CF9AE}" pid="12" name="MSIP_Label_c62e0584-010f-4004-8a6a-d5c118c8b4bd_Name">
    <vt:lpwstr>Internal</vt:lpwstr>
  </property>
  <property fmtid="{D5CDD505-2E9C-101B-9397-08002B2CF9AE}" pid="13" name="MSIP_Label_c62e0584-010f-4004-8a6a-d5c118c8b4bd_SiteId">
    <vt:lpwstr>56b731a8-a2ac-4c32-bf6b-616810e913c6</vt:lpwstr>
  </property>
  <property fmtid="{D5CDD505-2E9C-101B-9397-08002B2CF9AE}" pid="14" name="MSIP_Label_c62e0584-010f-4004-8a6a-d5c118c8b4bd_ActionId">
    <vt:lpwstr>04d6984c-8366-40a8-b0ec-04d389612514</vt:lpwstr>
  </property>
  <property fmtid="{D5CDD505-2E9C-101B-9397-08002B2CF9AE}" pid="15" name="MSIP_Label_c62e0584-010f-4004-8a6a-d5c118c8b4bd_ContentBits">
    <vt:lpwstr>0</vt:lpwstr>
  </property>
  <property fmtid="{D5CDD505-2E9C-101B-9397-08002B2CF9AE}" pid="16" name="MSIP_Label_c62e0584-010f-4004-8a6a-d5c118c8b4bd_Tag">
    <vt:lpwstr>10, 3, 0, 1</vt:lpwstr>
  </property>
</Properties>
</file>