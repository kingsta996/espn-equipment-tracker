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revisions/revisionHeaders.xml" ContentType="application/vnd.openxmlformats-officedocument.spreadsheetml.revisionHeaders+xml"/>
  <Override PartName="/xl/revisions/revisionLog1.xml" ContentType="application/vnd.openxmlformats-officedocument.spreadsheetml.revisionLog+xml"/>
  <Override PartName="/xl/revisions/userNames.xml" ContentType="application/vnd.openxmlformats-officedocument.spreadsheetml.userNam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revisions/revisionLog2.xml" ContentType="application/vnd.openxmlformats-officedocument.spreadsheetml.revisionLo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D:\Projects\2024 Olympic Sports\Paperwork\Volleyball\"/>
    </mc:Choice>
  </mc:AlternateContent>
  <xr:revisionPtr revIDLastSave="0" documentId="13_ncr:81_{F54D847B-1C1A-49E6-8340-465A57CBD82E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Team Info" sheetId="1" r:id="rId1"/>
    <sheet name="Team Personnel" sheetId="2" r:id="rId2"/>
    <sheet name="Roster" sheetId="3" r:id="rId3"/>
    <sheet name="Season Stats" sheetId="4" r:id="rId4"/>
    <sheet name="Upcoming Schedule" sheetId="5" r:id="rId5"/>
    <sheet name="Team Heroes" sheetId="6" r:id="rId6"/>
    <sheet name="Team Users" sheetId="7" r:id="rId7"/>
    <sheet name="Player Heroes" sheetId="8" r:id="rId8"/>
    <sheet name="Player Users" sheetId="9" r:id="rId9"/>
    <sheet name="LOGOS" sheetId="10" r:id="rId10"/>
  </sheets>
  <definedNames>
    <definedName name="ACTIONSHOT">Roster!$S$3:$S$102</definedName>
    <definedName name="AGE">Roster!$O$3:$O$102</definedName>
    <definedName name="BIO_HEADER">Roster!$N$3:$N$4</definedName>
    <definedName name="CAT_1">'Season Stats'!$D$1:$D$100</definedName>
    <definedName name="CAT_1_HILITE">'Season Stats'!$E$1:$E$100</definedName>
    <definedName name="CAT_2">'Season Stats'!$F$1:$F$100</definedName>
    <definedName name="CAT_2_HILITE">'Season Stats'!$G$1:$G$100</definedName>
    <definedName name="CAT_3">'Season Stats'!$H$1:$H$100</definedName>
    <definedName name="CAT_3_HILITE">'Season Stats'!$I$1:$I$100</definedName>
    <definedName name="COACH_ASST_DROP">'Team Personnel'!$G$13:$G$23</definedName>
    <definedName name="COACH_ASST_FIRST">'Team Personnel'!$B$13:$B$23</definedName>
    <definedName name="COACH_ASST_FULL">'Team Personnel'!$D$13:$D$23</definedName>
    <definedName name="COACH_ASST_HEADER">'Team Personnel'!$E$13:$E$23</definedName>
    <definedName name="COACH_ASST_LAST">'Team Personnel'!$C$13:$C$23</definedName>
    <definedName name="COACH_ASST_TEXT">'Team Personnel'!$F$13:$F$23</definedName>
    <definedName name="COACH_DEF_FIRST">'Team Personnel'!$B$24:$B$34</definedName>
    <definedName name="COACH_DEF_LAST">'Team Personnel'!$C$24:$C$34</definedName>
    <definedName name="COACH_DEF_TEXT">'Team Personnel'!$F$24:$F$34</definedName>
    <definedName name="COACH_HEAD_DROP">'Team Personnel'!$G$2:$G$12</definedName>
    <definedName name="COACH_HEAD_FIRST">'Team Personnel'!$B$2:$B$12</definedName>
    <definedName name="COACH_HEAD_FULL">'Team Personnel'!$D$2:$D$12</definedName>
    <definedName name="COACH_HEAD_HEADER">'Team Personnel'!$E$2:$E$12</definedName>
    <definedName name="COACH_HEAD_LAST">'Team Personnel'!$C$2:$C$12</definedName>
    <definedName name="COACH_HEAD_TEXT">'Team Personnel'!$F$2:$F$12</definedName>
    <definedName name="COACH_RESUME_DROP">'Team Personnel'!$L$32:$L$33</definedName>
    <definedName name="COACH_RESUME_LINE1">'Team Personnel'!$L$8:$L$9</definedName>
    <definedName name="COACH_RESUME_LINE2">'Team Personnel'!$L$11:$L$12</definedName>
    <definedName name="COACH_RESUME_LINE3">'Team Personnel'!$L$14:$L$15</definedName>
    <definedName name="COACH_RESUME_LINE4">'Team Personnel'!$L$17:$L$18</definedName>
    <definedName name="COACH_RESUME_LINE5">'Team Personnel'!$L$20:$L$21</definedName>
    <definedName name="COACH_RESUME_LINE6">'Team Personnel'!$L$23:$L$24</definedName>
    <definedName name="COACH_RESUME_LINE7">'Team Personnel'!$L$26:$L$27</definedName>
    <definedName name="COACH_RESUME_LINE8">'Team Personnel'!$L$29:$L$30</definedName>
    <definedName name="COACH_RESUME_ROWS">'Team Personnel'!$L$34:$L$35</definedName>
    <definedName name="COACH_RESUME_SUBTITLE">'Team Personnel'!$L$5:$L$6</definedName>
    <definedName name="COACH_RESUME_TITLE">'Team Personnel'!$L$2:$L$3</definedName>
    <definedName name="CONFERENCE_LOGOS">LOGOS!$C$1:$C$50</definedName>
    <definedName name="ESPN100">Roster!$M$3:$M$102</definedName>
    <definedName name="HEADER">Roster!$L$3:$L$102</definedName>
    <definedName name="HEADSHOT">Roster!$R$3:$R$102</definedName>
    <definedName name="HEIGHT">Roster!$F$3:$F$102</definedName>
    <definedName name="HERO_1_DROP">'Player Heroes'!$J$2:$J$101</definedName>
    <definedName name="HERO_1_HEADER">'Player Heroes'!$G$2:$G$101</definedName>
    <definedName name="HERO_1_INFO">'Player Heroes'!$I$2:$I$101</definedName>
    <definedName name="HERO_2_DROP">'Player Heroes'!$O$2:$O$101</definedName>
    <definedName name="HERO_2_HEADER">'Player Heroes'!$L$2:$L$101</definedName>
    <definedName name="HERO_2_INFO">'Player Heroes'!$N$2:$N$101</definedName>
    <definedName name="HERO_USER">'Player Users'!$G$2:$G$101</definedName>
    <definedName name="HERO_USER2">'Player Users'!$I$2:$I$101</definedName>
    <definedName name="HERO_USER3">'Player Users'!$K$2:$K$101</definedName>
    <definedName name="HERO_USER4">'Player Users'!$M$2:$M$101</definedName>
    <definedName name="HOMETOWN">Roster!$I$3:$I$102</definedName>
    <definedName name="JERSEY">Roster!$B$3:$B$102</definedName>
    <definedName name="MAJOR">Roster!$K$3:$K$102</definedName>
    <definedName name="NAME_FINIT">Roster!$U$3:$U$102</definedName>
    <definedName name="NAME_FIRST">Roster!$C$3:$C$102</definedName>
    <definedName name="NAME_FIRST_CAPS">Roster!$X$3:$X$102</definedName>
    <definedName name="NAME_FULL">Roster!$T$3:$T$102</definedName>
    <definedName name="NAME_FULL_CAPS">Roster!$W$3:$W$102</definedName>
    <definedName name="NAME_LAST">Roster!$D$3:$D$102</definedName>
    <definedName name="NAME_LAST_CAPS">Roster!$Y$3:$Y$102</definedName>
    <definedName name="NAME_LAST_JERSEY">Roster!$AA$3:$AA$102</definedName>
    <definedName name="NAME_LAST_JERSEY_CAPS">Roster!$AB$3:$AB$102</definedName>
    <definedName name="NETWORK_LOGOS">LOGOS!$E$1:$E$416</definedName>
    <definedName name="NETWORK_LOGOS_WHITE">LOGOS!$F$1:$F$20</definedName>
    <definedName name="POS">Roster!$E$3:$E$102</definedName>
    <definedName name="POS_FULL">Roster!$P$3:$P$102</definedName>
    <definedName name="PROMO_TOWER">'Upcoming Schedule'!$A$14:$C$20</definedName>
    <definedName name="ROSTER">Roster!$A$1:$Z$102</definedName>
    <definedName name="SCHED_AT_VS">'Upcoming Schedule'!$B$4:$B$16</definedName>
    <definedName name="SCHED_DATE">'Upcoming Schedule'!$D$4:$D$16</definedName>
    <definedName name="SCHED_NETWORK">'Upcoming Schedule'!$K$4:$K$16</definedName>
    <definedName name="SCHED_OPPONENT">'Upcoming Schedule'!$C$4:$C$16</definedName>
    <definedName name="SCHED_SUBTITLE">'Upcoming Schedule'!$I$9:$I$10</definedName>
    <definedName name="SCHED_TIME">'Upcoming Schedule'!$E$4:$E$16</definedName>
    <definedName name="SCHED_TITLE">'Upcoming Schedule'!$I$7:$I$8</definedName>
    <definedName name="SEASON_SEL">'Team Info'!$F$5:$F$7</definedName>
    <definedName name="SEASON_SEL_COLON">'Team Info'!$F$12:$F$13</definedName>
    <definedName name="STAT_HIGHLIGHT_NOTE">'Season Stats'!$J$1:$J$100</definedName>
    <definedName name="TEAM_1_LINE_DROP">'Team Heroes'!$D$1:$D$99</definedName>
    <definedName name="TEAM_2_LINE_DROP">'Team Heroes'!$I$1:$I$99</definedName>
    <definedName name="TEAM_2_LINE_HEADER">'Team Heroes'!$F$1:$F$99</definedName>
    <definedName name="TEAM_2_LINE_INFO_LINE_1">'Team Heroes'!$G$1:$G$99</definedName>
    <definedName name="TEAM_2_LINE_INFO_LINE_2">'Team Heroes'!$H$1:$H$99</definedName>
    <definedName name="TEAM_CITY_COLLEGE">'Team Info'!$D$5:$D$7</definedName>
    <definedName name="TEAM_DASH_NAME">'Team Info'!$D$20:$D$21</definedName>
    <definedName name="TEAM_FULL_NAME">'Team Info'!$D$16:$D$18</definedName>
    <definedName name="TEAM_HEADER_INFO">'Team Heroes'!$B$1:$B$99</definedName>
    <definedName name="TEAM_INFO_LINE_1">'Team Heroes'!$C$1:$C$99</definedName>
    <definedName name="TEAM_LOGOS">LOGOS!$A$1:$A$424</definedName>
    <definedName name="TEAM_LOGOTEXT">'Team Info'!$D$35:$D$36</definedName>
    <definedName name="TEAM_NICKNAME">'Team Info'!$D$9:$D$11</definedName>
    <definedName name="TEAM_RANK">'Team Info'!$D$2:$D$3</definedName>
    <definedName name="TEAM_RANK_NAME">'Team Info'!$D$23:$D$25</definedName>
    <definedName name="TEAM_RANK_NAME_NICKNAME">'Team Info'!$D$27:$D$29</definedName>
    <definedName name="TEAM_RANK_NAME_RECORD">'Team Info'!$D$31:$D$33</definedName>
    <definedName name="TEAM_RECORD_OVERALL">'Team Info'!$D$38:$D$39</definedName>
    <definedName name="TEAM_SPLIT">'Team Info'!$D$41:$D$42</definedName>
    <definedName name="TEAM_SWATCH_SELECT">'Team Info'!$H$14:$H$16</definedName>
    <definedName name="TEAM_SWATCH_SELECT_DASH">'Team Info'!$H$19:$H$21</definedName>
    <definedName name="TEAM_TRICODE">'Team Info'!$D$13:$D$14</definedName>
    <definedName name="TEAM_USERS">'Team Users'!$A$2:$C$22</definedName>
    <definedName name="TEAM_USERS2">'Team Users'!$A$24:$C$44</definedName>
    <definedName name="TODAY_TONIGHT_SEL">'Team Info'!$F$1:$F$3</definedName>
    <definedName name="TODAY_TONIGHT_SEL_COLON">'Team Info'!$F$9:$F$10</definedName>
    <definedName name="USER_CAT1">'Season Stats'!$W$1:$W$100</definedName>
    <definedName name="USER_CAT2">'Season Stats'!$X$1:$X$100</definedName>
    <definedName name="WEIGHT">Roster!$G$3:$G$102</definedName>
    <definedName name="YEAR">Roster!$J$3:$J$102</definedName>
    <definedName name="YEAR_LONG">Roster!$Q$3:$Q$102</definedName>
    <definedName name="YEAR_LONG_CAPS">Roster!$Z$3:$Z$102</definedName>
    <definedName name="YEAR_SHORT">Roster!$V$3:$V$102</definedName>
    <definedName name="Z_2F318324_B2A5_4EFB_BB30_8D1AF11C1A9F_.wvu.Cols" localSheetId="2" hidden="1">Roster!$H:$H,Roster!$O:$Z</definedName>
    <definedName name="Z_2F318324_B2A5_4EFB_BB30_8D1AF11C1A9F_.wvu.Cols" localSheetId="3" hidden="1">'Season Stats'!$L:$V,'Season Stats'!$Y:$AJ</definedName>
    <definedName name="Z_2F318324_B2A5_4EFB_BB30_8D1AF11C1A9F_.wvu.Cols" localSheetId="5" hidden="1">'Team Heroes'!$F:$I</definedName>
    <definedName name="Z_2F318324_B2A5_4EFB_BB30_8D1AF11C1A9F_.wvu.Cols" localSheetId="0" hidden="1">'Team Info'!$D:$H</definedName>
    <definedName name="Z_2F318324_B2A5_4EFB_BB30_8D1AF11C1A9F_.wvu.Cols" localSheetId="4" hidden="1">'Upcoming Schedule'!$H:$K</definedName>
    <definedName name="Z_2F318324_B2A5_4EFB_BB30_8D1AF11C1A9F_.wvu.Rows" localSheetId="1" hidden="1">'Team Personnel'!$24:$34</definedName>
    <definedName name="Z_42F19D52_E208_414F_9E2E_506DF902926F_.wvu.Cols" localSheetId="2" hidden="1">Roster!$G:$H,Roster!$N:$Z</definedName>
    <definedName name="Z_42F19D52_E208_414F_9E2E_506DF902926F_.wvu.Cols" localSheetId="3" hidden="1">'Season Stats'!$L:$V,'Season Stats'!$Y:$AJ</definedName>
    <definedName name="Z_42F19D52_E208_414F_9E2E_506DF902926F_.wvu.Cols" localSheetId="5" hidden="1">'Team Heroes'!$F:$I</definedName>
    <definedName name="Z_42F19D52_E208_414F_9E2E_506DF902926F_.wvu.Cols" localSheetId="0" hidden="1">'Team Info'!$D:$H</definedName>
    <definedName name="Z_42F19D52_E208_414F_9E2E_506DF902926F_.wvu.Cols" localSheetId="4" hidden="1">'Upcoming Schedule'!$E:$E,'Upcoming Schedule'!$I:$K</definedName>
    <definedName name="Z_42F19D52_E208_414F_9E2E_506DF902926F_.wvu.PrintArea" localSheetId="3" hidden="1">'Season Stats'!$A$1:$AJ$105</definedName>
    <definedName name="Z_42F19D52_E208_414F_9E2E_506DF902926F_.wvu.Rows" localSheetId="5" hidden="1">'Team Heroes'!$22:$52</definedName>
    <definedName name="Z_42F19D52_E208_414F_9E2E_506DF902926F_.wvu.Rows" localSheetId="1" hidden="1">'Team Personnel'!$24:$34</definedName>
    <definedName name="Z_46B088B4_7F51_4D35_9F00_2268626FA819_.wvu.Cols" localSheetId="2" hidden="1">Roster!$H:$H,Roster!$O:$Z</definedName>
    <definedName name="Z_46B088B4_7F51_4D35_9F00_2268626FA819_.wvu.Cols" localSheetId="3" hidden="1">'Season Stats'!$L:$V,'Season Stats'!$Y:$AK</definedName>
    <definedName name="Z_46B088B4_7F51_4D35_9F00_2268626FA819_.wvu.Cols" localSheetId="5" hidden="1">'Team Heroes'!$F:$I</definedName>
    <definedName name="Z_46B088B4_7F51_4D35_9F00_2268626FA819_.wvu.Cols" localSheetId="0" hidden="1">'Team Info'!$D:$H</definedName>
    <definedName name="Z_46B088B4_7F51_4D35_9F00_2268626FA819_.wvu.Cols" localSheetId="4" hidden="1">'Upcoming Schedule'!$H:$K</definedName>
    <definedName name="Z_46B088B4_7F51_4D35_9F00_2268626FA819_.wvu.Rows" localSheetId="2" hidden="1">Roster!$9:$12,Roster!$19:$22,Roster!$29:$32,Roster!$39:$42,Roster!$49:$52,Roster!$59:$92,Roster!$94:$101</definedName>
    <definedName name="Z_46B088B4_7F51_4D35_9F00_2268626FA819_.wvu.Rows" localSheetId="3" hidden="1">'Season Stats'!$7:$10,'Season Stats'!$17:$20,'Season Stats'!$27:$30,'Season Stats'!$37:$41,'Season Stats'!$47:$50,'Season Stats'!$57:$90,'Season Stats'!$92:$99</definedName>
    <definedName name="Z_46B088B4_7F51_4D35_9F00_2268626FA819_.wvu.Rows" localSheetId="1" hidden="1">'Team Personnel'!$24:$34</definedName>
    <definedName name="Z_6960175A_17E1_4BDD_98F7_6E9A590B8B7F_.wvu.Cols" localSheetId="0" hidden="1">'Team Info'!$D:$D,'Team Info'!$F:$F,'Team Info'!$H:$H</definedName>
    <definedName name="Z_6960175A_17E1_4BDD_98F7_6E9A590B8B7F_.wvu.Cols" localSheetId="1" hidden="1">'Team Personnel'!$L:$L</definedName>
    <definedName name="Z_6960175A_17E1_4BDD_98F7_6E9A590B8B7F_.wvu.Cols" localSheetId="4" hidden="1">'Upcoming Schedule'!$E:$E,'Upcoming Schedule'!$I:$K</definedName>
    <definedName name="Z_6A3B2C41_2DBC_4B17_AB58_12C85E3A6B8A_.wvu.Cols" localSheetId="2" hidden="1">Roster!$G:$H,Roster!$N:$Z</definedName>
    <definedName name="Z_6A3B2C41_2DBC_4B17_AB58_12C85E3A6B8A_.wvu.Cols" localSheetId="3" hidden="1">'Season Stats'!$L:$V,'Season Stats'!$Y:$AJ</definedName>
    <definedName name="Z_6A3B2C41_2DBC_4B17_AB58_12C85E3A6B8A_.wvu.Cols" localSheetId="5" hidden="1">'Team Heroes'!$F:$I</definedName>
    <definedName name="Z_6A3B2C41_2DBC_4B17_AB58_12C85E3A6B8A_.wvu.Cols" localSheetId="0" hidden="1">'Team Info'!$D:$H</definedName>
    <definedName name="Z_6A3B2C41_2DBC_4B17_AB58_12C85E3A6B8A_.wvu.Cols" localSheetId="4" hidden="1">'Upcoming Schedule'!$E:$E,'Upcoming Schedule'!$I:$K</definedName>
    <definedName name="Z_6A3B2C41_2DBC_4B17_AB58_12C85E3A6B8A_.wvu.PrintArea" localSheetId="3" hidden="1">'Season Stats'!$A$1:$AJ$105</definedName>
    <definedName name="Z_6A3B2C41_2DBC_4B17_AB58_12C85E3A6B8A_.wvu.Rows" localSheetId="5" hidden="1">'Team Heroes'!$22:$52</definedName>
    <definedName name="Z_6A3B2C41_2DBC_4B17_AB58_12C85E3A6B8A_.wvu.Rows" localSheetId="1" hidden="1">'Team Personnel'!$24:$34</definedName>
    <definedName name="Z_6EDF2E63_E51E_449A_B1C5_EFB1FD6A259C_.wvu.Cols" localSheetId="0" hidden="1">'Team Info'!$D:$D,'Team Info'!$F:$F,'Team Info'!$H:$H</definedName>
    <definedName name="Z_6EDF2E63_E51E_449A_B1C5_EFB1FD6A259C_.wvu.Cols" localSheetId="1" hidden="1">'Team Personnel'!$L:$L</definedName>
    <definedName name="Z_6EDF2E63_E51E_449A_B1C5_EFB1FD6A259C_.wvu.Cols" localSheetId="4" hidden="1">'Upcoming Schedule'!$E:$E,'Upcoming Schedule'!$I:$K</definedName>
    <definedName name="Z_792F7DB4_F0C7_4F6F_9D44_1CA398E3F0DC_.wvu.Cols" localSheetId="2" hidden="1">Roster!$H:$H,Roster!$O:$Z</definedName>
    <definedName name="Z_792F7DB4_F0C7_4F6F_9D44_1CA398E3F0DC_.wvu.Cols" localSheetId="3" hidden="1">'Season Stats'!$L:$V,'Season Stats'!$Y:$AJ</definedName>
    <definedName name="Z_792F7DB4_F0C7_4F6F_9D44_1CA398E3F0DC_.wvu.Cols" localSheetId="5" hidden="1">'Team Heroes'!$F:$I</definedName>
    <definedName name="Z_792F7DB4_F0C7_4F6F_9D44_1CA398E3F0DC_.wvu.Cols" localSheetId="0" hidden="1">'Team Info'!$D:$H</definedName>
    <definedName name="Z_792F7DB4_F0C7_4F6F_9D44_1CA398E3F0DC_.wvu.Cols" localSheetId="4" hidden="1">'Upcoming Schedule'!$H:$K</definedName>
    <definedName name="Z_792F7DB4_F0C7_4F6F_9D44_1CA398E3F0DC_.wvu.Rows" localSheetId="0" hidden="1">'Team Info'!$8:$8</definedName>
    <definedName name="Z_792F7DB4_F0C7_4F6F_9D44_1CA398E3F0DC_.wvu.Rows" localSheetId="1" hidden="1">'Team Personnel'!$24:$34,'Team Personnel'!$47:$50</definedName>
    <definedName name="Z_792F7DB4_F0C7_4F6F_9D44_1CA398E3F0DC_.wvu.Rows" localSheetId="4" hidden="1">'Upcoming Schedule'!$11:$16</definedName>
    <definedName name="Z_9DC468DE_D883_45B4_B188_265B9DA68425_.wvu.Cols" localSheetId="0" hidden="1">'Team Info'!$D:$D,'Team Info'!$F:$F,'Team Info'!$H:$H</definedName>
    <definedName name="Z_9DC468DE_D883_45B4_B188_265B9DA68425_.wvu.Cols" localSheetId="1" hidden="1">'Team Personnel'!$L:$L</definedName>
    <definedName name="Z_9DC468DE_D883_45B4_B188_265B9DA68425_.wvu.Cols" localSheetId="4" hidden="1">'Upcoming Schedule'!$E:$E,'Upcoming Schedule'!$I:$K</definedName>
    <definedName name="Z_AC8CA20A_2130_4ED2_A745_85677B08F97C_.wvu.Cols" localSheetId="2" hidden="1">Roster!$H:$H,Roster!$M:$AB</definedName>
    <definedName name="Z_AC8CA20A_2130_4ED2_A745_85677B08F97C_.wvu.Cols" localSheetId="3" hidden="1">'Season Stats'!$L:$V,'Season Stats'!$Y:$AJ</definedName>
    <definedName name="Z_AC8CA20A_2130_4ED2_A745_85677B08F97C_.wvu.Cols" localSheetId="5" hidden="1">'Team Heroes'!$F:$I</definedName>
    <definedName name="Z_AC8CA20A_2130_4ED2_A745_85677B08F97C_.wvu.Cols" localSheetId="0" hidden="1">'Team Info'!$D:$H</definedName>
    <definedName name="Z_AC8CA20A_2130_4ED2_A745_85677B08F97C_.wvu.Cols" localSheetId="1" hidden="1">'Team Personnel'!$I:$L</definedName>
    <definedName name="Z_AC8CA20A_2130_4ED2_A745_85677B08F97C_.wvu.Cols" localSheetId="4" hidden="1">'Upcoming Schedule'!$E:$E,'Upcoming Schedule'!$I:$K</definedName>
    <definedName name="Z_AC8CA20A_2130_4ED2_A745_85677B08F97C_.wvu.Rows" localSheetId="5" hidden="1">'Team Heroes'!$12:$52</definedName>
    <definedName name="Z_AC8CA20A_2130_4ED2_A745_85677B08F97C_.wvu.Rows" localSheetId="1" hidden="1">'Team Personnel'!$8:$12,'Team Personnel'!$19:$34</definedName>
    <definedName name="Z_AC8CA20A_2130_4ED2_A745_85677B08F97C_.wvu.Rows" localSheetId="4" hidden="1">'Upcoming Schedule'!$10:$16</definedName>
    <definedName name="Z_BD1DF852_269B_4C2F_AF89_1FA576EA4603_.wvu.Cols" localSheetId="2" hidden="1">Roster!$H:$H,Roster!$M:$AB</definedName>
    <definedName name="Z_BD1DF852_269B_4C2F_AF89_1FA576EA4603_.wvu.Cols" localSheetId="3" hidden="1">'Season Stats'!$L:$V,'Season Stats'!$Y:$AJ</definedName>
    <definedName name="Z_BD1DF852_269B_4C2F_AF89_1FA576EA4603_.wvu.Cols" localSheetId="5" hidden="1">'Team Heroes'!$F:$I</definedName>
    <definedName name="Z_BD1DF852_269B_4C2F_AF89_1FA576EA4603_.wvu.Cols" localSheetId="0" hidden="1">'Team Info'!$D:$H</definedName>
    <definedName name="Z_BD1DF852_269B_4C2F_AF89_1FA576EA4603_.wvu.Cols" localSheetId="1" hidden="1">'Team Personnel'!$I:$L</definedName>
    <definedName name="Z_BD1DF852_269B_4C2F_AF89_1FA576EA4603_.wvu.Cols" localSheetId="4" hidden="1">'Upcoming Schedule'!$E:$E,'Upcoming Schedule'!$I:$K</definedName>
    <definedName name="Z_BD1DF852_269B_4C2F_AF89_1FA576EA4603_.wvu.Rows" localSheetId="5" hidden="1">'Team Heroes'!$12:$52</definedName>
    <definedName name="Z_BD1DF852_269B_4C2F_AF89_1FA576EA4603_.wvu.Rows" localSheetId="1" hidden="1">'Team Personnel'!$8:$12,'Team Personnel'!$19:$34</definedName>
    <definedName name="Z_BD1DF852_269B_4C2F_AF89_1FA576EA4603_.wvu.Rows" localSheetId="4" hidden="1">'Upcoming Schedule'!$10:$16</definedName>
    <definedName name="Z_BE266B8E_38B0_4631_9C30_67CA48A8BD7F_.wvu.Cols" localSheetId="2" hidden="1">Roster!$H:$H,Roster!$O:$Z</definedName>
    <definedName name="Z_BE266B8E_38B0_4631_9C30_67CA48A8BD7F_.wvu.Cols" localSheetId="3" hidden="1">'Season Stats'!$L:$V,'Season Stats'!$Y:$AJ</definedName>
    <definedName name="Z_BE266B8E_38B0_4631_9C30_67CA48A8BD7F_.wvu.Cols" localSheetId="5" hidden="1">'Team Heroes'!$F:$I</definedName>
    <definedName name="Z_BE266B8E_38B0_4631_9C30_67CA48A8BD7F_.wvu.Cols" localSheetId="0" hidden="1">'Team Info'!$D:$H</definedName>
    <definedName name="Z_BE266B8E_38B0_4631_9C30_67CA48A8BD7F_.wvu.Cols" localSheetId="4" hidden="1">'Upcoming Schedule'!$H:$K</definedName>
    <definedName name="Z_BE266B8E_38B0_4631_9C30_67CA48A8BD7F_.wvu.Rows" localSheetId="1" hidden="1">'Team Personnel'!$24:$34</definedName>
    <definedName name="Z_DB365F32_166D_4348_BCE9_F0F1DB0B73A9_.wvu.Cols" localSheetId="0" hidden="1">'Team Info'!$D:$D,'Team Info'!$F:$F,'Team Info'!$H:$H</definedName>
    <definedName name="Z_DB365F32_166D_4348_BCE9_F0F1DB0B73A9_.wvu.Cols" localSheetId="1" hidden="1">'Team Personnel'!$L:$L</definedName>
    <definedName name="Z_DB365F32_166D_4348_BCE9_F0F1DB0B73A9_.wvu.Cols" localSheetId="4" hidden="1">'Upcoming Schedule'!$E:$E,'Upcoming Schedule'!$I:$K</definedName>
    <definedName name="ZZZ_PLAYER1">'Season Stats'!$AB$2:$AK$2</definedName>
    <definedName name="ZZZ_PLAYER10">'Season Stats'!$AB$11:$AK$11</definedName>
    <definedName name="ZZZ_PLAYER100">'Season Stats'!#REF!</definedName>
    <definedName name="ZZZ_PLAYER101">'Season Stats'!#REF!</definedName>
    <definedName name="ZZZ_PLAYER102">'Season Stats'!#REF!</definedName>
    <definedName name="ZZZ_PLAYER11">'Season Stats'!$AB$12:$AK$12</definedName>
    <definedName name="ZZZ_PLAYER12">'Season Stats'!$AB$13:$AK$13</definedName>
    <definedName name="ZZZ_PLAYER13">'Season Stats'!$AB$14:$AK$14</definedName>
    <definedName name="ZZZ_PLAYER14">'Season Stats'!$AB$15:$AK$15</definedName>
    <definedName name="ZZZ_PLAYER15">'Season Stats'!$AB$16:$AK$16</definedName>
    <definedName name="ZZZ_PLAYER16">'Season Stats'!$AB$17:$AK$17</definedName>
    <definedName name="ZZZ_PLAYER17">'Season Stats'!$AB$18:$AK$18</definedName>
    <definedName name="ZZZ_PLAYER18">'Season Stats'!$AB$19:$AK$19</definedName>
    <definedName name="ZZZ_PLAYER19">'Season Stats'!$AB$20:$AK$20</definedName>
    <definedName name="ZZZ_PLAYER2">'Season Stats'!$AB$3:$AK$3</definedName>
    <definedName name="ZZZ_PLAYER20">'Season Stats'!$AB$21:$AK$21</definedName>
    <definedName name="ZZZ_PLAYER21">'Season Stats'!$AB$22:$AK$22</definedName>
    <definedName name="ZZZ_PLAYER22">'Season Stats'!$AB$23:$AK$23</definedName>
    <definedName name="ZZZ_PLAYER23">'Season Stats'!$AB$24:$AK$24</definedName>
    <definedName name="ZZZ_PLAYER24">'Season Stats'!$AB$25:$AK$25</definedName>
    <definedName name="ZZZ_PLAYER25">'Season Stats'!$AB$26:$AK$26</definedName>
    <definedName name="ZZZ_PLAYER26">'Season Stats'!$AB$27:$AK$27</definedName>
    <definedName name="ZZZ_PLAYER27">'Season Stats'!$AB$28:$AK$28</definedName>
    <definedName name="ZZZ_PLAYER28">'Season Stats'!$AB$29:$AK$29</definedName>
    <definedName name="ZZZ_PLAYER29">'Season Stats'!$AB$30:$AK$30</definedName>
    <definedName name="ZZZ_PLAYER3">'Season Stats'!$AB$4:$AK$4</definedName>
    <definedName name="ZZZ_PLAYER30">'Season Stats'!$AB$31:$AK$31</definedName>
    <definedName name="ZZZ_PLAYER31">'Season Stats'!$AB$32:$AK$32</definedName>
    <definedName name="ZZZ_PLAYER32">'Season Stats'!$AB$33:$AK$33</definedName>
    <definedName name="ZZZ_PLAYER33">'Season Stats'!$AB$34:$AK$34</definedName>
    <definedName name="ZZZ_PLAYER34">'Season Stats'!$AB$35:$AK$35</definedName>
    <definedName name="ZZZ_PLAYER35">'Season Stats'!$AB$36:$AK$36</definedName>
    <definedName name="ZZZ_PLAYER36">'Season Stats'!$AB$37:$AK$37</definedName>
    <definedName name="ZZZ_PLAYER37">'Season Stats'!$AB$38:$AK$38</definedName>
    <definedName name="ZZZ_PLAYER38">'Season Stats'!$AB$39:$AK$39</definedName>
    <definedName name="ZZZ_PLAYER39">'Season Stats'!$AB$40:$AK$40</definedName>
    <definedName name="ZZZ_PLAYER4">'Season Stats'!$AB$5:$AK$5</definedName>
    <definedName name="ZZZ_PLAYER40">'Season Stats'!$AB$41:$AK$41</definedName>
    <definedName name="ZZZ_PLAYER41">'Season Stats'!$AB$42:$AK$42</definedName>
    <definedName name="ZZZ_PLAYER42">'Season Stats'!$AB$43:$AK$43</definedName>
    <definedName name="ZZZ_PLAYER43">'Season Stats'!$AB$44:$AK$44</definedName>
    <definedName name="ZZZ_PLAYER44">'Season Stats'!$AB$45:$AK$45</definedName>
    <definedName name="ZZZ_PLAYER45">'Season Stats'!$AB$46:$AK$46</definedName>
    <definedName name="ZZZ_PLAYER46">'Season Stats'!$AB$47:$AK$47</definedName>
    <definedName name="ZZZ_PLAYER47">'Season Stats'!$AB$48:$AK$48</definedName>
    <definedName name="ZZZ_PLAYER48">'Season Stats'!$AB$49:$AK$49</definedName>
    <definedName name="ZZZ_PLAYER49">'Season Stats'!$AB$50:$AK$50</definedName>
    <definedName name="ZZZ_PLAYER5">'Season Stats'!$AB$6:$AK$6</definedName>
    <definedName name="ZZZ_PLAYER50">'Season Stats'!$AB$51:$AJ$51</definedName>
    <definedName name="ZZZ_PLAYER51">'Season Stats'!$AB$52:$AK$52</definedName>
    <definedName name="ZZZ_PLAYER52">'Season Stats'!$AB$53:$AK$53</definedName>
    <definedName name="ZZZ_PLAYER53">'Season Stats'!$AB$54:$AK$54</definedName>
    <definedName name="ZZZ_PLAYER54">'Season Stats'!$AB$55:$AK$55</definedName>
    <definedName name="ZZZ_PLAYER55">'Season Stats'!$AB$56:$AK$56</definedName>
    <definedName name="ZZZ_PLAYER56">'Season Stats'!$AB$57:$AK$57</definedName>
    <definedName name="ZZZ_PLAYER57">'Season Stats'!$AB$58:$AK$58</definedName>
    <definedName name="ZZZ_PLAYER58">'Season Stats'!$AB$59:$AK$59</definedName>
    <definedName name="ZZZ_PLAYER59">'Season Stats'!$AB$60:$AK$60</definedName>
    <definedName name="ZZZ_PLAYER6">'Season Stats'!$AB$7:$AK$7</definedName>
    <definedName name="ZZZ_PLAYER60">'Season Stats'!$AB$61:$AK$61</definedName>
    <definedName name="ZZZ_PLAYER61">'Season Stats'!$AB$62:$AK$62</definedName>
    <definedName name="ZZZ_PLAYER62">'Season Stats'!$AB$63:$AK$63</definedName>
    <definedName name="ZZZ_PLAYER63">'Season Stats'!$AB$64:$AK$64</definedName>
    <definedName name="ZZZ_PLAYER64">'Season Stats'!$AB$65:$AK$65</definedName>
    <definedName name="ZZZ_PLAYER65">'Season Stats'!$AB$66:$AK$66</definedName>
    <definedName name="ZZZ_PLAYER66">'Season Stats'!$AB$67:$AK$67</definedName>
    <definedName name="ZZZ_PLAYER67">'Season Stats'!$AB$68:$AK$68</definedName>
    <definedName name="ZZZ_PLAYER68">'Season Stats'!$AB$69:$AK$69</definedName>
    <definedName name="ZZZ_PLAYER69">'Season Stats'!$AB$70:$AK$70</definedName>
    <definedName name="ZZZ_PLAYER7">'Season Stats'!$AB$8:$AK$8</definedName>
    <definedName name="ZZZ_PLAYER70">'Season Stats'!$AB$71:$AK$71</definedName>
    <definedName name="ZZZ_PLAYER71">'Season Stats'!$AB$72:$AK$72</definedName>
    <definedName name="ZZZ_PLAYER72">'Season Stats'!$AB$73:$AK$73</definedName>
    <definedName name="ZZZ_PLAYER73">'Season Stats'!$AB$74:$AK$74</definedName>
    <definedName name="ZZZ_PLAYER74">'Season Stats'!$AB$75:$AK$75</definedName>
    <definedName name="ZZZ_PLAYER75">'Season Stats'!$AB$76:$AK$76</definedName>
    <definedName name="ZZZ_PLAYER76">'Season Stats'!$AB$77:$AK$77</definedName>
    <definedName name="ZZZ_PLAYER77">'Season Stats'!$AB$78:$AK$78</definedName>
    <definedName name="ZZZ_PLAYER78">'Season Stats'!$AB$79:$AK$79</definedName>
    <definedName name="ZZZ_PLAYER79">'Season Stats'!$AB$80:$AK$80</definedName>
    <definedName name="ZZZ_PLAYER8">'Season Stats'!$AB$9:$AK$9</definedName>
    <definedName name="ZZZ_PLAYER80">'Season Stats'!$AB$81:$AK$81</definedName>
    <definedName name="ZZZ_PLAYER81">'Season Stats'!$AB$82:$AK$82</definedName>
    <definedName name="ZZZ_PLAYER82">'Season Stats'!$AB$83:$AK$83</definedName>
    <definedName name="ZZZ_PLAYER83">'Season Stats'!$AB$84:$AK$84</definedName>
    <definedName name="ZZZ_PLAYER84">'Season Stats'!$AB$85:$AK$85</definedName>
    <definedName name="ZZZ_PLAYER85">'Season Stats'!$AB$86:$AK$86</definedName>
    <definedName name="ZZZ_PLAYER86">'Season Stats'!$AB$87:$AK$87</definedName>
    <definedName name="ZZZ_PLAYER87">'Season Stats'!$AB$88:$AK$88</definedName>
    <definedName name="ZZZ_PLAYER88">'Season Stats'!$AB$89:$AK$89</definedName>
    <definedName name="ZZZ_PLAYER89">'Season Stats'!$AB$90:$AK$90</definedName>
    <definedName name="ZZZ_PLAYER9">'Season Stats'!$AB$10:$AK$10</definedName>
    <definedName name="ZZZ_PLAYER90">'Season Stats'!$AB$91:$AK$91</definedName>
    <definedName name="ZZZ_PLAYER91">'Season Stats'!$AB$92:$AK$92</definedName>
    <definedName name="ZZZ_PLAYER92">'Season Stats'!$AB$93:$AK$93</definedName>
    <definedName name="ZZZ_PLAYER93">'Season Stats'!$AB$94:$AK$94</definedName>
    <definedName name="ZZZ_PLAYER94">'Season Stats'!$AB$95:$AK$95</definedName>
    <definedName name="ZZZ_PLAYER95">'Season Stats'!$AB$96:$AK$96</definedName>
    <definedName name="ZZZ_PLAYER96">'Season Stats'!$AB$97:$AK$97</definedName>
    <definedName name="ZZZ_PLAYER97">'Season Stats'!$AB$98:$AK$98</definedName>
    <definedName name="ZZZ_PLAYER98">'Season Stats'!$AB$99:$AK$99</definedName>
    <definedName name="ZZZ_PLAYER99">'Season Stats'!$AB$100:$AK$100</definedName>
  </definedNames>
  <calcPr calcId="191029"/>
  <customWorkbookViews>
    <customWorkbookView name="Chavez, Cristian A. - Personal View" guid="{792F7DB4-F0C7-4F6F-9D44-1CA398E3F0DC}" mergeInterval="0" personalView="1" maximized="1" xWindow="-1928" yWindow="-8" windowWidth="1936" windowHeight="1056" activeSheetId="1"/>
    <customWorkbookView name="Brian Bell - Personal View" guid="{BE266B8E-38B0-4631-9C30-67CA48A8BD7F}" mergeInterval="0" personalView="1" xWindow="1931" yWindow="100" windowWidth="1440" windowHeight="759" activeSheetId="1"/>
    <customWorkbookView name="Brian D Bell - Personal View" guid="{BD1DF852-269B-4C2F-AF89-1FA576EA4603}" mergeInterval="0" personalView="1" maximized="1" xWindow="-8" yWindow="-8" windowWidth="1936" windowHeight="1056" activeSheetId="1"/>
    <customWorkbookView name="Sanchez, Israel - Personal View" guid="{6A3B2C41-2DBC-4B17-AB58-12C85E3A6B8A}" mergeInterval="0" personalView="1" maximized="1" xWindow="2552" yWindow="-8" windowWidth="2576" windowHeight="1416" activeSheetId="1"/>
    <customWorkbookView name="XPression - Personal View" guid="{9DC468DE-D883-45B4-B188-265B9DA68425}" mergeInterval="0" personalView="1" maximized="1" xWindow="-4" yWindow="-4" windowWidth="1928" windowHeight="1060" activeSheetId="1"/>
    <customWorkbookView name="Adam G Daly - Personal View" guid="{6960175A-17E1-4BDD-98F7-6E9A590B8B7F}" mergeInterval="0" personalView="1" maximized="1" xWindow="-8" yWindow="-8" windowWidth="1936" windowHeight="1056" activeSheetId="2"/>
    <customWorkbookView name="CARROLL, CHRISTOPHER M. - Personal View" guid="{DB365F32-166D-4348-BCE9-F0F1DB0B73A9}" mergeInterval="0" personalView="1" maximized="1" xWindow="-8" yWindow="-8" windowWidth="1936" windowHeight="1176" activeSheetId="3"/>
    <customWorkbookView name="ESPN Technology - Personal View" guid="{6EDF2E63-E51E-449A-B1C5-EFB1FD6A259C}" mergeInterval="0" personalView="1" maximized="1" windowWidth="1916" windowHeight="951" activeSheetId="3"/>
    <customWorkbookView name="gfx - Personal View" guid="{46B088B4-7F51-4D35-9F00-2268626FA819}" mergeInterval="0" personalView="1" maximized="1" xWindow="-8" yWindow="-8" windowWidth="1936" windowHeight="1176" activeSheetId="2"/>
    <customWorkbookView name="Bell, Brian D. - Personal View" guid="{42F19D52-E208-414F-9E2E-506DF902926F}" mergeInterval="0" personalView="1" xWindow="183" yWindow="71" windowWidth="1440" windowHeight="1004" activeSheetId="1"/>
    <customWorkbookView name="Gentile, Gregory P. - Personal View" guid="{AC8CA20A-2130-4ED2-A745-85677B08F97C}" mergeInterval="0" personalView="1" xWindow="1964" yWindow="54" windowWidth="1868" windowHeight="955" activeSheetId="1"/>
    <customWorkbookView name="Bessell, Katherine R. - Personal View" guid="{2F318324-B2A5-4EFB-BB30-8D1AF11C1A9F}" mergeInterval="0" personalView="1" xWindow="2922" yWindow="2" windowWidth="911" windowHeight="1040" activeSheetId="3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2" i="1" l="1"/>
  <c r="M101" i="9"/>
  <c r="K101" i="9"/>
  <c r="M92" i="9"/>
  <c r="K92" i="9"/>
  <c r="L6" i="2"/>
  <c r="L35" i="2"/>
  <c r="L33" i="2"/>
  <c r="L30" i="2"/>
  <c r="L27" i="2"/>
  <c r="L24" i="2"/>
  <c r="L21" i="2"/>
  <c r="L18" i="2"/>
  <c r="L12" i="2"/>
  <c r="L9" i="2"/>
  <c r="D23" i="2" l="1"/>
  <c r="D22" i="2"/>
  <c r="D21" i="2"/>
  <c r="D20" i="2"/>
  <c r="D19" i="2"/>
  <c r="D18" i="2"/>
  <c r="D17" i="2"/>
  <c r="D16" i="2"/>
  <c r="D15" i="2"/>
  <c r="D14" i="2"/>
  <c r="D3" i="2"/>
  <c r="B38" i="2" s="1"/>
  <c r="L3" i="2" s="1"/>
  <c r="O101" i="8" l="1"/>
  <c r="N101" i="8"/>
  <c r="O92" i="8"/>
  <c r="N92" i="8"/>
  <c r="L101" i="8"/>
  <c r="L92" i="8"/>
  <c r="AA101" i="3" l="1"/>
  <c r="AB101" i="3" s="1"/>
  <c r="AA100" i="3"/>
  <c r="AB100" i="3" s="1"/>
  <c r="AA99" i="3"/>
  <c r="AB99" i="3" s="1"/>
  <c r="AA98" i="3"/>
  <c r="AB98" i="3" s="1"/>
  <c r="AA97" i="3"/>
  <c r="AB97" i="3" s="1"/>
  <c r="AA96" i="3"/>
  <c r="AB96" i="3" s="1"/>
  <c r="AA95" i="3"/>
  <c r="AB95" i="3" s="1"/>
  <c r="AA94" i="3"/>
  <c r="AB94" i="3" s="1"/>
  <c r="AA92" i="3"/>
  <c r="AB92" i="3" s="1"/>
  <c r="AA91" i="3"/>
  <c r="AB91" i="3" s="1"/>
  <c r="AA90" i="3"/>
  <c r="AB90" i="3" s="1"/>
  <c r="AA89" i="3"/>
  <c r="AB89" i="3" s="1"/>
  <c r="AA88" i="3"/>
  <c r="AB88" i="3" s="1"/>
  <c r="AA87" i="3"/>
  <c r="AB87" i="3" s="1"/>
  <c r="AA86" i="3"/>
  <c r="AB86" i="3" s="1"/>
  <c r="AA85" i="3"/>
  <c r="AB85" i="3" s="1"/>
  <c r="AA84" i="3"/>
  <c r="AB84" i="3" s="1"/>
  <c r="AA83" i="3"/>
  <c r="AB83" i="3" s="1"/>
  <c r="AA82" i="3"/>
  <c r="AB82" i="3" s="1"/>
  <c r="AA81" i="3"/>
  <c r="AB81" i="3" s="1"/>
  <c r="AA80" i="3"/>
  <c r="AB80" i="3" s="1"/>
  <c r="AA79" i="3"/>
  <c r="AB79" i="3" s="1"/>
  <c r="AA78" i="3"/>
  <c r="AB78" i="3" s="1"/>
  <c r="AA77" i="3"/>
  <c r="AB77" i="3" s="1"/>
  <c r="AA76" i="3"/>
  <c r="AB76" i="3" s="1"/>
  <c r="AA75" i="3"/>
  <c r="AB75" i="3" s="1"/>
  <c r="AA74" i="3"/>
  <c r="AB74" i="3" s="1"/>
  <c r="AA73" i="3"/>
  <c r="AB73" i="3" s="1"/>
  <c r="AA72" i="3"/>
  <c r="AB72" i="3" s="1"/>
  <c r="AA71" i="3"/>
  <c r="AB71" i="3" s="1"/>
  <c r="AA70" i="3"/>
  <c r="AB70" i="3" s="1"/>
  <c r="AA69" i="3"/>
  <c r="AB69" i="3" s="1"/>
  <c r="AA68" i="3"/>
  <c r="AB68" i="3" s="1"/>
  <c r="AA67" i="3"/>
  <c r="AB67" i="3" s="1"/>
  <c r="AA66" i="3"/>
  <c r="AB66" i="3" s="1"/>
  <c r="AA65" i="3"/>
  <c r="AB65" i="3" s="1"/>
  <c r="AA64" i="3"/>
  <c r="AB64" i="3" s="1"/>
  <c r="AA63" i="3"/>
  <c r="AB63" i="3" s="1"/>
  <c r="AA62" i="3"/>
  <c r="AB62" i="3" s="1"/>
  <c r="AA61" i="3"/>
  <c r="AB61" i="3" s="1"/>
  <c r="AA60" i="3"/>
  <c r="AB60" i="3" s="1"/>
  <c r="AA59" i="3"/>
  <c r="AB59" i="3" s="1"/>
  <c r="AA58" i="3"/>
  <c r="AB58" i="3" s="1"/>
  <c r="AA57" i="3"/>
  <c r="AB57" i="3" s="1"/>
  <c r="AA56" i="3"/>
  <c r="AB56" i="3" s="1"/>
  <c r="AA55" i="3"/>
  <c r="AB55" i="3" s="1"/>
  <c r="AA54" i="3"/>
  <c r="AB54" i="3" s="1"/>
  <c r="AA53" i="3"/>
  <c r="AB53" i="3" s="1"/>
  <c r="AA52" i="3"/>
  <c r="AB52" i="3" s="1"/>
  <c r="AA51" i="3"/>
  <c r="AB51" i="3" s="1"/>
  <c r="AA50" i="3"/>
  <c r="AB50" i="3" s="1"/>
  <c r="AA49" i="3"/>
  <c r="AB49" i="3" s="1"/>
  <c r="AA48" i="3"/>
  <c r="AB48" i="3" s="1"/>
  <c r="AA47" i="3"/>
  <c r="AB47" i="3" s="1"/>
  <c r="AA46" i="3"/>
  <c r="AB46" i="3" s="1"/>
  <c r="AA45" i="3"/>
  <c r="AB45" i="3" s="1"/>
  <c r="AA44" i="3"/>
  <c r="AB44" i="3" s="1"/>
  <c r="AA43" i="3"/>
  <c r="AB43" i="3" s="1"/>
  <c r="AA42" i="3"/>
  <c r="AB42" i="3" s="1"/>
  <c r="AA41" i="3"/>
  <c r="AB41" i="3" s="1"/>
  <c r="AA40" i="3"/>
  <c r="AB40" i="3" s="1"/>
  <c r="AA39" i="3"/>
  <c r="AB39" i="3" s="1"/>
  <c r="AA38" i="3"/>
  <c r="AB38" i="3" s="1"/>
  <c r="AA37" i="3"/>
  <c r="AB37" i="3" s="1"/>
  <c r="AA36" i="3"/>
  <c r="AB36" i="3" s="1"/>
  <c r="AA35" i="3"/>
  <c r="AB35" i="3" s="1"/>
  <c r="AA34" i="3"/>
  <c r="AB34" i="3" s="1"/>
  <c r="AA33" i="3"/>
  <c r="AB33" i="3" s="1"/>
  <c r="AA32" i="3"/>
  <c r="AB32" i="3" s="1"/>
  <c r="AA31" i="3"/>
  <c r="AB31" i="3" s="1"/>
  <c r="AA30" i="3"/>
  <c r="AB30" i="3" s="1"/>
  <c r="AA29" i="3"/>
  <c r="AB29" i="3" s="1"/>
  <c r="AA28" i="3"/>
  <c r="AB28" i="3" s="1"/>
  <c r="AA27" i="3"/>
  <c r="AB27" i="3" s="1"/>
  <c r="AA26" i="3"/>
  <c r="AB26" i="3" s="1"/>
  <c r="AA25" i="3"/>
  <c r="AB25" i="3" s="1"/>
  <c r="AA24" i="3"/>
  <c r="AB24" i="3" s="1"/>
  <c r="AA23" i="3"/>
  <c r="AB23" i="3" s="1"/>
  <c r="AA22" i="3"/>
  <c r="AB22" i="3" s="1"/>
  <c r="AA21" i="3"/>
  <c r="AB21" i="3" s="1"/>
  <c r="AA20" i="3"/>
  <c r="AB20" i="3" s="1"/>
  <c r="AA19" i="3"/>
  <c r="AB19" i="3" s="1"/>
  <c r="AA18" i="3"/>
  <c r="AB18" i="3" s="1"/>
  <c r="AA17" i="3"/>
  <c r="AB17" i="3" s="1"/>
  <c r="AA16" i="3"/>
  <c r="AB16" i="3" s="1"/>
  <c r="AA15" i="3"/>
  <c r="AB15" i="3" s="1"/>
  <c r="AA14" i="3"/>
  <c r="AB14" i="3" s="1"/>
  <c r="AA13" i="3"/>
  <c r="AB13" i="3" s="1"/>
  <c r="AA12" i="3"/>
  <c r="AB12" i="3" s="1"/>
  <c r="AA11" i="3"/>
  <c r="AB11" i="3" s="1"/>
  <c r="AA10" i="3"/>
  <c r="AB10" i="3" s="1"/>
  <c r="AA9" i="3"/>
  <c r="AB9" i="3" s="1"/>
  <c r="AA8" i="3"/>
  <c r="AB8" i="3" s="1"/>
  <c r="AA7" i="3"/>
  <c r="AB7" i="3" s="1"/>
  <c r="AA6" i="3"/>
  <c r="AB6" i="3" s="1"/>
  <c r="AA5" i="3"/>
  <c r="AB5" i="3" s="1"/>
  <c r="AA4" i="3"/>
  <c r="AB4" i="3" s="1"/>
  <c r="P101" i="3"/>
  <c r="P100" i="3"/>
  <c r="P99" i="3"/>
  <c r="P98" i="3"/>
  <c r="P97" i="3"/>
  <c r="P96" i="3"/>
  <c r="P95" i="3"/>
  <c r="P94" i="3"/>
  <c r="P92" i="3"/>
  <c r="P91" i="3"/>
  <c r="P90" i="3"/>
  <c r="P89" i="3"/>
  <c r="P88" i="3"/>
  <c r="P87" i="3"/>
  <c r="P86" i="3"/>
  <c r="P85" i="3"/>
  <c r="P84" i="3"/>
  <c r="P83" i="3"/>
  <c r="P82" i="3"/>
  <c r="P81" i="3"/>
  <c r="P80" i="3"/>
  <c r="P79" i="3"/>
  <c r="P78" i="3"/>
  <c r="P77" i="3"/>
  <c r="P76" i="3"/>
  <c r="P75" i="3"/>
  <c r="P74" i="3"/>
  <c r="P73" i="3"/>
  <c r="P72" i="3"/>
  <c r="P71" i="3"/>
  <c r="P70" i="3"/>
  <c r="P69" i="3"/>
  <c r="P68" i="3"/>
  <c r="P67" i="3"/>
  <c r="P66" i="3"/>
  <c r="P65" i="3"/>
  <c r="P64" i="3"/>
  <c r="P63" i="3"/>
  <c r="P62" i="3"/>
  <c r="P61" i="3"/>
  <c r="P60" i="3"/>
  <c r="P59" i="3"/>
  <c r="P58" i="3"/>
  <c r="P57" i="3"/>
  <c r="P56" i="3"/>
  <c r="P55" i="3"/>
  <c r="P54" i="3"/>
  <c r="P53" i="3"/>
  <c r="P52" i="3"/>
  <c r="P51" i="3"/>
  <c r="P50" i="3"/>
  <c r="P49" i="3"/>
  <c r="P48" i="3"/>
  <c r="P47" i="3"/>
  <c r="P46" i="3"/>
  <c r="P45" i="3"/>
  <c r="P44" i="3"/>
  <c r="P43" i="3"/>
  <c r="P42" i="3"/>
  <c r="P41" i="3"/>
  <c r="P40" i="3"/>
  <c r="P39" i="3"/>
  <c r="P38" i="3"/>
  <c r="P37" i="3"/>
  <c r="P36" i="3"/>
  <c r="P35" i="3"/>
  <c r="P34" i="3"/>
  <c r="P33" i="3"/>
  <c r="P32" i="3"/>
  <c r="P31" i="3"/>
  <c r="P30" i="3"/>
  <c r="P29" i="3"/>
  <c r="P28" i="3"/>
  <c r="P27" i="3"/>
  <c r="P26" i="3"/>
  <c r="P25" i="3"/>
  <c r="P24" i="3"/>
  <c r="P23" i="3"/>
  <c r="P22" i="3"/>
  <c r="P21" i="3"/>
  <c r="P20" i="3"/>
  <c r="P19" i="3"/>
  <c r="P18" i="3"/>
  <c r="P17" i="3"/>
  <c r="P16" i="3"/>
  <c r="P15" i="3"/>
  <c r="P14" i="3"/>
  <c r="P13" i="3"/>
  <c r="P12" i="3"/>
  <c r="P11" i="3"/>
  <c r="P10" i="3"/>
  <c r="P9" i="3"/>
  <c r="P8" i="3"/>
  <c r="P7" i="3"/>
  <c r="P6" i="3"/>
  <c r="P5" i="3"/>
  <c r="P4" i="3"/>
  <c r="S101" i="3"/>
  <c r="S100" i="3"/>
  <c r="S99" i="3"/>
  <c r="S98" i="3"/>
  <c r="S97" i="3"/>
  <c r="S96" i="3"/>
  <c r="S95" i="3"/>
  <c r="S94" i="3"/>
  <c r="S92" i="3"/>
  <c r="S91" i="3"/>
  <c r="S90" i="3"/>
  <c r="S89" i="3"/>
  <c r="S88" i="3"/>
  <c r="S87" i="3"/>
  <c r="S86" i="3"/>
  <c r="S85" i="3"/>
  <c r="S84" i="3"/>
  <c r="S83" i="3"/>
  <c r="S82" i="3"/>
  <c r="S81" i="3"/>
  <c r="S80" i="3"/>
  <c r="S79" i="3"/>
  <c r="S78" i="3"/>
  <c r="S77" i="3"/>
  <c r="S76" i="3"/>
  <c r="S75" i="3"/>
  <c r="S74" i="3"/>
  <c r="S73" i="3"/>
  <c r="S72" i="3"/>
  <c r="S71" i="3"/>
  <c r="S70" i="3"/>
  <c r="S69" i="3"/>
  <c r="S68" i="3"/>
  <c r="S67" i="3"/>
  <c r="S66" i="3"/>
  <c r="S65" i="3"/>
  <c r="S64" i="3"/>
  <c r="S63" i="3"/>
  <c r="S62" i="3"/>
  <c r="S61" i="3"/>
  <c r="S60" i="3"/>
  <c r="S59" i="3"/>
  <c r="S58" i="3"/>
  <c r="S57" i="3"/>
  <c r="S56" i="3"/>
  <c r="S55" i="3"/>
  <c r="S54" i="3"/>
  <c r="S53" i="3"/>
  <c r="S52" i="3"/>
  <c r="S51" i="3"/>
  <c r="S50" i="3"/>
  <c r="S49" i="3"/>
  <c r="S48" i="3"/>
  <c r="S47" i="3"/>
  <c r="S46" i="3"/>
  <c r="S45" i="3"/>
  <c r="S44" i="3"/>
  <c r="S43" i="3"/>
  <c r="S42" i="3"/>
  <c r="S41" i="3"/>
  <c r="S40" i="3"/>
  <c r="S39" i="3"/>
  <c r="S38" i="3"/>
  <c r="S37" i="3"/>
  <c r="S36" i="3"/>
  <c r="S35" i="3"/>
  <c r="S34" i="3"/>
  <c r="S33" i="3"/>
  <c r="S32" i="3"/>
  <c r="S31" i="3"/>
  <c r="S30" i="3"/>
  <c r="S29" i="3"/>
  <c r="S28" i="3"/>
  <c r="S27" i="3"/>
  <c r="S26" i="3"/>
  <c r="S25" i="3"/>
  <c r="S24" i="3"/>
  <c r="S23" i="3"/>
  <c r="S22" i="3"/>
  <c r="S21" i="3"/>
  <c r="S20" i="3"/>
  <c r="S19" i="3"/>
  <c r="S18" i="3"/>
  <c r="S17" i="3"/>
  <c r="S16" i="3"/>
  <c r="S15" i="3"/>
  <c r="S14" i="3"/>
  <c r="S13" i="3"/>
  <c r="S12" i="3"/>
  <c r="S11" i="3"/>
  <c r="S10" i="3"/>
  <c r="S9" i="3"/>
  <c r="S8" i="3"/>
  <c r="S7" i="3"/>
  <c r="S6" i="3"/>
  <c r="S5" i="3"/>
  <c r="S4" i="3"/>
  <c r="R101" i="3"/>
  <c r="R100" i="3"/>
  <c r="R99" i="3"/>
  <c r="R98" i="3"/>
  <c r="R97" i="3"/>
  <c r="R96" i="3"/>
  <c r="R95" i="3"/>
  <c r="R94" i="3"/>
  <c r="R92" i="3"/>
  <c r="R91" i="3"/>
  <c r="R90" i="3"/>
  <c r="R89" i="3"/>
  <c r="R88" i="3"/>
  <c r="R87" i="3"/>
  <c r="R86" i="3"/>
  <c r="R85" i="3"/>
  <c r="R84" i="3"/>
  <c r="R83" i="3"/>
  <c r="R82" i="3"/>
  <c r="R81" i="3"/>
  <c r="R80" i="3"/>
  <c r="R79" i="3"/>
  <c r="R78" i="3"/>
  <c r="R77" i="3"/>
  <c r="R76" i="3"/>
  <c r="R75" i="3"/>
  <c r="R74" i="3"/>
  <c r="R73" i="3"/>
  <c r="R72" i="3"/>
  <c r="R71" i="3"/>
  <c r="R70" i="3"/>
  <c r="R69" i="3"/>
  <c r="R68" i="3"/>
  <c r="R67" i="3"/>
  <c r="R66" i="3"/>
  <c r="R65" i="3"/>
  <c r="R64" i="3"/>
  <c r="R63" i="3"/>
  <c r="R62" i="3"/>
  <c r="R61" i="3"/>
  <c r="R60" i="3"/>
  <c r="R59" i="3"/>
  <c r="R58" i="3"/>
  <c r="R57" i="3"/>
  <c r="R56" i="3"/>
  <c r="R55" i="3"/>
  <c r="R54" i="3"/>
  <c r="R53" i="3"/>
  <c r="R52" i="3"/>
  <c r="R51" i="3"/>
  <c r="R50" i="3"/>
  <c r="R49" i="3"/>
  <c r="R48" i="3"/>
  <c r="R47" i="3"/>
  <c r="R46" i="3"/>
  <c r="R45" i="3"/>
  <c r="R44" i="3"/>
  <c r="R43" i="3"/>
  <c r="R42" i="3"/>
  <c r="R41" i="3"/>
  <c r="R40" i="3"/>
  <c r="R39" i="3"/>
  <c r="R38" i="3"/>
  <c r="R37" i="3"/>
  <c r="R36" i="3"/>
  <c r="R35" i="3"/>
  <c r="R34" i="3"/>
  <c r="R33" i="3"/>
  <c r="R32" i="3"/>
  <c r="R31" i="3"/>
  <c r="R30" i="3"/>
  <c r="R29" i="3"/>
  <c r="R28" i="3"/>
  <c r="R27" i="3"/>
  <c r="R26" i="3"/>
  <c r="R25" i="3"/>
  <c r="R24" i="3"/>
  <c r="R23" i="3"/>
  <c r="R22" i="3"/>
  <c r="R21" i="3"/>
  <c r="R20" i="3"/>
  <c r="R19" i="3"/>
  <c r="R18" i="3"/>
  <c r="R17" i="3"/>
  <c r="R16" i="3"/>
  <c r="R15" i="3"/>
  <c r="R14" i="3"/>
  <c r="R13" i="3"/>
  <c r="R12" i="3"/>
  <c r="R11" i="3"/>
  <c r="R10" i="3"/>
  <c r="R9" i="3"/>
  <c r="R8" i="3"/>
  <c r="R7" i="3"/>
  <c r="R6" i="3"/>
  <c r="R5" i="3"/>
  <c r="R4" i="3"/>
  <c r="M102" i="3" l="1"/>
  <c r="L102" i="3"/>
  <c r="K102" i="3"/>
  <c r="J102" i="3"/>
  <c r="I102" i="3"/>
  <c r="H102" i="3"/>
  <c r="G102" i="3"/>
  <c r="F102" i="3"/>
  <c r="E102" i="3"/>
  <c r="P102" i="3" s="1"/>
  <c r="D102" i="3"/>
  <c r="C102" i="3"/>
  <c r="M93" i="3"/>
  <c r="L93" i="3"/>
  <c r="K93" i="3"/>
  <c r="J93" i="3"/>
  <c r="I93" i="3"/>
  <c r="H93" i="3"/>
  <c r="G93" i="3"/>
  <c r="F93" i="3"/>
  <c r="E93" i="3"/>
  <c r="P93" i="3" s="1"/>
  <c r="D93" i="3"/>
  <c r="C93" i="3"/>
  <c r="AA93" i="3" l="1"/>
  <c r="AB93" i="3" s="1"/>
  <c r="S93" i="3"/>
  <c r="R93" i="3"/>
  <c r="AA102" i="3"/>
  <c r="AB102" i="3" s="1"/>
  <c r="R102" i="3"/>
  <c r="S102" i="3"/>
  <c r="I101" i="9"/>
  <c r="G101" i="9"/>
  <c r="I92" i="9"/>
  <c r="G92" i="9"/>
  <c r="B104" i="9"/>
  <c r="J92" i="8"/>
  <c r="I92" i="8"/>
  <c r="G92" i="8"/>
  <c r="J101" i="8"/>
  <c r="I101" i="8"/>
  <c r="G101" i="8"/>
  <c r="B104" i="8"/>
  <c r="X100" i="4"/>
  <c r="W100" i="4"/>
  <c r="X91" i="4"/>
  <c r="W91" i="4"/>
  <c r="U104" i="4"/>
  <c r="U91" i="4" s="1"/>
  <c r="T104" i="4"/>
  <c r="T91" i="4" s="1"/>
  <c r="S104" i="4"/>
  <c r="S91" i="4" s="1"/>
  <c r="R104" i="4"/>
  <c r="R91" i="4" s="1"/>
  <c r="Q104" i="4"/>
  <c r="Q100" i="4" s="1"/>
  <c r="AG104" i="4" s="1"/>
  <c r="P104" i="4"/>
  <c r="P100" i="4" s="1"/>
  <c r="AF104" i="4" s="1"/>
  <c r="AF91" i="4" s="1"/>
  <c r="O104" i="4"/>
  <c r="O100" i="4" s="1"/>
  <c r="AE104" i="4" s="1"/>
  <c r="AE100" i="4" s="1"/>
  <c r="N104" i="4"/>
  <c r="N100" i="4" s="1"/>
  <c r="AD104" i="4" s="1"/>
  <c r="M104" i="4"/>
  <c r="M91" i="4" s="1"/>
  <c r="L104" i="4"/>
  <c r="L91" i="4" s="1"/>
  <c r="J100" i="4"/>
  <c r="J91" i="4"/>
  <c r="I91" i="4"/>
  <c r="H91" i="4"/>
  <c r="G91" i="4"/>
  <c r="F91" i="4"/>
  <c r="E91" i="4"/>
  <c r="D91" i="4"/>
  <c r="I100" i="4"/>
  <c r="H100" i="4"/>
  <c r="G100" i="4"/>
  <c r="F100" i="4"/>
  <c r="E100" i="4"/>
  <c r="D100" i="4"/>
  <c r="N4" i="3"/>
  <c r="R100" i="4" l="1"/>
  <c r="AH104" i="4" s="1"/>
  <c r="AH100" i="4" s="1"/>
  <c r="S100" i="4"/>
  <c r="AI104" i="4" s="1"/>
  <c r="AI91" i="4" s="1"/>
  <c r="P91" i="4"/>
  <c r="Q91" i="4"/>
  <c r="N91" i="4"/>
  <c r="O91" i="4"/>
  <c r="L100" i="4"/>
  <c r="AB104" i="4" s="1"/>
  <c r="AB91" i="4" s="1"/>
  <c r="T100" i="4"/>
  <c r="AJ104" i="4" s="1"/>
  <c r="AJ91" i="4" s="1"/>
  <c r="M100" i="4"/>
  <c r="AC104" i="4" s="1"/>
  <c r="AC91" i="4" s="1"/>
  <c r="U100" i="4"/>
  <c r="Z104" i="4"/>
  <c r="Y104" i="4"/>
  <c r="AG91" i="4"/>
  <c r="AG100" i="4"/>
  <c r="AD100" i="4"/>
  <c r="AD91" i="4"/>
  <c r="AF100" i="4"/>
  <c r="AE91" i="4"/>
  <c r="AI100" i="4" l="1"/>
  <c r="AH91" i="4"/>
  <c r="AC100" i="4"/>
  <c r="AB100" i="4"/>
  <c r="AJ100" i="4"/>
  <c r="E104" i="8"/>
  <c r="E104" i="9"/>
  <c r="D104" i="9"/>
  <c r="D104" i="8"/>
  <c r="C104" i="9"/>
  <c r="C104" i="8"/>
  <c r="C92" i="8" l="1"/>
  <c r="C101" i="8"/>
  <c r="C92" i="9"/>
  <c r="C101" i="9"/>
  <c r="D101" i="8"/>
  <c r="D92" i="8"/>
  <c r="D101" i="9"/>
  <c r="D92" i="9"/>
  <c r="E101" i="9"/>
  <c r="E92" i="9"/>
  <c r="E101" i="8"/>
  <c r="E92" i="8"/>
  <c r="B101" i="9"/>
  <c r="E100" i="9"/>
  <c r="D100" i="9"/>
  <c r="C100" i="9"/>
  <c r="B100" i="9"/>
  <c r="E99" i="9"/>
  <c r="D99" i="9"/>
  <c r="C99" i="9"/>
  <c r="B99" i="9"/>
  <c r="E98" i="9"/>
  <c r="D98" i="9"/>
  <c r="C98" i="9"/>
  <c r="B98" i="9"/>
  <c r="E97" i="9"/>
  <c r="D97" i="9"/>
  <c r="C97" i="9"/>
  <c r="B97" i="9"/>
  <c r="E96" i="9"/>
  <c r="D96" i="9"/>
  <c r="C96" i="9"/>
  <c r="B96" i="9"/>
  <c r="E95" i="9"/>
  <c r="D95" i="9"/>
  <c r="C95" i="9"/>
  <c r="B95" i="9"/>
  <c r="E94" i="9"/>
  <c r="D94" i="9"/>
  <c r="C94" i="9"/>
  <c r="B94" i="9"/>
  <c r="E93" i="9"/>
  <c r="D93" i="9"/>
  <c r="C93" i="9"/>
  <c r="B93" i="9"/>
  <c r="B92" i="9"/>
  <c r="E91" i="9"/>
  <c r="D91" i="9"/>
  <c r="C91" i="9"/>
  <c r="B91" i="9"/>
  <c r="E90" i="9"/>
  <c r="D90" i="9"/>
  <c r="C90" i="9"/>
  <c r="B90" i="9"/>
  <c r="E89" i="9"/>
  <c r="D89" i="9"/>
  <c r="C89" i="9"/>
  <c r="B89" i="9"/>
  <c r="E88" i="9"/>
  <c r="D88" i="9"/>
  <c r="C88" i="9"/>
  <c r="B88" i="9"/>
  <c r="E87" i="9"/>
  <c r="D87" i="9"/>
  <c r="C87" i="9"/>
  <c r="B87" i="9"/>
  <c r="E86" i="9"/>
  <c r="D86" i="9"/>
  <c r="C86" i="9"/>
  <c r="B86" i="9"/>
  <c r="E85" i="9"/>
  <c r="D85" i="9"/>
  <c r="C85" i="9"/>
  <c r="B85" i="9"/>
  <c r="E84" i="9"/>
  <c r="D84" i="9"/>
  <c r="C84" i="9"/>
  <c r="B84" i="9"/>
  <c r="E83" i="9"/>
  <c r="D83" i="9"/>
  <c r="C83" i="9"/>
  <c r="B83" i="9"/>
  <c r="E82" i="9"/>
  <c r="D82" i="9"/>
  <c r="C82" i="9"/>
  <c r="B82" i="9"/>
  <c r="E81" i="9"/>
  <c r="D81" i="9"/>
  <c r="C81" i="9"/>
  <c r="B81" i="9"/>
  <c r="E80" i="9"/>
  <c r="D80" i="9"/>
  <c r="C80" i="9"/>
  <c r="B80" i="9"/>
  <c r="E79" i="9"/>
  <c r="D79" i="9"/>
  <c r="C79" i="9"/>
  <c r="B79" i="9"/>
  <c r="E78" i="9"/>
  <c r="D78" i="9"/>
  <c r="C78" i="9"/>
  <c r="B78" i="9"/>
  <c r="E77" i="9"/>
  <c r="D77" i="9"/>
  <c r="C77" i="9"/>
  <c r="B77" i="9"/>
  <c r="E76" i="9"/>
  <c r="D76" i="9"/>
  <c r="C76" i="9"/>
  <c r="B76" i="9"/>
  <c r="E75" i="9"/>
  <c r="D75" i="9"/>
  <c r="C75" i="9"/>
  <c r="B75" i="9"/>
  <c r="E74" i="9"/>
  <c r="D74" i="9"/>
  <c r="C74" i="9"/>
  <c r="B74" i="9"/>
  <c r="E73" i="9"/>
  <c r="D73" i="9"/>
  <c r="C73" i="9"/>
  <c r="B73" i="9"/>
  <c r="E72" i="9"/>
  <c r="D72" i="9"/>
  <c r="C72" i="9"/>
  <c r="B72" i="9"/>
  <c r="E71" i="9"/>
  <c r="D71" i="9"/>
  <c r="C71" i="9"/>
  <c r="B71" i="9"/>
  <c r="E70" i="9"/>
  <c r="D70" i="9"/>
  <c r="C70" i="9"/>
  <c r="B70" i="9"/>
  <c r="E69" i="9"/>
  <c r="D69" i="9"/>
  <c r="C69" i="9"/>
  <c r="B69" i="9"/>
  <c r="E68" i="9"/>
  <c r="D68" i="9"/>
  <c r="C68" i="9"/>
  <c r="B68" i="9"/>
  <c r="E67" i="9"/>
  <c r="D67" i="9"/>
  <c r="C67" i="9"/>
  <c r="B67" i="9"/>
  <c r="E66" i="9"/>
  <c r="D66" i="9"/>
  <c r="C66" i="9"/>
  <c r="B66" i="9"/>
  <c r="E65" i="9"/>
  <c r="D65" i="9"/>
  <c r="C65" i="9"/>
  <c r="B65" i="9"/>
  <c r="E64" i="9"/>
  <c r="D64" i="9"/>
  <c r="C64" i="9"/>
  <c r="B64" i="9"/>
  <c r="E63" i="9"/>
  <c r="D63" i="9"/>
  <c r="C63" i="9"/>
  <c r="B63" i="9"/>
  <c r="E62" i="9"/>
  <c r="D62" i="9"/>
  <c r="C62" i="9"/>
  <c r="B62" i="9"/>
  <c r="E61" i="9"/>
  <c r="D61" i="9"/>
  <c r="C61" i="9"/>
  <c r="B61" i="9"/>
  <c r="E60" i="9"/>
  <c r="D60" i="9"/>
  <c r="C60" i="9"/>
  <c r="B60" i="9"/>
  <c r="E59" i="9"/>
  <c r="D59" i="9"/>
  <c r="C59" i="9"/>
  <c r="B59" i="9"/>
  <c r="E58" i="9"/>
  <c r="D58" i="9"/>
  <c r="C58" i="9"/>
  <c r="B58" i="9"/>
  <c r="E57" i="9"/>
  <c r="D57" i="9"/>
  <c r="C57" i="9"/>
  <c r="B57" i="9"/>
  <c r="E56" i="9"/>
  <c r="D56" i="9"/>
  <c r="C56" i="9"/>
  <c r="B56" i="9"/>
  <c r="E55" i="9"/>
  <c r="D55" i="9"/>
  <c r="C55" i="9"/>
  <c r="B55" i="9"/>
  <c r="E54" i="9"/>
  <c r="D54" i="9"/>
  <c r="C54" i="9"/>
  <c r="B54" i="9"/>
  <c r="E53" i="9"/>
  <c r="D53" i="9"/>
  <c r="C53" i="9"/>
  <c r="B53" i="9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E4" i="9"/>
  <c r="D4" i="9"/>
  <c r="C4" i="9"/>
  <c r="B4" i="9"/>
  <c r="E3" i="9"/>
  <c r="D3" i="9"/>
  <c r="C3" i="9"/>
  <c r="B3" i="9"/>
  <c r="B101" i="8"/>
  <c r="E100" i="8"/>
  <c r="D100" i="8"/>
  <c r="C100" i="8"/>
  <c r="B100" i="8"/>
  <c r="E99" i="8"/>
  <c r="D99" i="8"/>
  <c r="C99" i="8"/>
  <c r="B99" i="8"/>
  <c r="E98" i="8"/>
  <c r="D98" i="8"/>
  <c r="C98" i="8"/>
  <c r="B98" i="8"/>
  <c r="E97" i="8"/>
  <c r="D97" i="8"/>
  <c r="C97" i="8"/>
  <c r="B97" i="8"/>
  <c r="E96" i="8"/>
  <c r="D96" i="8"/>
  <c r="C96" i="8"/>
  <c r="B96" i="8"/>
  <c r="E95" i="8"/>
  <c r="D95" i="8"/>
  <c r="C95" i="8"/>
  <c r="B95" i="8"/>
  <c r="E94" i="8"/>
  <c r="D94" i="8"/>
  <c r="C94" i="8"/>
  <c r="B94" i="8"/>
  <c r="E93" i="8"/>
  <c r="D93" i="8"/>
  <c r="C93" i="8"/>
  <c r="B93" i="8"/>
  <c r="B92" i="8"/>
  <c r="E91" i="8"/>
  <c r="D91" i="8"/>
  <c r="C91" i="8"/>
  <c r="B91" i="8"/>
  <c r="E90" i="8"/>
  <c r="D90" i="8"/>
  <c r="C90" i="8"/>
  <c r="B90" i="8"/>
  <c r="E89" i="8"/>
  <c r="D89" i="8"/>
  <c r="C89" i="8"/>
  <c r="B89" i="8"/>
  <c r="E88" i="8"/>
  <c r="D88" i="8"/>
  <c r="C88" i="8"/>
  <c r="B88" i="8"/>
  <c r="E87" i="8"/>
  <c r="D87" i="8"/>
  <c r="C87" i="8"/>
  <c r="B87" i="8"/>
  <c r="E86" i="8"/>
  <c r="D86" i="8"/>
  <c r="C86" i="8"/>
  <c r="B86" i="8"/>
  <c r="E85" i="8"/>
  <c r="D85" i="8"/>
  <c r="C85" i="8"/>
  <c r="B85" i="8"/>
  <c r="E84" i="8"/>
  <c r="D84" i="8"/>
  <c r="C84" i="8"/>
  <c r="B84" i="8"/>
  <c r="E83" i="8"/>
  <c r="D83" i="8"/>
  <c r="C83" i="8"/>
  <c r="B83" i="8"/>
  <c r="E82" i="8"/>
  <c r="D82" i="8"/>
  <c r="C82" i="8"/>
  <c r="B82" i="8"/>
  <c r="E81" i="8"/>
  <c r="D81" i="8"/>
  <c r="C81" i="8"/>
  <c r="B81" i="8"/>
  <c r="E80" i="8"/>
  <c r="D80" i="8"/>
  <c r="C80" i="8"/>
  <c r="B80" i="8"/>
  <c r="E79" i="8"/>
  <c r="D79" i="8"/>
  <c r="C79" i="8"/>
  <c r="B79" i="8"/>
  <c r="E78" i="8"/>
  <c r="D78" i="8"/>
  <c r="C78" i="8"/>
  <c r="B78" i="8"/>
  <c r="E77" i="8"/>
  <c r="D77" i="8"/>
  <c r="C77" i="8"/>
  <c r="B77" i="8"/>
  <c r="E76" i="8"/>
  <c r="D76" i="8"/>
  <c r="C76" i="8"/>
  <c r="B76" i="8"/>
  <c r="E75" i="8"/>
  <c r="D75" i="8"/>
  <c r="C75" i="8"/>
  <c r="B75" i="8"/>
  <c r="E74" i="8"/>
  <c r="D74" i="8"/>
  <c r="C74" i="8"/>
  <c r="B74" i="8"/>
  <c r="E73" i="8"/>
  <c r="D73" i="8"/>
  <c r="C73" i="8"/>
  <c r="B73" i="8"/>
  <c r="E72" i="8"/>
  <c r="D72" i="8"/>
  <c r="C72" i="8"/>
  <c r="B72" i="8"/>
  <c r="E71" i="8"/>
  <c r="D71" i="8"/>
  <c r="C71" i="8"/>
  <c r="B71" i="8"/>
  <c r="E70" i="8"/>
  <c r="D70" i="8"/>
  <c r="C70" i="8"/>
  <c r="B70" i="8"/>
  <c r="E69" i="8"/>
  <c r="D69" i="8"/>
  <c r="C69" i="8"/>
  <c r="B69" i="8"/>
  <c r="E68" i="8"/>
  <c r="D68" i="8"/>
  <c r="C68" i="8"/>
  <c r="B68" i="8"/>
  <c r="E67" i="8"/>
  <c r="D67" i="8"/>
  <c r="C67" i="8"/>
  <c r="B67" i="8"/>
  <c r="E66" i="8"/>
  <c r="D66" i="8"/>
  <c r="C66" i="8"/>
  <c r="B66" i="8"/>
  <c r="E65" i="8"/>
  <c r="D65" i="8"/>
  <c r="C65" i="8"/>
  <c r="B65" i="8"/>
  <c r="E64" i="8"/>
  <c r="D64" i="8"/>
  <c r="C64" i="8"/>
  <c r="B64" i="8"/>
  <c r="E63" i="8"/>
  <c r="D63" i="8"/>
  <c r="C63" i="8"/>
  <c r="B63" i="8"/>
  <c r="E62" i="8"/>
  <c r="D62" i="8"/>
  <c r="C62" i="8"/>
  <c r="B62" i="8"/>
  <c r="E61" i="8"/>
  <c r="D61" i="8"/>
  <c r="C61" i="8"/>
  <c r="B61" i="8"/>
  <c r="E60" i="8"/>
  <c r="D60" i="8"/>
  <c r="C60" i="8"/>
  <c r="B60" i="8"/>
  <c r="E59" i="8"/>
  <c r="D59" i="8"/>
  <c r="C59" i="8"/>
  <c r="B59" i="8"/>
  <c r="E58" i="8"/>
  <c r="D58" i="8"/>
  <c r="C58" i="8"/>
  <c r="B58" i="8"/>
  <c r="E57" i="8"/>
  <c r="D57" i="8"/>
  <c r="C57" i="8"/>
  <c r="B57" i="8"/>
  <c r="E56" i="8"/>
  <c r="D56" i="8"/>
  <c r="C56" i="8"/>
  <c r="B56" i="8"/>
  <c r="E55" i="8"/>
  <c r="D55" i="8"/>
  <c r="C55" i="8"/>
  <c r="B55" i="8"/>
  <c r="E54" i="8"/>
  <c r="D54" i="8"/>
  <c r="C54" i="8"/>
  <c r="B54" i="8"/>
  <c r="E53" i="8"/>
  <c r="D53" i="8"/>
  <c r="C53" i="8"/>
  <c r="B53" i="8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C5" i="8"/>
  <c r="B5" i="8"/>
  <c r="E4" i="8"/>
  <c r="D4" i="8"/>
  <c r="C4" i="8"/>
  <c r="B4" i="8"/>
  <c r="B3" i="8"/>
  <c r="E3" i="8"/>
  <c r="D3" i="8"/>
  <c r="C3" i="8"/>
  <c r="D42" i="1"/>
  <c r="A2" i="6" l="1"/>
  <c r="I4" i="5" l="1"/>
  <c r="I10" i="5"/>
  <c r="I8" i="5"/>
  <c r="K16" i="5" l="1"/>
  <c r="K15" i="5"/>
  <c r="K12" i="5"/>
  <c r="K11" i="5"/>
  <c r="K9" i="5"/>
  <c r="K8" i="5"/>
  <c r="K6" i="5"/>
  <c r="K14" i="5"/>
  <c r="K10" i="5"/>
  <c r="K7" i="5"/>
  <c r="K5" i="5"/>
  <c r="K13" i="5"/>
  <c r="A3" i="6"/>
  <c r="A4" i="6" s="1"/>
  <c r="A5" i="6" s="1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3" i="7"/>
  <c r="A21" i="7" s="1"/>
  <c r="A25" i="7"/>
  <c r="A27" i="7" s="1"/>
  <c r="A15" i="7" l="1"/>
  <c r="A11" i="7"/>
  <c r="A5" i="7"/>
  <c r="A17" i="7"/>
  <c r="A13" i="7"/>
  <c r="A7" i="7"/>
  <c r="A19" i="7"/>
  <c r="A9" i="7"/>
  <c r="A33" i="7"/>
  <c r="A31" i="7"/>
  <c r="A37" i="7"/>
  <c r="A43" i="7"/>
  <c r="A41" i="7"/>
  <c r="A29" i="7"/>
  <c r="A35" i="7"/>
  <c r="A39" i="7"/>
  <c r="D39" i="1"/>
  <c r="Y102" i="3" l="1"/>
  <c r="X102" i="3"/>
  <c r="Y101" i="3"/>
  <c r="X101" i="3"/>
  <c r="Y100" i="3"/>
  <c r="X100" i="3"/>
  <c r="Y99" i="3"/>
  <c r="X99" i="3"/>
  <c r="Y98" i="3"/>
  <c r="X98" i="3"/>
  <c r="Y97" i="3"/>
  <c r="X97" i="3"/>
  <c r="Y96" i="3"/>
  <c r="X96" i="3"/>
  <c r="Y95" i="3"/>
  <c r="X95" i="3"/>
  <c r="Y94" i="3"/>
  <c r="X94" i="3"/>
  <c r="Y93" i="3"/>
  <c r="X93" i="3"/>
  <c r="Y92" i="3"/>
  <c r="X92" i="3"/>
  <c r="Y91" i="3"/>
  <c r="X91" i="3"/>
  <c r="Y90" i="3"/>
  <c r="X90" i="3"/>
  <c r="Y89" i="3"/>
  <c r="X89" i="3"/>
  <c r="Y88" i="3"/>
  <c r="X88" i="3"/>
  <c r="Y87" i="3"/>
  <c r="X87" i="3"/>
  <c r="Y86" i="3"/>
  <c r="X86" i="3"/>
  <c r="Y85" i="3"/>
  <c r="X85" i="3"/>
  <c r="Y84" i="3"/>
  <c r="X84" i="3"/>
  <c r="Y83" i="3"/>
  <c r="X83" i="3"/>
  <c r="Y82" i="3"/>
  <c r="X82" i="3"/>
  <c r="Y81" i="3"/>
  <c r="X81" i="3"/>
  <c r="Y80" i="3"/>
  <c r="X80" i="3"/>
  <c r="Y79" i="3"/>
  <c r="X79" i="3"/>
  <c r="Y78" i="3"/>
  <c r="X78" i="3"/>
  <c r="Y77" i="3"/>
  <c r="X77" i="3"/>
  <c r="Y76" i="3"/>
  <c r="X76" i="3"/>
  <c r="Y75" i="3"/>
  <c r="X75" i="3"/>
  <c r="Y74" i="3"/>
  <c r="X74" i="3"/>
  <c r="Y73" i="3"/>
  <c r="X73" i="3"/>
  <c r="Y72" i="3"/>
  <c r="X72" i="3"/>
  <c r="Y71" i="3"/>
  <c r="X71" i="3"/>
  <c r="Y70" i="3"/>
  <c r="X70" i="3"/>
  <c r="Y69" i="3"/>
  <c r="X69" i="3"/>
  <c r="Y68" i="3"/>
  <c r="X68" i="3"/>
  <c r="Y67" i="3"/>
  <c r="X67" i="3"/>
  <c r="Y66" i="3"/>
  <c r="X66" i="3"/>
  <c r="Y65" i="3"/>
  <c r="X65" i="3"/>
  <c r="Y64" i="3"/>
  <c r="X64" i="3"/>
  <c r="Y63" i="3"/>
  <c r="X63" i="3"/>
  <c r="Y62" i="3"/>
  <c r="X62" i="3"/>
  <c r="Y61" i="3"/>
  <c r="X61" i="3"/>
  <c r="Y60" i="3"/>
  <c r="X60" i="3"/>
  <c r="Y59" i="3"/>
  <c r="X59" i="3"/>
  <c r="Y58" i="3"/>
  <c r="X58" i="3"/>
  <c r="Y57" i="3"/>
  <c r="X57" i="3"/>
  <c r="Y56" i="3"/>
  <c r="X56" i="3"/>
  <c r="Y55" i="3"/>
  <c r="X55" i="3"/>
  <c r="Y54" i="3"/>
  <c r="X54" i="3"/>
  <c r="Y53" i="3"/>
  <c r="X53" i="3"/>
  <c r="Y52" i="3"/>
  <c r="X52" i="3"/>
  <c r="Y51" i="3"/>
  <c r="X51" i="3"/>
  <c r="Y50" i="3"/>
  <c r="X50" i="3"/>
  <c r="Y49" i="3"/>
  <c r="X49" i="3"/>
  <c r="Y48" i="3"/>
  <c r="X48" i="3"/>
  <c r="Y47" i="3"/>
  <c r="X47" i="3"/>
  <c r="Y46" i="3"/>
  <c r="X46" i="3"/>
  <c r="Y45" i="3"/>
  <c r="X45" i="3"/>
  <c r="Y44" i="3"/>
  <c r="X44" i="3"/>
  <c r="Y43" i="3"/>
  <c r="X43" i="3"/>
  <c r="Y42" i="3"/>
  <c r="X42" i="3"/>
  <c r="Y41" i="3"/>
  <c r="X41" i="3"/>
  <c r="Y40" i="3"/>
  <c r="X40" i="3"/>
  <c r="Y39" i="3"/>
  <c r="X39" i="3"/>
  <c r="Y38" i="3"/>
  <c r="X38" i="3"/>
  <c r="Y37" i="3"/>
  <c r="X37" i="3"/>
  <c r="Y36" i="3"/>
  <c r="X36" i="3"/>
  <c r="Y35" i="3"/>
  <c r="X35" i="3"/>
  <c r="Y34" i="3"/>
  <c r="X34" i="3"/>
  <c r="Y33" i="3"/>
  <c r="X33" i="3"/>
  <c r="Y32" i="3"/>
  <c r="X32" i="3"/>
  <c r="Y31" i="3"/>
  <c r="X31" i="3"/>
  <c r="Y30" i="3"/>
  <c r="X30" i="3"/>
  <c r="Y29" i="3"/>
  <c r="X29" i="3"/>
  <c r="Y28" i="3"/>
  <c r="X28" i="3"/>
  <c r="Y27" i="3"/>
  <c r="X27" i="3"/>
  <c r="Y26" i="3"/>
  <c r="X26" i="3"/>
  <c r="Y25" i="3"/>
  <c r="X25" i="3"/>
  <c r="Y24" i="3"/>
  <c r="X24" i="3"/>
  <c r="Y23" i="3"/>
  <c r="X23" i="3"/>
  <c r="Y22" i="3"/>
  <c r="X22" i="3"/>
  <c r="Y21" i="3"/>
  <c r="X21" i="3"/>
  <c r="Y20" i="3"/>
  <c r="X20" i="3"/>
  <c r="Y19" i="3"/>
  <c r="X19" i="3"/>
  <c r="Y18" i="3"/>
  <c r="X18" i="3"/>
  <c r="Y17" i="3"/>
  <c r="X17" i="3"/>
  <c r="Y16" i="3"/>
  <c r="X16" i="3"/>
  <c r="Y15" i="3"/>
  <c r="X15" i="3"/>
  <c r="Y14" i="3"/>
  <c r="X14" i="3"/>
  <c r="Y13" i="3"/>
  <c r="X13" i="3"/>
  <c r="Y12" i="3"/>
  <c r="X12" i="3"/>
  <c r="Y11" i="3"/>
  <c r="X11" i="3"/>
  <c r="Y10" i="3"/>
  <c r="X10" i="3"/>
  <c r="Y9" i="3"/>
  <c r="X9" i="3"/>
  <c r="Y8" i="3"/>
  <c r="X8" i="3"/>
  <c r="Y7" i="3"/>
  <c r="X7" i="3"/>
  <c r="Y6" i="3"/>
  <c r="X6" i="3"/>
  <c r="Y5" i="3"/>
  <c r="X5" i="3"/>
  <c r="Y4" i="3"/>
  <c r="X4" i="3"/>
  <c r="L15" i="2" l="1"/>
  <c r="B36" i="2" l="1"/>
  <c r="A3" i="2"/>
  <c r="A14" i="2"/>
  <c r="C12" i="2"/>
  <c r="C11" i="2"/>
  <c r="C10" i="2"/>
  <c r="C9" i="2"/>
  <c r="C8" i="2"/>
  <c r="C7" i="2"/>
  <c r="C6" i="2"/>
  <c r="C5" i="2"/>
  <c r="C4" i="2"/>
  <c r="B12" i="2"/>
  <c r="B11" i="2"/>
  <c r="B10" i="2"/>
  <c r="B9" i="2"/>
  <c r="B8" i="2"/>
  <c r="B7" i="2"/>
  <c r="B6" i="2"/>
  <c r="B5" i="2"/>
  <c r="B4" i="2"/>
  <c r="F21" i="1"/>
  <c r="H20" i="1"/>
  <c r="D4" i="2" l="1"/>
  <c r="D11" i="2"/>
  <c r="D7" i="2"/>
  <c r="D9" i="2"/>
  <c r="D5" i="2"/>
  <c r="D10" i="2"/>
  <c r="D6" i="2"/>
  <c r="D12" i="2"/>
  <c r="D8" i="2"/>
  <c r="H21" i="1"/>
  <c r="C14" i="1" s="1"/>
  <c r="F22" i="1"/>
  <c r="C15" i="1" s="1"/>
  <c r="A8" i="2" l="1"/>
  <c r="A25" i="2"/>
  <c r="A34" i="2" s="1"/>
  <c r="A16" i="2"/>
  <c r="A11" i="2" l="1"/>
  <c r="A4" i="2"/>
  <c r="A5" i="2"/>
  <c r="A6" i="2"/>
  <c r="A7" i="2"/>
  <c r="A12" i="2"/>
  <c r="A27" i="2"/>
  <c r="A28" i="2"/>
  <c r="A29" i="2"/>
  <c r="A30" i="2"/>
  <c r="A31" i="2"/>
  <c r="A32" i="2"/>
  <c r="A33" i="2"/>
  <c r="A26" i="2"/>
  <c r="A17" i="2"/>
  <c r="A18" i="2"/>
  <c r="A19" i="2"/>
  <c r="A20" i="2"/>
  <c r="A21" i="2"/>
  <c r="A22" i="2"/>
  <c r="A15" i="2"/>
  <c r="A23" i="2"/>
  <c r="A9" i="2"/>
  <c r="A10" i="2"/>
  <c r="U99" i="4"/>
  <c r="U98" i="4"/>
  <c r="U97" i="4"/>
  <c r="U96" i="4"/>
  <c r="U95" i="4"/>
  <c r="U94" i="4"/>
  <c r="U93" i="4"/>
  <c r="U92" i="4"/>
  <c r="U90" i="4"/>
  <c r="U89" i="4"/>
  <c r="U88" i="4"/>
  <c r="U87" i="4"/>
  <c r="U86" i="4"/>
  <c r="U85" i="4"/>
  <c r="U84" i="4"/>
  <c r="U83" i="4"/>
  <c r="U82" i="4"/>
  <c r="U81" i="4"/>
  <c r="U80" i="4"/>
  <c r="U79" i="4"/>
  <c r="U78" i="4"/>
  <c r="U77" i="4"/>
  <c r="U76" i="4"/>
  <c r="U75" i="4"/>
  <c r="U74" i="4"/>
  <c r="U73" i="4"/>
  <c r="U72" i="4"/>
  <c r="U71" i="4"/>
  <c r="U70" i="4"/>
  <c r="U69" i="4"/>
  <c r="U68" i="4"/>
  <c r="U67" i="4"/>
  <c r="U66" i="4"/>
  <c r="U65" i="4"/>
  <c r="U64" i="4"/>
  <c r="U63" i="4"/>
  <c r="U62" i="4"/>
  <c r="U61" i="4"/>
  <c r="U60" i="4"/>
  <c r="U59" i="4"/>
  <c r="U58" i="4"/>
  <c r="U57" i="4"/>
  <c r="U56" i="4"/>
  <c r="U55" i="4"/>
  <c r="U54" i="4"/>
  <c r="U53" i="4"/>
  <c r="U52" i="4"/>
  <c r="U51" i="4"/>
  <c r="U50" i="4"/>
  <c r="U49" i="4"/>
  <c r="U48" i="4"/>
  <c r="U47" i="4"/>
  <c r="U46" i="4"/>
  <c r="U45" i="4"/>
  <c r="U44" i="4"/>
  <c r="U43" i="4"/>
  <c r="U42" i="4"/>
  <c r="U41" i="4"/>
  <c r="U40" i="4"/>
  <c r="U39" i="4"/>
  <c r="U38" i="4"/>
  <c r="U37" i="4"/>
  <c r="U36" i="4"/>
  <c r="U35" i="4"/>
  <c r="U34" i="4"/>
  <c r="U33" i="4"/>
  <c r="U32" i="4"/>
  <c r="U31" i="4"/>
  <c r="U30" i="4"/>
  <c r="U29" i="4"/>
  <c r="U28" i="4"/>
  <c r="U27" i="4"/>
  <c r="U26" i="4"/>
  <c r="U25" i="4"/>
  <c r="U24" i="4"/>
  <c r="U23" i="4"/>
  <c r="U22" i="4"/>
  <c r="U21" i="4"/>
  <c r="U20" i="4"/>
  <c r="U19" i="4"/>
  <c r="U18" i="4"/>
  <c r="U17" i="4"/>
  <c r="U16" i="4"/>
  <c r="U15" i="4"/>
  <c r="U14" i="4"/>
  <c r="U13" i="4"/>
  <c r="U12" i="4"/>
  <c r="U11" i="4"/>
  <c r="U10" i="4"/>
  <c r="U9" i="4"/>
  <c r="U8" i="4"/>
  <c r="U7" i="4"/>
  <c r="U6" i="4"/>
  <c r="U5" i="4"/>
  <c r="U4" i="4"/>
  <c r="U3" i="4"/>
  <c r="Y100" i="4"/>
  <c r="Z100" i="4"/>
  <c r="T99" i="4"/>
  <c r="AJ99" i="4" s="1"/>
  <c r="S99" i="4"/>
  <c r="AI99" i="4" s="1"/>
  <c r="R99" i="4"/>
  <c r="AH99" i="4" s="1"/>
  <c r="Q99" i="4"/>
  <c r="AG99" i="4" s="1"/>
  <c r="P99" i="4"/>
  <c r="AF99" i="4" s="1"/>
  <c r="O99" i="4"/>
  <c r="Y99" i="4" s="1"/>
  <c r="N99" i="4"/>
  <c r="M99" i="4"/>
  <c r="AC99" i="4" s="1"/>
  <c r="L99" i="4"/>
  <c r="AB99" i="4" s="1"/>
  <c r="T98" i="4"/>
  <c r="AJ98" i="4" s="1"/>
  <c r="S98" i="4"/>
  <c r="AI98" i="4" s="1"/>
  <c r="R98" i="4"/>
  <c r="AH98" i="4" s="1"/>
  <c r="Q98" i="4"/>
  <c r="AG98" i="4" s="1"/>
  <c r="P98" i="4"/>
  <c r="AF98" i="4" s="1"/>
  <c r="O98" i="4"/>
  <c r="AE98" i="4" s="1"/>
  <c r="N98" i="4"/>
  <c r="AD98" i="4" s="1"/>
  <c r="M98" i="4"/>
  <c r="AC98" i="4" s="1"/>
  <c r="L98" i="4"/>
  <c r="AB98" i="4" s="1"/>
  <c r="T97" i="4"/>
  <c r="AJ97" i="4" s="1"/>
  <c r="S97" i="4"/>
  <c r="AI97" i="4" s="1"/>
  <c r="R97" i="4"/>
  <c r="AH97" i="4" s="1"/>
  <c r="Q97" i="4"/>
  <c r="AG97" i="4" s="1"/>
  <c r="P97" i="4"/>
  <c r="AF97" i="4" s="1"/>
  <c r="O97" i="4"/>
  <c r="AE97" i="4" s="1"/>
  <c r="N97" i="4"/>
  <c r="Z97" i="4" s="1"/>
  <c r="M97" i="4"/>
  <c r="AC97" i="4" s="1"/>
  <c r="L97" i="4"/>
  <c r="AB97" i="4" s="1"/>
  <c r="T96" i="4"/>
  <c r="AJ96" i="4" s="1"/>
  <c r="S96" i="4"/>
  <c r="AI96" i="4" s="1"/>
  <c r="R96" i="4"/>
  <c r="AH96" i="4" s="1"/>
  <c r="Q96" i="4"/>
  <c r="AG96" i="4" s="1"/>
  <c r="P96" i="4"/>
  <c r="AF96" i="4" s="1"/>
  <c r="O96" i="4"/>
  <c r="Y96" i="4" s="1"/>
  <c r="N96" i="4"/>
  <c r="M96" i="4"/>
  <c r="AC96" i="4" s="1"/>
  <c r="L96" i="4"/>
  <c r="AB96" i="4" s="1"/>
  <c r="T95" i="4"/>
  <c r="AJ95" i="4" s="1"/>
  <c r="S95" i="4"/>
  <c r="AI95" i="4" s="1"/>
  <c r="R95" i="4"/>
  <c r="AH95" i="4" s="1"/>
  <c r="Q95" i="4"/>
  <c r="AG95" i="4" s="1"/>
  <c r="P95" i="4"/>
  <c r="AF95" i="4" s="1"/>
  <c r="O95" i="4"/>
  <c r="Y95" i="4" s="1"/>
  <c r="N95" i="4"/>
  <c r="M95" i="4"/>
  <c r="AC95" i="4" s="1"/>
  <c r="L95" i="4"/>
  <c r="AB95" i="4" s="1"/>
  <c r="T94" i="4"/>
  <c r="AJ94" i="4" s="1"/>
  <c r="S94" i="4"/>
  <c r="AI94" i="4" s="1"/>
  <c r="R94" i="4"/>
  <c r="AH94" i="4" s="1"/>
  <c r="Q94" i="4"/>
  <c r="AG94" i="4" s="1"/>
  <c r="P94" i="4"/>
  <c r="AF94" i="4" s="1"/>
  <c r="O94" i="4"/>
  <c r="Y94" i="4" s="1"/>
  <c r="N94" i="4"/>
  <c r="Z94" i="4" s="1"/>
  <c r="M94" i="4"/>
  <c r="AC94" i="4" s="1"/>
  <c r="L94" i="4"/>
  <c r="AB94" i="4" s="1"/>
  <c r="T93" i="4"/>
  <c r="AJ93" i="4" s="1"/>
  <c r="S93" i="4"/>
  <c r="AI93" i="4" s="1"/>
  <c r="R93" i="4"/>
  <c r="AH93" i="4" s="1"/>
  <c r="Q93" i="4"/>
  <c r="AG93" i="4" s="1"/>
  <c r="P93" i="4"/>
  <c r="AF93" i="4" s="1"/>
  <c r="O93" i="4"/>
  <c r="AE93" i="4" s="1"/>
  <c r="N93" i="4"/>
  <c r="Z93" i="4" s="1"/>
  <c r="M93" i="4"/>
  <c r="AC93" i="4" s="1"/>
  <c r="L93" i="4"/>
  <c r="AB93" i="4" s="1"/>
  <c r="T92" i="4"/>
  <c r="AJ92" i="4" s="1"/>
  <c r="S92" i="4"/>
  <c r="AI92" i="4" s="1"/>
  <c r="R92" i="4"/>
  <c r="AH92" i="4" s="1"/>
  <c r="Q92" i="4"/>
  <c r="AG92" i="4" s="1"/>
  <c r="P92" i="4"/>
  <c r="AF92" i="4" s="1"/>
  <c r="O92" i="4"/>
  <c r="Y92" i="4" s="1"/>
  <c r="N92" i="4"/>
  <c r="Z92" i="4" s="1"/>
  <c r="M92" i="4"/>
  <c r="AC92" i="4" s="1"/>
  <c r="L92" i="4"/>
  <c r="AB92" i="4" s="1"/>
  <c r="Y91" i="4"/>
  <c r="Z91" i="4"/>
  <c r="T90" i="4"/>
  <c r="AJ90" i="4" s="1"/>
  <c r="S90" i="4"/>
  <c r="AI90" i="4" s="1"/>
  <c r="R90" i="4"/>
  <c r="AH90" i="4" s="1"/>
  <c r="Q90" i="4"/>
  <c r="AG90" i="4" s="1"/>
  <c r="P90" i="4"/>
  <c r="AF90" i="4" s="1"/>
  <c r="O90" i="4"/>
  <c r="AE90" i="4" s="1"/>
  <c r="N90" i="4"/>
  <c r="Z90" i="4" s="1"/>
  <c r="M90" i="4"/>
  <c r="AC90" i="4" s="1"/>
  <c r="L90" i="4"/>
  <c r="AB90" i="4" s="1"/>
  <c r="T89" i="4"/>
  <c r="AJ89" i="4" s="1"/>
  <c r="S89" i="4"/>
  <c r="AI89" i="4" s="1"/>
  <c r="R89" i="4"/>
  <c r="AH89" i="4" s="1"/>
  <c r="Q89" i="4"/>
  <c r="AG89" i="4" s="1"/>
  <c r="P89" i="4"/>
  <c r="AF89" i="4" s="1"/>
  <c r="O89" i="4"/>
  <c r="AE89" i="4" s="1"/>
  <c r="N89" i="4"/>
  <c r="Z89" i="4" s="1"/>
  <c r="M89" i="4"/>
  <c r="AC89" i="4" s="1"/>
  <c r="L89" i="4"/>
  <c r="AB89" i="4" s="1"/>
  <c r="T88" i="4"/>
  <c r="AJ88" i="4" s="1"/>
  <c r="S88" i="4"/>
  <c r="AI88" i="4" s="1"/>
  <c r="R88" i="4"/>
  <c r="AH88" i="4" s="1"/>
  <c r="Q88" i="4"/>
  <c r="AG88" i="4" s="1"/>
  <c r="P88" i="4"/>
  <c r="AF88" i="4" s="1"/>
  <c r="O88" i="4"/>
  <c r="N88" i="4"/>
  <c r="M88" i="4"/>
  <c r="AC88" i="4" s="1"/>
  <c r="L88" i="4"/>
  <c r="AB88" i="4" s="1"/>
  <c r="T87" i="4"/>
  <c r="AJ87" i="4" s="1"/>
  <c r="S87" i="4"/>
  <c r="AI87" i="4" s="1"/>
  <c r="R87" i="4"/>
  <c r="AH87" i="4" s="1"/>
  <c r="Q87" i="4"/>
  <c r="AG87" i="4" s="1"/>
  <c r="P87" i="4"/>
  <c r="AF87" i="4" s="1"/>
  <c r="O87" i="4"/>
  <c r="AE87" i="4" s="1"/>
  <c r="N87" i="4"/>
  <c r="M87" i="4"/>
  <c r="AC87" i="4" s="1"/>
  <c r="L87" i="4"/>
  <c r="AB87" i="4" s="1"/>
  <c r="T86" i="4"/>
  <c r="AJ86" i="4" s="1"/>
  <c r="S86" i="4"/>
  <c r="AI86" i="4" s="1"/>
  <c r="R86" i="4"/>
  <c r="AH86" i="4" s="1"/>
  <c r="Q86" i="4"/>
  <c r="AG86" i="4" s="1"/>
  <c r="P86" i="4"/>
  <c r="AF86" i="4" s="1"/>
  <c r="O86" i="4"/>
  <c r="AE86" i="4" s="1"/>
  <c r="N86" i="4"/>
  <c r="AD86" i="4" s="1"/>
  <c r="M86" i="4"/>
  <c r="AC86" i="4" s="1"/>
  <c r="L86" i="4"/>
  <c r="AB86" i="4" s="1"/>
  <c r="T85" i="4"/>
  <c r="AJ85" i="4" s="1"/>
  <c r="S85" i="4"/>
  <c r="AI85" i="4" s="1"/>
  <c r="R85" i="4"/>
  <c r="AH85" i="4" s="1"/>
  <c r="Q85" i="4"/>
  <c r="AG85" i="4" s="1"/>
  <c r="P85" i="4"/>
  <c r="AF85" i="4" s="1"/>
  <c r="O85" i="4"/>
  <c r="AE85" i="4" s="1"/>
  <c r="N85" i="4"/>
  <c r="Z85" i="4" s="1"/>
  <c r="M85" i="4"/>
  <c r="AC85" i="4" s="1"/>
  <c r="L85" i="4"/>
  <c r="AB85" i="4" s="1"/>
  <c r="T84" i="4"/>
  <c r="AJ84" i="4" s="1"/>
  <c r="S84" i="4"/>
  <c r="AI84" i="4" s="1"/>
  <c r="R84" i="4"/>
  <c r="AH84" i="4" s="1"/>
  <c r="Q84" i="4"/>
  <c r="AG84" i="4" s="1"/>
  <c r="P84" i="4"/>
  <c r="AF84" i="4" s="1"/>
  <c r="O84" i="4"/>
  <c r="Y84" i="4" s="1"/>
  <c r="N84" i="4"/>
  <c r="Z84" i="4" s="1"/>
  <c r="M84" i="4"/>
  <c r="AC84" i="4" s="1"/>
  <c r="L84" i="4"/>
  <c r="AB84" i="4" s="1"/>
  <c r="T83" i="4"/>
  <c r="AJ83" i="4" s="1"/>
  <c r="S83" i="4"/>
  <c r="AI83" i="4" s="1"/>
  <c r="R83" i="4"/>
  <c r="AH83" i="4" s="1"/>
  <c r="Q83" i="4"/>
  <c r="AG83" i="4" s="1"/>
  <c r="P83" i="4"/>
  <c r="AF83" i="4" s="1"/>
  <c r="O83" i="4"/>
  <c r="AE83" i="4" s="1"/>
  <c r="N83" i="4"/>
  <c r="Z83" i="4" s="1"/>
  <c r="M83" i="4"/>
  <c r="AC83" i="4" s="1"/>
  <c r="L83" i="4"/>
  <c r="AB83" i="4" s="1"/>
  <c r="T82" i="4"/>
  <c r="AJ82" i="4" s="1"/>
  <c r="S82" i="4"/>
  <c r="AI82" i="4" s="1"/>
  <c r="R82" i="4"/>
  <c r="AH82" i="4" s="1"/>
  <c r="Q82" i="4"/>
  <c r="AG82" i="4" s="1"/>
  <c r="P82" i="4"/>
  <c r="AF82" i="4" s="1"/>
  <c r="O82" i="4"/>
  <c r="AE82" i="4" s="1"/>
  <c r="N82" i="4"/>
  <c r="AD82" i="4" s="1"/>
  <c r="M82" i="4"/>
  <c r="AC82" i="4" s="1"/>
  <c r="L82" i="4"/>
  <c r="AB82" i="4" s="1"/>
  <c r="T81" i="4"/>
  <c r="AJ81" i="4" s="1"/>
  <c r="S81" i="4"/>
  <c r="AI81" i="4" s="1"/>
  <c r="R81" i="4"/>
  <c r="AH81" i="4" s="1"/>
  <c r="Q81" i="4"/>
  <c r="AG81" i="4" s="1"/>
  <c r="P81" i="4"/>
  <c r="AF81" i="4" s="1"/>
  <c r="O81" i="4"/>
  <c r="AE81" i="4" s="1"/>
  <c r="N81" i="4"/>
  <c r="AD81" i="4" s="1"/>
  <c r="M81" i="4"/>
  <c r="AC81" i="4" s="1"/>
  <c r="L81" i="4"/>
  <c r="AB81" i="4" s="1"/>
  <c r="T80" i="4"/>
  <c r="AJ80" i="4" s="1"/>
  <c r="S80" i="4"/>
  <c r="AI80" i="4" s="1"/>
  <c r="R80" i="4"/>
  <c r="AH80" i="4" s="1"/>
  <c r="Q80" i="4"/>
  <c r="AG80" i="4" s="1"/>
  <c r="P80" i="4"/>
  <c r="AF80" i="4" s="1"/>
  <c r="O80" i="4"/>
  <c r="Y80" i="4" s="1"/>
  <c r="N80" i="4"/>
  <c r="Z80" i="4" s="1"/>
  <c r="M80" i="4"/>
  <c r="AC80" i="4" s="1"/>
  <c r="L80" i="4"/>
  <c r="AB80" i="4" s="1"/>
  <c r="T79" i="4"/>
  <c r="AJ79" i="4" s="1"/>
  <c r="S79" i="4"/>
  <c r="AI79" i="4" s="1"/>
  <c r="R79" i="4"/>
  <c r="AH79" i="4" s="1"/>
  <c r="Q79" i="4"/>
  <c r="AG79" i="4" s="1"/>
  <c r="P79" i="4"/>
  <c r="AF79" i="4" s="1"/>
  <c r="O79" i="4"/>
  <c r="AE79" i="4" s="1"/>
  <c r="N79" i="4"/>
  <c r="M79" i="4"/>
  <c r="AC79" i="4" s="1"/>
  <c r="L79" i="4"/>
  <c r="AB79" i="4" s="1"/>
  <c r="T78" i="4"/>
  <c r="AJ78" i="4" s="1"/>
  <c r="S78" i="4"/>
  <c r="AI78" i="4" s="1"/>
  <c r="R78" i="4"/>
  <c r="AH78" i="4" s="1"/>
  <c r="Q78" i="4"/>
  <c r="AG78" i="4" s="1"/>
  <c r="P78" i="4"/>
  <c r="AF78" i="4" s="1"/>
  <c r="O78" i="4"/>
  <c r="Y78" i="4" s="1"/>
  <c r="N78" i="4"/>
  <c r="AD78" i="4" s="1"/>
  <c r="M78" i="4"/>
  <c r="AC78" i="4" s="1"/>
  <c r="L78" i="4"/>
  <c r="AB78" i="4" s="1"/>
  <c r="T77" i="4"/>
  <c r="AJ77" i="4" s="1"/>
  <c r="S77" i="4"/>
  <c r="AI77" i="4" s="1"/>
  <c r="R77" i="4"/>
  <c r="AH77" i="4" s="1"/>
  <c r="Q77" i="4"/>
  <c r="AG77" i="4" s="1"/>
  <c r="P77" i="4"/>
  <c r="AF77" i="4" s="1"/>
  <c r="O77" i="4"/>
  <c r="AE77" i="4" s="1"/>
  <c r="N77" i="4"/>
  <c r="Z77" i="4" s="1"/>
  <c r="M77" i="4"/>
  <c r="AC77" i="4" s="1"/>
  <c r="L77" i="4"/>
  <c r="AB77" i="4" s="1"/>
  <c r="AG76" i="4"/>
  <c r="T76" i="4"/>
  <c r="AJ76" i="4" s="1"/>
  <c r="AI76" i="4"/>
  <c r="R76" i="4"/>
  <c r="AH76" i="4" s="1"/>
  <c r="P76" i="4"/>
  <c r="AF76" i="4" s="1"/>
  <c r="N76" i="4"/>
  <c r="AC76" i="4"/>
  <c r="AB76" i="4"/>
  <c r="T75" i="4"/>
  <c r="AJ75" i="4" s="1"/>
  <c r="S75" i="4"/>
  <c r="AI75" i="4" s="1"/>
  <c r="R75" i="4"/>
  <c r="AH75" i="4" s="1"/>
  <c r="Q75" i="4"/>
  <c r="AG75" i="4" s="1"/>
  <c r="P75" i="4"/>
  <c r="AF75" i="4" s="1"/>
  <c r="O75" i="4"/>
  <c r="Y75" i="4" s="1"/>
  <c r="N75" i="4"/>
  <c r="M75" i="4"/>
  <c r="AC75" i="4" s="1"/>
  <c r="L75" i="4"/>
  <c r="AB75" i="4" s="1"/>
  <c r="T74" i="4"/>
  <c r="AJ74" i="4" s="1"/>
  <c r="S74" i="4"/>
  <c r="AI74" i="4" s="1"/>
  <c r="R74" i="4"/>
  <c r="AH74" i="4" s="1"/>
  <c r="Q74" i="4"/>
  <c r="AG74" i="4" s="1"/>
  <c r="P74" i="4"/>
  <c r="AF74" i="4" s="1"/>
  <c r="O74" i="4"/>
  <c r="AE74" i="4" s="1"/>
  <c r="N74" i="4"/>
  <c r="AD74" i="4" s="1"/>
  <c r="M74" i="4"/>
  <c r="AC74" i="4" s="1"/>
  <c r="L74" i="4"/>
  <c r="AB74" i="4" s="1"/>
  <c r="T73" i="4"/>
  <c r="AJ73" i="4" s="1"/>
  <c r="S73" i="4"/>
  <c r="AI73" i="4" s="1"/>
  <c r="R73" i="4"/>
  <c r="AH73" i="4" s="1"/>
  <c r="Q73" i="4"/>
  <c r="AG73" i="4" s="1"/>
  <c r="P73" i="4"/>
  <c r="AF73" i="4" s="1"/>
  <c r="O73" i="4"/>
  <c r="AE73" i="4" s="1"/>
  <c r="N73" i="4"/>
  <c r="AD73" i="4" s="1"/>
  <c r="M73" i="4"/>
  <c r="AC73" i="4" s="1"/>
  <c r="L73" i="4"/>
  <c r="AB73" i="4" s="1"/>
  <c r="T72" i="4"/>
  <c r="AJ72" i="4" s="1"/>
  <c r="S72" i="4"/>
  <c r="AI72" i="4" s="1"/>
  <c r="R72" i="4"/>
  <c r="AH72" i="4" s="1"/>
  <c r="Q72" i="4"/>
  <c r="AG72" i="4" s="1"/>
  <c r="P72" i="4"/>
  <c r="AF72" i="4" s="1"/>
  <c r="O72" i="4"/>
  <c r="Y72" i="4" s="1"/>
  <c r="N72" i="4"/>
  <c r="Z72" i="4" s="1"/>
  <c r="M72" i="4"/>
  <c r="AC72" i="4" s="1"/>
  <c r="L72" i="4"/>
  <c r="AB72" i="4" s="1"/>
  <c r="T71" i="4"/>
  <c r="AJ71" i="4" s="1"/>
  <c r="S71" i="4"/>
  <c r="AI71" i="4" s="1"/>
  <c r="R71" i="4"/>
  <c r="AH71" i="4" s="1"/>
  <c r="Q71" i="4"/>
  <c r="AG71" i="4" s="1"/>
  <c r="P71" i="4"/>
  <c r="AF71" i="4" s="1"/>
  <c r="O71" i="4"/>
  <c r="AE71" i="4" s="1"/>
  <c r="N71" i="4"/>
  <c r="AD71" i="4" s="1"/>
  <c r="M71" i="4"/>
  <c r="AC71" i="4" s="1"/>
  <c r="L71" i="4"/>
  <c r="AB71" i="4" s="1"/>
  <c r="T70" i="4"/>
  <c r="AJ70" i="4" s="1"/>
  <c r="S70" i="4"/>
  <c r="AI70" i="4" s="1"/>
  <c r="R70" i="4"/>
  <c r="AH70" i="4" s="1"/>
  <c r="Q70" i="4"/>
  <c r="AG70" i="4" s="1"/>
  <c r="P70" i="4"/>
  <c r="AF70" i="4" s="1"/>
  <c r="O70" i="4"/>
  <c r="Y70" i="4" s="1"/>
  <c r="N70" i="4"/>
  <c r="AD70" i="4" s="1"/>
  <c r="M70" i="4"/>
  <c r="AC70" i="4" s="1"/>
  <c r="L70" i="4"/>
  <c r="AB70" i="4" s="1"/>
  <c r="T69" i="4"/>
  <c r="AJ69" i="4" s="1"/>
  <c r="S69" i="4"/>
  <c r="AI69" i="4" s="1"/>
  <c r="R69" i="4"/>
  <c r="AH69" i="4" s="1"/>
  <c r="Q69" i="4"/>
  <c r="AG69" i="4" s="1"/>
  <c r="P69" i="4"/>
  <c r="AF69" i="4" s="1"/>
  <c r="O69" i="4"/>
  <c r="AE69" i="4" s="1"/>
  <c r="N69" i="4"/>
  <c r="AD69" i="4" s="1"/>
  <c r="M69" i="4"/>
  <c r="AC69" i="4" s="1"/>
  <c r="L69" i="4"/>
  <c r="AB69" i="4" s="1"/>
  <c r="T68" i="4"/>
  <c r="AJ68" i="4" s="1"/>
  <c r="S68" i="4"/>
  <c r="AI68" i="4" s="1"/>
  <c r="R68" i="4"/>
  <c r="AH68" i="4" s="1"/>
  <c r="Q68" i="4"/>
  <c r="AG68" i="4" s="1"/>
  <c r="P68" i="4"/>
  <c r="AF68" i="4" s="1"/>
  <c r="O68" i="4"/>
  <c r="Y68" i="4" s="1"/>
  <c r="N68" i="4"/>
  <c r="M68" i="4"/>
  <c r="AC68" i="4" s="1"/>
  <c r="L68" i="4"/>
  <c r="AB68" i="4" s="1"/>
  <c r="T67" i="4"/>
  <c r="AJ67" i="4" s="1"/>
  <c r="S67" i="4"/>
  <c r="AI67" i="4" s="1"/>
  <c r="R67" i="4"/>
  <c r="AH67" i="4" s="1"/>
  <c r="Q67" i="4"/>
  <c r="AG67" i="4" s="1"/>
  <c r="P67" i="4"/>
  <c r="AF67" i="4" s="1"/>
  <c r="O67" i="4"/>
  <c r="Y67" i="4" s="1"/>
  <c r="N67" i="4"/>
  <c r="Z67" i="4" s="1"/>
  <c r="M67" i="4"/>
  <c r="AC67" i="4" s="1"/>
  <c r="L67" i="4"/>
  <c r="AB67" i="4" s="1"/>
  <c r="T66" i="4"/>
  <c r="AJ66" i="4" s="1"/>
  <c r="S66" i="4"/>
  <c r="AI66" i="4" s="1"/>
  <c r="R66" i="4"/>
  <c r="AH66" i="4" s="1"/>
  <c r="Q66" i="4"/>
  <c r="AG66" i="4" s="1"/>
  <c r="P66" i="4"/>
  <c r="AF66" i="4" s="1"/>
  <c r="O66" i="4"/>
  <c r="AE66" i="4" s="1"/>
  <c r="N66" i="4"/>
  <c r="AD66" i="4" s="1"/>
  <c r="M66" i="4"/>
  <c r="AC66" i="4" s="1"/>
  <c r="L66" i="4"/>
  <c r="AB66" i="4" s="1"/>
  <c r="T65" i="4"/>
  <c r="AJ65" i="4" s="1"/>
  <c r="S65" i="4"/>
  <c r="AI65" i="4" s="1"/>
  <c r="R65" i="4"/>
  <c r="AH65" i="4" s="1"/>
  <c r="Q65" i="4"/>
  <c r="AG65" i="4" s="1"/>
  <c r="P65" i="4"/>
  <c r="AF65" i="4" s="1"/>
  <c r="O65" i="4"/>
  <c r="Y65" i="4" s="1"/>
  <c r="N65" i="4"/>
  <c r="AD65" i="4" s="1"/>
  <c r="M65" i="4"/>
  <c r="AC65" i="4" s="1"/>
  <c r="L65" i="4"/>
  <c r="AB65" i="4" s="1"/>
  <c r="T64" i="4"/>
  <c r="AJ64" i="4" s="1"/>
  <c r="S64" i="4"/>
  <c r="AI64" i="4" s="1"/>
  <c r="R64" i="4"/>
  <c r="AH64" i="4" s="1"/>
  <c r="Q64" i="4"/>
  <c r="AG64" i="4" s="1"/>
  <c r="P64" i="4"/>
  <c r="AF64" i="4" s="1"/>
  <c r="O64" i="4"/>
  <c r="N64" i="4"/>
  <c r="M64" i="4"/>
  <c r="AC64" i="4" s="1"/>
  <c r="L64" i="4"/>
  <c r="AB64" i="4" s="1"/>
  <c r="T63" i="4"/>
  <c r="AJ63" i="4" s="1"/>
  <c r="S63" i="4"/>
  <c r="AI63" i="4" s="1"/>
  <c r="R63" i="4"/>
  <c r="AH63" i="4" s="1"/>
  <c r="Q63" i="4"/>
  <c r="AG63" i="4" s="1"/>
  <c r="P63" i="4"/>
  <c r="AF63" i="4" s="1"/>
  <c r="O63" i="4"/>
  <c r="Y63" i="4" s="1"/>
  <c r="N63" i="4"/>
  <c r="M63" i="4"/>
  <c r="AC63" i="4" s="1"/>
  <c r="L63" i="4"/>
  <c r="AB63" i="4" s="1"/>
  <c r="T62" i="4"/>
  <c r="AJ62" i="4" s="1"/>
  <c r="S62" i="4"/>
  <c r="AI62" i="4" s="1"/>
  <c r="R62" i="4"/>
  <c r="AH62" i="4" s="1"/>
  <c r="Q62" i="4"/>
  <c r="AG62" i="4" s="1"/>
  <c r="P62" i="4"/>
  <c r="AF62" i="4" s="1"/>
  <c r="O62" i="4"/>
  <c r="AE62" i="4" s="1"/>
  <c r="N62" i="4"/>
  <c r="AD62" i="4" s="1"/>
  <c r="M62" i="4"/>
  <c r="AC62" i="4" s="1"/>
  <c r="L62" i="4"/>
  <c r="AB62" i="4" s="1"/>
  <c r="T61" i="4"/>
  <c r="AJ61" i="4" s="1"/>
  <c r="S61" i="4"/>
  <c r="AI61" i="4" s="1"/>
  <c r="R61" i="4"/>
  <c r="AH61" i="4" s="1"/>
  <c r="Q61" i="4"/>
  <c r="AG61" i="4" s="1"/>
  <c r="P61" i="4"/>
  <c r="AF61" i="4" s="1"/>
  <c r="O61" i="4"/>
  <c r="AE61" i="4" s="1"/>
  <c r="N61" i="4"/>
  <c r="AD61" i="4" s="1"/>
  <c r="M61" i="4"/>
  <c r="AC61" i="4" s="1"/>
  <c r="L61" i="4"/>
  <c r="AB61" i="4" s="1"/>
  <c r="T60" i="4"/>
  <c r="AJ60" i="4" s="1"/>
  <c r="S60" i="4"/>
  <c r="AI60" i="4" s="1"/>
  <c r="R60" i="4"/>
  <c r="AH60" i="4" s="1"/>
  <c r="Q60" i="4"/>
  <c r="AG60" i="4" s="1"/>
  <c r="P60" i="4"/>
  <c r="AF60" i="4" s="1"/>
  <c r="O60" i="4"/>
  <c r="N60" i="4"/>
  <c r="M60" i="4"/>
  <c r="AC60" i="4" s="1"/>
  <c r="L60" i="4"/>
  <c r="AB60" i="4" s="1"/>
  <c r="T59" i="4"/>
  <c r="AJ59" i="4" s="1"/>
  <c r="S59" i="4"/>
  <c r="AI59" i="4" s="1"/>
  <c r="R59" i="4"/>
  <c r="AH59" i="4" s="1"/>
  <c r="Q59" i="4"/>
  <c r="AG59" i="4" s="1"/>
  <c r="P59" i="4"/>
  <c r="AF59" i="4" s="1"/>
  <c r="O59" i="4"/>
  <c r="Y59" i="4" s="1"/>
  <c r="N59" i="4"/>
  <c r="M59" i="4"/>
  <c r="AC59" i="4" s="1"/>
  <c r="L59" i="4"/>
  <c r="AB59" i="4" s="1"/>
  <c r="T58" i="4"/>
  <c r="AJ58" i="4" s="1"/>
  <c r="S58" i="4"/>
  <c r="AI58" i="4" s="1"/>
  <c r="R58" i="4"/>
  <c r="AH58" i="4" s="1"/>
  <c r="Q58" i="4"/>
  <c r="AG58" i="4" s="1"/>
  <c r="P58" i="4"/>
  <c r="AF58" i="4" s="1"/>
  <c r="O58" i="4"/>
  <c r="AE58" i="4" s="1"/>
  <c r="N58" i="4"/>
  <c r="AD58" i="4" s="1"/>
  <c r="M58" i="4"/>
  <c r="AC58" i="4" s="1"/>
  <c r="L58" i="4"/>
  <c r="AB58" i="4" s="1"/>
  <c r="T57" i="4"/>
  <c r="AJ57" i="4" s="1"/>
  <c r="S57" i="4"/>
  <c r="AI57" i="4" s="1"/>
  <c r="R57" i="4"/>
  <c r="AH57" i="4" s="1"/>
  <c r="Q57" i="4"/>
  <c r="AG57" i="4" s="1"/>
  <c r="P57" i="4"/>
  <c r="AF57" i="4" s="1"/>
  <c r="O57" i="4"/>
  <c r="AE57" i="4" s="1"/>
  <c r="N57" i="4"/>
  <c r="Z57" i="4" s="1"/>
  <c r="M57" i="4"/>
  <c r="AC57" i="4" s="1"/>
  <c r="L57" i="4"/>
  <c r="AB57" i="4" s="1"/>
  <c r="T56" i="4"/>
  <c r="AJ56" i="4" s="1"/>
  <c r="S56" i="4"/>
  <c r="AI56" i="4" s="1"/>
  <c r="R56" i="4"/>
  <c r="AH56" i="4" s="1"/>
  <c r="Q56" i="4"/>
  <c r="AG56" i="4" s="1"/>
  <c r="P56" i="4"/>
  <c r="AF56" i="4" s="1"/>
  <c r="O56" i="4"/>
  <c r="Y56" i="4" s="1"/>
  <c r="N56" i="4"/>
  <c r="Z56" i="4" s="1"/>
  <c r="M56" i="4"/>
  <c r="AC56" i="4" s="1"/>
  <c r="L56" i="4"/>
  <c r="AB56" i="4" s="1"/>
  <c r="T55" i="4"/>
  <c r="AJ55" i="4" s="1"/>
  <c r="S55" i="4"/>
  <c r="AI55" i="4" s="1"/>
  <c r="R55" i="4"/>
  <c r="AH55" i="4" s="1"/>
  <c r="Q55" i="4"/>
  <c r="AG55" i="4" s="1"/>
  <c r="P55" i="4"/>
  <c r="AF55" i="4" s="1"/>
  <c r="O55" i="4"/>
  <c r="AE55" i="4" s="1"/>
  <c r="N55" i="4"/>
  <c r="M55" i="4"/>
  <c r="AC55" i="4" s="1"/>
  <c r="L55" i="4"/>
  <c r="AB55" i="4" s="1"/>
  <c r="T54" i="4"/>
  <c r="AJ54" i="4" s="1"/>
  <c r="S54" i="4"/>
  <c r="AI54" i="4" s="1"/>
  <c r="R54" i="4"/>
  <c r="AH54" i="4" s="1"/>
  <c r="Q54" i="4"/>
  <c r="AG54" i="4" s="1"/>
  <c r="P54" i="4"/>
  <c r="AF54" i="4" s="1"/>
  <c r="O54" i="4"/>
  <c r="Y54" i="4" s="1"/>
  <c r="N54" i="4"/>
  <c r="AD54" i="4" s="1"/>
  <c r="M54" i="4"/>
  <c r="AC54" i="4" s="1"/>
  <c r="L54" i="4"/>
  <c r="AB54" i="4" s="1"/>
  <c r="T53" i="4"/>
  <c r="AJ53" i="4" s="1"/>
  <c r="S53" i="4"/>
  <c r="AI53" i="4" s="1"/>
  <c r="R53" i="4"/>
  <c r="AH53" i="4" s="1"/>
  <c r="Q53" i="4"/>
  <c r="AG53" i="4" s="1"/>
  <c r="P53" i="4"/>
  <c r="AF53" i="4" s="1"/>
  <c r="O53" i="4"/>
  <c r="AE53" i="4" s="1"/>
  <c r="N53" i="4"/>
  <c r="Z53" i="4" s="1"/>
  <c r="M53" i="4"/>
  <c r="AC53" i="4" s="1"/>
  <c r="L53" i="4"/>
  <c r="AB53" i="4" s="1"/>
  <c r="T52" i="4"/>
  <c r="AJ52" i="4" s="1"/>
  <c r="S52" i="4"/>
  <c r="AI52" i="4" s="1"/>
  <c r="R52" i="4"/>
  <c r="AH52" i="4" s="1"/>
  <c r="Q52" i="4"/>
  <c r="AG52" i="4" s="1"/>
  <c r="P52" i="4"/>
  <c r="AF52" i="4" s="1"/>
  <c r="O52" i="4"/>
  <c r="Y52" i="4" s="1"/>
  <c r="N52" i="4"/>
  <c r="Z52" i="4" s="1"/>
  <c r="M52" i="4"/>
  <c r="AC52" i="4" s="1"/>
  <c r="L52" i="4"/>
  <c r="AB52" i="4" s="1"/>
  <c r="T51" i="4"/>
  <c r="AJ51" i="4" s="1"/>
  <c r="S51" i="4"/>
  <c r="AI51" i="4" s="1"/>
  <c r="R51" i="4"/>
  <c r="AH51" i="4" s="1"/>
  <c r="Q51" i="4"/>
  <c r="AG51" i="4" s="1"/>
  <c r="P51" i="4"/>
  <c r="AF51" i="4" s="1"/>
  <c r="O51" i="4"/>
  <c r="Y51" i="4" s="1"/>
  <c r="N51" i="4"/>
  <c r="AD51" i="4" s="1"/>
  <c r="M51" i="4"/>
  <c r="AC51" i="4" s="1"/>
  <c r="L51" i="4"/>
  <c r="AB51" i="4" s="1"/>
  <c r="T50" i="4"/>
  <c r="AJ50" i="4" s="1"/>
  <c r="S50" i="4"/>
  <c r="AI50" i="4" s="1"/>
  <c r="R50" i="4"/>
  <c r="AH50" i="4" s="1"/>
  <c r="Q50" i="4"/>
  <c r="AG50" i="4" s="1"/>
  <c r="P50" i="4"/>
  <c r="AF50" i="4" s="1"/>
  <c r="O50" i="4"/>
  <c r="AE50" i="4" s="1"/>
  <c r="N50" i="4"/>
  <c r="AD50" i="4" s="1"/>
  <c r="M50" i="4"/>
  <c r="AC50" i="4" s="1"/>
  <c r="L50" i="4"/>
  <c r="AB50" i="4" s="1"/>
  <c r="T49" i="4"/>
  <c r="AJ49" i="4" s="1"/>
  <c r="S49" i="4"/>
  <c r="AI49" i="4" s="1"/>
  <c r="R49" i="4"/>
  <c r="AH49" i="4" s="1"/>
  <c r="Q49" i="4"/>
  <c r="AG49" i="4" s="1"/>
  <c r="P49" i="4"/>
  <c r="AF49" i="4" s="1"/>
  <c r="O49" i="4"/>
  <c r="AE49" i="4" s="1"/>
  <c r="N49" i="4"/>
  <c r="AD49" i="4" s="1"/>
  <c r="M49" i="4"/>
  <c r="AC49" i="4" s="1"/>
  <c r="L49" i="4"/>
  <c r="AB49" i="4" s="1"/>
  <c r="T48" i="4"/>
  <c r="AJ48" i="4" s="1"/>
  <c r="S48" i="4"/>
  <c r="AI48" i="4" s="1"/>
  <c r="R48" i="4"/>
  <c r="AH48" i="4" s="1"/>
  <c r="Q48" i="4"/>
  <c r="AG48" i="4" s="1"/>
  <c r="P48" i="4"/>
  <c r="AF48" i="4" s="1"/>
  <c r="O48" i="4"/>
  <c r="Y48" i="4" s="1"/>
  <c r="N48" i="4"/>
  <c r="Z48" i="4" s="1"/>
  <c r="M48" i="4"/>
  <c r="AC48" i="4" s="1"/>
  <c r="L48" i="4"/>
  <c r="AB48" i="4" s="1"/>
  <c r="T47" i="4"/>
  <c r="AJ47" i="4" s="1"/>
  <c r="S47" i="4"/>
  <c r="AI47" i="4" s="1"/>
  <c r="R47" i="4"/>
  <c r="AH47" i="4" s="1"/>
  <c r="Q47" i="4"/>
  <c r="AG47" i="4" s="1"/>
  <c r="P47" i="4"/>
  <c r="AF47" i="4" s="1"/>
  <c r="O47" i="4"/>
  <c r="AE47" i="4" s="1"/>
  <c r="N47" i="4"/>
  <c r="M47" i="4"/>
  <c r="AC47" i="4" s="1"/>
  <c r="L47" i="4"/>
  <c r="AB47" i="4" s="1"/>
  <c r="T46" i="4"/>
  <c r="AJ46" i="4" s="1"/>
  <c r="S46" i="4"/>
  <c r="AI46" i="4" s="1"/>
  <c r="R46" i="4"/>
  <c r="AH46" i="4" s="1"/>
  <c r="Q46" i="4"/>
  <c r="AG46" i="4" s="1"/>
  <c r="P46" i="4"/>
  <c r="AF46" i="4" s="1"/>
  <c r="O46" i="4"/>
  <c r="AE46" i="4" s="1"/>
  <c r="N46" i="4"/>
  <c r="AD46" i="4" s="1"/>
  <c r="M46" i="4"/>
  <c r="AC46" i="4" s="1"/>
  <c r="L46" i="4"/>
  <c r="AB46" i="4" s="1"/>
  <c r="T45" i="4"/>
  <c r="AJ45" i="4" s="1"/>
  <c r="S45" i="4"/>
  <c r="AI45" i="4" s="1"/>
  <c r="R45" i="4"/>
  <c r="AH45" i="4" s="1"/>
  <c r="Q45" i="4"/>
  <c r="AG45" i="4" s="1"/>
  <c r="P45" i="4"/>
  <c r="AF45" i="4" s="1"/>
  <c r="O45" i="4"/>
  <c r="AE45" i="4" s="1"/>
  <c r="N45" i="4"/>
  <c r="AD45" i="4" s="1"/>
  <c r="M45" i="4"/>
  <c r="AC45" i="4" s="1"/>
  <c r="L45" i="4"/>
  <c r="AB45" i="4" s="1"/>
  <c r="T44" i="4"/>
  <c r="AJ44" i="4" s="1"/>
  <c r="S44" i="4"/>
  <c r="AI44" i="4" s="1"/>
  <c r="R44" i="4"/>
  <c r="AH44" i="4" s="1"/>
  <c r="Q44" i="4"/>
  <c r="AG44" i="4" s="1"/>
  <c r="P44" i="4"/>
  <c r="AF44" i="4" s="1"/>
  <c r="O44" i="4"/>
  <c r="N44" i="4"/>
  <c r="AD44" i="4" s="1"/>
  <c r="M44" i="4"/>
  <c r="AC44" i="4" s="1"/>
  <c r="L44" i="4"/>
  <c r="AB44" i="4" s="1"/>
  <c r="T43" i="4"/>
  <c r="AJ43" i="4" s="1"/>
  <c r="S43" i="4"/>
  <c r="AI43" i="4" s="1"/>
  <c r="R43" i="4"/>
  <c r="AH43" i="4" s="1"/>
  <c r="Q43" i="4"/>
  <c r="AG43" i="4" s="1"/>
  <c r="P43" i="4"/>
  <c r="AF43" i="4" s="1"/>
  <c r="O43" i="4"/>
  <c r="Y43" i="4" s="1"/>
  <c r="N43" i="4"/>
  <c r="AD43" i="4" s="1"/>
  <c r="M43" i="4"/>
  <c r="AC43" i="4" s="1"/>
  <c r="L43" i="4"/>
  <c r="AB43" i="4" s="1"/>
  <c r="T42" i="4"/>
  <c r="AJ42" i="4" s="1"/>
  <c r="S42" i="4"/>
  <c r="AI42" i="4" s="1"/>
  <c r="R42" i="4"/>
  <c r="AH42" i="4" s="1"/>
  <c r="Q42" i="4"/>
  <c r="AG42" i="4" s="1"/>
  <c r="P42" i="4"/>
  <c r="AF42" i="4" s="1"/>
  <c r="O42" i="4"/>
  <c r="AE42" i="4" s="1"/>
  <c r="N42" i="4"/>
  <c r="AD42" i="4" s="1"/>
  <c r="M42" i="4"/>
  <c r="AC42" i="4" s="1"/>
  <c r="L42" i="4"/>
  <c r="AB42" i="4" s="1"/>
  <c r="T41" i="4"/>
  <c r="AJ41" i="4" s="1"/>
  <c r="S41" i="4"/>
  <c r="AI41" i="4" s="1"/>
  <c r="R41" i="4"/>
  <c r="AH41" i="4" s="1"/>
  <c r="Q41" i="4"/>
  <c r="AG41" i="4" s="1"/>
  <c r="P41" i="4"/>
  <c r="AF41" i="4" s="1"/>
  <c r="O41" i="4"/>
  <c r="AE41" i="4" s="1"/>
  <c r="N41" i="4"/>
  <c r="AD41" i="4" s="1"/>
  <c r="M41" i="4"/>
  <c r="AC41" i="4" s="1"/>
  <c r="L41" i="4"/>
  <c r="AB41" i="4" s="1"/>
  <c r="T40" i="4"/>
  <c r="AJ40" i="4" s="1"/>
  <c r="S40" i="4"/>
  <c r="AI40" i="4" s="1"/>
  <c r="R40" i="4"/>
  <c r="AH40" i="4" s="1"/>
  <c r="Q40" i="4"/>
  <c r="AG40" i="4" s="1"/>
  <c r="P40" i="4"/>
  <c r="AF40" i="4" s="1"/>
  <c r="O40" i="4"/>
  <c r="N40" i="4"/>
  <c r="Z40" i="4" s="1"/>
  <c r="M40" i="4"/>
  <c r="AC40" i="4" s="1"/>
  <c r="L40" i="4"/>
  <c r="AB40" i="4" s="1"/>
  <c r="T39" i="4"/>
  <c r="AJ39" i="4" s="1"/>
  <c r="S39" i="4"/>
  <c r="AI39" i="4" s="1"/>
  <c r="R39" i="4"/>
  <c r="AH39" i="4" s="1"/>
  <c r="Q39" i="4"/>
  <c r="AG39" i="4" s="1"/>
  <c r="P39" i="4"/>
  <c r="AF39" i="4" s="1"/>
  <c r="O39" i="4"/>
  <c r="AE39" i="4" s="1"/>
  <c r="N39" i="4"/>
  <c r="AD39" i="4" s="1"/>
  <c r="M39" i="4"/>
  <c r="AC39" i="4" s="1"/>
  <c r="L39" i="4"/>
  <c r="AB39" i="4" s="1"/>
  <c r="T38" i="4"/>
  <c r="AJ38" i="4" s="1"/>
  <c r="S38" i="4"/>
  <c r="AI38" i="4" s="1"/>
  <c r="R38" i="4"/>
  <c r="AH38" i="4" s="1"/>
  <c r="Q38" i="4"/>
  <c r="AG38" i="4" s="1"/>
  <c r="P38" i="4"/>
  <c r="AF38" i="4" s="1"/>
  <c r="O38" i="4"/>
  <c r="AE38" i="4" s="1"/>
  <c r="N38" i="4"/>
  <c r="AD38" i="4" s="1"/>
  <c r="M38" i="4"/>
  <c r="AC38" i="4" s="1"/>
  <c r="L38" i="4"/>
  <c r="AB38" i="4" s="1"/>
  <c r="T37" i="4"/>
  <c r="AJ37" i="4" s="1"/>
  <c r="S37" i="4"/>
  <c r="AI37" i="4" s="1"/>
  <c r="R37" i="4"/>
  <c r="AH37" i="4" s="1"/>
  <c r="Q37" i="4"/>
  <c r="AG37" i="4" s="1"/>
  <c r="P37" i="4"/>
  <c r="AF37" i="4" s="1"/>
  <c r="O37" i="4"/>
  <c r="AE37" i="4" s="1"/>
  <c r="N37" i="4"/>
  <c r="Z37" i="4" s="1"/>
  <c r="M37" i="4"/>
  <c r="AC37" i="4" s="1"/>
  <c r="L37" i="4"/>
  <c r="AB37" i="4" s="1"/>
  <c r="T36" i="4"/>
  <c r="AJ36" i="4" s="1"/>
  <c r="S36" i="4"/>
  <c r="AI36" i="4" s="1"/>
  <c r="R36" i="4"/>
  <c r="AH36" i="4" s="1"/>
  <c r="Q36" i="4"/>
  <c r="AG36" i="4" s="1"/>
  <c r="P36" i="4"/>
  <c r="AF36" i="4" s="1"/>
  <c r="O36" i="4"/>
  <c r="Y36" i="4" s="1"/>
  <c r="N36" i="4"/>
  <c r="Z36" i="4" s="1"/>
  <c r="M36" i="4"/>
  <c r="AC36" i="4" s="1"/>
  <c r="L36" i="4"/>
  <c r="AB36" i="4" s="1"/>
  <c r="T35" i="4"/>
  <c r="AJ35" i="4" s="1"/>
  <c r="S35" i="4"/>
  <c r="AI35" i="4" s="1"/>
  <c r="R35" i="4"/>
  <c r="AH35" i="4" s="1"/>
  <c r="Q35" i="4"/>
  <c r="AG35" i="4" s="1"/>
  <c r="P35" i="4"/>
  <c r="AF35" i="4" s="1"/>
  <c r="O35" i="4"/>
  <c r="AE35" i="4" s="1"/>
  <c r="N35" i="4"/>
  <c r="AD35" i="4" s="1"/>
  <c r="M35" i="4"/>
  <c r="AC35" i="4" s="1"/>
  <c r="L35" i="4"/>
  <c r="AB35" i="4" s="1"/>
  <c r="T34" i="4"/>
  <c r="AJ34" i="4" s="1"/>
  <c r="S34" i="4"/>
  <c r="AI34" i="4" s="1"/>
  <c r="R34" i="4"/>
  <c r="AH34" i="4" s="1"/>
  <c r="Q34" i="4"/>
  <c r="AG34" i="4" s="1"/>
  <c r="P34" i="4"/>
  <c r="AF34" i="4" s="1"/>
  <c r="O34" i="4"/>
  <c r="AE34" i="4" s="1"/>
  <c r="N34" i="4"/>
  <c r="AD34" i="4" s="1"/>
  <c r="M34" i="4"/>
  <c r="AC34" i="4" s="1"/>
  <c r="L34" i="4"/>
  <c r="AB34" i="4" s="1"/>
  <c r="T33" i="4"/>
  <c r="AJ33" i="4" s="1"/>
  <c r="S33" i="4"/>
  <c r="AI33" i="4" s="1"/>
  <c r="R33" i="4"/>
  <c r="AH33" i="4" s="1"/>
  <c r="Q33" i="4"/>
  <c r="AG33" i="4" s="1"/>
  <c r="P33" i="4"/>
  <c r="AF33" i="4" s="1"/>
  <c r="O33" i="4"/>
  <c r="Y33" i="4" s="1"/>
  <c r="N33" i="4"/>
  <c r="Z33" i="4" s="1"/>
  <c r="M33" i="4"/>
  <c r="AC33" i="4" s="1"/>
  <c r="L33" i="4"/>
  <c r="AB33" i="4" s="1"/>
  <c r="T32" i="4"/>
  <c r="AJ32" i="4" s="1"/>
  <c r="S32" i="4"/>
  <c r="AI32" i="4" s="1"/>
  <c r="R32" i="4"/>
  <c r="AH32" i="4" s="1"/>
  <c r="Q32" i="4"/>
  <c r="AG32" i="4" s="1"/>
  <c r="P32" i="4"/>
  <c r="AF32" i="4" s="1"/>
  <c r="O32" i="4"/>
  <c r="Y32" i="4" s="1"/>
  <c r="N32" i="4"/>
  <c r="M32" i="4"/>
  <c r="AC32" i="4" s="1"/>
  <c r="L32" i="4"/>
  <c r="AB32" i="4" s="1"/>
  <c r="T31" i="4"/>
  <c r="AJ31" i="4" s="1"/>
  <c r="S31" i="4"/>
  <c r="AI31" i="4" s="1"/>
  <c r="R31" i="4"/>
  <c r="AH31" i="4" s="1"/>
  <c r="Q31" i="4"/>
  <c r="AG31" i="4" s="1"/>
  <c r="P31" i="4"/>
  <c r="AF31" i="4" s="1"/>
  <c r="O31" i="4"/>
  <c r="AE31" i="4" s="1"/>
  <c r="N31" i="4"/>
  <c r="Z31" i="4" s="1"/>
  <c r="M31" i="4"/>
  <c r="AC31" i="4" s="1"/>
  <c r="L31" i="4"/>
  <c r="AB31" i="4" s="1"/>
  <c r="T30" i="4"/>
  <c r="AJ30" i="4" s="1"/>
  <c r="S30" i="4"/>
  <c r="AI30" i="4" s="1"/>
  <c r="R30" i="4"/>
  <c r="AH30" i="4" s="1"/>
  <c r="Q30" i="4"/>
  <c r="AG30" i="4" s="1"/>
  <c r="P30" i="4"/>
  <c r="AF30" i="4" s="1"/>
  <c r="O30" i="4"/>
  <c r="AE30" i="4" s="1"/>
  <c r="N30" i="4"/>
  <c r="Z30" i="4" s="1"/>
  <c r="M30" i="4"/>
  <c r="AC30" i="4" s="1"/>
  <c r="L30" i="4"/>
  <c r="AB30" i="4" s="1"/>
  <c r="T29" i="4"/>
  <c r="AJ29" i="4" s="1"/>
  <c r="S29" i="4"/>
  <c r="AI29" i="4" s="1"/>
  <c r="R29" i="4"/>
  <c r="AH29" i="4" s="1"/>
  <c r="Q29" i="4"/>
  <c r="AG29" i="4" s="1"/>
  <c r="P29" i="4"/>
  <c r="AF29" i="4" s="1"/>
  <c r="O29" i="4"/>
  <c r="AE29" i="4" s="1"/>
  <c r="N29" i="4"/>
  <c r="AD29" i="4" s="1"/>
  <c r="M29" i="4"/>
  <c r="AC29" i="4" s="1"/>
  <c r="L29" i="4"/>
  <c r="AB29" i="4" s="1"/>
  <c r="T28" i="4"/>
  <c r="AJ28" i="4" s="1"/>
  <c r="S28" i="4"/>
  <c r="AI28" i="4" s="1"/>
  <c r="R28" i="4"/>
  <c r="AH28" i="4" s="1"/>
  <c r="Q28" i="4"/>
  <c r="AG28" i="4" s="1"/>
  <c r="P28" i="4"/>
  <c r="AF28" i="4" s="1"/>
  <c r="O28" i="4"/>
  <c r="Y28" i="4" s="1"/>
  <c r="N28" i="4"/>
  <c r="Z28" i="4" s="1"/>
  <c r="M28" i="4"/>
  <c r="AC28" i="4" s="1"/>
  <c r="L28" i="4"/>
  <c r="AB28" i="4" s="1"/>
  <c r="T27" i="4"/>
  <c r="AJ27" i="4" s="1"/>
  <c r="S27" i="4"/>
  <c r="AI27" i="4" s="1"/>
  <c r="R27" i="4"/>
  <c r="AH27" i="4" s="1"/>
  <c r="Q27" i="4"/>
  <c r="AG27" i="4" s="1"/>
  <c r="P27" i="4"/>
  <c r="AF27" i="4" s="1"/>
  <c r="O27" i="4"/>
  <c r="AE27" i="4" s="1"/>
  <c r="N27" i="4"/>
  <c r="AD27" i="4" s="1"/>
  <c r="M27" i="4"/>
  <c r="AC27" i="4" s="1"/>
  <c r="L27" i="4"/>
  <c r="AB27" i="4" s="1"/>
  <c r="T26" i="4"/>
  <c r="AJ26" i="4" s="1"/>
  <c r="S26" i="4"/>
  <c r="AI26" i="4" s="1"/>
  <c r="R26" i="4"/>
  <c r="AH26" i="4" s="1"/>
  <c r="Q26" i="4"/>
  <c r="AG26" i="4" s="1"/>
  <c r="P26" i="4"/>
  <c r="AF26" i="4" s="1"/>
  <c r="O26" i="4"/>
  <c r="Y26" i="4" s="1"/>
  <c r="N26" i="4"/>
  <c r="AD26" i="4" s="1"/>
  <c r="M26" i="4"/>
  <c r="AC26" i="4" s="1"/>
  <c r="L26" i="4"/>
  <c r="AB26" i="4" s="1"/>
  <c r="T25" i="4"/>
  <c r="AJ25" i="4" s="1"/>
  <c r="S25" i="4"/>
  <c r="AI25" i="4" s="1"/>
  <c r="R25" i="4"/>
  <c r="AH25" i="4" s="1"/>
  <c r="Q25" i="4"/>
  <c r="AG25" i="4" s="1"/>
  <c r="P25" i="4"/>
  <c r="AF25" i="4" s="1"/>
  <c r="O25" i="4"/>
  <c r="Y25" i="4" s="1"/>
  <c r="N25" i="4"/>
  <c r="Z25" i="4" s="1"/>
  <c r="M25" i="4"/>
  <c r="AC25" i="4" s="1"/>
  <c r="L25" i="4"/>
  <c r="AB25" i="4" s="1"/>
  <c r="T24" i="4"/>
  <c r="AJ24" i="4" s="1"/>
  <c r="S24" i="4"/>
  <c r="AI24" i="4" s="1"/>
  <c r="R24" i="4"/>
  <c r="AH24" i="4" s="1"/>
  <c r="Q24" i="4"/>
  <c r="AG24" i="4" s="1"/>
  <c r="P24" i="4"/>
  <c r="AF24" i="4" s="1"/>
  <c r="O24" i="4"/>
  <c r="AE24" i="4" s="1"/>
  <c r="N24" i="4"/>
  <c r="Z24" i="4" s="1"/>
  <c r="M24" i="4"/>
  <c r="AC24" i="4" s="1"/>
  <c r="L24" i="4"/>
  <c r="AB24" i="4" s="1"/>
  <c r="T23" i="4"/>
  <c r="AJ23" i="4" s="1"/>
  <c r="S23" i="4"/>
  <c r="AI23" i="4" s="1"/>
  <c r="R23" i="4"/>
  <c r="AH23" i="4" s="1"/>
  <c r="Q23" i="4"/>
  <c r="AG23" i="4" s="1"/>
  <c r="P23" i="4"/>
  <c r="AF23" i="4" s="1"/>
  <c r="O23" i="4"/>
  <c r="AE23" i="4" s="1"/>
  <c r="N23" i="4"/>
  <c r="AD23" i="4" s="1"/>
  <c r="M23" i="4"/>
  <c r="AC23" i="4" s="1"/>
  <c r="L23" i="4"/>
  <c r="AB23" i="4" s="1"/>
  <c r="T22" i="4"/>
  <c r="AJ22" i="4" s="1"/>
  <c r="S22" i="4"/>
  <c r="AI22" i="4" s="1"/>
  <c r="R22" i="4"/>
  <c r="AH22" i="4" s="1"/>
  <c r="Q22" i="4"/>
  <c r="AG22" i="4" s="1"/>
  <c r="P22" i="4"/>
  <c r="AF22" i="4" s="1"/>
  <c r="O22" i="4"/>
  <c r="Y22" i="4" s="1"/>
  <c r="N22" i="4"/>
  <c r="Z22" i="4" s="1"/>
  <c r="M22" i="4"/>
  <c r="AC22" i="4" s="1"/>
  <c r="L22" i="4"/>
  <c r="AB22" i="4" s="1"/>
  <c r="T21" i="4"/>
  <c r="AJ21" i="4" s="1"/>
  <c r="S21" i="4"/>
  <c r="AI21" i="4" s="1"/>
  <c r="R21" i="4"/>
  <c r="AH21" i="4" s="1"/>
  <c r="Q21" i="4"/>
  <c r="AG21" i="4" s="1"/>
  <c r="P21" i="4"/>
  <c r="AF21" i="4" s="1"/>
  <c r="O21" i="4"/>
  <c r="AE21" i="4" s="1"/>
  <c r="N21" i="4"/>
  <c r="Z21" i="4" s="1"/>
  <c r="M21" i="4"/>
  <c r="AC21" i="4" s="1"/>
  <c r="L21" i="4"/>
  <c r="AB21" i="4" s="1"/>
  <c r="T20" i="4"/>
  <c r="AJ20" i="4" s="1"/>
  <c r="S20" i="4"/>
  <c r="AI20" i="4" s="1"/>
  <c r="R20" i="4"/>
  <c r="AH20" i="4" s="1"/>
  <c r="Q20" i="4"/>
  <c r="AG20" i="4" s="1"/>
  <c r="P20" i="4"/>
  <c r="AF20" i="4" s="1"/>
  <c r="O20" i="4"/>
  <c r="Y20" i="4" s="1"/>
  <c r="N20" i="4"/>
  <c r="M20" i="4"/>
  <c r="AC20" i="4" s="1"/>
  <c r="L20" i="4"/>
  <c r="AB20" i="4" s="1"/>
  <c r="T19" i="4"/>
  <c r="AJ19" i="4" s="1"/>
  <c r="S19" i="4"/>
  <c r="AI19" i="4" s="1"/>
  <c r="R19" i="4"/>
  <c r="AH19" i="4" s="1"/>
  <c r="Q19" i="4"/>
  <c r="AG19" i="4" s="1"/>
  <c r="P19" i="4"/>
  <c r="AF19" i="4" s="1"/>
  <c r="O19" i="4"/>
  <c r="Y19" i="4" s="1"/>
  <c r="N19" i="4"/>
  <c r="AD19" i="4" s="1"/>
  <c r="M19" i="4"/>
  <c r="AC19" i="4" s="1"/>
  <c r="L19" i="4"/>
  <c r="AB19" i="4" s="1"/>
  <c r="T18" i="4"/>
  <c r="AJ18" i="4" s="1"/>
  <c r="S18" i="4"/>
  <c r="AI18" i="4" s="1"/>
  <c r="R18" i="4"/>
  <c r="AH18" i="4" s="1"/>
  <c r="Q18" i="4"/>
  <c r="AG18" i="4" s="1"/>
  <c r="P18" i="4"/>
  <c r="AF18" i="4" s="1"/>
  <c r="O18" i="4"/>
  <c r="AE18" i="4" s="1"/>
  <c r="N18" i="4"/>
  <c r="AD18" i="4" s="1"/>
  <c r="M18" i="4"/>
  <c r="AC18" i="4" s="1"/>
  <c r="L18" i="4"/>
  <c r="AB18" i="4" s="1"/>
  <c r="T17" i="4"/>
  <c r="AJ17" i="4" s="1"/>
  <c r="S17" i="4"/>
  <c r="AI17" i="4" s="1"/>
  <c r="R17" i="4"/>
  <c r="AH17" i="4" s="1"/>
  <c r="Q17" i="4"/>
  <c r="AG17" i="4" s="1"/>
  <c r="P17" i="4"/>
  <c r="AF17" i="4" s="1"/>
  <c r="O17" i="4"/>
  <c r="AE17" i="4" s="1"/>
  <c r="N17" i="4"/>
  <c r="Z17" i="4" s="1"/>
  <c r="M17" i="4"/>
  <c r="AC17" i="4" s="1"/>
  <c r="L17" i="4"/>
  <c r="AB17" i="4" s="1"/>
  <c r="T16" i="4"/>
  <c r="AJ16" i="4" s="1"/>
  <c r="S16" i="4"/>
  <c r="AI16" i="4" s="1"/>
  <c r="R16" i="4"/>
  <c r="AH16" i="4" s="1"/>
  <c r="Q16" i="4"/>
  <c r="AG16" i="4" s="1"/>
  <c r="P16" i="4"/>
  <c r="AF16" i="4" s="1"/>
  <c r="O16" i="4"/>
  <c r="Y16" i="4" s="1"/>
  <c r="N16" i="4"/>
  <c r="M16" i="4"/>
  <c r="AC16" i="4" s="1"/>
  <c r="L16" i="4"/>
  <c r="AB16" i="4" s="1"/>
  <c r="T15" i="4"/>
  <c r="AJ15" i="4" s="1"/>
  <c r="S15" i="4"/>
  <c r="AI15" i="4" s="1"/>
  <c r="R15" i="4"/>
  <c r="AH15" i="4" s="1"/>
  <c r="Q15" i="4"/>
  <c r="AG15" i="4" s="1"/>
  <c r="P15" i="4"/>
  <c r="AF15" i="4" s="1"/>
  <c r="O15" i="4"/>
  <c r="Y15" i="4" s="1"/>
  <c r="N15" i="4"/>
  <c r="Z15" i="4" s="1"/>
  <c r="M15" i="4"/>
  <c r="AC15" i="4" s="1"/>
  <c r="L15" i="4"/>
  <c r="AB15" i="4" s="1"/>
  <c r="T14" i="4"/>
  <c r="AJ14" i="4" s="1"/>
  <c r="S14" i="4"/>
  <c r="AI14" i="4" s="1"/>
  <c r="R14" i="4"/>
  <c r="AH14" i="4" s="1"/>
  <c r="Q14" i="4"/>
  <c r="AG14" i="4" s="1"/>
  <c r="P14" i="4"/>
  <c r="AF14" i="4" s="1"/>
  <c r="O14" i="4"/>
  <c r="Y14" i="4" s="1"/>
  <c r="N14" i="4"/>
  <c r="Z14" i="4" s="1"/>
  <c r="M14" i="4"/>
  <c r="AC14" i="4" s="1"/>
  <c r="L14" i="4"/>
  <c r="AB14" i="4" s="1"/>
  <c r="T13" i="4"/>
  <c r="AJ13" i="4" s="1"/>
  <c r="S13" i="4"/>
  <c r="AI13" i="4" s="1"/>
  <c r="R13" i="4"/>
  <c r="AH13" i="4" s="1"/>
  <c r="Q13" i="4"/>
  <c r="AG13" i="4" s="1"/>
  <c r="P13" i="4"/>
  <c r="AF13" i="4" s="1"/>
  <c r="O13" i="4"/>
  <c r="AE13" i="4" s="1"/>
  <c r="N13" i="4"/>
  <c r="Z13" i="4" s="1"/>
  <c r="M13" i="4"/>
  <c r="AC13" i="4" s="1"/>
  <c r="L13" i="4"/>
  <c r="AB13" i="4" s="1"/>
  <c r="T12" i="4"/>
  <c r="AJ12" i="4" s="1"/>
  <c r="S12" i="4"/>
  <c r="AI12" i="4" s="1"/>
  <c r="R12" i="4"/>
  <c r="AH12" i="4" s="1"/>
  <c r="Q12" i="4"/>
  <c r="AG12" i="4" s="1"/>
  <c r="P12" i="4"/>
  <c r="AF12" i="4" s="1"/>
  <c r="O12" i="4"/>
  <c r="AE12" i="4" s="1"/>
  <c r="N12" i="4"/>
  <c r="Z12" i="4" s="1"/>
  <c r="M12" i="4"/>
  <c r="AC12" i="4" s="1"/>
  <c r="L12" i="4"/>
  <c r="AB12" i="4" s="1"/>
  <c r="T11" i="4"/>
  <c r="AJ11" i="4" s="1"/>
  <c r="S11" i="4"/>
  <c r="AI11" i="4" s="1"/>
  <c r="R11" i="4"/>
  <c r="AH11" i="4" s="1"/>
  <c r="Q11" i="4"/>
  <c r="AG11" i="4" s="1"/>
  <c r="P11" i="4"/>
  <c r="AF11" i="4" s="1"/>
  <c r="O11" i="4"/>
  <c r="AE11" i="4" s="1"/>
  <c r="N11" i="4"/>
  <c r="Z11" i="4" s="1"/>
  <c r="M11" i="4"/>
  <c r="AC11" i="4" s="1"/>
  <c r="L11" i="4"/>
  <c r="AB11" i="4" s="1"/>
  <c r="T10" i="4"/>
  <c r="AJ10" i="4" s="1"/>
  <c r="S10" i="4"/>
  <c r="AI10" i="4" s="1"/>
  <c r="R10" i="4"/>
  <c r="AH10" i="4" s="1"/>
  <c r="Q10" i="4"/>
  <c r="AG10" i="4" s="1"/>
  <c r="P10" i="4"/>
  <c r="AF10" i="4" s="1"/>
  <c r="O10" i="4"/>
  <c r="Y10" i="4" s="1"/>
  <c r="N10" i="4"/>
  <c r="AD10" i="4" s="1"/>
  <c r="M10" i="4"/>
  <c r="AC10" i="4" s="1"/>
  <c r="L10" i="4"/>
  <c r="AB10" i="4" s="1"/>
  <c r="T9" i="4"/>
  <c r="AJ9" i="4" s="1"/>
  <c r="S9" i="4"/>
  <c r="AI9" i="4" s="1"/>
  <c r="R9" i="4"/>
  <c r="AH9" i="4" s="1"/>
  <c r="Q9" i="4"/>
  <c r="AG9" i="4" s="1"/>
  <c r="P9" i="4"/>
  <c r="AF9" i="4" s="1"/>
  <c r="O9" i="4"/>
  <c r="AE9" i="4" s="1"/>
  <c r="N9" i="4"/>
  <c r="Z9" i="4" s="1"/>
  <c r="M9" i="4"/>
  <c r="AC9" i="4" s="1"/>
  <c r="L9" i="4"/>
  <c r="AB9" i="4" s="1"/>
  <c r="T8" i="4"/>
  <c r="AJ8" i="4" s="1"/>
  <c r="S8" i="4"/>
  <c r="AI8" i="4" s="1"/>
  <c r="R8" i="4"/>
  <c r="AH8" i="4" s="1"/>
  <c r="Q8" i="4"/>
  <c r="AG8" i="4" s="1"/>
  <c r="P8" i="4"/>
  <c r="AF8" i="4" s="1"/>
  <c r="O8" i="4"/>
  <c r="Y8" i="4" s="1"/>
  <c r="N8" i="4"/>
  <c r="Z8" i="4" s="1"/>
  <c r="M8" i="4"/>
  <c r="AC8" i="4" s="1"/>
  <c r="L8" i="4"/>
  <c r="AB8" i="4" s="1"/>
  <c r="T7" i="4"/>
  <c r="AJ7" i="4" s="1"/>
  <c r="S7" i="4"/>
  <c r="AI7" i="4" s="1"/>
  <c r="R7" i="4"/>
  <c r="AH7" i="4" s="1"/>
  <c r="Q7" i="4"/>
  <c r="AG7" i="4" s="1"/>
  <c r="P7" i="4"/>
  <c r="AF7" i="4" s="1"/>
  <c r="O7" i="4"/>
  <c r="Y7" i="4" s="1"/>
  <c r="N7" i="4"/>
  <c r="AD7" i="4" s="1"/>
  <c r="M7" i="4"/>
  <c r="AC7" i="4" s="1"/>
  <c r="L7" i="4"/>
  <c r="AB7" i="4" s="1"/>
  <c r="T6" i="4"/>
  <c r="AJ6" i="4" s="1"/>
  <c r="S6" i="4"/>
  <c r="AI6" i="4" s="1"/>
  <c r="R6" i="4"/>
  <c r="AH6" i="4" s="1"/>
  <c r="Q6" i="4"/>
  <c r="AG6" i="4" s="1"/>
  <c r="P6" i="4"/>
  <c r="AF6" i="4" s="1"/>
  <c r="O6" i="4"/>
  <c r="Y6" i="4" s="1"/>
  <c r="N6" i="4"/>
  <c r="AD6" i="4" s="1"/>
  <c r="M6" i="4"/>
  <c r="AC6" i="4" s="1"/>
  <c r="L6" i="4"/>
  <c r="AB6" i="4" s="1"/>
  <c r="T5" i="4"/>
  <c r="AJ5" i="4" s="1"/>
  <c r="S5" i="4"/>
  <c r="AI5" i="4" s="1"/>
  <c r="R5" i="4"/>
  <c r="AH5" i="4" s="1"/>
  <c r="Q5" i="4"/>
  <c r="AG5" i="4" s="1"/>
  <c r="P5" i="4"/>
  <c r="AF5" i="4" s="1"/>
  <c r="O5" i="4"/>
  <c r="AE5" i="4" s="1"/>
  <c r="N5" i="4"/>
  <c r="AD5" i="4" s="1"/>
  <c r="M5" i="4"/>
  <c r="AC5" i="4" s="1"/>
  <c r="L5" i="4"/>
  <c r="AB5" i="4" s="1"/>
  <c r="T4" i="4"/>
  <c r="AJ4" i="4" s="1"/>
  <c r="S4" i="4"/>
  <c r="AI4" i="4" s="1"/>
  <c r="R4" i="4"/>
  <c r="AH4" i="4" s="1"/>
  <c r="Q4" i="4"/>
  <c r="AG4" i="4" s="1"/>
  <c r="P4" i="4"/>
  <c r="AF4" i="4" s="1"/>
  <c r="O4" i="4"/>
  <c r="N4" i="4"/>
  <c r="Z4" i="4" s="1"/>
  <c r="M4" i="4"/>
  <c r="AC4" i="4" s="1"/>
  <c r="L4" i="4"/>
  <c r="AB4" i="4" s="1"/>
  <c r="T3" i="4"/>
  <c r="AJ3" i="4" s="1"/>
  <c r="S3" i="4"/>
  <c r="AI3" i="4" s="1"/>
  <c r="R3" i="4"/>
  <c r="AH3" i="4" s="1"/>
  <c r="Q3" i="4"/>
  <c r="AG3" i="4" s="1"/>
  <c r="P3" i="4"/>
  <c r="AF3" i="4" s="1"/>
  <c r="O3" i="4"/>
  <c r="AE3" i="4" s="1"/>
  <c r="N3" i="4"/>
  <c r="AD3" i="4" s="1"/>
  <c r="M3" i="4"/>
  <c r="AC3" i="4" s="1"/>
  <c r="L3" i="4"/>
  <c r="AB3" i="4" s="1"/>
  <c r="T2" i="4"/>
  <c r="AJ2" i="4" s="1"/>
  <c r="S2" i="4"/>
  <c r="AI2" i="4" s="1"/>
  <c r="R2" i="4"/>
  <c r="AH2" i="4" s="1"/>
  <c r="Q2" i="4"/>
  <c r="AG2" i="4" s="1"/>
  <c r="P2" i="4"/>
  <c r="AF2" i="4" s="1"/>
  <c r="O2" i="4"/>
  <c r="AE2" i="4" s="1"/>
  <c r="N2" i="4"/>
  <c r="AD2" i="4" s="1"/>
  <c r="M2" i="4"/>
  <c r="AC2" i="4" s="1"/>
  <c r="L2" i="4"/>
  <c r="AB2" i="4" s="1"/>
  <c r="B2" i="4"/>
  <c r="A2" i="4"/>
  <c r="AE10" i="4" l="1"/>
  <c r="Y17" i="4"/>
  <c r="AE59" i="4"/>
  <c r="AD67" i="4"/>
  <c r="Z81" i="4"/>
  <c r="Y87" i="4"/>
  <c r="AE94" i="4"/>
  <c r="Y29" i="4"/>
  <c r="Y38" i="4"/>
  <c r="AE19" i="4"/>
  <c r="Z73" i="4"/>
  <c r="Z78" i="4"/>
  <c r="Z54" i="4"/>
  <c r="Y57" i="4"/>
  <c r="Z38" i="4"/>
  <c r="Y62" i="4"/>
  <c r="Y85" i="4"/>
  <c r="Z3" i="4"/>
  <c r="Y45" i="4"/>
  <c r="Z65" i="4"/>
  <c r="Y49" i="4"/>
  <c r="AE54" i="4"/>
  <c r="AE96" i="4"/>
  <c r="Y13" i="4"/>
  <c r="Z49" i="4"/>
  <c r="Z71" i="4"/>
  <c r="Y93" i="4"/>
  <c r="AD83" i="4"/>
  <c r="Z23" i="4"/>
  <c r="Z34" i="4"/>
  <c r="AD28" i="4"/>
  <c r="AD94" i="4"/>
  <c r="Z5" i="4"/>
  <c r="Y27" i="4"/>
  <c r="Z35" i="4"/>
  <c r="Y46" i="4"/>
  <c r="Y55" i="4"/>
  <c r="Z62" i="4"/>
  <c r="Y73" i="4"/>
  <c r="Y82" i="4"/>
  <c r="Z27" i="4"/>
  <c r="Z6" i="4"/>
  <c r="AE32" i="4"/>
  <c r="AD48" i="4"/>
  <c r="Y9" i="4"/>
  <c r="Y18" i="4"/>
  <c r="Z29" i="4"/>
  <c r="Y41" i="4"/>
  <c r="Y50" i="4"/>
  <c r="Y58" i="4"/>
  <c r="Z66" i="4"/>
  <c r="Z74" i="4"/>
  <c r="Y86" i="4"/>
  <c r="AD17" i="4"/>
  <c r="AD8" i="4"/>
  <c r="Y74" i="4"/>
  <c r="Z18" i="4"/>
  <c r="Z41" i="4"/>
  <c r="Z50" i="4"/>
  <c r="Z58" i="4"/>
  <c r="Z86" i="4"/>
  <c r="AE33" i="4"/>
  <c r="Y11" i="4"/>
  <c r="Y98" i="4"/>
  <c r="AD15" i="4"/>
  <c r="Y3" i="4"/>
  <c r="Y34" i="4"/>
  <c r="Z43" i="4"/>
  <c r="Z51" i="4"/>
  <c r="Z61" i="4"/>
  <c r="Y69" i="4"/>
  <c r="Y79" i="4"/>
  <c r="Y89" i="4"/>
  <c r="Z98" i="4"/>
  <c r="AD75" i="4"/>
  <c r="Z75" i="4"/>
  <c r="AD95" i="4"/>
  <c r="Z95" i="4"/>
  <c r="Z59" i="4"/>
  <c r="AD59" i="4"/>
  <c r="AE65" i="4"/>
  <c r="AE88" i="4"/>
  <c r="Y88" i="4"/>
  <c r="AE95" i="4"/>
  <c r="AD14" i="4"/>
  <c r="AE25" i="4"/>
  <c r="AD47" i="4"/>
  <c r="Z47" i="4"/>
  <c r="AD56" i="4"/>
  <c r="AE64" i="4"/>
  <c r="Y64" i="4"/>
  <c r="AD77" i="4"/>
  <c r="AD80" i="4"/>
  <c r="Z99" i="4"/>
  <c r="AD99" i="4"/>
  <c r="Y2" i="4"/>
  <c r="Y23" i="4"/>
  <c r="Y39" i="4"/>
  <c r="Y81" i="4"/>
  <c r="AE14" i="4"/>
  <c r="AD21" i="4"/>
  <c r="AD30" i="4"/>
  <c r="AD52" i="4"/>
  <c r="AD53" i="4"/>
  <c r="AE70" i="4"/>
  <c r="AE72" i="4"/>
  <c r="AE80" i="4"/>
  <c r="AD87" i="4"/>
  <c r="Z87" i="4"/>
  <c r="Z2" i="4"/>
  <c r="Z39" i="4"/>
  <c r="Z69" i="4"/>
  <c r="Z32" i="4"/>
  <c r="AD32" i="4"/>
  <c r="AE44" i="4"/>
  <c r="Y44" i="4"/>
  <c r="AE52" i="4"/>
  <c r="AD63" i="4"/>
  <c r="Z63" i="4"/>
  <c r="Y30" i="4"/>
  <c r="Y35" i="4"/>
  <c r="AD60" i="4"/>
  <c r="Z60" i="4"/>
  <c r="AE76" i="4"/>
  <c r="Y76" i="4"/>
  <c r="AD79" i="4"/>
  <c r="Z79" i="4"/>
  <c r="AD92" i="4"/>
  <c r="AD97" i="4"/>
  <c r="Z19" i="4"/>
  <c r="Z46" i="4"/>
  <c r="Y53" i="4"/>
  <c r="Z70" i="4"/>
  <c r="Y77" i="4"/>
  <c r="Z82" i="4"/>
  <c r="AE4" i="4"/>
  <c r="Y4" i="4"/>
  <c r="AE8" i="4"/>
  <c r="AD16" i="4"/>
  <c r="Z16" i="4"/>
  <c r="AD20" i="4"/>
  <c r="Z20" i="4"/>
  <c r="AE20" i="4"/>
  <c r="AE60" i="4"/>
  <c r="Y60" i="4"/>
  <c r="AE92" i="4"/>
  <c r="Y5" i="4"/>
  <c r="Y21" i="4"/>
  <c r="Y31" i="4"/>
  <c r="Y37" i="4"/>
  <c r="Y42" i="4"/>
  <c r="Y47" i="4"/>
  <c r="Y66" i="4"/>
  <c r="Y71" i="4"/>
  <c r="Y83" i="4"/>
  <c r="Y90" i="4"/>
  <c r="Y97" i="4"/>
  <c r="AE40" i="4"/>
  <c r="Y40" i="4"/>
  <c r="AD88" i="4"/>
  <c r="Z88" i="4"/>
  <c r="AD22" i="4"/>
  <c r="AD36" i="4"/>
  <c r="AD64" i="4"/>
  <c r="Z64" i="4"/>
  <c r="AE78" i="4"/>
  <c r="AE48" i="4"/>
  <c r="Z7" i="4"/>
  <c r="Z45" i="4"/>
  <c r="AD55" i="4"/>
  <c r="Z55" i="4"/>
  <c r="AD76" i="4"/>
  <c r="Z76" i="4"/>
  <c r="AD84" i="4"/>
  <c r="AE16" i="4"/>
  <c r="AD68" i="4"/>
  <c r="Z68" i="4"/>
  <c r="AE68" i="4"/>
  <c r="Z96" i="4"/>
  <c r="AD96" i="4"/>
  <c r="Z10" i="4"/>
  <c r="Z26" i="4"/>
  <c r="Z42" i="4"/>
  <c r="Y61" i="4"/>
  <c r="AD12" i="4"/>
  <c r="Y12" i="4"/>
  <c r="Y24" i="4"/>
  <c r="Z44" i="4"/>
  <c r="AE28" i="4"/>
  <c r="AD13" i="4"/>
  <c r="AD57" i="4"/>
  <c r="AE75" i="4"/>
  <c r="AD85" i="4"/>
  <c r="AD89" i="4"/>
  <c r="AD90" i="4"/>
  <c r="AE15" i="4"/>
  <c r="AE26" i="4"/>
  <c r="AD33" i="4"/>
  <c r="AD93" i="4"/>
  <c r="AD24" i="4"/>
  <c r="AD31" i="4"/>
  <c r="AE43" i="4"/>
  <c r="AE56" i="4"/>
  <c r="AD9" i="4"/>
  <c r="AD11" i="4"/>
  <c r="AE22" i="4"/>
  <c r="AD37" i="4"/>
  <c r="AD40" i="4"/>
  <c r="AE67" i="4"/>
  <c r="AD72" i="4"/>
  <c r="AE36" i="4"/>
  <c r="AE63" i="4"/>
  <c r="AE84" i="4"/>
  <c r="AD4" i="4"/>
  <c r="AE6" i="4"/>
  <c r="AE7" i="4"/>
  <c r="AE99" i="4"/>
  <c r="AD25" i="4"/>
  <c r="AE51" i="4"/>
  <c r="V102" i="3"/>
  <c r="U102" i="3"/>
  <c r="T102" i="3"/>
  <c r="Q102" i="3"/>
  <c r="Z102" i="3" s="1"/>
  <c r="O102" i="3"/>
  <c r="V101" i="3"/>
  <c r="U101" i="3"/>
  <c r="T101" i="3"/>
  <c r="W101" i="3" s="1"/>
  <c r="Q101" i="3"/>
  <c r="Z101" i="3" s="1"/>
  <c r="O101" i="3"/>
  <c r="V100" i="3"/>
  <c r="U100" i="3"/>
  <c r="T100" i="3"/>
  <c r="W100" i="3" s="1"/>
  <c r="Q100" i="3"/>
  <c r="Z100" i="3" s="1"/>
  <c r="O100" i="3"/>
  <c r="V99" i="3"/>
  <c r="U99" i="3"/>
  <c r="T99" i="3"/>
  <c r="W99" i="3" s="1"/>
  <c r="Q99" i="3"/>
  <c r="Z99" i="3" s="1"/>
  <c r="O99" i="3"/>
  <c r="V98" i="3"/>
  <c r="U98" i="3"/>
  <c r="T98" i="3"/>
  <c r="W98" i="3" s="1"/>
  <c r="Q98" i="3"/>
  <c r="Z98" i="3" s="1"/>
  <c r="O98" i="3"/>
  <c r="V97" i="3"/>
  <c r="U97" i="3"/>
  <c r="T97" i="3"/>
  <c r="W97" i="3" s="1"/>
  <c r="Q97" i="3"/>
  <c r="Z97" i="3" s="1"/>
  <c r="O97" i="3"/>
  <c r="V96" i="3"/>
  <c r="U96" i="3"/>
  <c r="T96" i="3"/>
  <c r="W96" i="3" s="1"/>
  <c r="Q96" i="3"/>
  <c r="Z96" i="3" s="1"/>
  <c r="O96" i="3"/>
  <c r="V95" i="3"/>
  <c r="U95" i="3"/>
  <c r="T95" i="3"/>
  <c r="W95" i="3" s="1"/>
  <c r="Q95" i="3"/>
  <c r="Z95" i="3" s="1"/>
  <c r="O95" i="3"/>
  <c r="V94" i="3"/>
  <c r="U94" i="3"/>
  <c r="T94" i="3"/>
  <c r="W94" i="3" s="1"/>
  <c r="Q94" i="3"/>
  <c r="Z94" i="3" s="1"/>
  <c r="O94" i="3"/>
  <c r="V93" i="3"/>
  <c r="U93" i="3"/>
  <c r="T93" i="3"/>
  <c r="Q93" i="3"/>
  <c r="O93" i="3"/>
  <c r="V92" i="3"/>
  <c r="U92" i="3"/>
  <c r="T92" i="3"/>
  <c r="W92" i="3" s="1"/>
  <c r="Q92" i="3"/>
  <c r="Z92" i="3" s="1"/>
  <c r="O92" i="3"/>
  <c r="V91" i="3"/>
  <c r="U91" i="3"/>
  <c r="T91" i="3"/>
  <c r="W91" i="3" s="1"/>
  <c r="Q91" i="3"/>
  <c r="Z91" i="3" s="1"/>
  <c r="O91" i="3"/>
  <c r="V90" i="3"/>
  <c r="U90" i="3"/>
  <c r="T90" i="3"/>
  <c r="W90" i="3" s="1"/>
  <c r="Q90" i="3"/>
  <c r="Z90" i="3" s="1"/>
  <c r="O90" i="3"/>
  <c r="V89" i="3"/>
  <c r="U89" i="3"/>
  <c r="T89" i="3"/>
  <c r="W89" i="3" s="1"/>
  <c r="Q89" i="3"/>
  <c r="Z89" i="3" s="1"/>
  <c r="O89" i="3"/>
  <c r="V88" i="3"/>
  <c r="U88" i="3"/>
  <c r="T88" i="3"/>
  <c r="W88" i="3" s="1"/>
  <c r="Q88" i="3"/>
  <c r="Z88" i="3" s="1"/>
  <c r="O88" i="3"/>
  <c r="V87" i="3"/>
  <c r="U87" i="3"/>
  <c r="T87" i="3"/>
  <c r="W87" i="3" s="1"/>
  <c r="Q87" i="3"/>
  <c r="Z87" i="3" s="1"/>
  <c r="O87" i="3"/>
  <c r="V86" i="3"/>
  <c r="U86" i="3"/>
  <c r="T86" i="3"/>
  <c r="W86" i="3" s="1"/>
  <c r="Q86" i="3"/>
  <c r="Z86" i="3" s="1"/>
  <c r="O86" i="3"/>
  <c r="V85" i="3"/>
  <c r="U85" i="3"/>
  <c r="T85" i="3"/>
  <c r="W85" i="3" s="1"/>
  <c r="Q85" i="3"/>
  <c r="Z85" i="3" s="1"/>
  <c r="O85" i="3"/>
  <c r="V84" i="3"/>
  <c r="U84" i="3"/>
  <c r="T84" i="3"/>
  <c r="W84" i="3" s="1"/>
  <c r="Q84" i="3"/>
  <c r="Z84" i="3" s="1"/>
  <c r="O84" i="3"/>
  <c r="V83" i="3"/>
  <c r="U83" i="3"/>
  <c r="T83" i="3"/>
  <c r="W83" i="3" s="1"/>
  <c r="Q83" i="3"/>
  <c r="Z83" i="3" s="1"/>
  <c r="O83" i="3"/>
  <c r="V82" i="3"/>
  <c r="U82" i="3"/>
  <c r="T82" i="3"/>
  <c r="W82" i="3" s="1"/>
  <c r="Q82" i="3"/>
  <c r="Z82" i="3" s="1"/>
  <c r="O82" i="3"/>
  <c r="V81" i="3"/>
  <c r="U81" i="3"/>
  <c r="T81" i="3"/>
  <c r="W81" i="3" s="1"/>
  <c r="Q81" i="3"/>
  <c r="Z81" i="3" s="1"/>
  <c r="O81" i="3"/>
  <c r="V80" i="3"/>
  <c r="U80" i="3"/>
  <c r="T80" i="3"/>
  <c r="W80" i="3" s="1"/>
  <c r="Q80" i="3"/>
  <c r="Z80" i="3" s="1"/>
  <c r="O80" i="3"/>
  <c r="V79" i="3"/>
  <c r="U79" i="3"/>
  <c r="T79" i="3"/>
  <c r="W79" i="3" s="1"/>
  <c r="Q79" i="3"/>
  <c r="Z79" i="3" s="1"/>
  <c r="O79" i="3"/>
  <c r="V78" i="3"/>
  <c r="U78" i="3"/>
  <c r="T78" i="3"/>
  <c r="W78" i="3" s="1"/>
  <c r="Q78" i="3"/>
  <c r="Z78" i="3" s="1"/>
  <c r="O78" i="3"/>
  <c r="V77" i="3"/>
  <c r="U77" i="3"/>
  <c r="T77" i="3"/>
  <c r="W77" i="3" s="1"/>
  <c r="Q77" i="3"/>
  <c r="Z77" i="3" s="1"/>
  <c r="O77" i="3"/>
  <c r="V76" i="3"/>
  <c r="U76" i="3"/>
  <c r="T76" i="3"/>
  <c r="W76" i="3" s="1"/>
  <c r="Q76" i="3"/>
  <c r="Z76" i="3" s="1"/>
  <c r="O76" i="3"/>
  <c r="V75" i="3"/>
  <c r="U75" i="3"/>
  <c r="T75" i="3"/>
  <c r="W75" i="3" s="1"/>
  <c r="Q75" i="3"/>
  <c r="Z75" i="3" s="1"/>
  <c r="O75" i="3"/>
  <c r="V74" i="3"/>
  <c r="U74" i="3"/>
  <c r="T74" i="3"/>
  <c r="W74" i="3" s="1"/>
  <c r="Q74" i="3"/>
  <c r="Z74" i="3" s="1"/>
  <c r="O74" i="3"/>
  <c r="V73" i="3"/>
  <c r="U73" i="3"/>
  <c r="T73" i="3"/>
  <c r="W73" i="3" s="1"/>
  <c r="Q73" i="3"/>
  <c r="Z73" i="3" s="1"/>
  <c r="O73" i="3"/>
  <c r="V72" i="3"/>
  <c r="U72" i="3"/>
  <c r="T72" i="3"/>
  <c r="W72" i="3" s="1"/>
  <c r="Q72" i="3"/>
  <c r="Z72" i="3" s="1"/>
  <c r="O72" i="3"/>
  <c r="V71" i="3"/>
  <c r="U71" i="3"/>
  <c r="T71" i="3"/>
  <c r="W71" i="3" s="1"/>
  <c r="Q71" i="3"/>
  <c r="Z71" i="3" s="1"/>
  <c r="O71" i="3"/>
  <c r="V70" i="3"/>
  <c r="U70" i="3"/>
  <c r="T70" i="3"/>
  <c r="W70" i="3" s="1"/>
  <c r="Q70" i="3"/>
  <c r="Z70" i="3" s="1"/>
  <c r="O70" i="3"/>
  <c r="V69" i="3"/>
  <c r="U69" i="3"/>
  <c r="T69" i="3"/>
  <c r="W69" i="3" s="1"/>
  <c r="Q69" i="3"/>
  <c r="Z69" i="3" s="1"/>
  <c r="O69" i="3"/>
  <c r="V68" i="3"/>
  <c r="U68" i="3"/>
  <c r="T68" i="3"/>
  <c r="W68" i="3" s="1"/>
  <c r="Q68" i="3"/>
  <c r="Z68" i="3" s="1"/>
  <c r="O68" i="3"/>
  <c r="V67" i="3"/>
  <c r="U67" i="3"/>
  <c r="T67" i="3"/>
  <c r="W67" i="3" s="1"/>
  <c r="Q67" i="3"/>
  <c r="Z67" i="3" s="1"/>
  <c r="O67" i="3"/>
  <c r="V66" i="3"/>
  <c r="U66" i="3"/>
  <c r="T66" i="3"/>
  <c r="W66" i="3" s="1"/>
  <c r="Q66" i="3"/>
  <c r="Z66" i="3" s="1"/>
  <c r="O66" i="3"/>
  <c r="V65" i="3"/>
  <c r="U65" i="3"/>
  <c r="T65" i="3"/>
  <c r="W65" i="3" s="1"/>
  <c r="Q65" i="3"/>
  <c r="Z65" i="3" s="1"/>
  <c r="O65" i="3"/>
  <c r="V64" i="3"/>
  <c r="U64" i="3"/>
  <c r="T64" i="3"/>
  <c r="W64" i="3" s="1"/>
  <c r="Q64" i="3"/>
  <c r="Z64" i="3" s="1"/>
  <c r="O64" i="3"/>
  <c r="V63" i="3"/>
  <c r="U63" i="3"/>
  <c r="T63" i="3"/>
  <c r="W63" i="3" s="1"/>
  <c r="Q63" i="3"/>
  <c r="Z63" i="3" s="1"/>
  <c r="O63" i="3"/>
  <c r="V62" i="3"/>
  <c r="U62" i="3"/>
  <c r="T62" i="3"/>
  <c r="W62" i="3" s="1"/>
  <c r="Q62" i="3"/>
  <c r="Z62" i="3" s="1"/>
  <c r="O62" i="3"/>
  <c r="V61" i="3"/>
  <c r="U61" i="3"/>
  <c r="T61" i="3"/>
  <c r="W61" i="3" s="1"/>
  <c r="Q61" i="3"/>
  <c r="Z61" i="3" s="1"/>
  <c r="O61" i="3"/>
  <c r="V60" i="3"/>
  <c r="U60" i="3"/>
  <c r="T60" i="3"/>
  <c r="W60" i="3" s="1"/>
  <c r="Q60" i="3"/>
  <c r="Z60" i="3" s="1"/>
  <c r="O60" i="3"/>
  <c r="V59" i="3"/>
  <c r="U59" i="3"/>
  <c r="T59" i="3"/>
  <c r="W59" i="3" s="1"/>
  <c r="Q59" i="3"/>
  <c r="Z59" i="3" s="1"/>
  <c r="O59" i="3"/>
  <c r="V58" i="3"/>
  <c r="U58" i="3"/>
  <c r="T58" i="3"/>
  <c r="W58" i="3" s="1"/>
  <c r="Q58" i="3"/>
  <c r="Z58" i="3" s="1"/>
  <c r="O58" i="3"/>
  <c r="V57" i="3"/>
  <c r="U57" i="3"/>
  <c r="T57" i="3"/>
  <c r="W57" i="3" s="1"/>
  <c r="Q57" i="3"/>
  <c r="Z57" i="3" s="1"/>
  <c r="O57" i="3"/>
  <c r="V56" i="3"/>
  <c r="U56" i="3"/>
  <c r="T56" i="3"/>
  <c r="W56" i="3" s="1"/>
  <c r="Q56" i="3"/>
  <c r="Z56" i="3" s="1"/>
  <c r="O56" i="3"/>
  <c r="V55" i="3"/>
  <c r="U55" i="3"/>
  <c r="T55" i="3"/>
  <c r="W55" i="3" s="1"/>
  <c r="Q55" i="3"/>
  <c r="Z55" i="3" s="1"/>
  <c r="O55" i="3"/>
  <c r="V54" i="3"/>
  <c r="U54" i="3"/>
  <c r="T54" i="3"/>
  <c r="W54" i="3" s="1"/>
  <c r="Q54" i="3"/>
  <c r="Z54" i="3" s="1"/>
  <c r="O54" i="3"/>
  <c r="V53" i="3"/>
  <c r="U53" i="3"/>
  <c r="T53" i="3"/>
  <c r="W53" i="3" s="1"/>
  <c r="Q53" i="3"/>
  <c r="Z53" i="3" s="1"/>
  <c r="O53" i="3"/>
  <c r="V52" i="3"/>
  <c r="U52" i="3"/>
  <c r="T52" i="3"/>
  <c r="W52" i="3" s="1"/>
  <c r="Q52" i="3"/>
  <c r="Z52" i="3" s="1"/>
  <c r="O52" i="3"/>
  <c r="V51" i="3"/>
  <c r="U51" i="3"/>
  <c r="T51" i="3"/>
  <c r="W51" i="3" s="1"/>
  <c r="Q51" i="3"/>
  <c r="Z51" i="3" s="1"/>
  <c r="O51" i="3"/>
  <c r="V50" i="3"/>
  <c r="U50" i="3"/>
  <c r="T50" i="3"/>
  <c r="W50" i="3" s="1"/>
  <c r="Q50" i="3"/>
  <c r="Z50" i="3" s="1"/>
  <c r="O50" i="3"/>
  <c r="V49" i="3"/>
  <c r="U49" i="3"/>
  <c r="T49" i="3"/>
  <c r="W49" i="3" s="1"/>
  <c r="Q49" i="3"/>
  <c r="Z49" i="3" s="1"/>
  <c r="O49" i="3"/>
  <c r="V48" i="3"/>
  <c r="U48" i="3"/>
  <c r="T48" i="3"/>
  <c r="W48" i="3" s="1"/>
  <c r="Q48" i="3"/>
  <c r="Z48" i="3" s="1"/>
  <c r="O48" i="3"/>
  <c r="V47" i="3"/>
  <c r="U47" i="3"/>
  <c r="T47" i="3"/>
  <c r="W47" i="3" s="1"/>
  <c r="Q47" i="3"/>
  <c r="Z47" i="3" s="1"/>
  <c r="O47" i="3"/>
  <c r="V46" i="3"/>
  <c r="U46" i="3"/>
  <c r="T46" i="3"/>
  <c r="W46" i="3" s="1"/>
  <c r="Q46" i="3"/>
  <c r="Z46" i="3" s="1"/>
  <c r="O46" i="3"/>
  <c r="V45" i="3"/>
  <c r="U45" i="3"/>
  <c r="T45" i="3"/>
  <c r="W45" i="3" s="1"/>
  <c r="Q45" i="3"/>
  <c r="Z45" i="3" s="1"/>
  <c r="O45" i="3"/>
  <c r="V44" i="3"/>
  <c r="U44" i="3"/>
  <c r="T44" i="3"/>
  <c r="W44" i="3" s="1"/>
  <c r="Q44" i="3"/>
  <c r="Z44" i="3" s="1"/>
  <c r="O44" i="3"/>
  <c r="V43" i="3"/>
  <c r="U43" i="3"/>
  <c r="T43" i="3"/>
  <c r="W43" i="3" s="1"/>
  <c r="Q43" i="3"/>
  <c r="Z43" i="3" s="1"/>
  <c r="O43" i="3"/>
  <c r="V42" i="3"/>
  <c r="U42" i="3"/>
  <c r="T42" i="3"/>
  <c r="W42" i="3" s="1"/>
  <c r="Q42" i="3"/>
  <c r="Z42" i="3" s="1"/>
  <c r="O42" i="3"/>
  <c r="V41" i="3"/>
  <c r="U41" i="3"/>
  <c r="T41" i="3"/>
  <c r="W41" i="3" s="1"/>
  <c r="Q41" i="3"/>
  <c r="Z41" i="3" s="1"/>
  <c r="O41" i="3"/>
  <c r="V40" i="3"/>
  <c r="U40" i="3"/>
  <c r="T40" i="3"/>
  <c r="W40" i="3" s="1"/>
  <c r="Q40" i="3"/>
  <c r="Z40" i="3" s="1"/>
  <c r="O40" i="3"/>
  <c r="V39" i="3"/>
  <c r="U39" i="3"/>
  <c r="T39" i="3"/>
  <c r="W39" i="3" s="1"/>
  <c r="Q39" i="3"/>
  <c r="Z39" i="3" s="1"/>
  <c r="O39" i="3"/>
  <c r="V38" i="3"/>
  <c r="U38" i="3"/>
  <c r="T38" i="3"/>
  <c r="W38" i="3" s="1"/>
  <c r="Q38" i="3"/>
  <c r="Z38" i="3" s="1"/>
  <c r="O38" i="3"/>
  <c r="V37" i="3"/>
  <c r="U37" i="3"/>
  <c r="T37" i="3"/>
  <c r="W37" i="3" s="1"/>
  <c r="Q37" i="3"/>
  <c r="Z37" i="3" s="1"/>
  <c r="O37" i="3"/>
  <c r="V36" i="3"/>
  <c r="U36" i="3"/>
  <c r="T36" i="3"/>
  <c r="W36" i="3" s="1"/>
  <c r="Q36" i="3"/>
  <c r="Z36" i="3" s="1"/>
  <c r="O36" i="3"/>
  <c r="V35" i="3"/>
  <c r="U35" i="3"/>
  <c r="T35" i="3"/>
  <c r="W35" i="3" s="1"/>
  <c r="Q35" i="3"/>
  <c r="Z35" i="3" s="1"/>
  <c r="O35" i="3"/>
  <c r="V34" i="3"/>
  <c r="U34" i="3"/>
  <c r="T34" i="3"/>
  <c r="W34" i="3" s="1"/>
  <c r="Q34" i="3"/>
  <c r="Z34" i="3" s="1"/>
  <c r="O34" i="3"/>
  <c r="V33" i="3"/>
  <c r="U33" i="3"/>
  <c r="T33" i="3"/>
  <c r="W33" i="3" s="1"/>
  <c r="Q33" i="3"/>
  <c r="Z33" i="3" s="1"/>
  <c r="O33" i="3"/>
  <c r="V32" i="3"/>
  <c r="U32" i="3"/>
  <c r="T32" i="3"/>
  <c r="W32" i="3" s="1"/>
  <c r="Q32" i="3"/>
  <c r="Z32" i="3" s="1"/>
  <c r="O32" i="3"/>
  <c r="V31" i="3"/>
  <c r="U31" i="3"/>
  <c r="T31" i="3"/>
  <c r="W31" i="3" s="1"/>
  <c r="Q31" i="3"/>
  <c r="Z31" i="3" s="1"/>
  <c r="O31" i="3"/>
  <c r="V30" i="3"/>
  <c r="U30" i="3"/>
  <c r="T30" i="3"/>
  <c r="W30" i="3" s="1"/>
  <c r="Q30" i="3"/>
  <c r="Z30" i="3" s="1"/>
  <c r="O30" i="3"/>
  <c r="V29" i="3"/>
  <c r="U29" i="3"/>
  <c r="T29" i="3"/>
  <c r="W29" i="3" s="1"/>
  <c r="Q29" i="3"/>
  <c r="Z29" i="3" s="1"/>
  <c r="O29" i="3"/>
  <c r="V28" i="3"/>
  <c r="U28" i="3"/>
  <c r="T28" i="3"/>
  <c r="W28" i="3" s="1"/>
  <c r="Q28" i="3"/>
  <c r="Z28" i="3" s="1"/>
  <c r="O28" i="3"/>
  <c r="V27" i="3"/>
  <c r="U27" i="3"/>
  <c r="T27" i="3"/>
  <c r="W27" i="3" s="1"/>
  <c r="Q27" i="3"/>
  <c r="Z27" i="3" s="1"/>
  <c r="O27" i="3"/>
  <c r="V26" i="3"/>
  <c r="U26" i="3"/>
  <c r="T26" i="3"/>
  <c r="W26" i="3" s="1"/>
  <c r="Q26" i="3"/>
  <c r="Z26" i="3" s="1"/>
  <c r="O26" i="3"/>
  <c r="V25" i="3"/>
  <c r="U25" i="3"/>
  <c r="T25" i="3"/>
  <c r="W25" i="3" s="1"/>
  <c r="Q25" i="3"/>
  <c r="Z25" i="3" s="1"/>
  <c r="O25" i="3"/>
  <c r="V24" i="3"/>
  <c r="U24" i="3"/>
  <c r="T24" i="3"/>
  <c r="W24" i="3" s="1"/>
  <c r="Q24" i="3"/>
  <c r="Z24" i="3" s="1"/>
  <c r="O24" i="3"/>
  <c r="V23" i="3"/>
  <c r="U23" i="3"/>
  <c r="T23" i="3"/>
  <c r="W23" i="3" s="1"/>
  <c r="Q23" i="3"/>
  <c r="Z23" i="3" s="1"/>
  <c r="O23" i="3"/>
  <c r="V22" i="3"/>
  <c r="U22" i="3"/>
  <c r="T22" i="3"/>
  <c r="W22" i="3" s="1"/>
  <c r="Q22" i="3"/>
  <c r="Z22" i="3" s="1"/>
  <c r="O22" i="3"/>
  <c r="V21" i="3"/>
  <c r="U21" i="3"/>
  <c r="T21" i="3"/>
  <c r="W21" i="3" s="1"/>
  <c r="Q21" i="3"/>
  <c r="Z21" i="3" s="1"/>
  <c r="O21" i="3"/>
  <c r="V20" i="3"/>
  <c r="U20" i="3"/>
  <c r="T20" i="3"/>
  <c r="W20" i="3" s="1"/>
  <c r="Q20" i="3"/>
  <c r="Z20" i="3" s="1"/>
  <c r="O20" i="3"/>
  <c r="V19" i="3"/>
  <c r="U19" i="3"/>
  <c r="T19" i="3"/>
  <c r="W19" i="3" s="1"/>
  <c r="Q19" i="3"/>
  <c r="Z19" i="3" s="1"/>
  <c r="O19" i="3"/>
  <c r="V18" i="3"/>
  <c r="U18" i="3"/>
  <c r="T18" i="3"/>
  <c r="W18" i="3" s="1"/>
  <c r="Q18" i="3"/>
  <c r="Z18" i="3" s="1"/>
  <c r="O18" i="3"/>
  <c r="V17" i="3"/>
  <c r="U17" i="3"/>
  <c r="T17" i="3"/>
  <c r="W17" i="3" s="1"/>
  <c r="Q17" i="3"/>
  <c r="Z17" i="3" s="1"/>
  <c r="O17" i="3"/>
  <c r="V16" i="3"/>
  <c r="U16" i="3"/>
  <c r="T16" i="3"/>
  <c r="W16" i="3" s="1"/>
  <c r="Q16" i="3"/>
  <c r="Z16" i="3" s="1"/>
  <c r="O16" i="3"/>
  <c r="V15" i="3"/>
  <c r="U15" i="3"/>
  <c r="T15" i="3"/>
  <c r="W15" i="3" s="1"/>
  <c r="Q15" i="3"/>
  <c r="Z15" i="3" s="1"/>
  <c r="O15" i="3"/>
  <c r="V14" i="3"/>
  <c r="U14" i="3"/>
  <c r="T14" i="3"/>
  <c r="W14" i="3" s="1"/>
  <c r="Q14" i="3"/>
  <c r="Z14" i="3" s="1"/>
  <c r="O14" i="3"/>
  <c r="V13" i="3"/>
  <c r="U13" i="3"/>
  <c r="T13" i="3"/>
  <c r="W13" i="3" s="1"/>
  <c r="Q13" i="3"/>
  <c r="Z13" i="3" s="1"/>
  <c r="O13" i="3"/>
  <c r="V12" i="3"/>
  <c r="U12" i="3"/>
  <c r="T12" i="3"/>
  <c r="W12" i="3" s="1"/>
  <c r="Q12" i="3"/>
  <c r="Z12" i="3" s="1"/>
  <c r="O12" i="3"/>
  <c r="V11" i="3"/>
  <c r="U11" i="3"/>
  <c r="T11" i="3"/>
  <c r="W11" i="3" s="1"/>
  <c r="Q11" i="3"/>
  <c r="Z11" i="3" s="1"/>
  <c r="O11" i="3"/>
  <c r="V10" i="3"/>
  <c r="U10" i="3"/>
  <c r="T10" i="3"/>
  <c r="W10" i="3" s="1"/>
  <c r="Q10" i="3"/>
  <c r="Z10" i="3" s="1"/>
  <c r="O10" i="3"/>
  <c r="V9" i="3"/>
  <c r="U9" i="3"/>
  <c r="T9" i="3"/>
  <c r="W9" i="3" s="1"/>
  <c r="Q9" i="3"/>
  <c r="Z9" i="3" s="1"/>
  <c r="O9" i="3"/>
  <c r="V8" i="3"/>
  <c r="U8" i="3"/>
  <c r="T8" i="3"/>
  <c r="Q8" i="3"/>
  <c r="O8" i="3"/>
  <c r="V7" i="3"/>
  <c r="U7" i="3"/>
  <c r="T7" i="3"/>
  <c r="Q7" i="3"/>
  <c r="O7" i="3"/>
  <c r="V6" i="3"/>
  <c r="U6" i="3"/>
  <c r="T6" i="3"/>
  <c r="Q6" i="3"/>
  <c r="O6" i="3"/>
  <c r="V5" i="3"/>
  <c r="U5" i="3"/>
  <c r="T5" i="3"/>
  <c r="Q5" i="3"/>
  <c r="O5" i="3"/>
  <c r="Q4" i="3"/>
  <c r="V4" i="3"/>
  <c r="W102" i="3" l="1"/>
  <c r="C104" i="4"/>
  <c r="Z93" i="3"/>
  <c r="W93" i="3"/>
  <c r="W7" i="3"/>
  <c r="Z4" i="3"/>
  <c r="Z7" i="3"/>
  <c r="Z5" i="3"/>
  <c r="W5" i="3"/>
  <c r="Z8" i="3"/>
  <c r="Z6" i="3"/>
  <c r="W8" i="3"/>
  <c r="W6" i="3"/>
  <c r="C58" i="4"/>
  <c r="C66" i="4"/>
  <c r="C98" i="4"/>
  <c r="C17" i="4"/>
  <c r="C18" i="4"/>
  <c r="C26" i="4"/>
  <c r="C42" i="4"/>
  <c r="C82" i="4"/>
  <c r="C33" i="4"/>
  <c r="C97" i="4"/>
  <c r="C16" i="4"/>
  <c r="C32" i="4"/>
  <c r="C56" i="4"/>
  <c r="C72" i="4"/>
  <c r="C88" i="4"/>
  <c r="C96" i="4"/>
  <c r="C7" i="4"/>
  <c r="C55" i="4"/>
  <c r="C79" i="4"/>
  <c r="C87" i="4"/>
  <c r="C6" i="4"/>
  <c r="C30" i="4"/>
  <c r="C46" i="4"/>
  <c r="C54" i="4"/>
  <c r="C62" i="4"/>
  <c r="C70" i="4"/>
  <c r="C78" i="4"/>
  <c r="C86" i="4"/>
  <c r="C45" i="4"/>
  <c r="C69" i="4"/>
  <c r="C85" i="4"/>
  <c r="C34" i="4"/>
  <c r="C50" i="4"/>
  <c r="C74" i="4"/>
  <c r="C9" i="4"/>
  <c r="C49" i="4"/>
  <c r="C57" i="4"/>
  <c r="C73" i="4"/>
  <c r="C89" i="4"/>
  <c r="C8" i="4"/>
  <c r="C48" i="4"/>
  <c r="C80" i="4"/>
  <c r="C15" i="4"/>
  <c r="C31" i="4"/>
  <c r="C47" i="4"/>
  <c r="C63" i="4"/>
  <c r="C71" i="4"/>
  <c r="C95" i="4"/>
  <c r="C22" i="4"/>
  <c r="C38" i="4"/>
  <c r="C94" i="4"/>
  <c r="C5" i="4"/>
  <c r="C13" i="4"/>
  <c r="C21" i="4"/>
  <c r="C29" i="4"/>
  <c r="C37" i="4"/>
  <c r="C53" i="4"/>
  <c r="C61" i="4"/>
  <c r="C77" i="4"/>
  <c r="C93" i="4"/>
  <c r="C4" i="4"/>
  <c r="C12" i="4"/>
  <c r="C20" i="4"/>
  <c r="C28" i="4"/>
  <c r="C36" i="4"/>
  <c r="C44" i="4"/>
  <c r="C52" i="4"/>
  <c r="C60" i="4"/>
  <c r="C68" i="4"/>
  <c r="C76" i="4"/>
  <c r="C84" i="4"/>
  <c r="C92" i="4"/>
  <c r="C10" i="4"/>
  <c r="C90" i="4"/>
  <c r="C25" i="4"/>
  <c r="C41" i="4"/>
  <c r="C65" i="4"/>
  <c r="C81" i="4"/>
  <c r="C24" i="4"/>
  <c r="C40" i="4"/>
  <c r="C64" i="4"/>
  <c r="C23" i="4"/>
  <c r="C39" i="4"/>
  <c r="C14" i="4"/>
  <c r="C3" i="4"/>
  <c r="C11" i="4"/>
  <c r="C19" i="4"/>
  <c r="C27" i="4"/>
  <c r="C35" i="4"/>
  <c r="C43" i="4"/>
  <c r="C51" i="4"/>
  <c r="C59" i="4"/>
  <c r="C67" i="4"/>
  <c r="C75" i="4"/>
  <c r="C83" i="4"/>
  <c r="C99" i="4"/>
  <c r="C100" i="4" l="1"/>
  <c r="C91" i="4"/>
  <c r="O4" i="3" l="1"/>
  <c r="D17" i="1" l="1"/>
  <c r="D18" i="1" s="1"/>
  <c r="H15" i="1" l="1"/>
  <c r="H16" i="1" s="1"/>
  <c r="C13" i="1" s="1"/>
  <c r="D36" i="1"/>
  <c r="D21" i="1"/>
  <c r="D14" i="1"/>
  <c r="D10" i="1"/>
  <c r="D11" i="1" s="1"/>
  <c r="D6" i="1"/>
  <c r="D7" i="1" s="1"/>
  <c r="D3" i="1"/>
  <c r="F6" i="1"/>
  <c r="F2" i="1"/>
  <c r="F10" i="1" l="1"/>
  <c r="F3" i="1"/>
  <c r="F13" i="1"/>
  <c r="F7" i="1"/>
  <c r="D33" i="1"/>
  <c r="D28" i="1"/>
  <c r="D29" i="1" s="1"/>
  <c r="D24" i="1"/>
  <c r="D25" i="1" s="1"/>
  <c r="U4" i="3"/>
  <c r="T4" i="3"/>
  <c r="W4" i="3" l="1"/>
  <c r="C2" i="4"/>
</calcChain>
</file>

<file path=xl/sharedStrings.xml><?xml version="1.0" encoding="utf-8"?>
<sst xmlns="http://schemas.openxmlformats.org/spreadsheetml/2006/main" count="1757" uniqueCount="1237">
  <si>
    <t>ESPN Team Sheet</t>
  </si>
  <si>
    <t>TEAM INFO</t>
  </si>
  <si>
    <t>TODAY_TONIGHT_SEL</t>
  </si>
  <si>
    <t>SWATCH SEL</t>
  </si>
  <si>
    <t xml:space="preserve"> TEAM INFO</t>
  </si>
  <si>
    <t>TEAM_RANK</t>
  </si>
  <si>
    <t>SEASON_SEL</t>
  </si>
  <si>
    <t>TEAM_CITY_COLLEGE</t>
  </si>
  <si>
    <t>TODAY_TONIGHT_SEL_COLON</t>
  </si>
  <si>
    <t>TODAY/SEASON SEL</t>
  </si>
  <si>
    <t>TEAM_NICKNAME</t>
  </si>
  <si>
    <t>SEASON_SEL_COLON</t>
  </si>
  <si>
    <t>Season</t>
  </si>
  <si>
    <t>TEAM LOGOS / SWATCH / HEADSHOTS</t>
  </si>
  <si>
    <t>Last Season</t>
  </si>
  <si>
    <t>ALABAMA</t>
  </si>
  <si>
    <t>Swatch Selector</t>
  </si>
  <si>
    <t>TEAM_TRICODE</t>
  </si>
  <si>
    <t>Today</t>
  </si>
  <si>
    <t>Tonight</t>
  </si>
  <si>
    <t>TEAM_FULL_NAME</t>
  </si>
  <si>
    <t>SWATCH_SELECT</t>
  </si>
  <si>
    <t>TEAM_DASH_NAME</t>
  </si>
  <si>
    <t>TODAY / SEASON SELECTION</t>
  </si>
  <si>
    <t>Today / Tonight Selection</t>
  </si>
  <si>
    <t>Season / Last Season</t>
  </si>
  <si>
    <t>TEAM_RANK_NAME</t>
  </si>
  <si>
    <t>TEAM_RANK_NAME_NICKNAME</t>
  </si>
  <si>
    <t>TEAM_RANK_NAME_RECORD</t>
  </si>
  <si>
    <t>TEAM_LOGOTEXT</t>
  </si>
  <si>
    <t>TEAM_RECORD_OVERALL</t>
  </si>
  <si>
    <t>COACH_RESUME_TITLE</t>
  </si>
  <si>
    <t>Title</t>
  </si>
  <si>
    <t>COACH_RESUME_SUBTITLE</t>
  </si>
  <si>
    <t>Line1</t>
  </si>
  <si>
    <t>Line2</t>
  </si>
  <si>
    <t>Line3</t>
  </si>
  <si>
    <t>COACH_RESUME_LINE1</t>
  </si>
  <si>
    <t>COACH_RESUME_LINE2</t>
  </si>
  <si>
    <t>COACH_RESUME_LINE3</t>
  </si>
  <si>
    <t>COACH_RESUME_DROP</t>
  </si>
  <si>
    <t>Roster</t>
  </si>
  <si>
    <t>Date calc - enter as xx/xx/xx</t>
  </si>
  <si>
    <t>Jersey</t>
  </si>
  <si>
    <t>Display</t>
  </si>
  <si>
    <t>First Name</t>
  </si>
  <si>
    <t>Last Name</t>
  </si>
  <si>
    <t>POS</t>
  </si>
  <si>
    <t>Height</t>
  </si>
  <si>
    <t>Weight</t>
  </si>
  <si>
    <t>Birthday</t>
  </si>
  <si>
    <t>Hometown</t>
  </si>
  <si>
    <t>Year</t>
  </si>
  <si>
    <t>Age</t>
  </si>
  <si>
    <t>Position</t>
  </si>
  <si>
    <t>Headshot</t>
  </si>
  <si>
    <t>Full Name</t>
  </si>
  <si>
    <t>Initial Name</t>
  </si>
  <si>
    <t>0</t>
  </si>
  <si>
    <t>TEAM HEADER INFO</t>
  </si>
  <si>
    <t>TEAM INFO LINE 1</t>
  </si>
  <si>
    <t>TEAM 1 LINE DROP</t>
  </si>
  <si>
    <t>TEAM 2-LINE HEADER</t>
  </si>
  <si>
    <t>TEAM 2-LINE INFO LINE 1</t>
  </si>
  <si>
    <t>TEAM 2-LINE INFO LINE 2</t>
  </si>
  <si>
    <t>TEAM 2 LINE DROP</t>
  </si>
  <si>
    <t>1-Line Team lower third</t>
  </si>
  <si>
    <t>Line 1 of 2</t>
  </si>
  <si>
    <t>Line 2 of 2</t>
  </si>
  <si>
    <t>TEAM HEADER INFO HERE</t>
  </si>
  <si>
    <t>Line 2</t>
  </si>
  <si>
    <t>Line 3</t>
  </si>
  <si>
    <t>Line 4</t>
  </si>
  <si>
    <t>Line 5</t>
  </si>
  <si>
    <t>Line 6</t>
  </si>
  <si>
    <t>Line 7</t>
  </si>
  <si>
    <t>Line 8</t>
  </si>
  <si>
    <t>Line 9</t>
  </si>
  <si>
    <t>Line 10</t>
  </si>
  <si>
    <t>PROMOS/SCHEDULES</t>
  </si>
  <si>
    <t>NETWORK_LOGO_PATH</t>
  </si>
  <si>
    <t>SCHED_NETWORK</t>
  </si>
  <si>
    <t>Upcoming TV Games</t>
  </si>
  <si>
    <t>OPPONENT</t>
  </si>
  <si>
    <t>DATE</t>
  </si>
  <si>
    <t xml:space="preserve">TIME </t>
  </si>
  <si>
    <t>NETWORK LOGO</t>
  </si>
  <si>
    <t>Central Arkansas</t>
  </si>
  <si>
    <t>Wed.</t>
  </si>
  <si>
    <t>ABC</t>
  </si>
  <si>
    <t>South Carolina St</t>
  </si>
  <si>
    <t>Nov. 17</t>
  </si>
  <si>
    <t>ABC_ESPN2_MIRROR_BLACK</t>
  </si>
  <si>
    <t>Creighton</t>
  </si>
  <si>
    <t>Nov. 20</t>
  </si>
  <si>
    <t>ESPNU_LIGHTGRAY</t>
  </si>
  <si>
    <t>UC Irvine</t>
  </si>
  <si>
    <t>Nov. 26</t>
  </si>
  <si>
    <t>ABC_ESPN2_MIRROR_WHITE</t>
  </si>
  <si>
    <t>CSU Bakersfield</t>
  </si>
  <si>
    <t>Nov. 29</t>
  </si>
  <si>
    <t>ACC_ON_ESPN</t>
  </si>
  <si>
    <t>ACC_NETWORK_EXTRA_GRAY</t>
  </si>
  <si>
    <t>TEAM_LOGOS</t>
  </si>
  <si>
    <t>CONFERENCE_LOGOS</t>
  </si>
  <si>
    <t>NETWORK_LOGOS</t>
  </si>
  <si>
    <t>ABILENE_CHRISTIAN</t>
  </si>
  <si>
    <t>AMERICAN</t>
  </si>
  <si>
    <t>AIR_FORCE</t>
  </si>
  <si>
    <t>ABCAPPMIRROR</t>
  </si>
  <si>
    <t>AKRON</t>
  </si>
  <si>
    <t>BIG_12</t>
  </si>
  <si>
    <t>ABCAPPMIRROR_WHITE</t>
  </si>
  <si>
    <t>BIG_SKY</t>
  </si>
  <si>
    <t>ABC_ESPN2_MIRROR</t>
  </si>
  <si>
    <t>ALABAMA_AM</t>
  </si>
  <si>
    <t>BIG_SOUTH</t>
  </si>
  <si>
    <t>ALABAMA_ST</t>
  </si>
  <si>
    <t>BIG_TEN</t>
  </si>
  <si>
    <t>ALCORN_ST</t>
  </si>
  <si>
    <t>CONFERENCE_USA</t>
  </si>
  <si>
    <t>ABC_ESPN3_MIRROR</t>
  </si>
  <si>
    <t>AMERICAN_UNIVERSITY</t>
  </si>
  <si>
    <t>GREAT_WEST</t>
  </si>
  <si>
    <t>ABC_ESPN3_MIRROR_WHITE</t>
  </si>
  <si>
    <t>APPALACHIAN_ST</t>
  </si>
  <si>
    <t>IVY_LEAGUE</t>
  </si>
  <si>
    <t>ABC_ESPN_MIRROR</t>
  </si>
  <si>
    <t>ARIZONA</t>
  </si>
  <si>
    <t>MEAC</t>
  </si>
  <si>
    <t>ABC_ESPN_MIRROR_BLACK</t>
  </si>
  <si>
    <t>ARIZONA_ST</t>
  </si>
  <si>
    <t>ABC_ESPN_MIRROR_WHITE</t>
  </si>
  <si>
    <t>ARKANSAS</t>
  </si>
  <si>
    <t>MISSOURI_VALLEY</t>
  </si>
  <si>
    <t>ABC_GRAY</t>
  </si>
  <si>
    <t>ARKANSAS_PINE_BLUFF</t>
  </si>
  <si>
    <t>MOUNTAIN_WEST</t>
  </si>
  <si>
    <t>ABC_LIGHTGRAY</t>
  </si>
  <si>
    <t>ARKANSAS_ST</t>
  </si>
  <si>
    <t>NORTHEAST</t>
  </si>
  <si>
    <t>ABC_WHITE</t>
  </si>
  <si>
    <t>ARMY</t>
  </si>
  <si>
    <t>OHIO_VALLEY</t>
  </si>
  <si>
    <t>AUBURN</t>
  </si>
  <si>
    <t>AUSTIN_PEAY</t>
  </si>
  <si>
    <t>PATRIOT_LEAGUE</t>
  </si>
  <si>
    <t>BALL_ST</t>
  </si>
  <si>
    <t>BAYLOR</t>
  </si>
  <si>
    <t>SOUTHLAND</t>
  </si>
  <si>
    <t>BELLARMINE</t>
  </si>
  <si>
    <t>BELMONT</t>
  </si>
  <si>
    <t>SWAC</t>
  </si>
  <si>
    <t>BETHUNE_COOKMAN</t>
  </si>
  <si>
    <t>ACC_DIGITALNETWORK</t>
  </si>
  <si>
    <t>BOISE_ST</t>
  </si>
  <si>
    <t>ACC_DIGITAL_NETWORK</t>
  </si>
  <si>
    <t>BOSTON_COLLEGE</t>
  </si>
  <si>
    <t>ACC_ESPN</t>
  </si>
  <si>
    <t>BOSTON_UNIVERSITY</t>
  </si>
  <si>
    <t>ACC_ESPN_NETWORK</t>
  </si>
  <si>
    <t>BOWLING_GREEN</t>
  </si>
  <si>
    <t>ACC_ESPN_NETWORK_BLACK</t>
  </si>
  <si>
    <t>BRADLEY</t>
  </si>
  <si>
    <t>ACC_ESPN_NETWORK_GRAY</t>
  </si>
  <si>
    <t>BROWN</t>
  </si>
  <si>
    <t>ACC_ESPN_NETWORK_LIGHTGRAY</t>
  </si>
  <si>
    <t>BRYANT</t>
  </si>
  <si>
    <t>ACC_ESPN_NETWORK_WHITE</t>
  </si>
  <si>
    <t>BUCKNELL</t>
  </si>
  <si>
    <t>ACC_NETWORK</t>
  </si>
  <si>
    <t>BUFFALO</t>
  </si>
  <si>
    <t>ACC_NETWORK_BLACK</t>
  </si>
  <si>
    <t>BYU</t>
  </si>
  <si>
    <t>CALIFORNIA</t>
  </si>
  <si>
    <t>CALIFORNIA_BAPTIST</t>
  </si>
  <si>
    <t>CAL_POLY</t>
  </si>
  <si>
    <t>ACC_NETWORK_EXTRA</t>
  </si>
  <si>
    <t>CAL_ST_BAKERSFIELD</t>
  </si>
  <si>
    <t>CAL_ST_FULLERTON</t>
  </si>
  <si>
    <t>ACC_NETWORK_EXTRA_BLACK</t>
  </si>
  <si>
    <t>CAL_ST_NORTHRIDGE</t>
  </si>
  <si>
    <t>CAMPBELL</t>
  </si>
  <si>
    <t>ACC_NETWORK_EXTRA_LIGHTGRAY</t>
  </si>
  <si>
    <t>CANISIUS</t>
  </si>
  <si>
    <t>ACC_NETWORK_EXTRA_WHITE</t>
  </si>
  <si>
    <t>CENTRAL_ARKANSAS</t>
  </si>
  <si>
    <t>ACC_NETWORK_GRAY</t>
  </si>
  <si>
    <t>CENTRAL_CONNECTICUT_ST</t>
  </si>
  <si>
    <t>ACC_NETWORK_LIGHTGRAY</t>
  </si>
  <si>
    <t>CENTRAL_MICHIGAN</t>
  </si>
  <si>
    <t>CHARLESTON_SOUTHERN</t>
  </si>
  <si>
    <t>ACC_NETWORK_WHITE</t>
  </si>
  <si>
    <t>CHARLOTTE</t>
  </si>
  <si>
    <t>CHATTANOOGA</t>
  </si>
  <si>
    <t>ACC_WHITE</t>
  </si>
  <si>
    <t>CHICAGO_ST</t>
  </si>
  <si>
    <t>AMERICAN_BLACK</t>
  </si>
  <si>
    <t>CINCINNATI</t>
  </si>
  <si>
    <t>AMERICAN_GRAY</t>
  </si>
  <si>
    <t>CLEMSON</t>
  </si>
  <si>
    <t>AMERICAN_WHITE</t>
  </si>
  <si>
    <t>CLEVELAND_ST</t>
  </si>
  <si>
    <t>AMERICA_EAST_ESPN3</t>
  </si>
  <si>
    <t>COASTAL_CAROLINA</t>
  </si>
  <si>
    <t>BIG12_NETWORK</t>
  </si>
  <si>
    <t>COLGATE</t>
  </si>
  <si>
    <t>BIG12_NETWORK_GRAY</t>
  </si>
  <si>
    <t>COLLEGE_OF_CHARLESTON</t>
  </si>
  <si>
    <t>BIG12_NETWORK_WHITE</t>
  </si>
  <si>
    <t>COLORADO</t>
  </si>
  <si>
    <t>BIGEAST_NETWORK</t>
  </si>
  <si>
    <t>COLORADO_ST</t>
  </si>
  <si>
    <t>BIGEAST_NETWORK_GRAY</t>
  </si>
  <si>
    <t>COLUMBIA</t>
  </si>
  <si>
    <t>BIGEAST_NETWORK_LIGHTGRAY</t>
  </si>
  <si>
    <t>CONNECTICUT</t>
  </si>
  <si>
    <t>BIGEAST_NETWORK_WHITE</t>
  </si>
  <si>
    <t>COPPIN_ST</t>
  </si>
  <si>
    <t>BIGTENABC_BLACK</t>
  </si>
  <si>
    <t>CORNELL</t>
  </si>
  <si>
    <t>BIGTENABC_COLORPOSITIVE</t>
  </si>
  <si>
    <t>DARTMOUTH</t>
  </si>
  <si>
    <t>BIGTENABC_GRAY</t>
  </si>
  <si>
    <t>DAVIDSON</t>
  </si>
  <si>
    <t>BIGTENABC_LIGHTGRAY</t>
  </si>
  <si>
    <t>DAYTON</t>
  </si>
  <si>
    <t>BIGTENABC_WHITE</t>
  </si>
  <si>
    <t>DELAWARE</t>
  </si>
  <si>
    <t>BIGTENESPN_BLACK</t>
  </si>
  <si>
    <t>DELAWARE_ST</t>
  </si>
  <si>
    <t>BIGTENESPN_COLORPOSITIVE</t>
  </si>
  <si>
    <t>DENVER</t>
  </si>
  <si>
    <t>BIGTENESPN_GRAY</t>
  </si>
  <si>
    <t>DETROIT_MERCY</t>
  </si>
  <si>
    <t>BIGTENESPN_LIGHTGRAY</t>
  </si>
  <si>
    <t>BIGTENESPN_WHITE</t>
  </si>
  <si>
    <t>DRAKE</t>
  </si>
  <si>
    <t>BIGTEN_ABC</t>
  </si>
  <si>
    <t>DREXEL</t>
  </si>
  <si>
    <t>BIGTEN_ABC_BLACK</t>
  </si>
  <si>
    <t>DUKE</t>
  </si>
  <si>
    <t>BIGTEN_ABC_GRAY</t>
  </si>
  <si>
    <t>DUQUESNE</t>
  </si>
  <si>
    <t>BIGTEN_ABC_LIGHTGRAY</t>
  </si>
  <si>
    <t>EASTERN_ILLINOIS</t>
  </si>
  <si>
    <t>BIGTEN_ABC_WHITE</t>
  </si>
  <si>
    <t>EASTERN_KENTUCKY</t>
  </si>
  <si>
    <t>BIGTEN_ESPN</t>
  </si>
  <si>
    <t>EASTERN_MICHIGAN</t>
  </si>
  <si>
    <t>BIGTEN_ESPN_BLACK</t>
  </si>
  <si>
    <t>EASTERN_WASHINGTON</t>
  </si>
  <si>
    <t>BIGTEN_ESPN_GRAY</t>
  </si>
  <si>
    <t>EAST_CAROLINA</t>
  </si>
  <si>
    <t>BIGTEN_ESPN_LIGHTGRAY</t>
  </si>
  <si>
    <t>EAST_TENNESSEE_ST</t>
  </si>
  <si>
    <t>BIGTEN_ESPN_WHITE</t>
  </si>
  <si>
    <t>ELON</t>
  </si>
  <si>
    <t>CBSNETWORK</t>
  </si>
  <si>
    <t>EVANSVILLE</t>
  </si>
  <si>
    <t>CBSNETWORK_GRAY</t>
  </si>
  <si>
    <t>FAIRFIELD</t>
  </si>
  <si>
    <t>CBSNETWORK_LIGHTGRAY</t>
  </si>
  <si>
    <t>FAIRLEIGH_DICKINSON</t>
  </si>
  <si>
    <t>CBSNETWORK_WHITE</t>
  </si>
  <si>
    <t>FLORIDA</t>
  </si>
  <si>
    <t>CBS_SPORTS</t>
  </si>
  <si>
    <t>FLORIDA_AM</t>
  </si>
  <si>
    <t>CBS_SPORTS_GRAY</t>
  </si>
  <si>
    <t>FLORIDA_ATLANTIC</t>
  </si>
  <si>
    <t>CBS_SPORTS_NK</t>
  </si>
  <si>
    <t>FLORIDA_GULF_COAST</t>
  </si>
  <si>
    <t>CBS_SPORTS_WHITE</t>
  </si>
  <si>
    <t>FLORIDA_INTERNATIONAL</t>
  </si>
  <si>
    <t>FLORIDA_ST</t>
  </si>
  <si>
    <t>ESPN+</t>
  </si>
  <si>
    <t>FORDHAM</t>
  </si>
  <si>
    <t>ESPN+_BLACK</t>
  </si>
  <si>
    <t>FRESNO_ST</t>
  </si>
  <si>
    <t>ESPN+_COLORNEGATIVE</t>
  </si>
  <si>
    <t>FURMAN</t>
  </si>
  <si>
    <t>ESPN+_GRAY</t>
  </si>
  <si>
    <t>GARDNER_WEBB</t>
  </si>
  <si>
    <t>ESPN+_ICON</t>
  </si>
  <si>
    <t>GEORGETOWN</t>
  </si>
  <si>
    <t>ESPN+_ICON_BLACK</t>
  </si>
  <si>
    <t>GEORGE_MASON</t>
  </si>
  <si>
    <t>ESPN+_ICON_COLORNEGATIVE</t>
  </si>
  <si>
    <t>GEORGE_WASHINGTON</t>
  </si>
  <si>
    <t>ESPN+_ICON_GRAY</t>
  </si>
  <si>
    <t>GEORGIA</t>
  </si>
  <si>
    <t>ESPN+_ICON_LIGHTGRAY</t>
  </si>
  <si>
    <t>GEORGIA_SOUTHERN</t>
  </si>
  <si>
    <t>ESPN+_ICON_WHITE</t>
  </si>
  <si>
    <t>GEORGIA_ST</t>
  </si>
  <si>
    <t>ESPN+_LIGHTGRAY</t>
  </si>
  <si>
    <t>GEORGIA_TECH</t>
  </si>
  <si>
    <t>ESPN+_WHITE</t>
  </si>
  <si>
    <t>GONZAGA</t>
  </si>
  <si>
    <t>ESPN</t>
  </si>
  <si>
    <t>GRAMBLING_ST</t>
  </si>
  <si>
    <t>ESPN2</t>
  </si>
  <si>
    <t>GRAND_CANYON</t>
  </si>
  <si>
    <t>ESPN2_BLACK</t>
  </si>
  <si>
    <t>GREEN_BAY</t>
  </si>
  <si>
    <t>ESPN2_ESPNAPP_MIRROR</t>
  </si>
  <si>
    <t>HAMPTON</t>
  </si>
  <si>
    <t>ESPN2_ESPNAPP_MIRRORWHITE</t>
  </si>
  <si>
    <t>HAMPTON_W</t>
  </si>
  <si>
    <t>ESPN2_ESPNEWS_WHITE</t>
  </si>
  <si>
    <t>HARVARD</t>
  </si>
  <si>
    <t>ESPN2_ESPNU_WHITE</t>
  </si>
  <si>
    <t>HAWAII</t>
  </si>
  <si>
    <t>ESPN2_GRAY</t>
  </si>
  <si>
    <t>ESPN2_GREY</t>
  </si>
  <si>
    <t>HOFSTRA</t>
  </si>
  <si>
    <t>ESPN2_LIGHTGRAY</t>
  </si>
  <si>
    <t>HOLY_CROSS</t>
  </si>
  <si>
    <t>ESPN2_RED</t>
  </si>
  <si>
    <t>HOUSTON</t>
  </si>
  <si>
    <t>ESPN2_WATCHESPN_MIRROR</t>
  </si>
  <si>
    <t>HOUSTON_BAPTIST</t>
  </si>
  <si>
    <t>ESPN2_WATCHESPN_MIRROR_WHITE</t>
  </si>
  <si>
    <t>HOWARD</t>
  </si>
  <si>
    <t>ESPN2_WHITE</t>
  </si>
  <si>
    <t>IDAHO</t>
  </si>
  <si>
    <t>ESPN3</t>
  </si>
  <si>
    <t>IDAHO_ST</t>
  </si>
  <si>
    <t>ESPN3_ESPNAPP_MIRROR</t>
  </si>
  <si>
    <t>ILLINOIS</t>
  </si>
  <si>
    <t>ESPN3_ESPNAPP_MIRRORWHITE</t>
  </si>
  <si>
    <t>ILLINOIS_CHICAGO</t>
  </si>
  <si>
    <t>ESPN3_GRAY</t>
  </si>
  <si>
    <t>ILLINOIS_ST</t>
  </si>
  <si>
    <t>ESPN3_LIGHTGRAY</t>
  </si>
  <si>
    <t>INCARNATE_WORD</t>
  </si>
  <si>
    <t>ESPN3_WATCHESPN_MIRROR</t>
  </si>
  <si>
    <t>INDIANA</t>
  </si>
  <si>
    <t>ESPN3_WATCHESPN_MIRROR_WHITE</t>
  </si>
  <si>
    <t>INDIANA_ST</t>
  </si>
  <si>
    <t>ESPN3_WHITE</t>
  </si>
  <si>
    <t>IONA</t>
  </si>
  <si>
    <t>ESPNAMERICA</t>
  </si>
  <si>
    <t>IOWA</t>
  </si>
  <si>
    <t>ESPNAMERICA_GRAY</t>
  </si>
  <si>
    <t>IOWA_ST</t>
  </si>
  <si>
    <t>ESPNAMERICA_LIGHTGRAY</t>
  </si>
  <si>
    <t>IUPUI</t>
  </si>
  <si>
    <t>ESPNAMERICA_WHITE</t>
  </si>
  <si>
    <t>JACKSONVILLE</t>
  </si>
  <si>
    <t>JACKSONVILLE_ST</t>
  </si>
  <si>
    <t>ESPNAPP_1LINE</t>
  </si>
  <si>
    <t>JACKSON_ST</t>
  </si>
  <si>
    <t>ESPNAPP_1LINE_BLACK</t>
  </si>
  <si>
    <t>JAMES_MADISON</t>
  </si>
  <si>
    <t>ESPNAPP_1LINE_BWNEGATIVE</t>
  </si>
  <si>
    <t>KANSAS</t>
  </si>
  <si>
    <t>ESPNAPP_1LINE_BWPOSITIVE</t>
  </si>
  <si>
    <t>KANSAS_ST</t>
  </si>
  <si>
    <t>ESPNAPP_1LINE_COLORNEGATIVE</t>
  </si>
  <si>
    <t>KENNESAW_ST</t>
  </si>
  <si>
    <t>ESPNAPP_1LINE_GRAY</t>
  </si>
  <si>
    <t>KENTUCKY</t>
  </si>
  <si>
    <t>ESPNAPP_1LINE_LIGHTGRAY</t>
  </si>
  <si>
    <t>KENT_ST</t>
  </si>
  <si>
    <t>ESPNAPP_1LINE_WHITE</t>
  </si>
  <si>
    <t>LAFAYETTE</t>
  </si>
  <si>
    <t>ESPNAPP_BLACK</t>
  </si>
  <si>
    <t>LAMAR</t>
  </si>
  <si>
    <t>ESPNAPP_BLACK_512</t>
  </si>
  <si>
    <t>LASALLE</t>
  </si>
  <si>
    <t>ESPNAPP_BWNEGATIVE</t>
  </si>
  <si>
    <t>LEHIGH</t>
  </si>
  <si>
    <t>ESPNAPP_BWPOSITIVE</t>
  </si>
  <si>
    <t>LIBERTY</t>
  </si>
  <si>
    <t>ESPNAPP_COLORNEGATIVE</t>
  </si>
  <si>
    <t>LIPSCOMB</t>
  </si>
  <si>
    <t>ESPNAPP_ENVIVO</t>
  </si>
  <si>
    <t>LITTLE_ROCK</t>
  </si>
  <si>
    <t>ESPNAPP_ENVIVO_BLACK</t>
  </si>
  <si>
    <t>LONGWOOD</t>
  </si>
  <si>
    <t>ESPNAPP_ENVIVO_BWNEGATIVE</t>
  </si>
  <si>
    <t>LONG_BEACH_ST</t>
  </si>
  <si>
    <t>ESPNAPP_ENVIVO_BWPOSITIVE</t>
  </si>
  <si>
    <t>LOUISIANA</t>
  </si>
  <si>
    <t>ESPNAPP_ENVIVO_COLORNEGATIVE</t>
  </si>
  <si>
    <t>LOUISIANA_TECH</t>
  </si>
  <si>
    <t>ESPNAPP_ENVIVO_GRAY</t>
  </si>
  <si>
    <t>LOUISVILLE</t>
  </si>
  <si>
    <t>ESPNAPP_ENVIVO_LIGHTGRAY</t>
  </si>
  <si>
    <t>LOYOLA_CHICAGO</t>
  </si>
  <si>
    <t>ESPNAPP_ENVIVO_WHITE</t>
  </si>
  <si>
    <t>LOYOLA_MARYLAND</t>
  </si>
  <si>
    <t>ESPNAPP_GRAY</t>
  </si>
  <si>
    <t>LOYOLA_MARYMOUNT</t>
  </si>
  <si>
    <t>ESPNAPP_ICON_OVERDARK</t>
  </si>
  <si>
    <t>LSU</t>
  </si>
  <si>
    <t>ESPNAPP_ICON_OVERLIGHT</t>
  </si>
  <si>
    <t>MANHATTAN</t>
  </si>
  <si>
    <t>ESPNAPP_KNOCKOUT</t>
  </si>
  <si>
    <t>MARIST</t>
  </si>
  <si>
    <t>ESPNAPP_LIGHTGRAY</t>
  </si>
  <si>
    <t>MARSHALL</t>
  </si>
  <si>
    <t>ESPNAPP_SPANISH</t>
  </si>
  <si>
    <t>MARYLAND</t>
  </si>
  <si>
    <t>ESPNAPP_WATCHESPN_NOTEXTCOMBO1</t>
  </si>
  <si>
    <t>MARYLAND_EASTERN_SHORE</t>
  </si>
  <si>
    <t>ESPNAPP_WATCHESPN_NOTEXTCOMBO2</t>
  </si>
  <si>
    <t>MASSACHUSETTS</t>
  </si>
  <si>
    <t>ESPNAPP_WHITE</t>
  </si>
  <si>
    <t>MCNEESE_ST</t>
  </si>
  <si>
    <t>ESPNBRASIL</t>
  </si>
  <si>
    <t>MEMPHIS</t>
  </si>
  <si>
    <t>ESPNBRASIL_GRAY</t>
  </si>
  <si>
    <t>MERCER</t>
  </si>
  <si>
    <t>ESPNBRASIL_LIGHTGRAY</t>
  </si>
  <si>
    <t>MIAMI_FL</t>
  </si>
  <si>
    <t>ESPNBRASIL_WHITE</t>
  </si>
  <si>
    <t>MIAMI_OH</t>
  </si>
  <si>
    <t>ESPNCLASSIC</t>
  </si>
  <si>
    <t>MICHIGAN</t>
  </si>
  <si>
    <t>ESPNCLASSIC_GRAY</t>
  </si>
  <si>
    <t>MICHIGAN_ST</t>
  </si>
  <si>
    <t>ESPNCLASSIC_LIGHTGRAY</t>
  </si>
  <si>
    <t>MIDDLE_TENNESSEE</t>
  </si>
  <si>
    <t>ESPNCLASSIC_WHITE</t>
  </si>
  <si>
    <t>MILWAUKEE</t>
  </si>
  <si>
    <t>ESPNDEPORTESRADIO_1050NUEVAYORK</t>
  </si>
  <si>
    <t>MINNESOTA</t>
  </si>
  <si>
    <t>ESPNDEPORTESRADIO_1050NUEVAYORK_GRAY</t>
  </si>
  <si>
    <t>MISSISSIPPI_ST</t>
  </si>
  <si>
    <t>ESPNDEPORTESRADIO_1050NUEVAYORK_LIGHTGRAY</t>
  </si>
  <si>
    <t>MISSISSIPPI_VALLEY_ST</t>
  </si>
  <si>
    <t>ESPNDEPORTESRADIO_1050NUEVAYORK_WHITE</t>
  </si>
  <si>
    <t>MISSOURI</t>
  </si>
  <si>
    <t>ESPNDEPORTES_DARKBG</t>
  </si>
  <si>
    <t>MISSOURI_ST</t>
  </si>
  <si>
    <t>ESPNDEPORTES_HORIZONTAL</t>
  </si>
  <si>
    <t>MONMOUTH</t>
  </si>
  <si>
    <t>ESPNDEPORTES_HORIZONTAL_GRAY</t>
  </si>
  <si>
    <t>MONTANA</t>
  </si>
  <si>
    <t>ESPNDEPORTES_HORIZONTAL_LIGHTGRAY</t>
  </si>
  <si>
    <t>MONTANA_ST</t>
  </si>
  <si>
    <t>ESPNDEPORTES_HORIZONTAL_WHITE</t>
  </si>
  <si>
    <t>MOREHEAD_ST</t>
  </si>
  <si>
    <t>ESPNDEPORTES_LIGHTGRAY</t>
  </si>
  <si>
    <t>MORGAN_ST</t>
  </si>
  <si>
    <t>ESPNDEPORTES_RADIO</t>
  </si>
  <si>
    <t>MOUNT_ST_MARYS</t>
  </si>
  <si>
    <t>ESPNDEPORTES_RADIO_GRAY</t>
  </si>
  <si>
    <t>MURRAY_ST</t>
  </si>
  <si>
    <t>ESPNDEPORTES_RADIO_LIGHTGRAY</t>
  </si>
  <si>
    <t>NAVY</t>
  </si>
  <si>
    <t>ESPNDEPORTES_RADIO_WHITE</t>
  </si>
  <si>
    <t>NC_ST</t>
  </si>
  <si>
    <t>ESPNDOTCOM</t>
  </si>
  <si>
    <t>NEBRASKA</t>
  </si>
  <si>
    <t>ESPNDOTCOM_GRAY</t>
  </si>
  <si>
    <t>NEVADA</t>
  </si>
  <si>
    <t>ESPNDOTCOM_LIGHTGRAY</t>
  </si>
  <si>
    <t>NEW_MEXICO</t>
  </si>
  <si>
    <t>ESPNDOTCOM_WHITE</t>
  </si>
  <si>
    <t>NEW_MEXICO_ST</t>
  </si>
  <si>
    <t>ESPND_DEPORTESRADIO105_LIGHTGRAY</t>
  </si>
  <si>
    <t>NEW_ORLEANS</t>
  </si>
  <si>
    <t>ESPNEWS</t>
  </si>
  <si>
    <t>NIAGARA</t>
  </si>
  <si>
    <t>ESPNEWS_GRAY</t>
  </si>
  <si>
    <t>NICHOLLS_ST</t>
  </si>
  <si>
    <t>ESPNEWS_LIGHTGRAY</t>
  </si>
  <si>
    <t>NJIT</t>
  </si>
  <si>
    <t>ESPNEWS_RED</t>
  </si>
  <si>
    <t>NORFOLK_ST</t>
  </si>
  <si>
    <t>ESPNEWS_WHITE</t>
  </si>
  <si>
    <t>NORTHEASTERN</t>
  </si>
  <si>
    <t>ESPNFULLCOURT_LIGHTGRAY</t>
  </si>
  <si>
    <t>NORTHERN_ARIZONA</t>
  </si>
  <si>
    <t>ESPNGAMEPLAN_LIGHTGRAY</t>
  </si>
  <si>
    <t>NORTHERN_COLORADO</t>
  </si>
  <si>
    <t>ESPNMOBILETV_LIGHTGRAY</t>
  </si>
  <si>
    <t>NORTHERN_ILLINOIS</t>
  </si>
  <si>
    <t>ESPNMOBILE_LIGHTGRAY</t>
  </si>
  <si>
    <t>NORTHERN_IOWA</t>
  </si>
  <si>
    <t>ESPNPLUS</t>
  </si>
  <si>
    <t>NORTHERN_KENTUCKY</t>
  </si>
  <si>
    <t>ESPNPLUS_GRAY</t>
  </si>
  <si>
    <t>NORTHWESTERN</t>
  </si>
  <si>
    <t>ESPNPLUS_LIGHTGRAY</t>
  </si>
  <si>
    <t>NORTHWESTERN_ST</t>
  </si>
  <si>
    <t>ESPNPLUS_WHITE</t>
  </si>
  <si>
    <t>NORTH_ALABAMA</t>
  </si>
  <si>
    <t>ESPNRADIO</t>
  </si>
  <si>
    <t>NORTH_CAROLINA</t>
  </si>
  <si>
    <t>ESPNRADIO_1000_CHICAGO</t>
  </si>
  <si>
    <t>NORTH_CAROLINA_AT</t>
  </si>
  <si>
    <t>ESPNRADIO_1033_DALLAS</t>
  </si>
  <si>
    <t>NORTH_CAROLINA_CENTRAL</t>
  </si>
  <si>
    <t>ESPNRADIO_710_LOSANGELES</t>
  </si>
  <si>
    <t>NORTH_DAKOTA</t>
  </si>
  <si>
    <t>ESPNRADIO_850_BOSTON</t>
  </si>
  <si>
    <t>NORTH_DAKOTA_ST</t>
  </si>
  <si>
    <t>ESPNRADIO_987_NEWYORK</t>
  </si>
  <si>
    <t>NORTH_FLORIDA</t>
  </si>
  <si>
    <t>ESPNRADIO_BLACK</t>
  </si>
  <si>
    <t>NORTH_TEXAS</t>
  </si>
  <si>
    <t>ESPNRADIO_ESPNAPP_MIRROR</t>
  </si>
  <si>
    <t>NOTRE_DAME</t>
  </si>
  <si>
    <t>ESPNRADIO_GRAY</t>
  </si>
  <si>
    <t>OAKLAND</t>
  </si>
  <si>
    <t>ESPNRADIO_LIGHTGRAY</t>
  </si>
  <si>
    <t>OHIO</t>
  </si>
  <si>
    <t>ESPNRADIO_WATCHESPNAPP_MIRROR</t>
  </si>
  <si>
    <t>OHIO_ST</t>
  </si>
  <si>
    <t>ESPNRADIO_WHITE</t>
  </si>
  <si>
    <t>OKLAHOMA</t>
  </si>
  <si>
    <t>ESPNREGIONALTV</t>
  </si>
  <si>
    <t>OKLAHOMA_ST</t>
  </si>
  <si>
    <t>ESPNREGIONALTV_GRAY</t>
  </si>
  <si>
    <t>OLD_DOMINION</t>
  </si>
  <si>
    <t>ESPNREGIONALTV_LIGHTGRAY</t>
  </si>
  <si>
    <t>OLE_MISS</t>
  </si>
  <si>
    <t>ESPNREGIONALTV_WHITE</t>
  </si>
  <si>
    <t>OMAHA</t>
  </si>
  <si>
    <t>ESPNU</t>
  </si>
  <si>
    <t>ORAL_ROBERTS</t>
  </si>
  <si>
    <t>ESPNU_BLACK</t>
  </si>
  <si>
    <t>OREGON</t>
  </si>
  <si>
    <t>ESPNU_ESPNAPP_MIRROR</t>
  </si>
  <si>
    <t>OREGON_ST</t>
  </si>
  <si>
    <t>ESPNU_ESPNAPP_MIRRORWHITE</t>
  </si>
  <si>
    <t>PACIFIC</t>
  </si>
  <si>
    <t>ESPNU_ESPNEWS_WHITE</t>
  </si>
  <si>
    <t>PENNSYLVANIA</t>
  </si>
  <si>
    <t>ESPNU_GRAY</t>
  </si>
  <si>
    <t>PENN_ST</t>
  </si>
  <si>
    <t>PEPPERDINE</t>
  </si>
  <si>
    <t>ESPNU_VERTICAL</t>
  </si>
  <si>
    <t>PITTSBURGH</t>
  </si>
  <si>
    <t>ESPNU_WATCHESPN_MIRROR</t>
  </si>
  <si>
    <t>PORTLAND</t>
  </si>
  <si>
    <t>ESPNU_WATCHESPN_MIRROR_WHITE</t>
  </si>
  <si>
    <t>PORTLAND_ST</t>
  </si>
  <si>
    <t>ESPNU_WHITE</t>
  </si>
  <si>
    <t>PRAIRIE_VIEW</t>
  </si>
  <si>
    <t>ESPNW</t>
  </si>
  <si>
    <t>PRESBYTERIAN</t>
  </si>
  <si>
    <t>ESPNWCOM_RED_HORIZONTAL</t>
  </si>
  <si>
    <t>PRINCETON</t>
  </si>
  <si>
    <t>ESPNWCOM_RED_STACKED</t>
  </si>
  <si>
    <t>PURDUE</t>
  </si>
  <si>
    <t>ESPNW_GRAY</t>
  </si>
  <si>
    <t>PURDUE_FORT_WAYNE</t>
  </si>
  <si>
    <t>ESPNW_LIGHTGRAY</t>
  </si>
  <si>
    <t>QUINNIPIAC</t>
  </si>
  <si>
    <t>ESPNW_RED_HORIZONTAL</t>
  </si>
  <si>
    <t>RADFORD</t>
  </si>
  <si>
    <t>ESPNW_RED_STACKED</t>
  </si>
  <si>
    <t>RHODE_ISLAND</t>
  </si>
  <si>
    <t>ESPNW_WHITE</t>
  </si>
  <si>
    <t>RICE</t>
  </si>
  <si>
    <t>ESPN_300</t>
  </si>
  <si>
    <t>RICHMOND</t>
  </si>
  <si>
    <t>ESPN_300_HORIZONTAL_FLAT</t>
  </si>
  <si>
    <t>RIDER</t>
  </si>
  <si>
    <t>ESPN_300_HORIZONTAL_TEXTURED</t>
  </si>
  <si>
    <t>ROBERT_MORRIS</t>
  </si>
  <si>
    <t>ESPN_300_VERTICAL_FLAT</t>
  </si>
  <si>
    <t>RUTGERS</t>
  </si>
  <si>
    <t>ESPN_300_VERTICAL_TEXTURED</t>
  </si>
  <si>
    <t>SACRAMENTO_ST</t>
  </si>
  <si>
    <t>ESPN_APP</t>
  </si>
  <si>
    <t>SACRED_HEART</t>
  </si>
  <si>
    <t>ESPN_APP_ICON</t>
  </si>
  <si>
    <t>SAINT_JOSEPHS</t>
  </si>
  <si>
    <t>ESPN_BLACK</t>
  </si>
  <si>
    <t>SAINT_LOUIS</t>
  </si>
  <si>
    <t>ESPN_COLLEGE_BPI</t>
  </si>
  <si>
    <t>SAINT_MARYS</t>
  </si>
  <si>
    <t>SAMFORD</t>
  </si>
  <si>
    <t>ESPN_DEPORTESRADIO_LIGHTGRAY</t>
  </si>
  <si>
    <t>SAM_HOUSTON_ST</t>
  </si>
  <si>
    <t>ESPN_ESPN2_MIRROR_RED</t>
  </si>
  <si>
    <t>SANTA_CLARA</t>
  </si>
  <si>
    <t>ESPN_ESPN2_MIRROR_WHITE</t>
  </si>
  <si>
    <t>SAN_DIEGO</t>
  </si>
  <si>
    <t>ESPN_ESPN2_WHITE</t>
  </si>
  <si>
    <t>SAN_DIEGO_ST</t>
  </si>
  <si>
    <t>ESPN_ESPNAPP_MIRROR</t>
  </si>
  <si>
    <t>SAN_FRANCISCO</t>
  </si>
  <si>
    <t>ESPN_ESPNAPP_MIRRORWHITE</t>
  </si>
  <si>
    <t>SAN_JOSE_ST</t>
  </si>
  <si>
    <t>ESPN_ESPNEWS_WHITE</t>
  </si>
  <si>
    <t>SAVANNAH_ST</t>
  </si>
  <si>
    <t>ESPN_ESPNU_WHITE</t>
  </si>
  <si>
    <t>SEATTLE</t>
  </si>
  <si>
    <t>ESPN_GRAY</t>
  </si>
  <si>
    <t>SIENA</t>
  </si>
  <si>
    <t>ESPN_LHN_COLOR</t>
  </si>
  <si>
    <t>SIU_EDWARDSVILLE</t>
  </si>
  <si>
    <t>ESPN_LHN_WHITE</t>
  </si>
  <si>
    <t>SMU</t>
  </si>
  <si>
    <t>ESPN_LIGHTGRAY</t>
  </si>
  <si>
    <t>SOUTHEASTERN_LOUISIANA</t>
  </si>
  <si>
    <t>ESPN_MOBILETV</t>
  </si>
  <si>
    <t>SOUTHEAST_MISSOURI_ST</t>
  </si>
  <si>
    <t>ESPN_MOBILETV_GRAY</t>
  </si>
  <si>
    <t>SOUTHERN</t>
  </si>
  <si>
    <t>ESPN_MOBILETV_LIGHTGRAY</t>
  </si>
  <si>
    <t>SOUTHERN_ILLINOIS</t>
  </si>
  <si>
    <t>ESPN_MOBILETV_WHITE</t>
  </si>
  <si>
    <t>SOUTHERN_MISS</t>
  </si>
  <si>
    <t>ESPN_MOBILE_GRAY</t>
  </si>
  <si>
    <t>SOUTHERN_UTAH</t>
  </si>
  <si>
    <t>ESPN_MOBILE_LIGHTGRAY</t>
  </si>
  <si>
    <t>SOUTH_ALABAMA</t>
  </si>
  <si>
    <t>ESPN_MOBILE_WHITE</t>
  </si>
  <si>
    <t>SOUTH_CAROLINA</t>
  </si>
  <si>
    <t>ESPN_PLAY</t>
  </si>
  <si>
    <t>SOUTH_CAROLINA_ST</t>
  </si>
  <si>
    <t>ESPN_PLAY_WHITE</t>
  </si>
  <si>
    <t>SOUTH_DAKOTA</t>
  </si>
  <si>
    <t>ESPN_Plus_Bug</t>
  </si>
  <si>
    <t>SOUTH_DAKOTA_ST</t>
  </si>
  <si>
    <t>ESPN_RADIO1000CHI_LIGHTGRAY</t>
  </si>
  <si>
    <t>SOUTH_FLORIDA</t>
  </si>
  <si>
    <t>ESPN_RADIO1033DAL_LIGHTGRAY</t>
  </si>
  <si>
    <t>STANFORD</t>
  </si>
  <si>
    <t>ESPN_RADIO710LA_LIGHTGRAY</t>
  </si>
  <si>
    <t>STEPHEN_F_AUSTIN</t>
  </si>
  <si>
    <t>ESPN_RADIO850BOSTONWE_LIGHTGRAY</t>
  </si>
  <si>
    <t>STETSON</t>
  </si>
  <si>
    <t>ESPN_RADIO987NY_LIGHTGRAY</t>
  </si>
  <si>
    <t>ST_BONAVENTURE</t>
  </si>
  <si>
    <t>ESPN_RADIODOTCOM</t>
  </si>
  <si>
    <t>ESPN_RADIODOTCOMWHITE</t>
  </si>
  <si>
    <t>ST_FRANCIS_PA</t>
  </si>
  <si>
    <t>ESPN_SECNETWORK_MIRROR</t>
  </si>
  <si>
    <t>ST_PETERS</t>
  </si>
  <si>
    <t>ESPN_WATCHESPN_MIRROR</t>
  </si>
  <si>
    <t>SYRACUSE</t>
  </si>
  <si>
    <t>ESPN_WATCHESPN_MIRROR_WHITE</t>
  </si>
  <si>
    <t>TCU</t>
  </si>
  <si>
    <t>ESPN_WATCH_PLAY</t>
  </si>
  <si>
    <t>TEMPLE</t>
  </si>
  <si>
    <t>ESPN_WHITE</t>
  </si>
  <si>
    <t>TENNESSEE</t>
  </si>
  <si>
    <t>FOX_DEPORTES</t>
  </si>
  <si>
    <t>TENNESSEE_MARTIN</t>
  </si>
  <si>
    <t>FOX_NETWORK_BLACK</t>
  </si>
  <si>
    <t>TENNESSEE_ST</t>
  </si>
  <si>
    <t>FOX_SOCCERCHANNEL</t>
  </si>
  <si>
    <t>TENNESSEE_TECH</t>
  </si>
  <si>
    <t>FOX_SOCCERCHANNEL_GRAY</t>
  </si>
  <si>
    <t>TEXAS</t>
  </si>
  <si>
    <t>FOX_SOCCERCHANNEL_WHITE</t>
  </si>
  <si>
    <t>TEXAS_AM</t>
  </si>
  <si>
    <t>FOX_SOCCERPLUS</t>
  </si>
  <si>
    <t>TEXAS_AM_CORPUS_CHRISTI</t>
  </si>
  <si>
    <t>FOX_SOCCERPLUS_GRAY</t>
  </si>
  <si>
    <t>TEXAS_SOUTHERN</t>
  </si>
  <si>
    <t>FOX_SOCCERPLUS_WHITE</t>
  </si>
  <si>
    <t>TEXAS_ST</t>
  </si>
  <si>
    <t>FOX_SOCCER_CHANNEL</t>
  </si>
  <si>
    <t>TEXAS_TECH</t>
  </si>
  <si>
    <t>FOX_SOCCER_PLUS</t>
  </si>
  <si>
    <t>THE_CITADEL</t>
  </si>
  <si>
    <t>FOX_SPORTS</t>
  </si>
  <si>
    <t>TOLEDO</t>
  </si>
  <si>
    <t>FOX_SPORTS1</t>
  </si>
  <si>
    <t>TOWSON</t>
  </si>
  <si>
    <t>FOX_SPORTS1_LIGHTGRAY</t>
  </si>
  <si>
    <t>TROY</t>
  </si>
  <si>
    <t>FOX_SPORTS1_WHITE</t>
  </si>
  <si>
    <t>TULANE</t>
  </si>
  <si>
    <t>FOX_SPORTS_GRAY</t>
  </si>
  <si>
    <t>TULSA</t>
  </si>
  <si>
    <t>FOX_SPORTS_LIGHTGRAY</t>
  </si>
  <si>
    <t>UAB</t>
  </si>
  <si>
    <t>FOX_SPORTS_WHITE</t>
  </si>
  <si>
    <t>UCF</t>
  </si>
  <si>
    <t>FREEFORM</t>
  </si>
  <si>
    <t>UCLA</t>
  </si>
  <si>
    <t>FREEFORM_GRAY</t>
  </si>
  <si>
    <t>UC_DAVIS</t>
  </si>
  <si>
    <t>FREEFORM_LIGHTGRAY</t>
  </si>
  <si>
    <t>UC_IRVINE</t>
  </si>
  <si>
    <t>FREEFORM_WHITE</t>
  </si>
  <si>
    <t>UC_RIVERSIDE</t>
  </si>
  <si>
    <t>FULLCOURT</t>
  </si>
  <si>
    <t>UC_SANTA_BARBARA</t>
  </si>
  <si>
    <t>FULLCOURT_GRAY</t>
  </si>
  <si>
    <t>UL_MONROE</t>
  </si>
  <si>
    <t>FULLCOURT_LIGHTGRAY</t>
  </si>
  <si>
    <t>UMKC</t>
  </si>
  <si>
    <t>FULLCOURT_WHITE</t>
  </si>
  <si>
    <t>UNC_ASHEVILLE</t>
  </si>
  <si>
    <t>GAMEPLAN</t>
  </si>
  <si>
    <t>GAMEPLAN_GRAY</t>
  </si>
  <si>
    <t>UNC_WILMINGTON</t>
  </si>
  <si>
    <t>GAMEPLAN_LIGHTGRAY</t>
  </si>
  <si>
    <t>UNLV</t>
  </si>
  <si>
    <t>GAMEPLAN_WHITE</t>
  </si>
  <si>
    <t>USC</t>
  </si>
  <si>
    <t>LOGOHORIZONTAL_ESPNPLUS_UFC</t>
  </si>
  <si>
    <t>USC_UPSTATE</t>
  </si>
  <si>
    <t>LOGOHORIZONTAL_ESPNPLUS_UFCLIGHT</t>
  </si>
  <si>
    <t>UTAH</t>
  </si>
  <si>
    <t>LOGOHORIZONTAL_ESPN_UFC</t>
  </si>
  <si>
    <t>UTAH_ST</t>
  </si>
  <si>
    <t>LOGO_ESPNPLUS_UFC</t>
  </si>
  <si>
    <t>UTAH_VALLEY</t>
  </si>
  <si>
    <t>LOGO_ESPNPLUS_UFCLIGHT</t>
  </si>
  <si>
    <t>UTEP</t>
  </si>
  <si>
    <t>LOGO_ESPN_UFC</t>
  </si>
  <si>
    <t>LONGHORNNETWORK_LIGHTGRAY</t>
  </si>
  <si>
    <t>UT_ARLINGTON</t>
  </si>
  <si>
    <t>UT_RIO_GRANDE_VALLEY</t>
  </si>
  <si>
    <t>LONGHORN_NETWORK_GRAY</t>
  </si>
  <si>
    <t>VALPARAISO</t>
  </si>
  <si>
    <t>LONGHORN_NETWORK_LIGHTGRAY</t>
  </si>
  <si>
    <t>VANDERBILT</t>
  </si>
  <si>
    <t>LONGHORN_NETWORK_WHITE</t>
  </si>
  <si>
    <t>VCU</t>
  </si>
  <si>
    <t>MISSOURIVALLEY_ESPN3_HORIZONTAL</t>
  </si>
  <si>
    <t>VIRGINIA</t>
  </si>
  <si>
    <t>MISSOURIVALLEY_ESPN3_VERTICAL</t>
  </si>
  <si>
    <t>VIRGINIA_TECH</t>
  </si>
  <si>
    <t>MLB_NETWORK_GRAY</t>
  </si>
  <si>
    <t>VMI</t>
  </si>
  <si>
    <t>MLB_NETWORK_HORIZONTAL</t>
  </si>
  <si>
    <t>WAGNER</t>
  </si>
  <si>
    <t>MLB_NETWORK_LIGHTGRAY</t>
  </si>
  <si>
    <t>WAKE_FOREST</t>
  </si>
  <si>
    <t>MLB_NETWORK_VERTICAL</t>
  </si>
  <si>
    <t>WASHINGTON</t>
  </si>
  <si>
    <t>MLB_NETWORK_WHITE</t>
  </si>
  <si>
    <t>WASHINGTON_ST</t>
  </si>
  <si>
    <t>NBA_TV</t>
  </si>
  <si>
    <t>WEBER_ST</t>
  </si>
  <si>
    <t>NBA_TV_GRAY</t>
  </si>
  <si>
    <t>WESTERN_CAROLINA</t>
  </si>
  <si>
    <t>NBA_TV_LIGHTGRAY</t>
  </si>
  <si>
    <t>WESTERN_ILLINOIS</t>
  </si>
  <si>
    <t>NBA_TV_WHITE</t>
  </si>
  <si>
    <t>WESTERN_KENTUCKY</t>
  </si>
  <si>
    <t>NBC</t>
  </si>
  <si>
    <t>WESTERN_MICHIGAN</t>
  </si>
  <si>
    <t>NBC_SPORTS</t>
  </si>
  <si>
    <t>WEST_VIRGINIA</t>
  </si>
  <si>
    <t>NBC_SPORTSNETWORK</t>
  </si>
  <si>
    <t>WICHITA_ST</t>
  </si>
  <si>
    <t>NBC_SPORTSNETWORK_GRAY</t>
  </si>
  <si>
    <t>WILLIAM_AND_MARY</t>
  </si>
  <si>
    <t>NBC_SPORTSNETWORK_WHITE</t>
  </si>
  <si>
    <t>WINTHROP</t>
  </si>
  <si>
    <t>NBC_SPORTS_GRAY</t>
  </si>
  <si>
    <t>WISCONSIN</t>
  </si>
  <si>
    <t>NBC_SPORTS_WHITE</t>
  </si>
  <si>
    <t>WOFFORD</t>
  </si>
  <si>
    <t>NFL_NETWORK</t>
  </si>
  <si>
    <t>WRIGHT_ST</t>
  </si>
  <si>
    <t>NFL_NETWORK_GRAY</t>
  </si>
  <si>
    <t>WYOMING</t>
  </si>
  <si>
    <t>NFL_NETWORK_WHITE</t>
  </si>
  <si>
    <t>YALE</t>
  </si>
  <si>
    <t>SECNETWORK+</t>
  </si>
  <si>
    <t>YOUNGSTOWN_ST</t>
  </si>
  <si>
    <t>SECNETWORK+_GRAY</t>
  </si>
  <si>
    <t>SECNETWORK+_LIGHTGRAY</t>
  </si>
  <si>
    <t>SECNETWORK+_WHITE</t>
  </si>
  <si>
    <t>SECTV</t>
  </si>
  <si>
    <t>SECTV_GRAY</t>
  </si>
  <si>
    <t>SECTV_LIGHTGRAY</t>
  </si>
  <si>
    <t>SECTV_WHITE</t>
  </si>
  <si>
    <t>SEC_NETWORK+</t>
  </si>
  <si>
    <t>SEC_NETWORK+_GRAY</t>
  </si>
  <si>
    <t>SEC_NETWORK+_LIGHTGRAY</t>
  </si>
  <si>
    <t>SEC_NETWORK+_WHITE</t>
  </si>
  <si>
    <t>SEC_NETWORK</t>
  </si>
  <si>
    <t>SEC_NETWORK_GRAY</t>
  </si>
  <si>
    <t>SEC_NETWORK_HORIZONTAL</t>
  </si>
  <si>
    <t>SEC_NETWORK_HORIZONTAL_GRAY</t>
  </si>
  <si>
    <t>SEC_NETWORK_HORIZONTAL_WHITE</t>
  </si>
  <si>
    <t>SEC_NETWORK_LIGHTGRAY</t>
  </si>
  <si>
    <t>SEC_NETWORK_VERTICAL</t>
  </si>
  <si>
    <t>SEC_NETWORK_VERTICAL_GRAY</t>
  </si>
  <si>
    <t>SEC_NETWORK_VERTICAL_WHITE</t>
  </si>
  <si>
    <t>SEC_NETWORK_WHITE</t>
  </si>
  <si>
    <t>SEC_ON_ESPN</t>
  </si>
  <si>
    <t>STREAMINGLIVE_WATCHESPNAPPCOMBO_BLACK</t>
  </si>
  <si>
    <t>STREAMINGLIVE_WATCHESPNAPPCOMBO_BLACKANDWHITE1</t>
  </si>
  <si>
    <t>STREAMINGLIVE_WATCHESPNAPPCOMBO_BLACKANDWHITE2</t>
  </si>
  <si>
    <t>STREAMINGLIVE_WATCHESPNAPPCOMBO_FULLCOLORBLACKTEXT</t>
  </si>
  <si>
    <t>STREAMINGLIVE_WATCHESPNAPPCOMBO_FULLCOLORWHITETEXT</t>
  </si>
  <si>
    <t>STREAMINGLIVE_WATCHESPNAPPCOMBO_WHITE</t>
  </si>
  <si>
    <t>SUNBELT_BLACK</t>
  </si>
  <si>
    <t>SUNBELT_GRAY</t>
  </si>
  <si>
    <t>SUNBELT_WHITE</t>
  </si>
  <si>
    <t>TBS</t>
  </si>
  <si>
    <t>TBS_BASEBALL</t>
  </si>
  <si>
    <t>TBS_BASEBALL_GRAY</t>
  </si>
  <si>
    <t>TBS_BASEBALL_LIGHTGRAY</t>
  </si>
  <si>
    <t>TBS_BASEBALL_WHITE</t>
  </si>
  <si>
    <t>TBS_BLACK</t>
  </si>
  <si>
    <t>TBS_BOXTRANSPARENT</t>
  </si>
  <si>
    <t>TBS_BOXWHITE</t>
  </si>
  <si>
    <t>TBS_GRAY</t>
  </si>
  <si>
    <t>TBS_LIGHTGRAY</t>
  </si>
  <si>
    <t>TBS_WHITE</t>
  </si>
  <si>
    <t>TELEFUTURA</t>
  </si>
  <si>
    <t>TENNIS_CHANNEL</t>
  </si>
  <si>
    <t>TENNIS_CHANNEL_GRAY</t>
  </si>
  <si>
    <t>TENNIS_CHANNEL_WHITE</t>
  </si>
  <si>
    <t>THEMAGAZINE</t>
  </si>
  <si>
    <t>THEMAGAZINE_GRAY</t>
  </si>
  <si>
    <t>THEMAGAZINE_LIGHTGRAY</t>
  </si>
  <si>
    <t>THEMAGAZINE_WHITE</t>
  </si>
  <si>
    <t>TNT</t>
  </si>
  <si>
    <t>TNT_GRAY</t>
  </si>
  <si>
    <t>TNT_LIGHTGRAY</t>
  </si>
  <si>
    <t>TNT_WHITE</t>
  </si>
  <si>
    <t>UFC_RED</t>
  </si>
  <si>
    <t>UFC_WHITE</t>
  </si>
  <si>
    <t>WATCHESPN</t>
  </si>
  <si>
    <t>WATCHESPN_GRAY</t>
  </si>
  <si>
    <t>WATCHESPN_LIGHTGRAY</t>
  </si>
  <si>
    <t>WATCHESPN_WHITE</t>
  </si>
  <si>
    <t>WATCH_ESPN_HORIZONTAL</t>
  </si>
  <si>
    <t>Display Jersey</t>
  </si>
  <si>
    <t>Save #</t>
  </si>
  <si>
    <t>First Name CAPS</t>
  </si>
  <si>
    <t>Last Name CAPS</t>
  </si>
  <si>
    <t>Line 1 Text (Upper/Lower)</t>
  </si>
  <si>
    <t>Sticker only - no dropline</t>
  </si>
  <si>
    <t xml:space="preserve">Stickers only </t>
  </si>
  <si>
    <t xml:space="preserve">Do not delete COLUMNS. Do not Delete rows above here. </t>
  </si>
  <si>
    <t>MIKE</t>
  </si>
  <si>
    <t>STOOPS</t>
  </si>
  <si>
    <t>RUFFIN</t>
  </si>
  <si>
    <t>McNEIL</t>
  </si>
  <si>
    <t>Assistant Head Coach/Defensive Tackles Coach</t>
  </si>
  <si>
    <t>Defensive Coordinator</t>
  </si>
  <si>
    <t>DEF. COACH</t>
  </si>
  <si>
    <t>at</t>
  </si>
  <si>
    <t>X-X</t>
  </si>
  <si>
    <t>ESPN 100 Rank</t>
  </si>
  <si>
    <t>Player Name</t>
  </si>
  <si>
    <t>POINTS</t>
  </si>
  <si>
    <t>3PT%</t>
  </si>
  <si>
    <t>FT%</t>
  </si>
  <si>
    <t>REBOUNDS</t>
  </si>
  <si>
    <t>ASSISTS</t>
  </si>
  <si>
    <t>BLOCKS</t>
  </si>
  <si>
    <t>STEALS</t>
  </si>
  <si>
    <t>MINUTES</t>
  </si>
  <si>
    <t>CAT1</t>
  </si>
  <si>
    <t>CAT1 HILITE</t>
  </si>
  <si>
    <t>CAT2</t>
  </si>
  <si>
    <t>CAT2 HILITE</t>
  </si>
  <si>
    <t>CAT3</t>
  </si>
  <si>
    <t>CAT3 HILITE</t>
  </si>
  <si>
    <t>STAT HILITE NOTE</t>
  </si>
  <si>
    <t>PTS STAT</t>
  </si>
  <si>
    <t>FG STAT</t>
  </si>
  <si>
    <t>3PT% STAT</t>
  </si>
  <si>
    <t>FT% STAT</t>
  </si>
  <si>
    <t>REBS STAT</t>
  </si>
  <si>
    <t>ASSTS STAT</t>
  </si>
  <si>
    <t>BLOCKS STAT</t>
  </si>
  <si>
    <t>STEALS STAT</t>
  </si>
  <si>
    <t>MINUTES STAT</t>
  </si>
  <si>
    <t>AVERAGE STAT</t>
  </si>
  <si>
    <t>SEASON + FT STAT</t>
  </si>
  <si>
    <t>SEASON + 3PT%</t>
  </si>
  <si>
    <t>FG</t>
  </si>
  <si>
    <t>X</t>
  </si>
  <si>
    <t>Stat Note Here</t>
  </si>
  <si>
    <t>45% FG</t>
  </si>
  <si>
    <t>AMERICA_EAST</t>
  </si>
  <si>
    <t>ATLANTIC_10</t>
  </si>
  <si>
    <t>ATLANTIC_SUN</t>
  </si>
  <si>
    <t>BIG_EAST</t>
  </si>
  <si>
    <t>BIG_WEST</t>
  </si>
  <si>
    <t>CIAA</t>
  </si>
  <si>
    <t>COLONIAL</t>
  </si>
  <si>
    <t>HORIZON_LEAGUE</t>
  </si>
  <si>
    <t>MAC</t>
  </si>
  <si>
    <t>MAAC</t>
  </si>
  <si>
    <t>NAIA</t>
  </si>
  <si>
    <t>SEC</t>
  </si>
  <si>
    <t>ACC</t>
  </si>
  <si>
    <t>SOCON</t>
  </si>
  <si>
    <t>SUMMIT_LEAGUE</t>
  </si>
  <si>
    <t>SUN_BELT</t>
  </si>
  <si>
    <t>WEST_COAST</t>
  </si>
  <si>
    <t>WESTERN_ATHLETIC</t>
  </si>
  <si>
    <t>43% FG</t>
  </si>
  <si>
    <t>USER TEXT</t>
  </si>
  <si>
    <t>USER CAT1</t>
  </si>
  <si>
    <t>USER CAT2</t>
  </si>
  <si>
    <t>AWAY/HOME SEL</t>
  </si>
  <si>
    <t>Away</t>
  </si>
  <si>
    <t>Home</t>
  </si>
  <si>
    <t>** MAKE SURE YOU SELECT AWAY OR HOME ON THE TEAM INFO TAB (CELL B2) **</t>
  </si>
  <si>
    <t>Team Rank</t>
  </si>
  <si>
    <t>Team Nickname</t>
  </si>
  <si>
    <t>Team Tricode</t>
  </si>
  <si>
    <t>Note: Fill out information in BLUE cells only and select Away/Home in cell B2</t>
  </si>
  <si>
    <t>1=FR, 2=SO, 3=JR, 4=SR</t>
  </si>
  <si>
    <t>BIOS: 11xx Away, 21xx Home</t>
  </si>
  <si>
    <t>ALL CAPS</t>
  </si>
  <si>
    <t>Optional</t>
  </si>
  <si>
    <t>Dashboard Swatch Selector</t>
  </si>
  <si>
    <t>DASH_SWATCH_SELECT</t>
  </si>
  <si>
    <t>HEADSHOT_ONOFF</t>
  </si>
  <si>
    <t>On/Off</t>
  </si>
  <si>
    <t>Headshots On/Off (0=Off, 1=On)</t>
  </si>
  <si>
    <t>Header</t>
  </si>
  <si>
    <t>CAPS</t>
  </si>
  <si>
    <t>Coach Resume:</t>
  </si>
  <si>
    <t>Line4</t>
  </si>
  <si>
    <t>COACH_RESUME_LINE4</t>
  </si>
  <si>
    <t>Bio Dropline</t>
  </si>
  <si>
    <t>Head Coach: Fill in first/last name in cells B3/C3.  This will copy to the remaining head coach shells.</t>
  </si>
  <si>
    <t>Full Name CAPS</t>
  </si>
  <si>
    <t>Year CAPS</t>
  </si>
  <si>
    <t>Actionshot</t>
  </si>
  <si>
    <t>00</t>
  </si>
  <si>
    <t xml:space="preserve"> Team Record (CAPS)</t>
  </si>
  <si>
    <t>Team College</t>
  </si>
  <si>
    <t>LOGO / SWATCH / HEADSHOT / ACTION</t>
  </si>
  <si>
    <t>COACH_RESUME_ROWS</t>
  </si>
  <si>
    <t/>
  </si>
  <si>
    <t>TEAM USER MESSAGES</t>
  </si>
  <si>
    <t>Dropline goes here</t>
  </si>
  <si>
    <t>Save Ranges</t>
  </si>
  <si>
    <t>*For 1-Line player L3rds w/dropline, enter the data into column I and J.</t>
  </si>
  <si>
    <t>*For 1-Line player L3rds, enter the data into column I.</t>
  </si>
  <si>
    <t>*For Header, enter the data into column G.</t>
  </si>
  <si>
    <t>1-Line &amp; 1-Line w/Drop Instructions (7300s - Away &amp; 8300s - Home)</t>
  </si>
  <si>
    <t>1 LINE DROP</t>
  </si>
  <si>
    <t>1 LINE HERO</t>
  </si>
  <si>
    <t>HEADER</t>
  </si>
  <si>
    <t>AWAY: 1760 FS</t>
  </si>
  <si>
    <t>Subtitle</t>
  </si>
  <si>
    <t>HOME: 2760 FS</t>
  </si>
  <si>
    <t>Upcoming Schedule</t>
  </si>
  <si>
    <t>(Hardcoded in Scene)</t>
  </si>
  <si>
    <t>Upper/Lower (if needed)</t>
  </si>
  <si>
    <t>Dropline Text</t>
  </si>
  <si>
    <t>Upper / Lower</t>
  </si>
  <si>
    <t>Line 1 Text</t>
  </si>
  <si>
    <t>Stat Note Here zz</t>
  </si>
  <si>
    <t>Upper/Lower</t>
  </si>
  <si>
    <t>TEAM_SPLIT</t>
  </si>
  <si>
    <t>TENNESSEE_W</t>
  </si>
  <si>
    <t>BINGHAMTON</t>
  </si>
  <si>
    <t>BUTLER</t>
  </si>
  <si>
    <t>CREIGHTON</t>
  </si>
  <si>
    <t>DEPAUL</t>
  </si>
  <si>
    <t>LONG_ISLAND</t>
  </si>
  <si>
    <t>HIGH_POINT</t>
  </si>
  <si>
    <t>MARQUETTE</t>
  </si>
  <si>
    <t>PROVIDENCE</t>
  </si>
  <si>
    <t>ST_JOHNS</t>
  </si>
  <si>
    <t>STONY_BROOK</t>
  </si>
  <si>
    <t>UNCG</t>
  </si>
  <si>
    <t>ALBANY</t>
  </si>
  <si>
    <t>HARTFORD</t>
  </si>
  <si>
    <t>MAINE</t>
  </si>
  <si>
    <t>UMASS_LOWELL</t>
  </si>
  <si>
    <t>UMASS</t>
  </si>
  <si>
    <t>UCONN</t>
  </si>
  <si>
    <t>NEW_HAMPSHIRE</t>
  </si>
  <si>
    <t>VERMONT</t>
  </si>
  <si>
    <t>VILLANOVA</t>
  </si>
  <si>
    <t>XAVIER</t>
  </si>
  <si>
    <t>UMBC</t>
  </si>
  <si>
    <t>NETWORK_LOGOS_WHITE</t>
  </si>
  <si>
    <t>Enter Player 0/00 info below.  It will autofill rows 90 &amp; 99.</t>
  </si>
  <si>
    <t>TEAM|NAME</t>
  </si>
  <si>
    <t>Split Locator Name CAPS (LINE1|LINE2)</t>
  </si>
  <si>
    <t>Away: 179-199; Home 279-299</t>
  </si>
  <si>
    <t>xx</t>
  </si>
  <si>
    <t>Major</t>
  </si>
  <si>
    <t>HDR_SEL</t>
  </si>
  <si>
    <t>Choose Header or Major in Cell K3</t>
  </si>
  <si>
    <t>ACCN &amp; SECN Teams = Major</t>
  </si>
  <si>
    <t>0 PPG</t>
  </si>
  <si>
    <t>0 FG</t>
  </si>
  <si>
    <t>0 3-PT</t>
  </si>
  <si>
    <t>MERRIMACK</t>
  </si>
  <si>
    <t>BLANK_DUMMY</t>
  </si>
  <si>
    <t>College</t>
  </si>
  <si>
    <t>Nickname</t>
  </si>
  <si>
    <t>TRI</t>
  </si>
  <si>
    <t>CHAMINADE</t>
  </si>
  <si>
    <t>WYOMING_W</t>
  </si>
  <si>
    <t>SETON_HALL</t>
  </si>
  <si>
    <t>ST_FRANCIS_BKN</t>
  </si>
  <si>
    <t>UT_SAN_ANTONIO</t>
  </si>
  <si>
    <t>BIG_TEN_COLORNEGATIVE</t>
  </si>
  <si>
    <t>CUNY_ATHLETIC</t>
  </si>
  <si>
    <t>HEART_OF_AMERICA_ATHLETIC</t>
  </si>
  <si>
    <t>LONE_STAR</t>
  </si>
  <si>
    <t>MISSOURI_VALLEY_FOOTBALL</t>
  </si>
  <si>
    <t>NORTHERN_SUN</t>
  </si>
  <si>
    <t>PAC_12</t>
  </si>
  <si>
    <t>PIONEER_FOOTBALL_LEAGUE</t>
  </si>
  <si>
    <t>SOUTHWEST</t>
  </si>
  <si>
    <t>LHN</t>
  </si>
  <si>
    <t>LHN_WHITE</t>
  </si>
  <si>
    <t>UL_LAFAYETTE</t>
  </si>
  <si>
    <t>OPP/OH/MB/S/L</t>
  </si>
  <si>
    <t>L</t>
  </si>
  <si>
    <t>Last Jersey</t>
  </si>
  <si>
    <t>Last Jersey CAPS</t>
  </si>
  <si>
    <t>HERO # 1 - CAPS</t>
  </si>
  <si>
    <t>HERO #2 - CAPS</t>
  </si>
  <si>
    <t>Note: bullets are manually controlled</t>
  </si>
  <si>
    <t>x</t>
  </si>
  <si>
    <t>First</t>
  </si>
  <si>
    <t>Last</t>
  </si>
  <si>
    <t xml:space="preserve">                1761 TOMB</t>
  </si>
  <si>
    <t xml:space="preserve">                2761 TOMB</t>
  </si>
  <si>
    <t>Away: 30x / Home: 40xx</t>
  </si>
  <si>
    <t>Away: 31xx / Home: 41xx</t>
  </si>
  <si>
    <t>Player Users</t>
  </si>
  <si>
    <t>User1 Text</t>
  </si>
  <si>
    <t>User2 Text</t>
  </si>
  <si>
    <t>1 LINE USERS (5150-59 AWAY / 5250-59 HOME)</t>
  </si>
  <si>
    <t>TOP (CAPS) / Bot (Upper/Lower)</t>
  </si>
  <si>
    <t xml:space="preserve">Player Heroes - Away: 14xx/15xx // Home: 24xx/25xx </t>
  </si>
  <si>
    <t>Info</t>
  </si>
  <si>
    <t>Number of Lines (2-8):</t>
  </si>
  <si>
    <t>Column Header (0=Off, 1=On)</t>
  </si>
  <si>
    <t>Away Team Logo/Swatch</t>
  </si>
  <si>
    <t>Line1 text</t>
  </si>
  <si>
    <t>Line2 text</t>
  </si>
  <si>
    <t>Line3 text</t>
  </si>
  <si>
    <t>Line4 text</t>
  </si>
  <si>
    <t>Line5</t>
  </si>
  <si>
    <t>Line5 text</t>
  </si>
  <si>
    <t>Line6</t>
  </si>
  <si>
    <t>Line6 text</t>
  </si>
  <si>
    <t>Line7</t>
  </si>
  <si>
    <t>Line7 text</t>
  </si>
  <si>
    <t>Line8</t>
  </si>
  <si>
    <t>Line8 text</t>
  </si>
  <si>
    <t>Dropline (Optional)</t>
  </si>
  <si>
    <t>Head Coaching Résumé</t>
  </si>
  <si>
    <t>COACH_RESUME_LINE5</t>
  </si>
  <si>
    <t>COACH_RESUME_LINE6</t>
  </si>
  <si>
    <t>COACH_RESUME_LINE7</t>
  </si>
  <si>
    <t>COACH_RESUME_LINE8</t>
  </si>
  <si>
    <t>Column Header Text (CAPS)</t>
  </si>
  <si>
    <t>COL HEADER (Optional)</t>
  </si>
  <si>
    <t>ROWS</t>
  </si>
  <si>
    <t>Team Dashboard Name</t>
  </si>
  <si>
    <t>Dashname</t>
  </si>
  <si>
    <t>Away: 33x / Home: 43xx</t>
  </si>
  <si>
    <t>Away: 36xx / Home: 46xx</t>
  </si>
  <si>
    <t>User3 Text</t>
  </si>
  <si>
    <t>User4 Text</t>
  </si>
  <si>
    <t>AAC_ESPN+_HORIZONTAL</t>
  </si>
  <si>
    <t>BIG12NOW_ESPN+_VERTICAL</t>
  </si>
  <si>
    <t>AAC_ESPN_COBRAND</t>
  </si>
  <si>
    <t>AAC_ESPN+_HORIZONTALBLACK</t>
  </si>
  <si>
    <t>AAC_ESPN+_HORIZONTALDARKGRAY</t>
  </si>
  <si>
    <t>AAC_ESPN+_HORIZONTALLIGHTGRAY</t>
  </si>
  <si>
    <t>AAC_ESPN+_HORIZONTALWHITE</t>
  </si>
  <si>
    <t>AAC_ESPN+_VERTICAL</t>
  </si>
  <si>
    <t>AAC_ESPN+_VERTICALBLACK</t>
  </si>
  <si>
    <t>AAC_ESPN+_VERTICALDARKGRAY</t>
  </si>
  <si>
    <t>AAC_ESPN+_VERTICALLIGHTGRAY</t>
  </si>
  <si>
    <t>AAC_ESPN+_VERTICALWHITE</t>
  </si>
  <si>
    <t>AAC_ESPN+_WATERMARK</t>
  </si>
  <si>
    <t>ACC_NETWORK_ESPN_2019</t>
  </si>
  <si>
    <t>ACC_NETWORK_ESPN_AUGUST2019</t>
  </si>
  <si>
    <t>AMERICAEAST</t>
  </si>
  <si>
    <t>AMERICAEAST_ESPN_BLACK</t>
  </si>
  <si>
    <t>AMERICAEAST_ESPN_DARKGRAY</t>
  </si>
  <si>
    <t>AMERICAEAST_ESPN_LIGHTGRAY</t>
  </si>
  <si>
    <t>AMERICAEAST_ESPN_PRIMARY</t>
  </si>
  <si>
    <t>AMERICAEAST_ESPN_WHITE</t>
  </si>
  <si>
    <t>AMERICAEAST_SECONDARY</t>
  </si>
  <si>
    <t>AMERICAEAST_SECONDARYKNOCKOUT</t>
  </si>
  <si>
    <t>ASUN_ESPN_BLACK</t>
  </si>
  <si>
    <t>ASUN_ESPN_DARKGRAY</t>
  </si>
  <si>
    <t>ASUN_ESPN_LIGHTGRAY</t>
  </si>
  <si>
    <t>ASUN_ESPN_PRIMARY</t>
  </si>
  <si>
    <t>ASUN_ESPN_WHITE</t>
  </si>
  <si>
    <t>BIG12NOW_ESPN+_HORIZONTAL</t>
  </si>
  <si>
    <t>BIG12NOW_ESPN+_HORIZONTALBLACK</t>
  </si>
  <si>
    <t>BIG12NOW_ESPN+_HORIZONTALDARKGRAY</t>
  </si>
  <si>
    <t>BIG12NOW_ESPN+_HORIZONTALLIGHTGRAY</t>
  </si>
  <si>
    <t>BIG12NOW_ESPN+_HORIZONTALWHITE</t>
  </si>
  <si>
    <t>BIG12NOW_ESPN+_VERTICALBLACK</t>
  </si>
  <si>
    <t>BIG12NOW_ESPN+_VERTICALDARKGRAY</t>
  </si>
  <si>
    <t>BIG12NOW_ESPN+_VERTICALLIGHTGRAY</t>
  </si>
  <si>
    <t>BIG12NOW_ESPN+_VERTICALWHITE</t>
  </si>
  <si>
    <t>BIG12NOW_ESPN+_WORDMARK</t>
  </si>
  <si>
    <t>BIG12NOW_ESPN+_WORDMARKWHITE</t>
  </si>
  <si>
    <t>BIG12NOW-ESPN+_VERT_BLACK</t>
  </si>
  <si>
    <t>BIGSOUTH_ESPN_BLACK</t>
  </si>
  <si>
    <t>BIGSOUTH_ESPN_DARKGRAY</t>
  </si>
  <si>
    <t>BIGSOUTH_ESPN_LIGHTGRAY</t>
  </si>
  <si>
    <t>BIGSOUTH_ESPN_PRIMARY</t>
  </si>
  <si>
    <t>BIGSOUTH_ESPN_WHITE</t>
  </si>
  <si>
    <t>ESPN3_BLACK</t>
  </si>
  <si>
    <t>ESPNEWS_BLACK</t>
  </si>
  <si>
    <t>ESPNPLUS_BLACK</t>
  </si>
  <si>
    <t>ESPNW_NO_KEY</t>
  </si>
  <si>
    <t>FOX_GREY_BOX</t>
  </si>
  <si>
    <t>FOX_NAVY</t>
  </si>
  <si>
    <t>FOX_NETWORK_WHITE</t>
  </si>
  <si>
    <t>HORIZONLEAGUE_ESPN_BLACK</t>
  </si>
  <si>
    <t>HORIZONLEAGUE_ESPN_DARKGRAY</t>
  </si>
  <si>
    <t>HORIZONLEAGUE_ESPN_LIGHTGRAY</t>
  </si>
  <si>
    <t>HORIZONLEAGUE_ESPN_PRIMARY</t>
  </si>
  <si>
    <t>HORIZONLEAGUE_ESPN_WHITE</t>
  </si>
  <si>
    <t>LHN_BLACK</t>
  </si>
  <si>
    <t>LONGHORN_NETWORK</t>
  </si>
  <si>
    <t>MAAC_ESPN_BLACK</t>
  </si>
  <si>
    <t>MAAC_ESPN_DARKGRAY</t>
  </si>
  <si>
    <t>MAAC_ESPN_LIGHTGRAY</t>
  </si>
  <si>
    <t>MAAC_ESPN_PRIMARY</t>
  </si>
  <si>
    <t>MAAC_ESPN_WHITE</t>
  </si>
  <si>
    <t>MISSOURIVALLEY_ESPN_COBRAND</t>
  </si>
  <si>
    <t>PATRIOTLEAGUE_ESPN_BLACK</t>
  </si>
  <si>
    <t>PATRIOTLEAGUE_ESPN_DARKGRAY</t>
  </si>
  <si>
    <t>PATRIOTLEAGUE_ESPN_LIGHTGRAY</t>
  </si>
  <si>
    <t>PATRIOTLEAGUE_ESPN_PRIMARY</t>
  </si>
  <si>
    <t>PATRIOTLEAGUE_ESPN_WHITE</t>
  </si>
  <si>
    <t>SEC_NETWORK_BLACK</t>
  </si>
  <si>
    <t>SEC_NETWORK_HORIZONTAL_BLACK</t>
  </si>
  <si>
    <t>SEC_NETWORK+_BLACK</t>
  </si>
  <si>
    <t>SOCON_ESPN_BLACK</t>
  </si>
  <si>
    <t>SOCON_ESPN_DARKGRAY</t>
  </si>
  <si>
    <t>SOCON_ESPN_LIGHTGRAY</t>
  </si>
  <si>
    <t>SOCON_ESPN_PRIMARY</t>
  </si>
  <si>
    <t>SOCON_ESPN_WHITE</t>
  </si>
  <si>
    <t>SOUTHLAND_ESPN_BLACK</t>
  </si>
  <si>
    <t>SOUTHLAND_ESPN_DARKGRAY</t>
  </si>
  <si>
    <t>SOUTHLAND_ESPN_LIGHTGRAY</t>
  </si>
  <si>
    <t>SOUTHLAND_ESPN_PRIMARY</t>
  </si>
  <si>
    <t>SOUTHLAND_ESPN_WHITE</t>
  </si>
  <si>
    <t>SUNBELT_ESPN_BLACK</t>
  </si>
  <si>
    <t>SUNBELT_ESPN_DARKGRAY</t>
  </si>
  <si>
    <t>SUNBELT_ESPN_PRIMARY</t>
  </si>
  <si>
    <t>SUNBELT_ESPN_WHITE</t>
  </si>
  <si>
    <t>SOONERVISION_HORIZONTAL_WHITE</t>
  </si>
  <si>
    <t>SOONERVISION_HORIZONTAL</t>
  </si>
  <si>
    <t>ESPNAPP</t>
  </si>
  <si>
    <t>SOONERVISION_HORIZONTAL_BLACK</t>
  </si>
  <si>
    <t>SOONERVISION_HORIZONTAL_DKGREY</t>
  </si>
  <si>
    <t>SOONERVISION_HORIZONTAL_LTGREY</t>
  </si>
  <si>
    <t>SOONERVISION_PRIMARY</t>
  </si>
  <si>
    <t>SOONERVISION_PRIMARY_BLACK</t>
  </si>
  <si>
    <t>SOONERVISION_PRIMARY_DKGREY</t>
  </si>
  <si>
    <t>SOONERVISION_PRIMARY_LTGREY</t>
  </si>
  <si>
    <t>SOONERVISION_PRIMARY_WHITE</t>
  </si>
  <si>
    <t>SOONERVISION_STACK</t>
  </si>
  <si>
    <t>SOONERVISION_STACKED_BLACK</t>
  </si>
  <si>
    <t>SOONERVISION_STACKED_DKGREY</t>
  </si>
  <si>
    <t>SOONERVISION_STACKED_LTGREY</t>
  </si>
  <si>
    <t>SOONERVISION_STACKED_WHITE</t>
  </si>
  <si>
    <t>TARLETON</t>
  </si>
  <si>
    <t>UC_SAN_DIEGO</t>
  </si>
  <si>
    <t>UTAH_TECH</t>
  </si>
  <si>
    <t>Jason</t>
  </si>
  <si>
    <t>Kennedy</t>
  </si>
  <si>
    <t>Boston College Head Coach</t>
  </si>
  <si>
    <t>Marissa</t>
  </si>
  <si>
    <t>Prinzbach</t>
  </si>
  <si>
    <t>Kin</t>
  </si>
  <si>
    <t>Yun</t>
  </si>
  <si>
    <t>Ted</t>
  </si>
  <si>
    <t>Hurley</t>
  </si>
  <si>
    <t>Associate Head Coach</t>
  </si>
  <si>
    <t>Assistant Coach</t>
  </si>
  <si>
    <t>Volunteer Assistant Coach</t>
  </si>
  <si>
    <t>Grace</t>
  </si>
  <si>
    <t>Penn</t>
  </si>
  <si>
    <t>S</t>
  </si>
  <si>
    <t>5'10"</t>
  </si>
  <si>
    <t>Manhattan Beach, CA</t>
  </si>
  <si>
    <t>Silvia</t>
  </si>
  <si>
    <t>Ianeselli</t>
  </si>
  <si>
    <t>OH</t>
  </si>
  <si>
    <t>6'1"</t>
  </si>
  <si>
    <t>Trento, Italy</t>
  </si>
  <si>
    <t>Anna</t>
  </si>
  <si>
    <t>Murphy</t>
  </si>
  <si>
    <t>5'6"</t>
  </si>
  <si>
    <t>Zionsville, CA</t>
  </si>
  <si>
    <t>Sophia</t>
  </si>
  <si>
    <t>Lambros</t>
  </si>
  <si>
    <t>6'0"</t>
  </si>
  <si>
    <t>Fullerton, CA</t>
  </si>
  <si>
    <t>Jenna</t>
  </si>
  <si>
    <t>Pollock</t>
  </si>
  <si>
    <t>MB/OPP</t>
  </si>
  <si>
    <t>5'2"</t>
  </si>
  <si>
    <t>St. Catherines, Ontario</t>
  </si>
  <si>
    <t>Katrina</t>
  </si>
  <si>
    <t>Jensen</t>
  </si>
  <si>
    <t>Temecula, CA</t>
  </si>
  <si>
    <t>Peyton</t>
  </si>
  <si>
    <t>Minyard</t>
  </si>
  <si>
    <t>MB</t>
  </si>
  <si>
    <t>6'2"</t>
  </si>
  <si>
    <t>Coppell, TX</t>
  </si>
  <si>
    <t>Alayna</t>
  </si>
  <si>
    <t>Crabtree</t>
  </si>
  <si>
    <t>Normal, IL</t>
  </si>
  <si>
    <t>Izzy</t>
  </si>
  <si>
    <t>Clavenna</t>
  </si>
  <si>
    <t>Dallas, TX</t>
  </si>
  <si>
    <t>Cornelia</t>
  </si>
  <si>
    <t>Roach</t>
  </si>
  <si>
    <t>Greenwich, CT</t>
  </si>
  <si>
    <t>Bridget</t>
  </si>
  <si>
    <t>Green</t>
  </si>
  <si>
    <t>5'8"</t>
  </si>
  <si>
    <t>New York, NY</t>
  </si>
  <si>
    <t>Jane</t>
  </si>
  <si>
    <t>Petrie</t>
  </si>
  <si>
    <t>San Diego, CA</t>
  </si>
  <si>
    <t>Nikki</t>
  </si>
  <si>
    <t>Steinheiser</t>
  </si>
  <si>
    <t>Celina, TX</t>
  </si>
  <si>
    <t>Julia</t>
  </si>
  <si>
    <t>Haggerty</t>
  </si>
  <si>
    <t>Lafayette, CA</t>
  </si>
  <si>
    <t>Updated 8/13/2024</t>
  </si>
  <si>
    <t>XX stat | xx Stat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</si>
</sst>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8"/>
      <name val="Arial"/>
      <family val="2"/>
    </font>
    <font>
      <b/>
      <sz val="11"/>
      <color indexed="9"/>
      <name val="Arial"/>
      <family val="2"/>
    </font>
    <font>
      <b/>
      <sz val="8"/>
      <color indexed="9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0"/>
      <color indexed="1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sz val="10"/>
      <color theme="0"/>
      <name val="Arial"/>
      <family val="2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theme="1"/>
      <name val="Arial"/>
      <family val="2"/>
    </font>
    <font>
      <sz val="11"/>
      <color theme="0"/>
      <name val="Calibri"/>
      <family val="2"/>
      <scheme val="minor"/>
    </font>
    <font>
      <b/>
      <sz val="8"/>
      <color theme="0"/>
      <name val="Arial"/>
      <family val="2"/>
    </font>
    <font>
      <b/>
      <sz val="1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8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b/>
      <u/>
      <sz val="10"/>
      <name val="Arial"/>
      <family val="2"/>
    </font>
  </fonts>
  <fills count="2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</fills>
  <borders count="5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6" fillId="0" borderId="0"/>
  </cellStyleXfs>
  <cellXfs count="256">
    <xf numFmtId="0" fontId="0" fillId="0" borderId="0" xfId="0"/>
    <xf numFmtId="0" fontId="1" fillId="0" borderId="0" xfId="0" applyFont="1"/>
    <xf numFmtId="0" fontId="2" fillId="0" borderId="0" xfId="0" applyFont="1"/>
    <xf numFmtId="0" fontId="5" fillId="5" borderId="8" xfId="0" applyFont="1" applyFill="1" applyBorder="1" applyAlignment="1">
      <alignment horizontal="left"/>
    </xf>
    <xf numFmtId="0" fontId="5" fillId="4" borderId="0" xfId="0" applyFont="1" applyFill="1" applyAlignment="1">
      <alignment horizontal="center"/>
    </xf>
    <xf numFmtId="0" fontId="4" fillId="4" borderId="8" xfId="0" applyFont="1" applyFill="1" applyBorder="1" applyAlignment="1">
      <alignment horizontal="center"/>
    </xf>
    <xf numFmtId="0" fontId="2" fillId="3" borderId="8" xfId="0" applyFont="1" applyFill="1" applyBorder="1"/>
    <xf numFmtId="0" fontId="2" fillId="3" borderId="8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left"/>
    </xf>
    <xf numFmtId="0" fontId="0" fillId="0" borderId="0" xfId="0" applyAlignment="1">
      <alignment horizontal="center"/>
    </xf>
    <xf numFmtId="49" fontId="2" fillId="3" borderId="8" xfId="0" applyNumberFormat="1" applyFont="1" applyFill="1" applyBorder="1" applyAlignment="1">
      <alignment horizontal="center" vertical="center"/>
    </xf>
    <xf numFmtId="0" fontId="8" fillId="7" borderId="8" xfId="0" applyFont="1" applyFill="1" applyBorder="1"/>
    <xf numFmtId="0" fontId="10" fillId="0" borderId="0" xfId="0" applyFont="1"/>
    <xf numFmtId="0" fontId="9" fillId="8" borderId="8" xfId="0" applyFont="1" applyFill="1" applyBorder="1"/>
    <xf numFmtId="0" fontId="9" fillId="0" borderId="0" xfId="0" applyFont="1"/>
    <xf numFmtId="0" fontId="2" fillId="9" borderId="8" xfId="0" applyFont="1" applyFill="1" applyBorder="1"/>
    <xf numFmtId="0" fontId="9" fillId="10" borderId="0" xfId="0" applyFont="1" applyFill="1"/>
    <xf numFmtId="0" fontId="11" fillId="0" borderId="0" xfId="0" applyFont="1"/>
    <xf numFmtId="49" fontId="9" fillId="8" borderId="8" xfId="0" quotePrefix="1" applyNumberFormat="1" applyFont="1" applyFill="1" applyBorder="1"/>
    <xf numFmtId="0" fontId="12" fillId="10" borderId="0" xfId="0" applyFont="1" applyFill="1"/>
    <xf numFmtId="0" fontId="5" fillId="11" borderId="8" xfId="0" applyFont="1" applyFill="1" applyBorder="1" applyAlignment="1">
      <alignment horizontal="center"/>
    </xf>
    <xf numFmtId="0" fontId="5" fillId="11" borderId="8" xfId="0" applyFont="1" applyFill="1" applyBorder="1" applyAlignment="1">
      <alignment horizontal="left"/>
    </xf>
    <xf numFmtId="0" fontId="9" fillId="13" borderId="0" xfId="0" applyFont="1" applyFill="1"/>
    <xf numFmtId="0" fontId="12" fillId="10" borderId="0" xfId="0" applyFont="1" applyFill="1" applyAlignment="1">
      <alignment horizontal="center"/>
    </xf>
    <xf numFmtId="0" fontId="14" fillId="9" borderId="8" xfId="0" applyFont="1" applyFill="1" applyBorder="1"/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5" fillId="10" borderId="0" xfId="0" applyFont="1" applyFill="1"/>
    <xf numFmtId="49" fontId="0" fillId="0" borderId="0" xfId="0" applyNumberFormat="1"/>
    <xf numFmtId="0" fontId="0" fillId="0" borderId="0" xfId="0" applyAlignment="1">
      <alignment horizontal="left"/>
    </xf>
    <xf numFmtId="0" fontId="2" fillId="9" borderId="8" xfId="0" applyFont="1" applyFill="1" applyBorder="1" applyAlignment="1">
      <alignment horizontal="center"/>
    </xf>
    <xf numFmtId="0" fontId="0" fillId="9" borderId="8" xfId="0" applyFill="1" applyBorder="1" applyAlignment="1">
      <alignment horizontal="center"/>
    </xf>
    <xf numFmtId="0" fontId="9" fillId="10" borderId="8" xfId="0" applyFont="1" applyFill="1" applyBorder="1" applyAlignment="1">
      <alignment horizontal="center"/>
    </xf>
    <xf numFmtId="0" fontId="2" fillId="12" borderId="8" xfId="0" applyFont="1" applyFill="1" applyBorder="1" applyAlignment="1">
      <alignment horizontal="center"/>
    </xf>
    <xf numFmtId="0" fontId="2" fillId="12" borderId="8" xfId="0" applyFont="1" applyFill="1" applyBorder="1" applyAlignment="1" applyProtection="1">
      <alignment horizontal="center"/>
      <protection locked="0"/>
    </xf>
    <xf numFmtId="14" fontId="2" fillId="3" borderId="8" xfId="0" applyNumberFormat="1" applyFont="1" applyFill="1" applyBorder="1" applyAlignment="1">
      <alignment horizontal="center"/>
    </xf>
    <xf numFmtId="49" fontId="2" fillId="3" borderId="8" xfId="0" applyNumberFormat="1" applyFont="1" applyFill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9" borderId="14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1" fillId="14" borderId="3" xfId="0" applyFont="1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14" borderId="8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0" fillId="14" borderId="8" xfId="0" applyFill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2" fillId="10" borderId="0" xfId="0" applyFont="1" applyFill="1" applyAlignment="1">
      <alignment horizontal="center"/>
    </xf>
    <xf numFmtId="0" fontId="2" fillId="0" borderId="16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6" fillId="14" borderId="16" xfId="0" applyFont="1" applyFill="1" applyBorder="1" applyAlignment="1">
      <alignment horizontal="center"/>
    </xf>
    <xf numFmtId="0" fontId="5" fillId="11" borderId="17" xfId="0" applyFont="1" applyFill="1" applyBorder="1" applyAlignment="1">
      <alignment horizontal="center"/>
    </xf>
    <xf numFmtId="0" fontId="16" fillId="11" borderId="8" xfId="0" applyFont="1" applyFill="1" applyBorder="1"/>
    <xf numFmtId="0" fontId="13" fillId="6" borderId="0" xfId="0" applyFont="1" applyFill="1"/>
    <xf numFmtId="0" fontId="1" fillId="6" borderId="0" xfId="0" applyFont="1" applyFill="1"/>
    <xf numFmtId="0" fontId="0" fillId="6" borderId="0" xfId="0" applyFill="1"/>
    <xf numFmtId="0" fontId="9" fillId="8" borderId="8" xfId="0" applyFont="1" applyFill="1" applyBorder="1" applyAlignment="1">
      <alignment horizontal="left"/>
    </xf>
    <xf numFmtId="0" fontId="2" fillId="2" borderId="8" xfId="0" applyFont="1" applyFill="1" applyBorder="1" applyAlignment="1">
      <alignment horizontal="center"/>
    </xf>
    <xf numFmtId="0" fontId="2" fillId="9" borderId="8" xfId="0" applyFont="1" applyFill="1" applyBorder="1" applyAlignment="1">
      <alignment horizontal="left"/>
    </xf>
    <xf numFmtId="49" fontId="2" fillId="0" borderId="8" xfId="0" applyNumberFormat="1" applyFont="1" applyBorder="1" applyAlignment="1">
      <alignment horizontal="center" vertical="center"/>
    </xf>
    <xf numFmtId="0" fontId="2" fillId="2" borderId="18" xfId="0" applyFont="1" applyFill="1" applyBorder="1" applyAlignment="1">
      <alignment horizontal="center"/>
    </xf>
    <xf numFmtId="49" fontId="2" fillId="16" borderId="8" xfId="0" applyNumberFormat="1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/>
    </xf>
    <xf numFmtId="0" fontId="0" fillId="0" borderId="8" xfId="0" applyBorder="1"/>
    <xf numFmtId="0" fontId="0" fillId="15" borderId="8" xfId="0" applyFill="1" applyBorder="1"/>
    <xf numFmtId="49" fontId="2" fillId="6" borderId="8" xfId="0" applyNumberFormat="1" applyFont="1" applyFill="1" applyBorder="1" applyAlignment="1">
      <alignment horizontal="center" vertical="center"/>
    </xf>
    <xf numFmtId="49" fontId="2" fillId="3" borderId="8" xfId="0" applyNumberFormat="1" applyFont="1" applyFill="1" applyBorder="1" applyAlignment="1">
      <alignment horizontal="left" vertical="center"/>
    </xf>
    <xf numFmtId="0" fontId="2" fillId="9" borderId="16" xfId="0" applyFont="1" applyFill="1" applyBorder="1" applyAlignment="1">
      <alignment horizontal="center"/>
    </xf>
    <xf numFmtId="0" fontId="2" fillId="9" borderId="16" xfId="0" applyFont="1" applyFill="1" applyBorder="1" applyAlignment="1">
      <alignment horizontal="left"/>
    </xf>
    <xf numFmtId="49" fontId="2" fillId="3" borderId="16" xfId="0" applyNumberFormat="1" applyFont="1" applyFill="1" applyBorder="1" applyAlignment="1">
      <alignment horizontal="center" vertical="center"/>
    </xf>
    <xf numFmtId="49" fontId="2" fillId="6" borderId="16" xfId="0" applyNumberFormat="1" applyFont="1" applyFill="1" applyBorder="1" applyAlignment="1">
      <alignment horizontal="center" vertical="center"/>
    </xf>
    <xf numFmtId="49" fontId="2" fillId="3" borderId="16" xfId="0" applyNumberFormat="1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center"/>
    </xf>
    <xf numFmtId="0" fontId="7" fillId="2" borderId="19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0" fontId="0" fillId="9" borderId="16" xfId="0" applyFill="1" applyBorder="1" applyAlignment="1">
      <alignment horizontal="center"/>
    </xf>
    <xf numFmtId="0" fontId="12" fillId="10" borderId="2" xfId="0" applyFont="1" applyFill="1" applyBorder="1" applyAlignment="1">
      <alignment horizontal="center"/>
    </xf>
    <xf numFmtId="0" fontId="9" fillId="10" borderId="1" xfId="0" applyFont="1" applyFill="1" applyBorder="1" applyAlignment="1">
      <alignment horizontal="center"/>
    </xf>
    <xf numFmtId="0" fontId="15" fillId="10" borderId="19" xfId="0" applyFont="1" applyFill="1" applyBorder="1"/>
    <xf numFmtId="0" fontId="0" fillId="12" borderId="26" xfId="0" applyFill="1" applyBorder="1"/>
    <xf numFmtId="0" fontId="0" fillId="12" borderId="27" xfId="0" applyFill="1" applyBorder="1"/>
    <xf numFmtId="0" fontId="0" fillId="9" borderId="24" xfId="0" applyFill="1" applyBorder="1"/>
    <xf numFmtId="49" fontId="2" fillId="17" borderId="16" xfId="0" applyNumberFormat="1" applyFont="1" applyFill="1" applyBorder="1" applyAlignment="1">
      <alignment horizontal="center" vertical="center"/>
    </xf>
    <xf numFmtId="49" fontId="2" fillId="17" borderId="8" xfId="0" applyNumberFormat="1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/>
    </xf>
    <xf numFmtId="0" fontId="9" fillId="10" borderId="20" xfId="0" applyFont="1" applyFill="1" applyBorder="1" applyAlignment="1">
      <alignment horizontal="center"/>
    </xf>
    <xf numFmtId="0" fontId="9" fillId="10" borderId="2" xfId="0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0" fontId="17" fillId="6" borderId="1" xfId="0" applyFont="1" applyFill="1" applyBorder="1" applyAlignment="1">
      <alignment horizontal="left"/>
    </xf>
    <xf numFmtId="0" fontId="18" fillId="6" borderId="21" xfId="0" applyFont="1" applyFill="1" applyBorder="1"/>
    <xf numFmtId="0" fontId="18" fillId="6" borderId="22" xfId="0" applyFont="1" applyFill="1" applyBorder="1"/>
    <xf numFmtId="49" fontId="9" fillId="8" borderId="16" xfId="0" quotePrefix="1" applyNumberFormat="1" applyFont="1" applyFill="1" applyBorder="1" applyAlignment="1">
      <alignment shrinkToFit="1"/>
    </xf>
    <xf numFmtId="0" fontId="14" fillId="6" borderId="28" xfId="0" applyFont="1" applyFill="1" applyBorder="1" applyAlignment="1">
      <alignment horizontal="center"/>
    </xf>
    <xf numFmtId="49" fontId="4" fillId="4" borderId="16" xfId="0" applyNumberFormat="1" applyFont="1" applyFill="1" applyBorder="1" applyAlignment="1">
      <alignment horizontal="center" wrapText="1"/>
    </xf>
    <xf numFmtId="0" fontId="5" fillId="4" borderId="16" xfId="0" applyFont="1" applyFill="1" applyBorder="1"/>
    <xf numFmtId="0" fontId="5" fillId="4" borderId="16" xfId="0" applyFont="1" applyFill="1" applyBorder="1" applyAlignment="1">
      <alignment horizontal="center"/>
    </xf>
    <xf numFmtId="0" fontId="5" fillId="4" borderId="16" xfId="0" applyFont="1" applyFill="1" applyBorder="1" applyAlignment="1">
      <alignment horizontal="left"/>
    </xf>
    <xf numFmtId="0" fontId="0" fillId="6" borderId="9" xfId="0" applyFill="1" applyBorder="1"/>
    <xf numFmtId="0" fontId="0" fillId="6" borderId="29" xfId="0" applyFill="1" applyBorder="1"/>
    <xf numFmtId="0" fontId="1" fillId="6" borderId="29" xfId="0" applyFont="1" applyFill="1" applyBorder="1" applyAlignment="1">
      <alignment horizontal="center"/>
    </xf>
    <xf numFmtId="0" fontId="1" fillId="6" borderId="29" xfId="0" applyFont="1" applyFill="1" applyBorder="1" applyAlignment="1">
      <alignment shrinkToFit="1"/>
    </xf>
    <xf numFmtId="0" fontId="12" fillId="10" borderId="17" xfId="0" applyFont="1" applyFill="1" applyBorder="1"/>
    <xf numFmtId="0" fontId="0" fillId="10" borderId="30" xfId="0" applyFill="1" applyBorder="1"/>
    <xf numFmtId="0" fontId="0" fillId="10" borderId="6" xfId="0" applyFill="1" applyBorder="1"/>
    <xf numFmtId="0" fontId="1" fillId="6" borderId="10" xfId="0" applyFont="1" applyFill="1" applyBorder="1" applyAlignment="1">
      <alignment horizontal="center"/>
    </xf>
    <xf numFmtId="0" fontId="0" fillId="6" borderId="8" xfId="0" applyFill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33" xfId="0" applyFont="1" applyBorder="1" applyAlignment="1">
      <alignment horizontal="center"/>
    </xf>
    <xf numFmtId="0" fontId="6" fillId="0" borderId="24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6" fillId="0" borderId="37" xfId="0" applyFont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6" borderId="0" xfId="0" applyFont="1" applyFill="1" applyAlignment="1">
      <alignment horizontal="center"/>
    </xf>
    <xf numFmtId="0" fontId="2" fillId="6" borderId="20" xfId="0" applyFont="1" applyFill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14" borderId="14" xfId="0" applyFill="1" applyBorder="1" applyAlignment="1">
      <alignment horizontal="center"/>
    </xf>
    <xf numFmtId="0" fontId="19" fillId="6" borderId="21" xfId="0" applyFont="1" applyFill="1" applyBorder="1"/>
    <xf numFmtId="0" fontId="0" fillId="6" borderId="22" xfId="0" applyFill="1" applyBorder="1"/>
    <xf numFmtId="0" fontId="2" fillId="9" borderId="25" xfId="0" applyFont="1" applyFill="1" applyBorder="1" applyAlignment="1">
      <alignment horizontal="center"/>
    </xf>
    <xf numFmtId="0" fontId="2" fillId="9" borderId="11" xfId="0" applyFont="1" applyFill="1" applyBorder="1" applyAlignment="1">
      <alignment horizontal="center"/>
    </xf>
    <xf numFmtId="0" fontId="2" fillId="9" borderId="35" xfId="0" applyFont="1" applyFill="1" applyBorder="1" applyAlignment="1">
      <alignment horizontal="center"/>
    </xf>
    <xf numFmtId="0" fontId="2" fillId="20" borderId="34" xfId="0" applyFont="1" applyFill="1" applyBorder="1" applyAlignment="1">
      <alignment horizontal="center"/>
    </xf>
    <xf numFmtId="0" fontId="2" fillId="20" borderId="11" xfId="0" applyFont="1" applyFill="1" applyBorder="1" applyAlignment="1">
      <alignment horizontal="center"/>
    </xf>
    <xf numFmtId="0" fontId="2" fillId="20" borderId="35" xfId="0" applyFont="1" applyFill="1" applyBorder="1" applyAlignment="1">
      <alignment horizontal="center"/>
    </xf>
    <xf numFmtId="0" fontId="2" fillId="6" borderId="39" xfId="0" applyFont="1" applyFill="1" applyBorder="1" applyAlignment="1">
      <alignment horizontal="center"/>
    </xf>
    <xf numFmtId="0" fontId="2" fillId="6" borderId="28" xfId="0" applyFont="1" applyFill="1" applyBorder="1" applyAlignment="1">
      <alignment horizontal="center"/>
    </xf>
    <xf numFmtId="0" fontId="2" fillId="19" borderId="23" xfId="0" applyFont="1" applyFill="1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2" fillId="0" borderId="41" xfId="0" applyFont="1" applyBorder="1" applyAlignment="1">
      <alignment horizontal="center"/>
    </xf>
    <xf numFmtId="0" fontId="2" fillId="0" borderId="42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6" fillId="0" borderId="3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40" xfId="0" applyFont="1" applyBorder="1" applyAlignment="1">
      <alignment horizontal="center"/>
    </xf>
    <xf numFmtId="0" fontId="6" fillId="0" borderId="41" xfId="0" applyFont="1" applyBorder="1" applyAlignment="1">
      <alignment horizontal="center"/>
    </xf>
    <xf numFmtId="0" fontId="6" fillId="0" borderId="42" xfId="0" applyFont="1" applyBorder="1" applyAlignment="1">
      <alignment horizontal="center"/>
    </xf>
    <xf numFmtId="0" fontId="6" fillId="0" borderId="27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2" fillId="0" borderId="43" xfId="0" applyFont="1" applyBorder="1" applyAlignment="1">
      <alignment horizontal="center"/>
    </xf>
    <xf numFmtId="0" fontId="2" fillId="15" borderId="33" xfId="0" applyFont="1" applyFill="1" applyBorder="1" applyAlignment="1">
      <alignment horizontal="center"/>
    </xf>
    <xf numFmtId="0" fontId="2" fillId="15" borderId="24" xfId="0" applyFont="1" applyFill="1" applyBorder="1" applyAlignment="1">
      <alignment horizontal="center"/>
    </xf>
    <xf numFmtId="0" fontId="20" fillId="22" borderId="8" xfId="0" applyFont="1" applyFill="1" applyBorder="1"/>
    <xf numFmtId="0" fontId="0" fillId="21" borderId="8" xfId="0" applyFill="1" applyBorder="1"/>
    <xf numFmtId="0" fontId="2" fillId="21" borderId="8" xfId="0" applyFont="1" applyFill="1" applyBorder="1" applyAlignment="1">
      <alignment horizontal="left"/>
    </xf>
    <xf numFmtId="0" fontId="2" fillId="21" borderId="8" xfId="0" applyFont="1" applyFill="1" applyBorder="1" applyAlignment="1">
      <alignment horizontal="center"/>
    </xf>
    <xf numFmtId="0" fontId="2" fillId="21" borderId="17" xfId="0" applyFont="1" applyFill="1" applyBorder="1" applyAlignment="1">
      <alignment horizontal="center"/>
    </xf>
    <xf numFmtId="0" fontId="2" fillId="9" borderId="8" xfId="0" quotePrefix="1" applyFont="1" applyFill="1" applyBorder="1" applyAlignment="1">
      <alignment horizontal="center"/>
    </xf>
    <xf numFmtId="0" fontId="9" fillId="8" borderId="17" xfId="0" applyFont="1" applyFill="1" applyBorder="1"/>
    <xf numFmtId="0" fontId="6" fillId="0" borderId="38" xfId="0" applyFont="1" applyBorder="1" applyAlignment="1">
      <alignment horizontal="center"/>
    </xf>
    <xf numFmtId="0" fontId="21" fillId="6" borderId="29" xfId="0" applyFont="1" applyFill="1" applyBorder="1" applyAlignment="1">
      <alignment horizontal="center"/>
    </xf>
    <xf numFmtId="0" fontId="22" fillId="18" borderId="0" xfId="0" applyFont="1" applyFill="1"/>
    <xf numFmtId="0" fontId="23" fillId="18" borderId="0" xfId="0" applyFont="1" applyFill="1"/>
    <xf numFmtId="0" fontId="2" fillId="9" borderId="44" xfId="0" applyFont="1" applyFill="1" applyBorder="1" applyAlignment="1">
      <alignment horizontal="center" vertical="center"/>
    </xf>
    <xf numFmtId="0" fontId="0" fillId="9" borderId="23" xfId="0" applyFill="1" applyBorder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12" borderId="6" xfId="0" applyFont="1" applyFill="1" applyBorder="1" applyAlignment="1">
      <alignment horizontal="center"/>
    </xf>
    <xf numFmtId="0" fontId="2" fillId="9" borderId="8" xfId="0" applyFont="1" applyFill="1" applyBorder="1" applyAlignment="1">
      <alignment horizontal="center" vertical="center"/>
    </xf>
    <xf numFmtId="0" fontId="2" fillId="0" borderId="0" xfId="1" applyFont="1" applyAlignment="1">
      <alignment horizontal="center"/>
    </xf>
    <xf numFmtId="0" fontId="2" fillId="6" borderId="48" xfId="1" applyFont="1" applyFill="1" applyBorder="1" applyAlignment="1">
      <alignment horizontal="center"/>
    </xf>
    <xf numFmtId="0" fontId="2" fillId="6" borderId="47" xfId="1" applyFont="1" applyFill="1" applyBorder="1" applyAlignment="1">
      <alignment horizontal="center"/>
    </xf>
    <xf numFmtId="0" fontId="2" fillId="6" borderId="47" xfId="1" applyFont="1" applyFill="1" applyBorder="1"/>
    <xf numFmtId="0" fontId="2" fillId="6" borderId="46" xfId="1" applyFont="1" applyFill="1" applyBorder="1" applyAlignment="1">
      <alignment horizontal="left"/>
    </xf>
    <xf numFmtId="0" fontId="2" fillId="6" borderId="43" xfId="1" applyFont="1" applyFill="1" applyBorder="1" applyAlignment="1">
      <alignment horizontal="center"/>
    </xf>
    <xf numFmtId="0" fontId="2" fillId="6" borderId="0" xfId="1" applyFont="1" applyFill="1" applyAlignment="1">
      <alignment horizontal="center"/>
    </xf>
    <xf numFmtId="0" fontId="2" fillId="6" borderId="0" xfId="1" applyFont="1" applyFill="1"/>
    <xf numFmtId="0" fontId="2" fillId="6" borderId="49" xfId="1" applyFont="1" applyFill="1" applyBorder="1" applyAlignment="1">
      <alignment horizontal="left"/>
    </xf>
    <xf numFmtId="0" fontId="24" fillId="6" borderId="50" xfId="1" applyFont="1" applyFill="1" applyBorder="1"/>
    <xf numFmtId="0" fontId="24" fillId="6" borderId="51" xfId="1" applyFont="1" applyFill="1" applyBorder="1"/>
    <xf numFmtId="0" fontId="24" fillId="6" borderId="52" xfId="1" applyFont="1" applyFill="1" applyBorder="1" applyAlignment="1">
      <alignment horizontal="left"/>
    </xf>
    <xf numFmtId="0" fontId="0" fillId="19" borderId="8" xfId="0" applyFill="1" applyBorder="1"/>
    <xf numFmtId="0" fontId="0" fillId="9" borderId="8" xfId="0" applyFill="1" applyBorder="1"/>
    <xf numFmtId="0" fontId="15" fillId="18" borderId="8" xfId="0" applyFont="1" applyFill="1" applyBorder="1" applyAlignment="1">
      <alignment horizontal="center"/>
    </xf>
    <xf numFmtId="0" fontId="5" fillId="10" borderId="16" xfId="0" applyFont="1" applyFill="1" applyBorder="1" applyAlignment="1">
      <alignment horizontal="center"/>
    </xf>
    <xf numFmtId="0" fontId="5" fillId="10" borderId="16" xfId="0" applyFont="1" applyFill="1" applyBorder="1"/>
    <xf numFmtId="49" fontId="4" fillId="10" borderId="16" xfId="0" applyNumberFormat="1" applyFont="1" applyFill="1" applyBorder="1" applyAlignment="1">
      <alignment horizontal="center" wrapText="1"/>
    </xf>
    <xf numFmtId="0" fontId="1" fillId="6" borderId="0" xfId="0" applyFont="1" applyFill="1" applyAlignment="1">
      <alignment horizontal="center"/>
    </xf>
    <xf numFmtId="0" fontId="1" fillId="6" borderId="0" xfId="0" applyFont="1" applyFill="1" applyAlignment="1">
      <alignment horizontal="left"/>
    </xf>
    <xf numFmtId="0" fontId="1" fillId="6" borderId="0" xfId="0" applyFont="1" applyFill="1" applyAlignment="1">
      <alignment horizontal="center" vertical="center"/>
    </xf>
    <xf numFmtId="0" fontId="13" fillId="6" borderId="52" xfId="0" applyFont="1" applyFill="1" applyBorder="1"/>
    <xf numFmtId="0" fontId="13" fillId="6" borderId="50" xfId="0" applyFont="1" applyFill="1" applyBorder="1"/>
    <xf numFmtId="0" fontId="13" fillId="9" borderId="8" xfId="0" applyFont="1" applyFill="1" applyBorder="1"/>
    <xf numFmtId="0" fontId="2" fillId="9" borderId="28" xfId="0" applyFont="1" applyFill="1" applyBorder="1" applyAlignment="1">
      <alignment horizontal="center" vertical="center"/>
    </xf>
    <xf numFmtId="0" fontId="9" fillId="8" borderId="8" xfId="0" quotePrefix="1" applyFont="1" applyFill="1" applyBorder="1"/>
    <xf numFmtId="0" fontId="0" fillId="14" borderId="0" xfId="0" applyFill="1"/>
    <xf numFmtId="0" fontId="4" fillId="4" borderId="14" xfId="0" quotePrefix="1" applyFont="1" applyFill="1" applyBorder="1" applyAlignment="1">
      <alignment horizontal="center"/>
    </xf>
    <xf numFmtId="0" fontId="4" fillId="4" borderId="16" xfId="0" quotePrefix="1" applyFont="1" applyFill="1" applyBorder="1" applyAlignment="1">
      <alignment horizontal="center"/>
    </xf>
    <xf numFmtId="0" fontId="2" fillId="3" borderId="16" xfId="0" applyFont="1" applyFill="1" applyBorder="1"/>
    <xf numFmtId="0" fontId="2" fillId="3" borderId="16" xfId="0" applyFont="1" applyFill="1" applyBorder="1" applyAlignment="1">
      <alignment horizontal="center"/>
    </xf>
    <xf numFmtId="14" fontId="2" fillId="3" borderId="16" xfId="0" applyNumberFormat="1" applyFont="1" applyFill="1" applyBorder="1" applyAlignment="1">
      <alignment horizontal="center"/>
    </xf>
    <xf numFmtId="0" fontId="2" fillId="3" borderId="16" xfId="0" applyFont="1" applyFill="1" applyBorder="1" applyAlignment="1">
      <alignment horizontal="left"/>
    </xf>
    <xf numFmtId="0" fontId="13" fillId="6" borderId="20" xfId="0" applyFont="1" applyFill="1" applyBorder="1"/>
    <xf numFmtId="0" fontId="13" fillId="6" borderId="21" xfId="0" applyFont="1" applyFill="1" applyBorder="1"/>
    <xf numFmtId="0" fontId="13" fillId="6" borderId="22" xfId="0" applyFont="1" applyFill="1" applyBorder="1"/>
    <xf numFmtId="0" fontId="2" fillId="20" borderId="8" xfId="0" applyFont="1" applyFill="1" applyBorder="1"/>
    <xf numFmtId="0" fontId="20" fillId="10" borderId="0" xfId="0" applyFont="1" applyFill="1"/>
    <xf numFmtId="0" fontId="12" fillId="10" borderId="30" xfId="0" applyFont="1" applyFill="1" applyBorder="1"/>
    <xf numFmtId="0" fontId="12" fillId="10" borderId="30" xfId="0" applyFont="1" applyFill="1" applyBorder="1" applyAlignment="1">
      <alignment horizontal="left"/>
    </xf>
    <xf numFmtId="49" fontId="2" fillId="9" borderId="8" xfId="0" applyNumberFormat="1" applyFont="1" applyFill="1" applyBorder="1" applyAlignment="1">
      <alignment horizontal="center" vertical="center"/>
    </xf>
    <xf numFmtId="49" fontId="2" fillId="9" borderId="8" xfId="0" applyNumberFormat="1" applyFont="1" applyFill="1" applyBorder="1" applyAlignment="1">
      <alignment horizontal="left" vertical="center"/>
    </xf>
    <xf numFmtId="0" fontId="2" fillId="9" borderId="16" xfId="0" quotePrefix="1" applyFont="1" applyFill="1" applyBorder="1" applyAlignment="1">
      <alignment horizontal="center"/>
    </xf>
    <xf numFmtId="49" fontId="2" fillId="0" borderId="16" xfId="0" applyNumberFormat="1" applyFont="1" applyBorder="1" applyAlignment="1">
      <alignment horizontal="center" vertical="center"/>
    </xf>
    <xf numFmtId="49" fontId="2" fillId="16" borderId="16" xfId="0" applyNumberFormat="1" applyFont="1" applyFill="1" applyBorder="1" applyAlignment="1">
      <alignment horizontal="center" vertical="center"/>
    </xf>
    <xf numFmtId="0" fontId="0" fillId="0" borderId="21" xfId="0" applyBorder="1"/>
    <xf numFmtId="0" fontId="0" fillId="6" borderId="21" xfId="0" applyFill="1" applyBorder="1"/>
    <xf numFmtId="0" fontId="13" fillId="0" borderId="0" xfId="0" applyFont="1"/>
    <xf numFmtId="0" fontId="0" fillId="0" borderId="16" xfId="0" applyBorder="1" applyAlignment="1">
      <alignment horizontal="center"/>
    </xf>
    <xf numFmtId="0" fontId="15" fillId="18" borderId="16" xfId="0" applyFont="1" applyFill="1" applyBorder="1" applyAlignment="1">
      <alignment horizontal="center"/>
    </xf>
    <xf numFmtId="0" fontId="0" fillId="9" borderId="16" xfId="0" applyFill="1" applyBorder="1"/>
    <xf numFmtId="0" fontId="0" fillId="19" borderId="16" xfId="0" applyFill="1" applyBorder="1"/>
    <xf numFmtId="0" fontId="2" fillId="3" borderId="16" xfId="0" quotePrefix="1" applyFont="1" applyFill="1" applyBorder="1"/>
    <xf numFmtId="0" fontId="2" fillId="3" borderId="16" xfId="0" quotePrefix="1" applyFont="1" applyFill="1" applyBorder="1" applyAlignment="1">
      <alignment horizontal="center"/>
    </xf>
    <xf numFmtId="0" fontId="20" fillId="0" borderId="0" xfId="0" applyFont="1"/>
    <xf numFmtId="0" fontId="2" fillId="19" borderId="26" xfId="0" applyFont="1" applyFill="1" applyBorder="1" applyAlignment="1">
      <alignment horizontal="center"/>
    </xf>
    <xf numFmtId="0" fontId="2" fillId="19" borderId="25" xfId="0" applyFont="1" applyFill="1" applyBorder="1" applyAlignment="1">
      <alignment horizontal="center"/>
    </xf>
    <xf numFmtId="0" fontId="2" fillId="15" borderId="11" xfId="0" applyFont="1" applyFill="1" applyBorder="1" applyAlignment="1">
      <alignment horizontal="center"/>
    </xf>
    <xf numFmtId="0" fontId="2" fillId="6" borderId="44" xfId="0" applyFont="1" applyFill="1" applyBorder="1" applyAlignment="1">
      <alignment horizontal="center"/>
    </xf>
    <xf numFmtId="0" fontId="2" fillId="0" borderId="33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15" borderId="12" xfId="0" applyFont="1" applyFill="1" applyBorder="1" applyAlignment="1">
      <alignment horizontal="center"/>
    </xf>
    <xf numFmtId="0" fontId="2" fillId="6" borderId="37" xfId="0" applyFont="1" applyFill="1" applyBorder="1" applyAlignment="1">
      <alignment horizontal="center"/>
    </xf>
    <xf numFmtId="0" fontId="12" fillId="0" borderId="0" xfId="0" applyFont="1"/>
    <xf numFmtId="0" fontId="1" fillId="9" borderId="1" xfId="0" applyFont="1" applyFill="1" applyBorder="1"/>
    <xf numFmtId="0" fontId="0" fillId="19" borderId="2" xfId="0" applyFill="1" applyBorder="1" applyAlignment="1">
      <alignment horizontal="center"/>
    </xf>
    <xf numFmtId="0" fontId="1" fillId="9" borderId="3" xfId="0" applyFont="1" applyFill="1" applyBorder="1"/>
    <xf numFmtId="0" fontId="0" fillId="19" borderId="53" xfId="0" applyFill="1" applyBorder="1" applyAlignment="1">
      <alignment horizontal="center"/>
    </xf>
    <xf numFmtId="0" fontId="1" fillId="9" borderId="13" xfId="0" applyFont="1" applyFill="1" applyBorder="1"/>
    <xf numFmtId="0" fontId="0" fillId="19" borderId="54" xfId="0" quotePrefix="1" applyFill="1" applyBorder="1" applyAlignment="1">
      <alignment horizontal="center"/>
    </xf>
    <xf numFmtId="0" fontId="0" fillId="19" borderId="54" xfId="0" applyFill="1" applyBorder="1" applyAlignment="1">
      <alignment horizontal="center"/>
    </xf>
    <xf numFmtId="0" fontId="1" fillId="9" borderId="31" xfId="0" applyFont="1" applyFill="1" applyBorder="1"/>
    <xf numFmtId="0" fontId="0" fillId="19" borderId="32" xfId="0" applyFill="1" applyBorder="1" applyAlignment="1">
      <alignment horizontal="center"/>
    </xf>
    <xf numFmtId="0" fontId="1" fillId="9" borderId="3" xfId="0" applyFont="1" applyFill="1" applyBorder="1" applyAlignment="1">
      <alignment vertical="center"/>
    </xf>
    <xf numFmtId="0" fontId="0" fillId="19" borderId="53" xfId="0" applyFill="1" applyBorder="1" applyAlignment="1">
      <alignment vertical="center" wrapText="1"/>
    </xf>
    <xf numFmtId="0" fontId="1" fillId="9" borderId="4" xfId="0" applyFont="1" applyFill="1" applyBorder="1" applyAlignment="1">
      <alignment vertical="center"/>
    </xf>
    <xf numFmtId="0" fontId="0" fillId="19" borderId="5" xfId="0" applyFill="1" applyBorder="1" applyAlignment="1">
      <alignment vertical="center" wrapText="1"/>
    </xf>
    <xf numFmtId="0" fontId="1" fillId="9" borderId="13" xfId="0" applyFont="1" applyFill="1" applyBorder="1" applyAlignment="1">
      <alignment vertical="center"/>
    </xf>
    <xf numFmtId="0" fontId="0" fillId="19" borderId="54" xfId="0" applyFill="1" applyBorder="1" applyAlignment="1">
      <alignment vertical="center" wrapText="1"/>
    </xf>
    <xf numFmtId="0" fontId="0" fillId="19" borderId="2" xfId="0" quotePrefix="1" applyFill="1" applyBorder="1" applyAlignment="1">
      <alignment horizontal="center"/>
    </xf>
    <xf numFmtId="0" fontId="0" fillId="9" borderId="53" xfId="0" applyFill="1" applyBorder="1" applyAlignment="1">
      <alignment horizontal="center"/>
    </xf>
    <xf numFmtId="0" fontId="12" fillId="10" borderId="20" xfId="0" applyFont="1" applyFill="1" applyBorder="1"/>
    <xf numFmtId="0" fontId="12" fillId="10" borderId="22" xfId="0" applyFont="1" applyFill="1" applyBorder="1" applyAlignment="1">
      <alignment horizontal="center"/>
    </xf>
    <xf numFmtId="0" fontId="2" fillId="6" borderId="20" xfId="0" applyFont="1" applyFill="1" applyBorder="1" applyAlignment="1">
      <alignment horizontal="center" shrinkToFit="1"/>
    </xf>
    <xf numFmtId="0" fontId="2" fillId="6" borderId="22" xfId="0" applyFont="1" applyFill="1" applyBorder="1" applyAlignment="1">
      <alignment horizontal="center" shrinkToFit="1"/>
    </xf>
    <xf numFmtId="0" fontId="13" fillId="19" borderId="8" xfId="0" applyFont="1" applyFill="1" applyBorder="1" applyAlignment="1">
      <alignment horizontal="center"/>
    </xf>
    <xf numFmtId="0" fontId="13" fillId="9" borderId="8" xfId="0" quotePrefix="1" applyFont="1" applyFill="1" applyBorder="1" applyAlignment="1">
      <alignment horizontal="center"/>
    </xf>
    <xf numFmtId="0" fontId="13" fillId="9" borderId="8" xfId="0" applyFont="1" applyFill="1" applyBorder="1" applyAlignment="1">
      <alignment horizontal="center"/>
    </xf>
    <xf numFmtId="0" fontId="2" fillId="9" borderId="44" xfId="0" applyFont="1" applyFill="1" applyBorder="1" applyAlignment="1">
      <alignment horizontal="center" vertical="center"/>
    </xf>
    <xf numFmtId="0" fontId="2" fillId="9" borderId="45" xfId="0" applyFont="1" applyFill="1" applyBorder="1" applyAlignment="1">
      <alignment horizontal="center" vertical="center"/>
    </xf>
    <xf numFmtId="0" fontId="2" fillId="9" borderId="25" xfId="0" applyFont="1" applyFill="1" applyBorder="1" applyAlignment="1">
      <alignment horizontal="center" vertical="center"/>
    </xf>
    <xf numFmtId="0" fontId="2" fillId="9" borderId="12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revisionHeaders" Target="revisions/revisionHeader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usernames" Target="revisions/userNam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revisions/_rels/revisionHeaders.xml.rels><?xml version="1.0" encoding="UTF-8" standalone="yes"?>
<Relationships xmlns="http://schemas.openxmlformats.org/package/2006/relationships"><Relationship Id="rId6" Type="http://schemas.openxmlformats.org/officeDocument/2006/relationships/revisionLog" Target="revisionLog1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85E35617-D928-40D7-8AF4-3C4FDBA7182E}" diskRevisions="1" revisionId="689" version="4">
  <header guid="{85E35617-D928-40D7-8AF4-3C4FDBA7182E}" dateTime="2024-08-13T11:01:28" maxSheetId="11" userName="Chavez, Cristian A." r:id="rId6" minRId="679" maxRId="681">
    <sheetIdMap count="10">
      <sheetId val="1"/>
      <sheetId val="2"/>
      <sheetId val="3"/>
      <sheetId val="4"/>
      <sheetId val="5"/>
      <sheetId val="6"/>
      <sheetId val="7"/>
      <sheetId val="8"/>
      <sheetId val="9"/>
      <sheetId val="10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79" sId="1">
    <oc r="B1" t="inlineStr">
      <is>
        <t>Updated 8/9/2022</t>
      </is>
    </oc>
    <nc r="B1" t="inlineStr">
      <is>
        <t>Updated 8/13/2024</t>
      </is>
    </nc>
  </rcc>
  <rcc rId="680" sId="4">
    <oc r="W2" t="inlineStr">
      <is>
        <t>4.2 PPG</t>
      </is>
    </oc>
    <nc r="W2" t="inlineStr">
      <is>
        <t>XX stat | xx Stat</t>
      </is>
    </nc>
  </rcc>
  <rcc rId="681" sId="4" odxf="1" dxf="1">
    <oc r="W3" t="inlineStr">
      <is>
        <t>6.3 PPG</t>
      </is>
    </oc>
    <nc r="W3" t="inlineStr">
      <is>
        <t>XX stat | xx Stat</t>
      </is>
    </nc>
    <odxf>
      <border outline="0">
        <top style="thin">
          <color indexed="64"/>
        </top>
      </border>
    </odxf>
    <ndxf>
      <border outline="0">
        <top/>
      </border>
    </ndxf>
  </rcc>
  <rdn rId="0" localSheetId="1" customView="1" name="Z_792F7DB4_F0C7_4F6F_9D44_1CA398E3F0DC_.wvu.Rows" hidden="1" oldHidden="1">
    <formula>'Team Info'!$8:$8</formula>
  </rdn>
  <rdn rId="0" localSheetId="1" customView="1" name="Z_792F7DB4_F0C7_4F6F_9D44_1CA398E3F0DC_.wvu.Cols" hidden="1" oldHidden="1">
    <formula>'Team Info'!$D:$H</formula>
  </rdn>
  <rdn rId="0" localSheetId="2" customView="1" name="Z_792F7DB4_F0C7_4F6F_9D44_1CA398E3F0DC_.wvu.Rows" hidden="1" oldHidden="1">
    <formula>'Team Personnel'!$24:$34,'Team Personnel'!$47:$50</formula>
  </rdn>
  <rdn rId="0" localSheetId="3" customView="1" name="Z_792F7DB4_F0C7_4F6F_9D44_1CA398E3F0DC_.wvu.Cols" hidden="1" oldHidden="1">
    <formula>Roster!$H:$H,Roster!$O:$Z</formula>
  </rdn>
  <rdn rId="0" localSheetId="4" customView="1" name="Z_792F7DB4_F0C7_4F6F_9D44_1CA398E3F0DC_.wvu.Cols" hidden="1" oldHidden="1">
    <formula>'Season Stats'!$L:$V,'Season Stats'!$Y:$AJ</formula>
  </rdn>
  <rdn rId="0" localSheetId="5" customView="1" name="Z_792F7DB4_F0C7_4F6F_9D44_1CA398E3F0DC_.wvu.Rows" hidden="1" oldHidden="1">
    <formula>'Upcoming Schedule'!$11:$16</formula>
  </rdn>
  <rdn rId="0" localSheetId="5" customView="1" name="Z_792F7DB4_F0C7_4F6F_9D44_1CA398E3F0DC_.wvu.Cols" hidden="1" oldHidden="1">
    <formula>'Upcoming Schedule'!$H:$K</formula>
  </rdn>
  <rdn rId="0" localSheetId="6" customView="1" name="Z_792F7DB4_F0C7_4F6F_9D44_1CA398E3F0DC_.wvu.Cols" hidden="1" oldHidden="1">
    <formula>'Team Heroes'!$F:$I</formula>
  </rdn>
  <rcv guid="{792F7DB4-F0C7-4F6F-9D44-1CA398E3F0DC}" action="add"/>
</revisions>
</file>

<file path=xl/revisions/userNames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8.bin"/><Relationship Id="rId13" Type="http://schemas.openxmlformats.org/officeDocument/2006/relationships/printerSettings" Target="../printerSettings/printerSettings13.bin"/><Relationship Id="rId3" Type="http://schemas.openxmlformats.org/officeDocument/2006/relationships/printerSettings" Target="../printerSettings/printerSettings3.bin"/><Relationship Id="rId7" Type="http://schemas.openxmlformats.org/officeDocument/2006/relationships/printerSettings" Target="../printerSettings/printerSettings7.bin"/><Relationship Id="rId12" Type="http://schemas.openxmlformats.org/officeDocument/2006/relationships/printerSettings" Target="../printerSettings/printerSettings12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6" Type="http://schemas.openxmlformats.org/officeDocument/2006/relationships/printerSettings" Target="../printerSettings/printerSettings6.bin"/><Relationship Id="rId11" Type="http://schemas.openxmlformats.org/officeDocument/2006/relationships/printerSettings" Target="../printerSettings/printerSettings11.bin"/><Relationship Id="rId5" Type="http://schemas.openxmlformats.org/officeDocument/2006/relationships/printerSettings" Target="../printerSettings/printerSettings5.bin"/><Relationship Id="rId10" Type="http://schemas.openxmlformats.org/officeDocument/2006/relationships/printerSettings" Target="../printerSettings/printerSettings10.bin"/><Relationship Id="rId4" Type="http://schemas.openxmlformats.org/officeDocument/2006/relationships/printerSettings" Target="../printerSettings/printerSettings4.bin"/><Relationship Id="rId9" Type="http://schemas.openxmlformats.org/officeDocument/2006/relationships/printerSettings" Target="../printerSettings/printerSettings9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21.bin"/><Relationship Id="rId13" Type="http://schemas.openxmlformats.org/officeDocument/2006/relationships/printerSettings" Target="../printerSettings/printerSettings26.bin"/><Relationship Id="rId3" Type="http://schemas.openxmlformats.org/officeDocument/2006/relationships/printerSettings" Target="../printerSettings/printerSettings16.bin"/><Relationship Id="rId7" Type="http://schemas.openxmlformats.org/officeDocument/2006/relationships/printerSettings" Target="../printerSettings/printerSettings20.bin"/><Relationship Id="rId12" Type="http://schemas.openxmlformats.org/officeDocument/2006/relationships/printerSettings" Target="../printerSettings/printerSettings25.bin"/><Relationship Id="rId2" Type="http://schemas.openxmlformats.org/officeDocument/2006/relationships/printerSettings" Target="../printerSettings/printerSettings15.bin"/><Relationship Id="rId1" Type="http://schemas.openxmlformats.org/officeDocument/2006/relationships/printerSettings" Target="../printerSettings/printerSettings14.bin"/><Relationship Id="rId6" Type="http://schemas.openxmlformats.org/officeDocument/2006/relationships/printerSettings" Target="../printerSettings/printerSettings19.bin"/><Relationship Id="rId11" Type="http://schemas.openxmlformats.org/officeDocument/2006/relationships/printerSettings" Target="../printerSettings/printerSettings24.bin"/><Relationship Id="rId5" Type="http://schemas.openxmlformats.org/officeDocument/2006/relationships/printerSettings" Target="../printerSettings/printerSettings18.bin"/><Relationship Id="rId10" Type="http://schemas.openxmlformats.org/officeDocument/2006/relationships/printerSettings" Target="../printerSettings/printerSettings23.bin"/><Relationship Id="rId4" Type="http://schemas.openxmlformats.org/officeDocument/2006/relationships/printerSettings" Target="../printerSettings/printerSettings17.bin"/><Relationship Id="rId9" Type="http://schemas.openxmlformats.org/officeDocument/2006/relationships/printerSettings" Target="../printerSettings/printerSettings2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34.bin"/><Relationship Id="rId13" Type="http://schemas.openxmlformats.org/officeDocument/2006/relationships/printerSettings" Target="../printerSettings/printerSettings39.bin"/><Relationship Id="rId3" Type="http://schemas.openxmlformats.org/officeDocument/2006/relationships/printerSettings" Target="../printerSettings/printerSettings29.bin"/><Relationship Id="rId7" Type="http://schemas.openxmlformats.org/officeDocument/2006/relationships/printerSettings" Target="../printerSettings/printerSettings33.bin"/><Relationship Id="rId12" Type="http://schemas.openxmlformats.org/officeDocument/2006/relationships/printerSettings" Target="../printerSettings/printerSettings38.bin"/><Relationship Id="rId2" Type="http://schemas.openxmlformats.org/officeDocument/2006/relationships/printerSettings" Target="../printerSettings/printerSettings28.bin"/><Relationship Id="rId1" Type="http://schemas.openxmlformats.org/officeDocument/2006/relationships/printerSettings" Target="../printerSettings/printerSettings27.bin"/><Relationship Id="rId6" Type="http://schemas.openxmlformats.org/officeDocument/2006/relationships/printerSettings" Target="../printerSettings/printerSettings32.bin"/><Relationship Id="rId11" Type="http://schemas.openxmlformats.org/officeDocument/2006/relationships/printerSettings" Target="../printerSettings/printerSettings37.bin"/><Relationship Id="rId5" Type="http://schemas.openxmlformats.org/officeDocument/2006/relationships/printerSettings" Target="../printerSettings/printerSettings31.bin"/><Relationship Id="rId10" Type="http://schemas.openxmlformats.org/officeDocument/2006/relationships/printerSettings" Target="../printerSettings/printerSettings36.bin"/><Relationship Id="rId4" Type="http://schemas.openxmlformats.org/officeDocument/2006/relationships/printerSettings" Target="../printerSettings/printerSettings30.bin"/><Relationship Id="rId9" Type="http://schemas.openxmlformats.org/officeDocument/2006/relationships/printerSettings" Target="../printerSettings/printerSettings35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47.bin"/><Relationship Id="rId3" Type="http://schemas.openxmlformats.org/officeDocument/2006/relationships/printerSettings" Target="../printerSettings/printerSettings42.bin"/><Relationship Id="rId7" Type="http://schemas.openxmlformats.org/officeDocument/2006/relationships/printerSettings" Target="../printerSettings/printerSettings46.bin"/><Relationship Id="rId2" Type="http://schemas.openxmlformats.org/officeDocument/2006/relationships/printerSettings" Target="../printerSettings/printerSettings41.bin"/><Relationship Id="rId1" Type="http://schemas.openxmlformats.org/officeDocument/2006/relationships/printerSettings" Target="../printerSettings/printerSettings40.bin"/><Relationship Id="rId6" Type="http://schemas.openxmlformats.org/officeDocument/2006/relationships/printerSettings" Target="../printerSettings/printerSettings45.bin"/><Relationship Id="rId5" Type="http://schemas.openxmlformats.org/officeDocument/2006/relationships/printerSettings" Target="../printerSettings/printerSettings44.bin"/><Relationship Id="rId4" Type="http://schemas.openxmlformats.org/officeDocument/2006/relationships/printerSettings" Target="../printerSettings/printerSettings43.bin"/><Relationship Id="rId9" Type="http://schemas.openxmlformats.org/officeDocument/2006/relationships/printerSettings" Target="../printerSettings/printerSettings48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56.bin"/><Relationship Id="rId13" Type="http://schemas.openxmlformats.org/officeDocument/2006/relationships/printerSettings" Target="../printerSettings/printerSettings61.bin"/><Relationship Id="rId3" Type="http://schemas.openxmlformats.org/officeDocument/2006/relationships/printerSettings" Target="../printerSettings/printerSettings51.bin"/><Relationship Id="rId7" Type="http://schemas.openxmlformats.org/officeDocument/2006/relationships/printerSettings" Target="../printerSettings/printerSettings55.bin"/><Relationship Id="rId12" Type="http://schemas.openxmlformats.org/officeDocument/2006/relationships/printerSettings" Target="../printerSettings/printerSettings60.bin"/><Relationship Id="rId2" Type="http://schemas.openxmlformats.org/officeDocument/2006/relationships/printerSettings" Target="../printerSettings/printerSettings50.bin"/><Relationship Id="rId1" Type="http://schemas.openxmlformats.org/officeDocument/2006/relationships/printerSettings" Target="../printerSettings/printerSettings49.bin"/><Relationship Id="rId6" Type="http://schemas.openxmlformats.org/officeDocument/2006/relationships/printerSettings" Target="../printerSettings/printerSettings54.bin"/><Relationship Id="rId11" Type="http://schemas.openxmlformats.org/officeDocument/2006/relationships/printerSettings" Target="../printerSettings/printerSettings59.bin"/><Relationship Id="rId5" Type="http://schemas.openxmlformats.org/officeDocument/2006/relationships/printerSettings" Target="../printerSettings/printerSettings53.bin"/><Relationship Id="rId10" Type="http://schemas.openxmlformats.org/officeDocument/2006/relationships/printerSettings" Target="../printerSettings/printerSettings58.bin"/><Relationship Id="rId4" Type="http://schemas.openxmlformats.org/officeDocument/2006/relationships/printerSettings" Target="../printerSettings/printerSettings52.bin"/><Relationship Id="rId9" Type="http://schemas.openxmlformats.org/officeDocument/2006/relationships/printerSettings" Target="../printerSettings/printerSettings57.bin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69.bin"/><Relationship Id="rId13" Type="http://schemas.openxmlformats.org/officeDocument/2006/relationships/printerSettings" Target="../printerSettings/printerSettings74.bin"/><Relationship Id="rId3" Type="http://schemas.openxmlformats.org/officeDocument/2006/relationships/printerSettings" Target="../printerSettings/printerSettings64.bin"/><Relationship Id="rId7" Type="http://schemas.openxmlformats.org/officeDocument/2006/relationships/printerSettings" Target="../printerSettings/printerSettings68.bin"/><Relationship Id="rId12" Type="http://schemas.openxmlformats.org/officeDocument/2006/relationships/printerSettings" Target="../printerSettings/printerSettings73.bin"/><Relationship Id="rId2" Type="http://schemas.openxmlformats.org/officeDocument/2006/relationships/printerSettings" Target="../printerSettings/printerSettings63.bin"/><Relationship Id="rId1" Type="http://schemas.openxmlformats.org/officeDocument/2006/relationships/printerSettings" Target="../printerSettings/printerSettings62.bin"/><Relationship Id="rId6" Type="http://schemas.openxmlformats.org/officeDocument/2006/relationships/printerSettings" Target="../printerSettings/printerSettings67.bin"/><Relationship Id="rId11" Type="http://schemas.openxmlformats.org/officeDocument/2006/relationships/printerSettings" Target="../printerSettings/printerSettings72.bin"/><Relationship Id="rId5" Type="http://schemas.openxmlformats.org/officeDocument/2006/relationships/printerSettings" Target="../printerSettings/printerSettings66.bin"/><Relationship Id="rId10" Type="http://schemas.openxmlformats.org/officeDocument/2006/relationships/printerSettings" Target="../printerSettings/printerSettings71.bin"/><Relationship Id="rId4" Type="http://schemas.openxmlformats.org/officeDocument/2006/relationships/printerSettings" Target="../printerSettings/printerSettings65.bin"/><Relationship Id="rId9" Type="http://schemas.openxmlformats.org/officeDocument/2006/relationships/printerSettings" Target="../printerSettings/printerSettings7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5"/>
  <sheetViews>
    <sheetView tabSelected="1" workbookViewId="0">
      <selection activeCell="I31" sqref="I31"/>
    </sheetView>
  </sheetViews>
  <sheetFormatPr defaultColWidth="9.140625" defaultRowHeight="15" x14ac:dyDescent="0.25"/>
  <cols>
    <col min="1" max="1" width="40.7109375" customWidth="1"/>
    <col min="2" max="2" width="30.7109375" customWidth="1"/>
    <col min="3" max="3" width="12.7109375" style="9" customWidth="1"/>
    <col min="4" max="4" width="36.7109375" hidden="1" customWidth="1"/>
    <col min="5" max="5" width="5.7109375" hidden="1" customWidth="1"/>
    <col min="6" max="6" width="30.7109375" hidden="1" customWidth="1"/>
    <col min="7" max="7" width="5.7109375" hidden="1" customWidth="1"/>
    <col min="8" max="8" width="30.7109375" hidden="1" customWidth="1"/>
  </cols>
  <sheetData>
    <row r="1" spans="1:8" ht="15.75" thickBot="1" x14ac:dyDescent="0.3">
      <c r="A1" s="22" t="s">
        <v>0</v>
      </c>
      <c r="B1" s="22" t="s">
        <v>1235</v>
      </c>
      <c r="D1" s="27" t="s">
        <v>1</v>
      </c>
      <c r="F1" s="1" t="s">
        <v>2</v>
      </c>
      <c r="H1" s="27" t="s">
        <v>3</v>
      </c>
    </row>
    <row r="2" spans="1:8" ht="15.75" thickBot="1" x14ac:dyDescent="0.3">
      <c r="A2" s="16" t="s">
        <v>4</v>
      </c>
      <c r="B2" s="97" t="s">
        <v>902</v>
      </c>
      <c r="D2" s="1" t="s">
        <v>5</v>
      </c>
      <c r="F2" t="str">
        <f>$B$18</f>
        <v>Tonight</v>
      </c>
      <c r="H2" s="29">
        <v>0</v>
      </c>
    </row>
    <row r="3" spans="1:8" x14ac:dyDescent="0.25">
      <c r="A3" s="15" t="s">
        <v>904</v>
      </c>
      <c r="B3" s="96" t="s">
        <v>58</v>
      </c>
      <c r="D3" s="28" t="str">
        <f>$B$3</f>
        <v>0</v>
      </c>
      <c r="F3" t="str">
        <f>UPPER(F2)</f>
        <v>TONIGHT</v>
      </c>
      <c r="H3" s="29">
        <v>1</v>
      </c>
    </row>
    <row r="4" spans="1:8" x14ac:dyDescent="0.25">
      <c r="A4" s="15" t="s">
        <v>929</v>
      </c>
      <c r="B4" s="13" t="s">
        <v>993</v>
      </c>
      <c r="H4" s="29">
        <v>2</v>
      </c>
    </row>
    <row r="5" spans="1:8" x14ac:dyDescent="0.25">
      <c r="A5" s="15" t="s">
        <v>905</v>
      </c>
      <c r="B5" s="13" t="s">
        <v>994</v>
      </c>
      <c r="D5" s="1" t="s">
        <v>7</v>
      </c>
      <c r="F5" s="1" t="s">
        <v>6</v>
      </c>
      <c r="H5" s="29">
        <v>3</v>
      </c>
    </row>
    <row r="6" spans="1:8" x14ac:dyDescent="0.25">
      <c r="A6" s="15" t="s">
        <v>906</v>
      </c>
      <c r="B6" s="13" t="s">
        <v>995</v>
      </c>
      <c r="D6" t="str">
        <f>$B$4</f>
        <v>College</v>
      </c>
      <c r="F6" t="str">
        <f>$B$19</f>
        <v>Last Season</v>
      </c>
    </row>
    <row r="7" spans="1:8" x14ac:dyDescent="0.25">
      <c r="A7" s="15" t="s">
        <v>1058</v>
      </c>
      <c r="B7" s="13" t="s">
        <v>1059</v>
      </c>
      <c r="D7" t="str">
        <f>UPPER(D6)</f>
        <v>COLLEGE</v>
      </c>
      <c r="F7" t="str">
        <f>UPPER(F6)</f>
        <v>LAST SEASON</v>
      </c>
      <c r="H7" s="27" t="s">
        <v>9</v>
      </c>
    </row>
    <row r="8" spans="1:8" hidden="1" x14ac:dyDescent="0.25">
      <c r="A8" s="15" t="s">
        <v>981</v>
      </c>
      <c r="B8" s="189" t="s">
        <v>980</v>
      </c>
      <c r="H8" t="s">
        <v>12</v>
      </c>
    </row>
    <row r="9" spans="1:8" x14ac:dyDescent="0.25">
      <c r="A9" s="15" t="s">
        <v>928</v>
      </c>
      <c r="B9" s="18" t="s">
        <v>844</v>
      </c>
      <c r="D9" s="1" t="s">
        <v>10</v>
      </c>
      <c r="F9" s="1" t="s">
        <v>8</v>
      </c>
      <c r="H9" t="s">
        <v>14</v>
      </c>
    </row>
    <row r="10" spans="1:8" x14ac:dyDescent="0.25">
      <c r="A10" s="2"/>
      <c r="B10" s="14"/>
      <c r="D10" t="str">
        <f>$B$5</f>
        <v>Nickname</v>
      </c>
      <c r="F10" t="str">
        <f>$F$2&amp;":"</f>
        <v>Tonight:</v>
      </c>
    </row>
    <row r="11" spans="1:8" x14ac:dyDescent="0.25">
      <c r="A11" s="16" t="s">
        <v>13</v>
      </c>
      <c r="B11" s="17"/>
      <c r="D11" t="str">
        <f>UPPER(D10)</f>
        <v>NICKNAME</v>
      </c>
      <c r="H11" t="s">
        <v>18</v>
      </c>
    </row>
    <row r="12" spans="1:8" x14ac:dyDescent="0.25">
      <c r="A12" s="15" t="s">
        <v>930</v>
      </c>
      <c r="B12" s="153" t="s">
        <v>110</v>
      </c>
      <c r="F12" s="1" t="s">
        <v>11</v>
      </c>
      <c r="H12" t="s">
        <v>19</v>
      </c>
    </row>
    <row r="13" spans="1:8" x14ac:dyDescent="0.25">
      <c r="A13" s="15" t="s">
        <v>16</v>
      </c>
      <c r="B13" s="61">
        <v>0</v>
      </c>
      <c r="C13" s="110" t="str">
        <f>H16</f>
        <v>LOGO</v>
      </c>
      <c r="D13" s="1" t="s">
        <v>17</v>
      </c>
      <c r="F13" t="str">
        <f>$F$6&amp;":"</f>
        <v>Last Season:</v>
      </c>
    </row>
    <row r="14" spans="1:8" x14ac:dyDescent="0.25">
      <c r="A14" s="15" t="s">
        <v>912</v>
      </c>
      <c r="B14" s="61">
        <v>0</v>
      </c>
      <c r="C14" s="110" t="str">
        <f>H21</f>
        <v>LOGO</v>
      </c>
      <c r="D14" t="str">
        <f>$B$6</f>
        <v>TRI</v>
      </c>
      <c r="H14" s="19" t="s">
        <v>21</v>
      </c>
    </row>
    <row r="15" spans="1:8" x14ac:dyDescent="0.25">
      <c r="A15" s="15" t="s">
        <v>916</v>
      </c>
      <c r="B15" s="61">
        <v>0</v>
      </c>
      <c r="C15" s="110" t="str">
        <f>F22</f>
        <v>Off</v>
      </c>
      <c r="H15" s="9">
        <f>B$13</f>
        <v>0</v>
      </c>
    </row>
    <row r="16" spans="1:8" x14ac:dyDescent="0.25">
      <c r="B16" s="2"/>
      <c r="D16" s="1" t="s">
        <v>20</v>
      </c>
      <c r="F16" s="27" t="s">
        <v>900</v>
      </c>
      <c r="H16" s="9" t="str">
        <f>IF(H15=1,"PRIMARY",IF(H15=2,"SECONDARY",IF(H15=3,"BOTTOMLINE",IF(H15=0,"LOGO"))))</f>
        <v>LOGO</v>
      </c>
    </row>
    <row r="17" spans="1:8" x14ac:dyDescent="0.25">
      <c r="A17" s="16" t="s">
        <v>23</v>
      </c>
      <c r="B17" s="12"/>
      <c r="D17" t="str">
        <f>B4&amp;" "&amp;B5</f>
        <v>College Nickname</v>
      </c>
      <c r="F17" t="s">
        <v>901</v>
      </c>
    </row>
    <row r="18" spans="1:8" x14ac:dyDescent="0.25">
      <c r="A18" s="24" t="s">
        <v>24</v>
      </c>
      <c r="B18" s="13" t="s">
        <v>19</v>
      </c>
      <c r="D18" t="str">
        <f>UPPER(D17)</f>
        <v>COLLEGE NICKNAME</v>
      </c>
      <c r="F18" t="s">
        <v>902</v>
      </c>
    </row>
    <row r="19" spans="1:8" x14ac:dyDescent="0.25">
      <c r="A19" s="24" t="s">
        <v>25</v>
      </c>
      <c r="B19" s="13" t="s">
        <v>14</v>
      </c>
      <c r="H19" s="19" t="s">
        <v>913</v>
      </c>
    </row>
    <row r="20" spans="1:8" ht="15.75" thickBot="1" x14ac:dyDescent="0.3">
      <c r="D20" s="1" t="s">
        <v>22</v>
      </c>
      <c r="F20" s="27" t="s">
        <v>914</v>
      </c>
      <c r="H20" s="9">
        <f>$B$14</f>
        <v>0</v>
      </c>
    </row>
    <row r="21" spans="1:8" ht="15.75" thickBot="1" x14ac:dyDescent="0.3">
      <c r="A21" s="247" t="s">
        <v>907</v>
      </c>
      <c r="B21" s="248"/>
      <c r="D21" t="str">
        <f>$B$7</f>
        <v>Dashname</v>
      </c>
      <c r="F21" s="29">
        <f>$B$15</f>
        <v>0</v>
      </c>
      <c r="H21" s="9" t="str">
        <f>IF(H20=1,"PRIMARY",IF(H20=2,"SECONDARY",IF(H20=3,"BOTTOMLINE",IF(H20=0,"LOGO"))))</f>
        <v>LOGO</v>
      </c>
    </row>
    <row r="22" spans="1:8" x14ac:dyDescent="0.25">
      <c r="A22" s="2"/>
      <c r="B22" s="92"/>
      <c r="F22" s="29" t="str">
        <f>IF(F21=1,"On","Off")</f>
        <v>Off</v>
      </c>
      <c r="H22" s="9"/>
    </row>
    <row r="23" spans="1:8" x14ac:dyDescent="0.25">
      <c r="A23" s="2"/>
      <c r="B23" s="92"/>
      <c r="D23" s="1" t="s">
        <v>26</v>
      </c>
      <c r="H23" s="9"/>
    </row>
    <row r="24" spans="1:8" x14ac:dyDescent="0.25">
      <c r="D24" t="str">
        <f>D3&amp;" "&amp;D6</f>
        <v>0 College</v>
      </c>
      <c r="F24" s="27" t="s">
        <v>915</v>
      </c>
      <c r="H24" s="9"/>
    </row>
    <row r="25" spans="1:8" x14ac:dyDescent="0.25">
      <c r="D25" t="str">
        <f>UPPER(D24)</f>
        <v>0 COLLEGE</v>
      </c>
      <c r="F25" s="29">
        <v>0</v>
      </c>
      <c r="H25" s="9"/>
    </row>
    <row r="26" spans="1:8" x14ac:dyDescent="0.25">
      <c r="F26" s="29">
        <v>1</v>
      </c>
    </row>
    <row r="27" spans="1:8" x14ac:dyDescent="0.25">
      <c r="D27" s="1" t="s">
        <v>27</v>
      </c>
    </row>
    <row r="28" spans="1:8" x14ac:dyDescent="0.25">
      <c r="D28" t="str">
        <f>D3&amp;" "&amp;D6&amp;" "&amp;D10</f>
        <v>0 College Nickname</v>
      </c>
    </row>
    <row r="29" spans="1:8" x14ac:dyDescent="0.25">
      <c r="D29" t="str">
        <f>UPPER(D28)</f>
        <v>0 COLLEGE NICKNAME</v>
      </c>
    </row>
    <row r="31" spans="1:8" x14ac:dyDescent="0.25">
      <c r="D31" s="1" t="s">
        <v>28</v>
      </c>
    </row>
    <row r="32" spans="1:8" x14ac:dyDescent="0.25">
      <c r="D32" t="str">
        <f>D3&amp;" "&amp;D6&amp;" "&amp; "(" &amp; D39 &amp;")"</f>
        <v>0 College (X-X)</v>
      </c>
    </row>
    <row r="33" spans="4:4" x14ac:dyDescent="0.25">
      <c r="D33" t="str">
        <f>UPPER(D32)</f>
        <v>0 COLLEGE (X-X)</v>
      </c>
    </row>
    <row r="35" spans="4:4" x14ac:dyDescent="0.25">
      <c r="D35" s="1" t="s">
        <v>29</v>
      </c>
    </row>
    <row r="36" spans="4:4" x14ac:dyDescent="0.25">
      <c r="D36" t="str">
        <f>$B$12</f>
        <v>AKRON</v>
      </c>
    </row>
    <row r="38" spans="4:4" x14ac:dyDescent="0.25">
      <c r="D38" s="1" t="s">
        <v>30</v>
      </c>
    </row>
    <row r="39" spans="4:4" x14ac:dyDescent="0.25">
      <c r="D39" s="28" t="str">
        <f>B9</f>
        <v>X-X</v>
      </c>
    </row>
    <row r="41" spans="4:4" x14ac:dyDescent="0.25">
      <c r="D41" s="1" t="s">
        <v>954</v>
      </c>
    </row>
    <row r="42" spans="4:4" x14ac:dyDescent="0.25">
      <c r="D42" t="str">
        <f>B8</f>
        <v>TEAM|NAME</v>
      </c>
    </row>
    <row r="44" spans="4:4" x14ac:dyDescent="0.25">
      <c r="D44" s="1"/>
    </row>
    <row r="45" spans="4:4" x14ac:dyDescent="0.25">
      <c r="D45" s="28"/>
    </row>
  </sheetData>
  <customSheetViews>
    <customSheetView guid="{792F7DB4-F0C7-4F6F-9D44-1CA398E3F0DC}" hiddenRows="1" hiddenColumns="1">
      <selection activeCell="I31" sqref="I31"/>
      <pageMargins left="0.7" right="0.7" top="0.75" bottom="0.75" header="0.3" footer="0.3"/>
      <pageSetup orientation="portrait" r:id="rId1"/>
    </customSheetView>
    <customSheetView guid="{BE266B8E-38B0-4631-9C30-67CA48A8BD7F}" hiddenColumns="1">
      <selection activeCell="B2" sqref="B2"/>
      <pageMargins left="0.7" right="0.7" top="0.75" bottom="0.75" header="0.3" footer="0.3"/>
      <pageSetup orientation="portrait" r:id="rId2"/>
    </customSheetView>
    <customSheetView guid="{BD1DF852-269B-4C2F-AF89-1FA576EA4603}" hiddenColumns="1">
      <selection activeCell="B1" sqref="B1"/>
      <pageMargins left="0.7" right="0.7" top="0.75" bottom="0.75" header="0.3" footer="0.3"/>
      <pageSetup orientation="portrait" r:id="rId3"/>
    </customSheetView>
    <customSheetView guid="{6A3B2C41-2DBC-4B17-AB58-12C85E3A6B8A}" hiddenColumns="1">
      <selection activeCell="B1" sqref="B1"/>
      <pageMargins left="0.7" right="0.7" top="0.75" bottom="0.75" header="0.3" footer="0.3"/>
      <pageSetup orientation="portrait" r:id="rId4"/>
    </customSheetView>
    <customSheetView guid="{9DC468DE-D883-45B4-B188-265B9DA68425}" hiddenColumns="1">
      <selection activeCell="B20" sqref="B20"/>
      <pageMargins left="0.7" right="0.7" top="0.75" bottom="0.75" header="0.3" footer="0.3"/>
      <pageSetup orientation="portrait" r:id="rId5"/>
    </customSheetView>
    <customSheetView guid="{6960175A-17E1-4BDD-98F7-6E9A590B8B7F}" hiddenColumns="1">
      <selection activeCell="B2" sqref="B2"/>
      <pageMargins left="0.7" right="0.7" top="0.75" bottom="0.75" header="0.3" footer="0.3"/>
      <pageSetup orientation="portrait" r:id="rId6"/>
    </customSheetView>
    <customSheetView guid="{DB365F32-166D-4348-BCE9-F0F1DB0B73A9}" hiddenColumns="1">
      <selection activeCell="B2" sqref="B2"/>
      <pageMargins left="0.7" right="0.7" top="0.75" bottom="0.75" header="0.3" footer="0.3"/>
      <pageSetup orientation="portrait" r:id="rId7"/>
    </customSheetView>
    <customSheetView guid="{6EDF2E63-E51E-449A-B1C5-EFB1FD6A259C}" hiddenColumns="1">
      <selection activeCell="B2" sqref="B2"/>
      <pageMargins left="0.7" right="0.7" top="0.75" bottom="0.75" header="0.3" footer="0.3"/>
      <pageSetup orientation="portrait" r:id="rId8"/>
    </customSheetView>
    <customSheetView guid="{46B088B4-7F51-4D35-9F00-2268626FA819}" hiddenColumns="1">
      <selection activeCell="A28" sqref="A28"/>
      <pageMargins left="0.7" right="0.7" top="0.75" bottom="0.75" header="0.3" footer="0.3"/>
      <pageSetup orientation="portrait" r:id="rId9"/>
    </customSheetView>
    <customSheetView guid="{42F19D52-E208-414F-9E2E-506DF902926F}" hiddenColumns="1">
      <selection activeCell="B2" sqref="B2"/>
      <pageMargins left="0.7" right="0.7" top="0.75" bottom="0.75" header="0.3" footer="0.3"/>
      <pageSetup orientation="portrait" r:id="rId10"/>
    </customSheetView>
    <customSheetView guid="{AC8CA20A-2130-4ED2-A745-85677B08F97C}" hiddenColumns="1">
      <selection activeCell="I23" sqref="I23"/>
      <pageMargins left="0.7" right="0.7" top="0.75" bottom="0.75" header="0.3" footer="0.3"/>
      <pageSetup orientation="portrait" r:id="rId11"/>
    </customSheetView>
    <customSheetView guid="{2F318324-B2A5-4EFB-BB30-8D1AF11C1A9F}" hiddenColumns="1">
      <selection activeCell="B2" sqref="B2"/>
      <pageMargins left="0.7" right="0.7" top="0.75" bottom="0.75" header="0.3" footer="0.3"/>
      <pageSetup orientation="portrait" r:id="rId12"/>
    </customSheetView>
  </customSheetViews>
  <mergeCells count="1">
    <mergeCell ref="A21:B21"/>
  </mergeCells>
  <dataValidations count="6">
    <dataValidation type="list" allowBlank="1" showInputMessage="1" showErrorMessage="1" sqref="B19" xr:uid="{00000000-0002-0000-0000-000000000000}">
      <formula1>$H$8:$H$9</formula1>
    </dataValidation>
    <dataValidation type="list" allowBlank="1" showInputMessage="1" showErrorMessage="1" sqref="B18" xr:uid="{00000000-0002-0000-0000-000001000000}">
      <formula1>$H$11:$H$12</formula1>
    </dataValidation>
    <dataValidation type="list" allowBlank="1" showInputMessage="1" showErrorMessage="1" sqref="B23" xr:uid="{00000000-0002-0000-0000-000002000000}">
      <formula1>$H$20:$H$25</formula1>
    </dataValidation>
    <dataValidation type="list" allowBlank="1" showInputMessage="1" showErrorMessage="1" sqref="B2" xr:uid="{00000000-0002-0000-0000-000003000000}">
      <formula1>$F$17:$F$18</formula1>
    </dataValidation>
    <dataValidation type="list" allowBlank="1" showInputMessage="1" showErrorMessage="1" sqref="B13:B14" xr:uid="{00000000-0002-0000-0000-000004000000}">
      <formula1>$H$2:$H$5</formula1>
    </dataValidation>
    <dataValidation type="list" allowBlank="1" showInputMessage="1" showErrorMessage="1" sqref="B15" xr:uid="{00000000-0002-0000-0000-000005000000}">
      <formula1>$F$25:$F$26</formula1>
    </dataValidation>
  </dataValidations>
  <pageMargins left="0.7" right="0.7" top="0.75" bottom="0.75" header="0.3" footer="0.3"/>
  <pageSetup orientation="portrait" r:id="rId1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errorStyle="information" allowBlank="1" showInputMessage="1" showErrorMessage="1" errorTitle="Missing Logo" error="Add missing logo(s) to the bottom of Column A in the LOGOS tab" xr:uid="{00000000-0002-0000-0000-000006000000}">
          <x14:formula1>
            <xm:f>LOGOS!$A$2:$A$374</xm:f>
          </x14:formula1>
          <xm:sqref>B12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52"/>
  <sheetViews>
    <sheetView topLeftCell="A3" workbookViewId="0">
      <selection activeCell="D53" sqref="D53"/>
    </sheetView>
  </sheetViews>
  <sheetFormatPr defaultRowHeight="15" x14ac:dyDescent="0.25"/>
  <cols>
    <col min="1" max="2" width="30.7109375" customWidth="1"/>
    <col min="3" max="5" width="27" customWidth="1"/>
    <col min="6" max="6" width="59.42578125" customWidth="1"/>
    <col min="7" max="7" width="40.42578125" customWidth="1"/>
    <col min="8" max="8" width="54.85546875" bestFit="1" customWidth="1"/>
    <col min="9" max="9" width="9.140625" customWidth="1"/>
    <col min="10" max="10" width="15.85546875" customWidth="1"/>
    <col min="11" max="11" width="9.140625" customWidth="1"/>
    <col min="12" max="12" width="24.7109375" customWidth="1"/>
  </cols>
  <sheetData>
    <row r="1" spans="1:12" ht="15.75" thickBot="1" x14ac:dyDescent="0.3">
      <c r="A1" s="201" t="s">
        <v>982</v>
      </c>
      <c r="B1" s="23" t="s">
        <v>950</v>
      </c>
      <c r="C1" s="23" t="s">
        <v>950</v>
      </c>
      <c r="D1" s="23"/>
      <c r="E1" s="23" t="s">
        <v>918</v>
      </c>
      <c r="F1" s="23" t="s">
        <v>950</v>
      </c>
      <c r="G1" s="23" t="s">
        <v>948</v>
      </c>
      <c r="J1" s="23" t="s">
        <v>1057</v>
      </c>
    </row>
    <row r="2" spans="1:12" ht="15.75" thickBot="1" x14ac:dyDescent="0.3">
      <c r="A2" s="118" t="s">
        <v>829</v>
      </c>
      <c r="B2" s="131" t="s">
        <v>45</v>
      </c>
      <c r="C2" s="131" t="s">
        <v>46</v>
      </c>
      <c r="D2" s="222" t="s">
        <v>56</v>
      </c>
      <c r="E2" s="131" t="s">
        <v>917</v>
      </c>
      <c r="F2" s="130" t="s">
        <v>951</v>
      </c>
      <c r="G2" s="116" t="s">
        <v>949</v>
      </c>
      <c r="J2">
        <v>2</v>
      </c>
      <c r="L2" t="s">
        <v>31</v>
      </c>
    </row>
    <row r="3" spans="1:12" x14ac:dyDescent="0.25">
      <c r="A3" s="124">
        <f>IF('Team Info'!$B$2 = "Away",180,280)</f>
        <v>280</v>
      </c>
      <c r="B3" s="220" t="s">
        <v>1170</v>
      </c>
      <c r="C3" s="132" t="s">
        <v>1171</v>
      </c>
      <c r="D3" s="219" t="str">
        <f>$B3 &amp; " " &amp; $C3</f>
        <v>Jason Kennedy</v>
      </c>
      <c r="E3" s="143"/>
      <c r="F3" s="137" t="s">
        <v>1172</v>
      </c>
      <c r="G3" s="43" t="s">
        <v>833</v>
      </c>
      <c r="J3">
        <v>3</v>
      </c>
      <c r="L3" t="str">
        <f>B38</f>
        <v>Jason Kennedy</v>
      </c>
    </row>
    <row r="4" spans="1:12" x14ac:dyDescent="0.25">
      <c r="A4" s="125">
        <f>A3+1</f>
        <v>281</v>
      </c>
      <c r="B4" s="221" t="str">
        <f>$B$3</f>
        <v>Jason</v>
      </c>
      <c r="C4" s="145" t="str">
        <f>$C$3</f>
        <v>Kennedy</v>
      </c>
      <c r="D4" s="135" t="str">
        <f t="shared" ref="D4:D12" si="0">$B4 &amp; " " &amp; $C4</f>
        <v>Jason Kennedy</v>
      </c>
      <c r="E4" s="133"/>
      <c r="F4" s="111"/>
      <c r="G4" s="42"/>
      <c r="J4">
        <v>4</v>
      </c>
    </row>
    <row r="5" spans="1:12" x14ac:dyDescent="0.25">
      <c r="A5" s="125">
        <f>A3+2</f>
        <v>282</v>
      </c>
      <c r="B5" s="221" t="str">
        <f t="shared" ref="B5:B12" si="1">$B$3</f>
        <v>Jason</v>
      </c>
      <c r="C5" s="145" t="str">
        <f t="shared" ref="C5:C12" si="2">$C$3</f>
        <v>Kennedy</v>
      </c>
      <c r="D5" s="135" t="str">
        <f t="shared" si="0"/>
        <v>Jason Kennedy</v>
      </c>
      <c r="E5" s="133"/>
      <c r="F5" s="111"/>
      <c r="G5" s="42"/>
      <c r="J5">
        <v>5</v>
      </c>
      <c r="L5" t="s">
        <v>33</v>
      </c>
    </row>
    <row r="6" spans="1:12" x14ac:dyDescent="0.25">
      <c r="A6" s="125">
        <f>A3+3</f>
        <v>283</v>
      </c>
      <c r="B6" s="221" t="str">
        <f t="shared" si="1"/>
        <v>Jason</v>
      </c>
      <c r="C6" s="145" t="str">
        <f t="shared" si="2"/>
        <v>Kennedy</v>
      </c>
      <c r="D6" s="135" t="str">
        <f t="shared" si="0"/>
        <v>Jason Kennedy</v>
      </c>
      <c r="E6" s="133"/>
      <c r="F6" s="111"/>
      <c r="G6" s="42"/>
      <c r="J6">
        <v>6</v>
      </c>
      <c r="L6" t="str">
        <f>B39</f>
        <v>Head Coaching Résumé</v>
      </c>
    </row>
    <row r="7" spans="1:12" x14ac:dyDescent="0.25">
      <c r="A7" s="125">
        <f>A3+4</f>
        <v>284</v>
      </c>
      <c r="B7" s="221" t="str">
        <f t="shared" si="1"/>
        <v>Jason</v>
      </c>
      <c r="C7" s="145" t="str">
        <f t="shared" si="2"/>
        <v>Kennedy</v>
      </c>
      <c r="D7" s="135" t="str">
        <f t="shared" si="0"/>
        <v>Jason Kennedy</v>
      </c>
      <c r="E7" s="133"/>
      <c r="F7" s="111"/>
      <c r="G7" s="42"/>
      <c r="J7">
        <v>7</v>
      </c>
    </row>
    <row r="8" spans="1:12" x14ac:dyDescent="0.25">
      <c r="A8" s="125">
        <f>A3+5</f>
        <v>285</v>
      </c>
      <c r="B8" s="221" t="str">
        <f t="shared" si="1"/>
        <v>Jason</v>
      </c>
      <c r="C8" s="145" t="str">
        <f t="shared" si="2"/>
        <v>Kennedy</v>
      </c>
      <c r="D8" s="135" t="str">
        <f t="shared" si="0"/>
        <v>Jason Kennedy</v>
      </c>
      <c r="E8" s="133"/>
      <c r="F8" s="111"/>
      <c r="G8" s="42"/>
      <c r="J8">
        <v>8</v>
      </c>
      <c r="L8" t="s">
        <v>37</v>
      </c>
    </row>
    <row r="9" spans="1:12" x14ac:dyDescent="0.25">
      <c r="A9" s="125">
        <f>A3+6</f>
        <v>286</v>
      </c>
      <c r="B9" s="221" t="str">
        <f t="shared" si="1"/>
        <v>Jason</v>
      </c>
      <c r="C9" s="145" t="str">
        <f t="shared" si="2"/>
        <v>Kennedy</v>
      </c>
      <c r="D9" s="135" t="str">
        <f t="shared" si="0"/>
        <v>Jason Kennedy</v>
      </c>
      <c r="E9" s="133"/>
      <c r="F9" s="111"/>
      <c r="G9" s="42"/>
      <c r="L9" t="str">
        <f>B43</f>
        <v>Line1 text</v>
      </c>
    </row>
    <row r="10" spans="1:12" x14ac:dyDescent="0.25">
      <c r="A10" s="125">
        <f>A3+7</f>
        <v>287</v>
      </c>
      <c r="B10" s="221" t="str">
        <f t="shared" si="1"/>
        <v>Jason</v>
      </c>
      <c r="C10" s="145" t="str">
        <f t="shared" si="2"/>
        <v>Kennedy</v>
      </c>
      <c r="D10" s="135" t="str">
        <f t="shared" si="0"/>
        <v>Jason Kennedy</v>
      </c>
      <c r="E10" s="133"/>
      <c r="F10" s="111"/>
      <c r="G10" s="42"/>
    </row>
    <row r="11" spans="1:12" x14ac:dyDescent="0.25">
      <c r="A11" s="125">
        <f>A3+8</f>
        <v>288</v>
      </c>
      <c r="B11" s="221" t="str">
        <f t="shared" si="1"/>
        <v>Jason</v>
      </c>
      <c r="C11" s="145" t="str">
        <f t="shared" si="2"/>
        <v>Kennedy</v>
      </c>
      <c r="D11" s="135" t="str">
        <f t="shared" si="0"/>
        <v>Jason Kennedy</v>
      </c>
      <c r="E11" s="133"/>
      <c r="F11" s="111"/>
      <c r="G11" s="42"/>
      <c r="L11" t="s">
        <v>38</v>
      </c>
    </row>
    <row r="12" spans="1:12" ht="15.75" thickBot="1" x14ac:dyDescent="0.3">
      <c r="A12" s="126">
        <f>A3+9</f>
        <v>289</v>
      </c>
      <c r="B12" s="225" t="str">
        <f t="shared" si="1"/>
        <v>Jason</v>
      </c>
      <c r="C12" s="146" t="str">
        <f t="shared" si="2"/>
        <v>Kennedy</v>
      </c>
      <c r="D12" s="136" t="str">
        <f t="shared" si="0"/>
        <v>Jason Kennedy</v>
      </c>
      <c r="E12" s="144"/>
      <c r="F12" s="138"/>
      <c r="G12" s="51"/>
      <c r="L12" t="str">
        <f>B44</f>
        <v>Line2 text</v>
      </c>
    </row>
    <row r="13" spans="1:12" ht="15.75" thickBot="1" x14ac:dyDescent="0.3">
      <c r="A13" s="118" t="s">
        <v>829</v>
      </c>
      <c r="B13" s="222" t="s">
        <v>45</v>
      </c>
      <c r="C13" s="226" t="s">
        <v>46</v>
      </c>
      <c r="D13" s="131" t="s">
        <v>56</v>
      </c>
      <c r="E13" s="131" t="s">
        <v>917</v>
      </c>
      <c r="F13" s="130" t="s">
        <v>951</v>
      </c>
      <c r="G13" s="116" t="s">
        <v>949</v>
      </c>
      <c r="H13" s="117" t="s">
        <v>835</v>
      </c>
    </row>
    <row r="14" spans="1:12" x14ac:dyDescent="0.25">
      <c r="A14" s="127">
        <f>IF('Team Info'!$B$2 = "Away",190,290)</f>
        <v>290</v>
      </c>
      <c r="B14" s="114" t="s">
        <v>1173</v>
      </c>
      <c r="C14" s="114" t="s">
        <v>1174</v>
      </c>
      <c r="D14" s="114" t="str">
        <f t="shared" ref="D14:D23" si="3">$B14 &amp; " " &amp; $C14</f>
        <v>Marissa Prinzbach</v>
      </c>
      <c r="E14" s="133"/>
      <c r="F14" s="139" t="s">
        <v>1179</v>
      </c>
      <c r="G14" s="154"/>
      <c r="L14" t="s">
        <v>39</v>
      </c>
    </row>
    <row r="15" spans="1:12" x14ac:dyDescent="0.25">
      <c r="A15" s="128">
        <f>A14+1</f>
        <v>291</v>
      </c>
      <c r="B15" s="223" t="s">
        <v>1175</v>
      </c>
      <c r="C15" s="223" t="s">
        <v>1176</v>
      </c>
      <c r="D15" s="223" t="str">
        <f t="shared" si="3"/>
        <v>Kin Yun</v>
      </c>
      <c r="E15" s="134"/>
      <c r="F15" s="140" t="s">
        <v>1180</v>
      </c>
      <c r="G15" s="115"/>
      <c r="L15" t="str">
        <f>B45</f>
        <v>Line3 text</v>
      </c>
    </row>
    <row r="16" spans="1:12" x14ac:dyDescent="0.25">
      <c r="A16" s="128">
        <f>A14+2</f>
        <v>292</v>
      </c>
      <c r="B16" s="223" t="s">
        <v>1177</v>
      </c>
      <c r="C16" s="223" t="s">
        <v>1178</v>
      </c>
      <c r="D16" s="223" t="str">
        <f t="shared" si="3"/>
        <v>Ted Hurley</v>
      </c>
      <c r="E16" s="135"/>
      <c r="F16" s="141" t="s">
        <v>1181</v>
      </c>
      <c r="G16" s="112"/>
    </row>
    <row r="17" spans="1:12" x14ac:dyDescent="0.25">
      <c r="A17" s="128">
        <f>A14+3</f>
        <v>293</v>
      </c>
      <c r="B17" s="223" t="s">
        <v>1021</v>
      </c>
      <c r="C17" s="223" t="s">
        <v>1022</v>
      </c>
      <c r="D17" s="223" t="str">
        <f t="shared" si="3"/>
        <v>First Last</v>
      </c>
      <c r="E17" s="135"/>
      <c r="F17" s="141"/>
      <c r="G17" s="112"/>
      <c r="L17" t="s">
        <v>921</v>
      </c>
    </row>
    <row r="18" spans="1:12" x14ac:dyDescent="0.25">
      <c r="A18" s="128">
        <f>A14+4</f>
        <v>294</v>
      </c>
      <c r="B18" s="223" t="s">
        <v>1021</v>
      </c>
      <c r="C18" s="223" t="s">
        <v>1022</v>
      </c>
      <c r="D18" s="223" t="str">
        <f t="shared" si="3"/>
        <v>First Last</v>
      </c>
      <c r="E18" s="135"/>
      <c r="F18" s="141"/>
      <c r="G18" s="112"/>
      <c r="L18" t="str">
        <f>B46</f>
        <v>Line4 text</v>
      </c>
    </row>
    <row r="19" spans="1:12" x14ac:dyDescent="0.25">
      <c r="A19" s="128">
        <f>A14+5</f>
        <v>295</v>
      </c>
      <c r="B19" s="223" t="s">
        <v>1021</v>
      </c>
      <c r="C19" s="223" t="s">
        <v>1022</v>
      </c>
      <c r="D19" s="223" t="str">
        <f t="shared" si="3"/>
        <v>First Last</v>
      </c>
      <c r="E19" s="135"/>
      <c r="F19" s="141"/>
      <c r="G19" s="112"/>
    </row>
    <row r="20" spans="1:12" x14ac:dyDescent="0.25">
      <c r="A20" s="128">
        <f>A14+6</f>
        <v>296</v>
      </c>
      <c r="B20" s="223" t="s">
        <v>1021</v>
      </c>
      <c r="C20" s="223" t="s">
        <v>1022</v>
      </c>
      <c r="D20" s="223" t="str">
        <f t="shared" si="3"/>
        <v>First Last</v>
      </c>
      <c r="E20" s="135"/>
      <c r="F20" s="141"/>
      <c r="G20" s="112"/>
      <c r="L20" t="s">
        <v>1051</v>
      </c>
    </row>
    <row r="21" spans="1:12" x14ac:dyDescent="0.25">
      <c r="A21" s="128">
        <f>A14+7</f>
        <v>297</v>
      </c>
      <c r="B21" s="223" t="s">
        <v>1021</v>
      </c>
      <c r="C21" s="223" t="s">
        <v>1022</v>
      </c>
      <c r="D21" s="223" t="str">
        <f t="shared" si="3"/>
        <v>First Last</v>
      </c>
      <c r="E21" s="135"/>
      <c r="F21" s="141"/>
      <c r="G21" s="112"/>
      <c r="L21" t="str">
        <f>B47</f>
        <v>Line5 text</v>
      </c>
    </row>
    <row r="22" spans="1:12" x14ac:dyDescent="0.25">
      <c r="A22" s="128">
        <f>A14+8</f>
        <v>298</v>
      </c>
      <c r="B22" s="223" t="s">
        <v>1021</v>
      </c>
      <c r="C22" s="223" t="s">
        <v>1022</v>
      </c>
      <c r="D22" s="223" t="str">
        <f t="shared" si="3"/>
        <v>First Last</v>
      </c>
      <c r="E22" s="135"/>
      <c r="F22" s="141"/>
      <c r="G22" s="112"/>
    </row>
    <row r="23" spans="1:12" ht="15.75" thickBot="1" x14ac:dyDescent="0.3">
      <c r="A23" s="129">
        <f>A14+9</f>
        <v>299</v>
      </c>
      <c r="B23" s="224" t="s">
        <v>1021</v>
      </c>
      <c r="C23" s="224" t="s">
        <v>1022</v>
      </c>
      <c r="D23" s="224" t="str">
        <f t="shared" si="3"/>
        <v>First Last</v>
      </c>
      <c r="E23" s="136"/>
      <c r="F23" s="142"/>
      <c r="G23" s="113"/>
      <c r="L23" t="s">
        <v>1052</v>
      </c>
    </row>
    <row r="24" spans="1:12" hidden="1" x14ac:dyDescent="0.25">
      <c r="A24" s="52" t="s">
        <v>829</v>
      </c>
      <c r="B24" s="52" t="s">
        <v>830</v>
      </c>
      <c r="C24" s="52" t="s">
        <v>831</v>
      </c>
      <c r="D24" s="52"/>
      <c r="E24" s="52"/>
      <c r="F24" s="52" t="s">
        <v>832</v>
      </c>
      <c r="G24" s="52" t="s">
        <v>834</v>
      </c>
      <c r="L24" t="str">
        <f>B48</f>
        <v>Line6 text</v>
      </c>
    </row>
    <row r="25" spans="1:12" hidden="1" x14ac:dyDescent="0.25">
      <c r="A25" s="53">
        <f>IF('Team Info'!$B$2 = "Away",190,290)</f>
        <v>290</v>
      </c>
      <c r="B25" s="53" t="s">
        <v>836</v>
      </c>
      <c r="C25" s="53" t="s">
        <v>837</v>
      </c>
      <c r="D25" s="53"/>
      <c r="E25" s="53"/>
      <c r="F25" s="54" t="s">
        <v>841</v>
      </c>
      <c r="G25" s="55"/>
    </row>
    <row r="26" spans="1:12" hidden="1" x14ac:dyDescent="0.25">
      <c r="A26" s="41">
        <f>A25+1</f>
        <v>291</v>
      </c>
      <c r="B26" s="38" t="s">
        <v>838</v>
      </c>
      <c r="C26" s="38" t="s">
        <v>839</v>
      </c>
      <c r="D26" s="38"/>
      <c r="E26" s="38"/>
      <c r="F26" s="45" t="s">
        <v>840</v>
      </c>
      <c r="G26" s="46"/>
      <c r="L26" t="s">
        <v>1053</v>
      </c>
    </row>
    <row r="27" spans="1:12" hidden="1" x14ac:dyDescent="0.25">
      <c r="A27" s="41">
        <f>A25+2</f>
        <v>292</v>
      </c>
      <c r="B27" s="38" t="s">
        <v>842</v>
      </c>
      <c r="C27" s="38" t="s">
        <v>842</v>
      </c>
      <c r="D27" s="38"/>
      <c r="E27" s="38"/>
      <c r="F27" s="45"/>
      <c r="G27" s="46"/>
      <c r="L27" t="str">
        <f>B49</f>
        <v>Line7 text</v>
      </c>
    </row>
    <row r="28" spans="1:12" hidden="1" x14ac:dyDescent="0.25">
      <c r="A28" s="41">
        <f>A25+3</f>
        <v>293</v>
      </c>
      <c r="B28" s="38" t="s">
        <v>842</v>
      </c>
      <c r="C28" s="38" t="s">
        <v>842</v>
      </c>
      <c r="D28" s="38"/>
      <c r="E28" s="38"/>
      <c r="F28" s="45"/>
      <c r="G28" s="46"/>
    </row>
    <row r="29" spans="1:12" hidden="1" x14ac:dyDescent="0.25">
      <c r="A29" s="41">
        <f>A25+4</f>
        <v>294</v>
      </c>
      <c r="B29" s="38" t="s">
        <v>842</v>
      </c>
      <c r="C29" s="38" t="s">
        <v>842</v>
      </c>
      <c r="D29" s="38"/>
      <c r="E29" s="38"/>
      <c r="F29" s="45"/>
      <c r="G29" s="46"/>
      <c r="L29" t="s">
        <v>1054</v>
      </c>
    </row>
    <row r="30" spans="1:12" hidden="1" x14ac:dyDescent="0.25">
      <c r="A30" s="41">
        <f>A25+5</f>
        <v>295</v>
      </c>
      <c r="B30" s="38" t="s">
        <v>842</v>
      </c>
      <c r="C30" s="38" t="s">
        <v>842</v>
      </c>
      <c r="D30" s="38"/>
      <c r="E30" s="38"/>
      <c r="F30" s="45"/>
      <c r="G30" s="46"/>
      <c r="L30" t="str">
        <f>B50</f>
        <v>Line8 text</v>
      </c>
    </row>
    <row r="31" spans="1:12" hidden="1" x14ac:dyDescent="0.25">
      <c r="A31" s="41">
        <f>A25+6</f>
        <v>296</v>
      </c>
      <c r="B31" s="38" t="s">
        <v>842</v>
      </c>
      <c r="C31" s="38" t="s">
        <v>842</v>
      </c>
      <c r="D31" s="38"/>
      <c r="E31" s="38"/>
      <c r="F31" s="45"/>
      <c r="G31" s="46"/>
    </row>
    <row r="32" spans="1:12" hidden="1" x14ac:dyDescent="0.25">
      <c r="A32" s="41">
        <f>A25+7</f>
        <v>297</v>
      </c>
      <c r="B32" s="38" t="s">
        <v>842</v>
      </c>
      <c r="C32" s="38" t="s">
        <v>842</v>
      </c>
      <c r="D32" s="38"/>
      <c r="E32" s="38"/>
      <c r="F32" s="47"/>
      <c r="G32" s="49"/>
      <c r="L32" t="s">
        <v>40</v>
      </c>
    </row>
    <row r="33" spans="1:12" hidden="1" x14ac:dyDescent="0.25">
      <c r="A33" s="41">
        <f>A25+8</f>
        <v>298</v>
      </c>
      <c r="B33" s="38" t="s">
        <v>842</v>
      </c>
      <c r="C33" s="38" t="s">
        <v>842</v>
      </c>
      <c r="D33" s="38"/>
      <c r="E33" s="38"/>
      <c r="F33" s="47"/>
      <c r="G33" s="49"/>
      <c r="L33" t="str">
        <f>B51</f>
        <v/>
      </c>
    </row>
    <row r="34" spans="1:12" ht="15.75" hidden="1" thickBot="1" x14ac:dyDescent="0.3">
      <c r="A34" s="50">
        <f>A25+9</f>
        <v>299</v>
      </c>
      <c r="B34" s="119" t="s">
        <v>842</v>
      </c>
      <c r="C34" s="119" t="s">
        <v>842</v>
      </c>
      <c r="D34" s="119"/>
      <c r="E34" s="119"/>
      <c r="F34" s="120"/>
      <c r="G34" s="121"/>
      <c r="L34" t="s">
        <v>931</v>
      </c>
    </row>
    <row r="35" spans="1:12" ht="15.75" thickBot="1" x14ac:dyDescent="0.3">
      <c r="A35" s="93" t="s">
        <v>903</v>
      </c>
      <c r="B35" s="94"/>
      <c r="C35" s="94"/>
      <c r="D35" s="94"/>
      <c r="E35" s="94"/>
      <c r="F35" s="122"/>
      <c r="G35" s="123"/>
      <c r="L35" s="29">
        <f>B37</f>
        <v>4</v>
      </c>
    </row>
    <row r="36" spans="1:12" ht="15.75" thickBot="1" x14ac:dyDescent="0.3">
      <c r="A36" s="245" t="s">
        <v>919</v>
      </c>
      <c r="B36" s="246">
        <f>IF('Team Info'!$B$2 = "Away",179,279)</f>
        <v>279</v>
      </c>
    </row>
    <row r="37" spans="1:12" ht="15.75" thickBot="1" x14ac:dyDescent="0.3">
      <c r="A37" s="228" t="s">
        <v>1034</v>
      </c>
      <c r="B37" s="229">
        <v>4</v>
      </c>
      <c r="E37" t="s">
        <v>923</v>
      </c>
    </row>
    <row r="38" spans="1:12" x14ac:dyDescent="0.25">
      <c r="A38" s="230" t="s">
        <v>32</v>
      </c>
      <c r="B38" s="244" t="str">
        <f>D3</f>
        <v>Jason Kennedy</v>
      </c>
    </row>
    <row r="39" spans="1:12" ht="15.75" thickBot="1" x14ac:dyDescent="0.3">
      <c r="A39" s="232" t="s">
        <v>944</v>
      </c>
      <c r="B39" s="233" t="s">
        <v>1050</v>
      </c>
    </row>
    <row r="40" spans="1:12" x14ac:dyDescent="0.25">
      <c r="A40" s="230" t="s">
        <v>1035</v>
      </c>
      <c r="B40" s="231">
        <v>0</v>
      </c>
      <c r="L40" s="227"/>
    </row>
    <row r="41" spans="1:12" ht="15" customHeight="1" thickBot="1" x14ac:dyDescent="0.3">
      <c r="A41" s="232" t="s">
        <v>1055</v>
      </c>
      <c r="B41" s="234" t="s">
        <v>1056</v>
      </c>
    </row>
    <row r="42" spans="1:12" ht="15.75" thickBot="1" x14ac:dyDescent="0.3">
      <c r="A42" s="235" t="s">
        <v>1036</v>
      </c>
      <c r="B42" s="236" t="s">
        <v>15</v>
      </c>
    </row>
    <row r="43" spans="1:12" ht="15" customHeight="1" x14ac:dyDescent="0.25">
      <c r="A43" s="237" t="s">
        <v>34</v>
      </c>
      <c r="B43" s="238" t="s">
        <v>1037</v>
      </c>
    </row>
    <row r="44" spans="1:12" x14ac:dyDescent="0.25">
      <c r="A44" s="239" t="s">
        <v>35</v>
      </c>
      <c r="B44" s="240" t="s">
        <v>1038</v>
      </c>
    </row>
    <row r="45" spans="1:12" ht="15" customHeight="1" x14ac:dyDescent="0.25">
      <c r="A45" s="239" t="s">
        <v>36</v>
      </c>
      <c r="B45" s="240" t="s">
        <v>1039</v>
      </c>
    </row>
    <row r="46" spans="1:12" ht="15.75" thickBot="1" x14ac:dyDescent="0.3">
      <c r="A46" s="239" t="s">
        <v>920</v>
      </c>
      <c r="B46" s="240" t="s">
        <v>1040</v>
      </c>
    </row>
    <row r="47" spans="1:12" ht="15" hidden="1" customHeight="1" x14ac:dyDescent="0.25">
      <c r="A47" s="239" t="s">
        <v>1041</v>
      </c>
      <c r="B47" s="240" t="s">
        <v>1042</v>
      </c>
    </row>
    <row r="48" spans="1:12" hidden="1" x14ac:dyDescent="0.25">
      <c r="A48" s="239" t="s">
        <v>1043</v>
      </c>
      <c r="B48" s="240" t="s">
        <v>1044</v>
      </c>
    </row>
    <row r="49" spans="1:2" hidden="1" x14ac:dyDescent="0.25">
      <c r="A49" s="239" t="s">
        <v>1045</v>
      </c>
      <c r="B49" s="240" t="s">
        <v>1046</v>
      </c>
    </row>
    <row r="50" spans="1:2" ht="15.75" hidden="1" thickBot="1" x14ac:dyDescent="0.3">
      <c r="A50" s="241" t="s">
        <v>1047</v>
      </c>
      <c r="B50" s="242" t="s">
        <v>1048</v>
      </c>
    </row>
    <row r="51" spans="1:2" ht="15.75" thickBot="1" x14ac:dyDescent="0.3">
      <c r="A51" s="228" t="s">
        <v>1049</v>
      </c>
      <c r="B51" s="243" t="s">
        <v>932</v>
      </c>
    </row>
    <row r="52" spans="1:2" x14ac:dyDescent="0.25">
      <c r="A52" t="s">
        <v>1019</v>
      </c>
    </row>
  </sheetData>
  <customSheetViews>
    <customSheetView guid="{792F7DB4-F0C7-4F6F-9D44-1CA398E3F0DC}" hiddenRows="1" topLeftCell="A3">
      <selection activeCell="D53" sqref="D53"/>
      <pageMargins left="0.7" right="0.7" top="0.75" bottom="0.75" header="0.3" footer="0.3"/>
      <pageSetup orientation="portrait" r:id="rId1"/>
    </customSheetView>
    <customSheetView guid="{BE266B8E-38B0-4631-9C30-67CA48A8BD7F}" hiddenRows="1">
      <selection activeCell="E13" sqref="E13"/>
      <pageMargins left="0.7" right="0.7" top="0.75" bottom="0.75" header="0.3" footer="0.3"/>
      <pageSetup orientation="portrait" r:id="rId2"/>
    </customSheetView>
    <customSheetView guid="{BD1DF852-269B-4C2F-AF89-1FA576EA4603}" hiddenRows="1" hiddenColumns="1">
      <selection activeCell="I1" sqref="I1:L1048576"/>
      <pageMargins left="0.7" right="0.7" top="0.75" bottom="0.75" header="0.3" footer="0.3"/>
      <pageSetup orientation="portrait" r:id="rId3"/>
    </customSheetView>
    <customSheetView guid="{6A3B2C41-2DBC-4B17-AB58-12C85E3A6B8A}" hiddenRows="1">
      <selection activeCell="C2" sqref="C2"/>
      <pageMargins left="0.7" right="0.7" top="0.75" bottom="0.75" header="0.3" footer="0.3"/>
      <pageSetup orientation="portrait" r:id="rId4"/>
    </customSheetView>
    <customSheetView guid="{9DC468DE-D883-45B4-B188-265B9DA68425}" hiddenColumns="1">
      <selection activeCell="D23" sqref="D23:D33"/>
      <pageMargins left="0.7" right="0.7" top="0.75" bottom="0.75" header="0.3" footer="0.3"/>
      <pageSetup orientation="portrait" r:id="rId5"/>
    </customSheetView>
    <customSheetView guid="{6960175A-17E1-4BDD-98F7-6E9A590B8B7F}" hiddenColumns="1">
      <selection activeCell="H25" sqref="H25"/>
      <pageMargins left="0.7" right="0.7" top="0.75" bottom="0.75" header="0.3" footer="0.3"/>
      <pageSetup orientation="portrait" r:id="rId6"/>
    </customSheetView>
    <customSheetView guid="{DB365F32-166D-4348-BCE9-F0F1DB0B73A9}" hiddenColumns="1">
      <selection activeCell="D23" sqref="D23:D33"/>
      <pageMargins left="0.7" right="0.7" top="0.75" bottom="0.75" header="0.3" footer="0.3"/>
      <pageSetup orientation="portrait" r:id="rId7"/>
    </customSheetView>
    <customSheetView guid="{6EDF2E63-E51E-449A-B1C5-EFB1FD6A259C}" hiddenColumns="1">
      <selection activeCell="D23" sqref="D23:D33"/>
      <pageMargins left="0.7" right="0.7" top="0.75" bottom="0.75" header="0.3" footer="0.3"/>
      <pageSetup orientation="portrait" r:id="rId8"/>
    </customSheetView>
    <customSheetView guid="{46B088B4-7F51-4D35-9F00-2268626FA819}" hiddenRows="1">
      <selection activeCell="E13" sqref="E13"/>
      <pageMargins left="0.7" right="0.7" top="0.75" bottom="0.75" header="0.3" footer="0.3"/>
      <pageSetup orientation="portrait" r:id="rId9"/>
    </customSheetView>
    <customSheetView guid="{42F19D52-E208-414F-9E2E-506DF902926F}" hiddenRows="1">
      <selection activeCell="B36" sqref="B36"/>
      <pageMargins left="0.7" right="0.7" top="0.75" bottom="0.75" header="0.3" footer="0.3"/>
      <pageSetup orientation="portrait" r:id="rId10"/>
    </customSheetView>
    <customSheetView guid="{AC8CA20A-2130-4ED2-A745-85677B08F97C}" hiddenRows="1" hiddenColumns="1">
      <selection activeCell="I1" sqref="I1:L1048576"/>
      <pageMargins left="0.7" right="0.7" top="0.75" bottom="0.75" header="0.3" footer="0.3"/>
      <pageSetup orientation="portrait" r:id="rId11"/>
    </customSheetView>
    <customSheetView guid="{2F318324-B2A5-4EFB-BB30-8D1AF11C1A9F}" hiddenRows="1" topLeftCell="D1">
      <selection activeCell="F16" sqref="F16"/>
      <pageMargins left="0.7" right="0.7" top="0.75" bottom="0.75" header="0.3" footer="0.3"/>
      <pageSetup orientation="portrait" r:id="rId12"/>
    </customSheetView>
  </customSheetViews>
  <dataValidations count="1">
    <dataValidation type="list" allowBlank="1" showInputMessage="1" showErrorMessage="1" sqref="B37" xr:uid="{00000000-0002-0000-0100-000000000000}">
      <formula1>$J$2:$J$8</formula1>
    </dataValidation>
  </dataValidations>
  <pageMargins left="0.7" right="0.7" top="0.75" bottom="0.75" header="0.3" footer="0.3"/>
  <pageSetup orientation="portrait" r:id="rId1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1000000}">
          <x14:formula1>
            <xm:f>LOGOS!$A$2:$A$374</xm:f>
          </x14:formula1>
          <xm:sqref>B42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104"/>
  <sheetViews>
    <sheetView topLeftCell="B1" zoomScaleNormal="100" zoomScaleSheetLayoutView="100" workbookViewId="0">
      <pane ySplit="2" topLeftCell="A87" activePane="bottomLeft" state="frozen"/>
      <selection activeCell="B1" sqref="B1"/>
      <selection pane="bottomLeft" activeCell="L17" sqref="L17"/>
    </sheetView>
  </sheetViews>
  <sheetFormatPr defaultColWidth="9.140625" defaultRowHeight="15" x14ac:dyDescent="0.25"/>
  <cols>
    <col min="3" max="7" width="12.7109375" customWidth="1"/>
    <col min="8" max="8" width="12.7109375" hidden="1" customWidth="1"/>
    <col min="9" max="9" width="20.7109375" customWidth="1"/>
    <col min="10" max="10" width="15.85546875" customWidth="1"/>
    <col min="11" max="11" width="12.7109375" customWidth="1"/>
    <col min="12" max="13" width="20.7109375" customWidth="1"/>
    <col min="14" max="14" width="9.140625" style="9" customWidth="1"/>
    <col min="15" max="15" width="9.140625" hidden="1" customWidth="1"/>
    <col min="16" max="16" width="15.7109375" hidden="1" customWidth="1"/>
    <col min="17" max="17" width="11.5703125" hidden="1" customWidth="1"/>
    <col min="18" max="19" width="60.7109375" hidden="1" customWidth="1"/>
    <col min="20" max="20" width="20.7109375" hidden="1" customWidth="1"/>
    <col min="21" max="21" width="15.7109375" hidden="1" customWidth="1"/>
    <col min="22" max="22" width="6.7109375" hidden="1" customWidth="1"/>
    <col min="23" max="23" width="20.7109375" hidden="1" customWidth="1"/>
    <col min="24" max="26" width="12.7109375" hidden="1" customWidth="1"/>
    <col min="27" max="28" width="15.7109375" customWidth="1"/>
  </cols>
  <sheetData>
    <row r="1" spans="1:30" x14ac:dyDescent="0.25">
      <c r="A1" s="19" t="s">
        <v>41</v>
      </c>
      <c r="B1" s="106" t="s">
        <v>909</v>
      </c>
      <c r="C1" s="107"/>
      <c r="D1" s="107"/>
      <c r="E1" s="107"/>
      <c r="F1" s="107"/>
      <c r="G1" s="107"/>
      <c r="H1" s="107"/>
      <c r="I1" s="202" t="s">
        <v>986</v>
      </c>
      <c r="J1" s="107"/>
      <c r="K1" s="203" t="s">
        <v>987</v>
      </c>
      <c r="L1" s="107"/>
      <c r="M1" s="108"/>
    </row>
    <row r="2" spans="1:30" x14ac:dyDescent="0.25">
      <c r="A2" s="60"/>
      <c r="B2" s="102"/>
      <c r="C2" s="103"/>
      <c r="D2" s="103"/>
      <c r="E2" s="155" t="s">
        <v>1013</v>
      </c>
      <c r="F2" s="103"/>
      <c r="G2" s="103"/>
      <c r="H2" s="103" t="s">
        <v>42</v>
      </c>
      <c r="I2" s="103"/>
      <c r="J2" s="105" t="s">
        <v>908</v>
      </c>
      <c r="K2" s="104" t="s">
        <v>910</v>
      </c>
      <c r="L2" s="104"/>
      <c r="M2" s="109" t="s">
        <v>911</v>
      </c>
    </row>
    <row r="3" spans="1:30" x14ac:dyDescent="0.25">
      <c r="A3" s="25" t="s">
        <v>43</v>
      </c>
      <c r="B3" s="98" t="s">
        <v>44</v>
      </c>
      <c r="C3" s="99" t="s">
        <v>45</v>
      </c>
      <c r="D3" s="99" t="s">
        <v>46</v>
      </c>
      <c r="E3" s="100" t="s">
        <v>47</v>
      </c>
      <c r="F3" s="100" t="s">
        <v>48</v>
      </c>
      <c r="G3" s="100" t="s">
        <v>49</v>
      </c>
      <c r="H3" s="100" t="s">
        <v>50</v>
      </c>
      <c r="I3" s="101" t="s">
        <v>51</v>
      </c>
      <c r="J3" s="100" t="s">
        <v>52</v>
      </c>
      <c r="K3" s="100" t="s">
        <v>984</v>
      </c>
      <c r="L3" s="4" t="s">
        <v>922</v>
      </c>
      <c r="M3" s="4" t="s">
        <v>845</v>
      </c>
      <c r="N3" s="4" t="s">
        <v>942</v>
      </c>
      <c r="O3" s="20" t="s">
        <v>53</v>
      </c>
      <c r="P3" s="20" t="s">
        <v>54</v>
      </c>
      <c r="Q3" s="56" t="s">
        <v>52</v>
      </c>
      <c r="R3" s="21" t="s">
        <v>55</v>
      </c>
      <c r="S3" s="21" t="s">
        <v>926</v>
      </c>
      <c r="T3" s="3" t="s">
        <v>56</v>
      </c>
      <c r="U3" s="3" t="s">
        <v>57</v>
      </c>
      <c r="V3" s="57" t="s">
        <v>52</v>
      </c>
      <c r="W3" s="147" t="s">
        <v>924</v>
      </c>
      <c r="X3" s="147" t="s">
        <v>830</v>
      </c>
      <c r="Y3" s="147" t="s">
        <v>831</v>
      </c>
      <c r="Z3" s="147" t="s">
        <v>925</v>
      </c>
      <c r="AA3" s="147" t="s">
        <v>1015</v>
      </c>
      <c r="AB3" s="147" t="s">
        <v>1016</v>
      </c>
      <c r="AC3" s="218"/>
      <c r="AD3" s="218"/>
    </row>
    <row r="4" spans="1:30" x14ac:dyDescent="0.25">
      <c r="A4" s="26">
        <v>1</v>
      </c>
      <c r="B4" s="5">
        <v>1</v>
      </c>
      <c r="C4" s="6" t="s">
        <v>1182</v>
      </c>
      <c r="D4" s="6" t="s">
        <v>1183</v>
      </c>
      <c r="E4" s="7" t="s">
        <v>1184</v>
      </c>
      <c r="F4" s="7" t="s">
        <v>1185</v>
      </c>
      <c r="G4" s="7"/>
      <c r="H4" s="35"/>
      <c r="I4" s="8" t="s">
        <v>1186</v>
      </c>
      <c r="J4" s="7">
        <v>3</v>
      </c>
      <c r="K4" s="7"/>
      <c r="L4" s="7"/>
      <c r="M4" s="7"/>
      <c r="N4" s="9">
        <f>IF(K3="Header", 0, 1)</f>
        <v>1</v>
      </c>
      <c r="O4" s="150">
        <f ca="1">INT(YEARFRAC($H4, TODAY()))</f>
        <v>124</v>
      </c>
      <c r="P4" s="150" t="str">
        <f>IF($E4="OPP","Opposite",IF($E4="OH","Outside Hitter",IF($E4="MB","Middle Blocker",IF($E4="S","Setter",IF($E4="L","Libero","")))))</f>
        <v>Setter</v>
      </c>
      <c r="Q4" s="151" t="str">
        <f>IF($J4=4,"Senior",IF($J4=3,"Junior",IF($J4=2,"Sophomore",IF($J4=1,"Freshman",""))))</f>
        <v>Junior</v>
      </c>
      <c r="R4" s="149" t="str">
        <f>"D:\IMS Images\Headshots\VB\"&amp;'Team Info'!$B$12&amp;"\"&amp;D4&amp;"_"&amp;C4&amp;".png"</f>
        <v>D:\IMS Images\Headshots\VB\AKRON\Penn_Grace.png</v>
      </c>
      <c r="S4" s="149" t="str">
        <f>"D:\IMS Images\ActionShots\VB\"&amp;'Team Info'!$B$12&amp;"\"&amp;D4&amp;"_"&amp;C4&amp;".png"</f>
        <v>D:\IMS Images\ActionShots\VB\AKRON\Penn_Grace.png</v>
      </c>
      <c r="T4" s="148" t="str">
        <f t="shared" ref="T4:T35" si="0">C4&amp;" "&amp;D4</f>
        <v>Grace Penn</v>
      </c>
      <c r="U4" s="148" t="str">
        <f t="shared" ref="U4:U35" si="1">LEFT(C4,1)&amp;". "&amp;D4</f>
        <v>G. Penn</v>
      </c>
      <c r="V4" s="148" t="str">
        <f>IF($J4=4,"SR",IF($J4=3,"JR",IF($J4=2,"SO",IF($J4=1,"FR",""))))</f>
        <v>JR</v>
      </c>
      <c r="W4" s="148" t="str">
        <f>UPPER(T4)</f>
        <v>GRACE PENN</v>
      </c>
      <c r="X4" s="148" t="str">
        <f>UPPER(C4)</f>
        <v>GRACE</v>
      </c>
      <c r="Y4" s="148" t="str">
        <f>UPPER(D4)</f>
        <v>PENN</v>
      </c>
      <c r="Z4" s="148" t="str">
        <f>UPPER(Q4)</f>
        <v>JUNIOR</v>
      </c>
      <c r="AA4" s="148" t="str">
        <f>B4 &amp; " " &amp;D4</f>
        <v>1 Penn</v>
      </c>
      <c r="AB4" s="148" t="str">
        <f>UPPER(AA4)</f>
        <v>1 PENN</v>
      </c>
    </row>
    <row r="5" spans="1:30" x14ac:dyDescent="0.25">
      <c r="A5" s="26">
        <v>2</v>
      </c>
      <c r="B5" s="5">
        <v>2</v>
      </c>
      <c r="C5" s="6" t="s">
        <v>1187</v>
      </c>
      <c r="D5" s="6" t="s">
        <v>1188</v>
      </c>
      <c r="E5" s="7" t="s">
        <v>1189</v>
      </c>
      <c r="F5" s="7" t="s">
        <v>1190</v>
      </c>
      <c r="G5" s="7"/>
      <c r="H5" s="35"/>
      <c r="I5" s="8" t="s">
        <v>1191</v>
      </c>
      <c r="J5" s="7">
        <v>4</v>
      </c>
      <c r="K5" s="7"/>
      <c r="L5" s="7"/>
      <c r="M5" s="7"/>
      <c r="O5" s="150">
        <f t="shared" ref="O5:O68" ca="1" si="2">INT(YEARFRAC($H5, TODAY()))</f>
        <v>124</v>
      </c>
      <c r="P5" s="150" t="str">
        <f t="shared" ref="P5:P68" si="3">IF($E5="OPP","Opposite",IF($E5="OH","Outside Hitter",IF($E5="MB","Middle Blocker",IF($E5="S","Setter",IF($E5="L","Libero","")))))</f>
        <v>Outside Hitter</v>
      </c>
      <c r="Q5" s="151" t="str">
        <f t="shared" ref="Q5:Q68" si="4">IF($J5=4,"Senior",IF($J5=3,"Junior",IF($J5=2,"Sophomore",IF($J5=1,"Freshman",""))))</f>
        <v>Senior</v>
      </c>
      <c r="R5" s="149" t="str">
        <f>"D:\IMS Images\Headshots\VB\"&amp;'Team Info'!$B$12&amp;"\"&amp;D5&amp;"_"&amp;C5&amp;".png"</f>
        <v>D:\IMS Images\Headshots\VB\AKRON\Ianeselli_Silvia.png</v>
      </c>
      <c r="S5" s="149" t="str">
        <f>"D:\IMS Images\ActionShots\VB\"&amp;'Team Info'!$B$12&amp;"\"&amp;D5&amp;"_"&amp;C5&amp;".png"</f>
        <v>D:\IMS Images\ActionShots\VB\AKRON\Ianeselli_Silvia.png</v>
      </c>
      <c r="T5" s="148" t="str">
        <f t="shared" si="0"/>
        <v>Silvia Ianeselli</v>
      </c>
      <c r="U5" s="148" t="str">
        <f t="shared" si="1"/>
        <v>S. Ianeselli</v>
      </c>
      <c r="V5" s="148" t="str">
        <f t="shared" ref="V5:V68" si="5">IF($J5=4,"SR",IF($J5=3,"JR",IF($J5=2,"SO",IF($J5=1,"FR",""))))</f>
        <v>SR</v>
      </c>
      <c r="W5" s="148" t="str">
        <f t="shared" ref="W5:W68" si="6">UPPER(T5)</f>
        <v>SILVIA IANESELLI</v>
      </c>
      <c r="X5" s="148" t="str">
        <f t="shared" ref="X5:X68" si="7">UPPER(C5)</f>
        <v>SILVIA</v>
      </c>
      <c r="Y5" s="148" t="str">
        <f t="shared" ref="Y5:Y68" si="8">UPPER(D5)</f>
        <v>IANESELLI</v>
      </c>
      <c r="Z5" s="148" t="str">
        <f t="shared" ref="Z5:Z68" si="9">UPPER(Q5)</f>
        <v>SENIOR</v>
      </c>
      <c r="AA5" s="148" t="str">
        <f t="shared" ref="AA5:AA68" si="10">B5 &amp; " " &amp;D5</f>
        <v>2 Ianeselli</v>
      </c>
      <c r="AB5" s="148" t="str">
        <f t="shared" ref="AB5:AB68" si="11">UPPER(AA5)</f>
        <v>2 IANESELLI</v>
      </c>
    </row>
    <row r="6" spans="1:30" x14ac:dyDescent="0.25">
      <c r="A6" s="26">
        <v>3</v>
      </c>
      <c r="B6" s="5">
        <v>3</v>
      </c>
      <c r="C6" s="6"/>
      <c r="D6" s="6"/>
      <c r="E6" s="7"/>
      <c r="F6" s="7"/>
      <c r="G6" s="7"/>
      <c r="H6" s="35"/>
      <c r="I6" s="8"/>
      <c r="J6" s="7"/>
      <c r="K6" s="7"/>
      <c r="L6" s="7"/>
      <c r="M6" s="7"/>
      <c r="O6" s="150">
        <f t="shared" ca="1" si="2"/>
        <v>124</v>
      </c>
      <c r="P6" s="150" t="str">
        <f t="shared" si="3"/>
        <v/>
      </c>
      <c r="Q6" s="151" t="str">
        <f t="shared" si="4"/>
        <v/>
      </c>
      <c r="R6" s="149" t="str">
        <f>"D:\IMS Images\Headshots\VB\"&amp;'Team Info'!$B$12&amp;"\"&amp;D6&amp;"_"&amp;C6&amp;".png"</f>
        <v>D:\IMS Images\Headshots\VB\AKRON\_.png</v>
      </c>
      <c r="S6" s="149" t="str">
        <f>"D:\IMS Images\ActionShots\VB\"&amp;'Team Info'!$B$12&amp;"\"&amp;D6&amp;"_"&amp;C6&amp;".png"</f>
        <v>D:\IMS Images\ActionShots\VB\AKRON\_.png</v>
      </c>
      <c r="T6" s="148" t="str">
        <f t="shared" si="0"/>
        <v xml:space="preserve"> </v>
      </c>
      <c r="U6" s="148" t="str">
        <f t="shared" si="1"/>
        <v xml:space="preserve">. </v>
      </c>
      <c r="V6" s="148" t="str">
        <f t="shared" si="5"/>
        <v/>
      </c>
      <c r="W6" s="148" t="str">
        <f t="shared" si="6"/>
        <v xml:space="preserve"> </v>
      </c>
      <c r="X6" s="148" t="str">
        <f t="shared" si="7"/>
        <v/>
      </c>
      <c r="Y6" s="148" t="str">
        <f t="shared" si="8"/>
        <v/>
      </c>
      <c r="Z6" s="148" t="str">
        <f t="shared" si="9"/>
        <v/>
      </c>
      <c r="AA6" s="148" t="str">
        <f t="shared" si="10"/>
        <v xml:space="preserve">3 </v>
      </c>
      <c r="AB6" s="148" t="str">
        <f t="shared" si="11"/>
        <v xml:space="preserve">3 </v>
      </c>
    </row>
    <row r="7" spans="1:30" x14ac:dyDescent="0.25">
      <c r="A7" s="26">
        <v>4</v>
      </c>
      <c r="B7" s="5">
        <v>4</v>
      </c>
      <c r="C7" s="6" t="s">
        <v>1192</v>
      </c>
      <c r="D7" s="6" t="s">
        <v>1193</v>
      </c>
      <c r="E7" s="7" t="s">
        <v>1014</v>
      </c>
      <c r="F7" s="7" t="s">
        <v>1194</v>
      </c>
      <c r="G7" s="7"/>
      <c r="H7" s="35"/>
      <c r="I7" s="8" t="s">
        <v>1195</v>
      </c>
      <c r="J7" s="7">
        <v>3</v>
      </c>
      <c r="K7" s="7"/>
      <c r="L7" s="7"/>
      <c r="M7" s="7"/>
      <c r="N7" s="9" t="s">
        <v>985</v>
      </c>
      <c r="O7" s="150">
        <f t="shared" ca="1" si="2"/>
        <v>124</v>
      </c>
      <c r="P7" s="150" t="str">
        <f t="shared" si="3"/>
        <v>Libero</v>
      </c>
      <c r="Q7" s="151" t="str">
        <f t="shared" si="4"/>
        <v>Junior</v>
      </c>
      <c r="R7" s="149" t="str">
        <f>"D:\IMS Images\Headshots\VB\"&amp;'Team Info'!$B$12&amp;"\"&amp;D7&amp;"_"&amp;C7&amp;".png"</f>
        <v>D:\IMS Images\Headshots\VB\AKRON\Murphy_Anna.png</v>
      </c>
      <c r="S7" s="149" t="str">
        <f>"D:\IMS Images\ActionShots\VB\"&amp;'Team Info'!$B$12&amp;"\"&amp;D7&amp;"_"&amp;C7&amp;".png"</f>
        <v>D:\IMS Images\ActionShots\VB\AKRON\Murphy_Anna.png</v>
      </c>
      <c r="T7" s="148" t="str">
        <f t="shared" si="0"/>
        <v>Anna Murphy</v>
      </c>
      <c r="U7" s="148" t="str">
        <f t="shared" si="1"/>
        <v>A. Murphy</v>
      </c>
      <c r="V7" s="148" t="str">
        <f t="shared" si="5"/>
        <v>JR</v>
      </c>
      <c r="W7" s="148" t="str">
        <f t="shared" si="6"/>
        <v>ANNA MURPHY</v>
      </c>
      <c r="X7" s="148" t="str">
        <f t="shared" si="7"/>
        <v>ANNA</v>
      </c>
      <c r="Y7" s="148" t="str">
        <f t="shared" si="8"/>
        <v>MURPHY</v>
      </c>
      <c r="Z7" s="148" t="str">
        <f t="shared" si="9"/>
        <v>JUNIOR</v>
      </c>
      <c r="AA7" s="148" t="str">
        <f t="shared" si="10"/>
        <v>4 Murphy</v>
      </c>
      <c r="AB7" s="148" t="str">
        <f t="shared" si="11"/>
        <v>4 MURPHY</v>
      </c>
    </row>
    <row r="8" spans="1:30" x14ac:dyDescent="0.25">
      <c r="A8" s="26">
        <v>5</v>
      </c>
      <c r="B8" s="5">
        <v>5</v>
      </c>
      <c r="C8" s="6" t="s">
        <v>1196</v>
      </c>
      <c r="D8" s="6" t="s">
        <v>1197</v>
      </c>
      <c r="E8" s="7" t="s">
        <v>1184</v>
      </c>
      <c r="F8" s="7" t="s">
        <v>1198</v>
      </c>
      <c r="G8" s="7"/>
      <c r="H8" s="35"/>
      <c r="I8" s="8" t="s">
        <v>1199</v>
      </c>
      <c r="J8" s="7">
        <v>3</v>
      </c>
      <c r="K8" s="7"/>
      <c r="L8" s="7"/>
      <c r="M8" s="7"/>
      <c r="N8" s="9" t="s">
        <v>917</v>
      </c>
      <c r="O8" s="150">
        <f t="shared" ca="1" si="2"/>
        <v>124</v>
      </c>
      <c r="P8" s="150" t="str">
        <f t="shared" si="3"/>
        <v>Setter</v>
      </c>
      <c r="Q8" s="151" t="str">
        <f t="shared" si="4"/>
        <v>Junior</v>
      </c>
      <c r="R8" s="149" t="str">
        <f>"D:\IMS Images\Headshots\VB\"&amp;'Team Info'!$B$12&amp;"\"&amp;D8&amp;"_"&amp;C8&amp;".png"</f>
        <v>D:\IMS Images\Headshots\VB\AKRON\Lambros_Sophia.png</v>
      </c>
      <c r="S8" s="149" t="str">
        <f>"D:\IMS Images\ActionShots\VB\"&amp;'Team Info'!$B$12&amp;"\"&amp;D8&amp;"_"&amp;C8&amp;".png"</f>
        <v>D:\IMS Images\ActionShots\VB\AKRON\Lambros_Sophia.png</v>
      </c>
      <c r="T8" s="148" t="str">
        <f t="shared" si="0"/>
        <v>Sophia Lambros</v>
      </c>
      <c r="U8" s="148" t="str">
        <f t="shared" si="1"/>
        <v>S. Lambros</v>
      </c>
      <c r="V8" s="148" t="str">
        <f t="shared" si="5"/>
        <v>JR</v>
      </c>
      <c r="W8" s="148" t="str">
        <f t="shared" si="6"/>
        <v>SOPHIA LAMBROS</v>
      </c>
      <c r="X8" s="148" t="str">
        <f t="shared" si="7"/>
        <v>SOPHIA</v>
      </c>
      <c r="Y8" s="148" t="str">
        <f t="shared" si="8"/>
        <v>LAMBROS</v>
      </c>
      <c r="Z8" s="148" t="str">
        <f t="shared" si="9"/>
        <v>JUNIOR</v>
      </c>
      <c r="AA8" s="148" t="str">
        <f t="shared" si="10"/>
        <v>5 Lambros</v>
      </c>
      <c r="AB8" s="148" t="str">
        <f t="shared" si="11"/>
        <v>5 LAMBROS</v>
      </c>
    </row>
    <row r="9" spans="1:30" x14ac:dyDescent="0.25">
      <c r="A9" s="26">
        <v>6</v>
      </c>
      <c r="B9" s="5">
        <v>6</v>
      </c>
      <c r="C9" s="6" t="s">
        <v>1200</v>
      </c>
      <c r="D9" s="6" t="s">
        <v>1201</v>
      </c>
      <c r="E9" s="7" t="s">
        <v>1202</v>
      </c>
      <c r="F9" s="7" t="s">
        <v>1203</v>
      </c>
      <c r="G9" s="7"/>
      <c r="H9" s="7"/>
      <c r="I9" s="8" t="s">
        <v>1204</v>
      </c>
      <c r="J9" s="7">
        <v>2</v>
      </c>
      <c r="K9" s="7"/>
      <c r="L9" s="7"/>
      <c r="M9" s="7"/>
      <c r="N9" s="9" t="s">
        <v>984</v>
      </c>
      <c r="O9" s="150">
        <f t="shared" ca="1" si="2"/>
        <v>124</v>
      </c>
      <c r="P9" s="150" t="str">
        <f t="shared" si="3"/>
        <v/>
      </c>
      <c r="Q9" s="151" t="str">
        <f t="shared" si="4"/>
        <v>Sophomore</v>
      </c>
      <c r="R9" s="149" t="str">
        <f>"D:\IMS Images\Headshots\VB\"&amp;'Team Info'!$B$12&amp;"\"&amp;D9&amp;"_"&amp;C9&amp;".png"</f>
        <v>D:\IMS Images\Headshots\VB\AKRON\Pollock_Jenna.png</v>
      </c>
      <c r="S9" s="149" t="str">
        <f>"D:\IMS Images\ActionShots\VB\"&amp;'Team Info'!$B$12&amp;"\"&amp;D9&amp;"_"&amp;C9&amp;".png"</f>
        <v>D:\IMS Images\ActionShots\VB\AKRON\Pollock_Jenna.png</v>
      </c>
      <c r="T9" s="148" t="str">
        <f t="shared" si="0"/>
        <v>Jenna Pollock</v>
      </c>
      <c r="U9" s="148" t="str">
        <f t="shared" si="1"/>
        <v>J. Pollock</v>
      </c>
      <c r="V9" s="148" t="str">
        <f t="shared" si="5"/>
        <v>SO</v>
      </c>
      <c r="W9" s="148" t="str">
        <f t="shared" si="6"/>
        <v>JENNA POLLOCK</v>
      </c>
      <c r="X9" s="148" t="str">
        <f t="shared" si="7"/>
        <v>JENNA</v>
      </c>
      <c r="Y9" s="148" t="str">
        <f t="shared" si="8"/>
        <v>POLLOCK</v>
      </c>
      <c r="Z9" s="148" t="str">
        <f t="shared" si="9"/>
        <v>SOPHOMORE</v>
      </c>
      <c r="AA9" s="148" t="str">
        <f t="shared" si="10"/>
        <v>6 Pollock</v>
      </c>
      <c r="AB9" s="148" t="str">
        <f t="shared" si="11"/>
        <v>6 POLLOCK</v>
      </c>
    </row>
    <row r="10" spans="1:30" x14ac:dyDescent="0.25">
      <c r="A10" s="26">
        <v>7</v>
      </c>
      <c r="B10" s="5">
        <v>7</v>
      </c>
      <c r="C10" s="6"/>
      <c r="D10" s="6"/>
      <c r="E10" s="7"/>
      <c r="F10" s="7"/>
      <c r="G10" s="7"/>
      <c r="H10" s="7"/>
      <c r="I10" s="8"/>
      <c r="J10" s="7"/>
      <c r="K10" s="7"/>
      <c r="L10" s="7"/>
      <c r="M10" s="7"/>
      <c r="O10" s="150">
        <f t="shared" ca="1" si="2"/>
        <v>124</v>
      </c>
      <c r="P10" s="150" t="str">
        <f t="shared" si="3"/>
        <v/>
      </c>
      <c r="Q10" s="151" t="str">
        <f t="shared" si="4"/>
        <v/>
      </c>
      <c r="R10" s="149" t="str">
        <f>"D:\IMS Images\Headshots\VB\"&amp;'Team Info'!$B$12&amp;"\"&amp;D10&amp;"_"&amp;C10&amp;".png"</f>
        <v>D:\IMS Images\Headshots\VB\AKRON\_.png</v>
      </c>
      <c r="S10" s="149" t="str">
        <f>"D:\IMS Images\ActionShots\VB\"&amp;'Team Info'!$B$12&amp;"\"&amp;D10&amp;"_"&amp;C10&amp;".png"</f>
        <v>D:\IMS Images\ActionShots\VB\AKRON\_.png</v>
      </c>
      <c r="T10" s="148" t="str">
        <f t="shared" si="0"/>
        <v xml:space="preserve"> </v>
      </c>
      <c r="U10" s="148" t="str">
        <f t="shared" si="1"/>
        <v xml:space="preserve">. </v>
      </c>
      <c r="V10" s="148" t="str">
        <f t="shared" si="5"/>
        <v/>
      </c>
      <c r="W10" s="148" t="str">
        <f t="shared" si="6"/>
        <v xml:space="preserve"> </v>
      </c>
      <c r="X10" s="148" t="str">
        <f t="shared" si="7"/>
        <v/>
      </c>
      <c r="Y10" s="148" t="str">
        <f t="shared" si="8"/>
        <v/>
      </c>
      <c r="Z10" s="148" t="str">
        <f t="shared" si="9"/>
        <v/>
      </c>
      <c r="AA10" s="148" t="str">
        <f t="shared" si="10"/>
        <v xml:space="preserve">7 </v>
      </c>
      <c r="AB10" s="148" t="str">
        <f t="shared" si="11"/>
        <v xml:space="preserve">7 </v>
      </c>
    </row>
    <row r="11" spans="1:30" x14ac:dyDescent="0.25">
      <c r="A11" s="26">
        <v>8</v>
      </c>
      <c r="B11" s="5">
        <v>8</v>
      </c>
      <c r="C11" s="6"/>
      <c r="D11" s="6"/>
      <c r="E11" s="7"/>
      <c r="F11" s="7"/>
      <c r="G11" s="7"/>
      <c r="H11" s="7"/>
      <c r="I11" s="8"/>
      <c r="J11" s="7"/>
      <c r="K11" s="7"/>
      <c r="L11" s="7"/>
      <c r="M11" s="7"/>
      <c r="O11" s="150">
        <f t="shared" ca="1" si="2"/>
        <v>124</v>
      </c>
      <c r="P11" s="150" t="str">
        <f t="shared" si="3"/>
        <v/>
      </c>
      <c r="Q11" s="151" t="str">
        <f t="shared" si="4"/>
        <v/>
      </c>
      <c r="R11" s="149" t="str">
        <f>"D:\IMS Images\Headshots\VB\"&amp;'Team Info'!$B$12&amp;"\"&amp;D11&amp;"_"&amp;C11&amp;".png"</f>
        <v>D:\IMS Images\Headshots\VB\AKRON\_.png</v>
      </c>
      <c r="S11" s="149" t="str">
        <f>"D:\IMS Images\ActionShots\VB\"&amp;'Team Info'!$B$12&amp;"\"&amp;D11&amp;"_"&amp;C11&amp;".png"</f>
        <v>D:\IMS Images\ActionShots\VB\AKRON\_.png</v>
      </c>
      <c r="T11" s="148" t="str">
        <f t="shared" si="0"/>
        <v xml:space="preserve"> </v>
      </c>
      <c r="U11" s="148" t="str">
        <f t="shared" si="1"/>
        <v xml:space="preserve">. </v>
      </c>
      <c r="V11" s="148" t="str">
        <f t="shared" si="5"/>
        <v/>
      </c>
      <c r="W11" s="148" t="str">
        <f t="shared" si="6"/>
        <v xml:space="preserve"> </v>
      </c>
      <c r="X11" s="148" t="str">
        <f t="shared" si="7"/>
        <v/>
      </c>
      <c r="Y11" s="148" t="str">
        <f t="shared" si="8"/>
        <v/>
      </c>
      <c r="Z11" s="148" t="str">
        <f t="shared" si="9"/>
        <v/>
      </c>
      <c r="AA11" s="148" t="str">
        <f t="shared" si="10"/>
        <v xml:space="preserve">8 </v>
      </c>
      <c r="AB11" s="148" t="str">
        <f t="shared" si="11"/>
        <v xml:space="preserve">8 </v>
      </c>
    </row>
    <row r="12" spans="1:30" x14ac:dyDescent="0.25">
      <c r="A12" s="26">
        <v>9</v>
      </c>
      <c r="B12" s="5">
        <v>9</v>
      </c>
      <c r="C12" s="6" t="s">
        <v>1205</v>
      </c>
      <c r="D12" s="6" t="s">
        <v>1206</v>
      </c>
      <c r="E12" s="7" t="s">
        <v>1189</v>
      </c>
      <c r="F12" s="7" t="s">
        <v>1190</v>
      </c>
      <c r="G12" s="7"/>
      <c r="H12" s="7"/>
      <c r="I12" s="8" t="s">
        <v>1207</v>
      </c>
      <c r="J12" s="7">
        <v>3</v>
      </c>
      <c r="K12" s="7"/>
      <c r="L12" s="7"/>
      <c r="M12" s="7"/>
      <c r="O12" s="150">
        <f t="shared" ca="1" si="2"/>
        <v>124</v>
      </c>
      <c r="P12" s="150" t="str">
        <f t="shared" si="3"/>
        <v>Outside Hitter</v>
      </c>
      <c r="Q12" s="151" t="str">
        <f t="shared" si="4"/>
        <v>Junior</v>
      </c>
      <c r="R12" s="149" t="str">
        <f>"D:\IMS Images\Headshots\VB\"&amp;'Team Info'!$B$12&amp;"\"&amp;D12&amp;"_"&amp;C12&amp;".png"</f>
        <v>D:\IMS Images\Headshots\VB\AKRON\Jensen_Katrina.png</v>
      </c>
      <c r="S12" s="149" t="str">
        <f>"D:\IMS Images\ActionShots\VB\"&amp;'Team Info'!$B$12&amp;"\"&amp;D12&amp;"_"&amp;C12&amp;".png"</f>
        <v>D:\IMS Images\ActionShots\VB\AKRON\Jensen_Katrina.png</v>
      </c>
      <c r="T12" s="148" t="str">
        <f t="shared" si="0"/>
        <v>Katrina Jensen</v>
      </c>
      <c r="U12" s="148" t="str">
        <f t="shared" si="1"/>
        <v>K. Jensen</v>
      </c>
      <c r="V12" s="148" t="str">
        <f t="shared" si="5"/>
        <v>JR</v>
      </c>
      <c r="W12" s="148" t="str">
        <f t="shared" si="6"/>
        <v>KATRINA JENSEN</v>
      </c>
      <c r="X12" s="148" t="str">
        <f t="shared" si="7"/>
        <v>KATRINA</v>
      </c>
      <c r="Y12" s="148" t="str">
        <f t="shared" si="8"/>
        <v>JENSEN</v>
      </c>
      <c r="Z12" s="148" t="str">
        <f t="shared" si="9"/>
        <v>JUNIOR</v>
      </c>
      <c r="AA12" s="148" t="str">
        <f t="shared" si="10"/>
        <v>9 Jensen</v>
      </c>
      <c r="AB12" s="148" t="str">
        <f t="shared" si="11"/>
        <v>9 JENSEN</v>
      </c>
    </row>
    <row r="13" spans="1:30" x14ac:dyDescent="0.25">
      <c r="A13" s="26">
        <v>10</v>
      </c>
      <c r="B13" s="5">
        <v>10</v>
      </c>
      <c r="C13" s="6" t="s">
        <v>1208</v>
      </c>
      <c r="D13" s="6" t="s">
        <v>1209</v>
      </c>
      <c r="E13" s="7" t="s">
        <v>1210</v>
      </c>
      <c r="F13" s="7" t="s">
        <v>1211</v>
      </c>
      <c r="G13" s="7"/>
      <c r="H13" s="7"/>
      <c r="I13" s="8" t="s">
        <v>1212</v>
      </c>
      <c r="J13" s="7">
        <v>3</v>
      </c>
      <c r="K13" s="7"/>
      <c r="L13" s="7"/>
      <c r="M13" s="7"/>
      <c r="O13" s="150">
        <f t="shared" ca="1" si="2"/>
        <v>124</v>
      </c>
      <c r="P13" s="150" t="str">
        <f t="shared" si="3"/>
        <v>Middle Blocker</v>
      </c>
      <c r="Q13" s="151" t="str">
        <f t="shared" si="4"/>
        <v>Junior</v>
      </c>
      <c r="R13" s="149" t="str">
        <f>"D:\IMS Images\Headshots\VB\"&amp;'Team Info'!$B$12&amp;"\"&amp;D13&amp;"_"&amp;C13&amp;".png"</f>
        <v>D:\IMS Images\Headshots\VB\AKRON\Minyard_Peyton.png</v>
      </c>
      <c r="S13" s="149" t="str">
        <f>"D:\IMS Images\ActionShots\VB\"&amp;'Team Info'!$B$12&amp;"\"&amp;D13&amp;"_"&amp;C13&amp;".png"</f>
        <v>D:\IMS Images\ActionShots\VB\AKRON\Minyard_Peyton.png</v>
      </c>
      <c r="T13" s="148" t="str">
        <f t="shared" si="0"/>
        <v>Peyton Minyard</v>
      </c>
      <c r="U13" s="148" t="str">
        <f t="shared" si="1"/>
        <v>P. Minyard</v>
      </c>
      <c r="V13" s="148" t="str">
        <f t="shared" si="5"/>
        <v>JR</v>
      </c>
      <c r="W13" s="148" t="str">
        <f t="shared" si="6"/>
        <v>PEYTON MINYARD</v>
      </c>
      <c r="X13" s="148" t="str">
        <f t="shared" si="7"/>
        <v>PEYTON</v>
      </c>
      <c r="Y13" s="148" t="str">
        <f t="shared" si="8"/>
        <v>MINYARD</v>
      </c>
      <c r="Z13" s="148" t="str">
        <f t="shared" si="9"/>
        <v>JUNIOR</v>
      </c>
      <c r="AA13" s="148" t="str">
        <f t="shared" si="10"/>
        <v>10 Minyard</v>
      </c>
      <c r="AB13" s="148" t="str">
        <f t="shared" si="11"/>
        <v>10 MINYARD</v>
      </c>
    </row>
    <row r="14" spans="1:30" x14ac:dyDescent="0.25">
      <c r="A14" s="26">
        <v>11</v>
      </c>
      <c r="B14" s="5">
        <v>11</v>
      </c>
      <c r="C14" s="6" t="s">
        <v>1213</v>
      </c>
      <c r="D14" s="6" t="s">
        <v>1214</v>
      </c>
      <c r="E14" s="7" t="s">
        <v>1189</v>
      </c>
      <c r="F14" s="7" t="s">
        <v>1211</v>
      </c>
      <c r="G14" s="7"/>
      <c r="H14" s="36"/>
      <c r="I14" s="8" t="s">
        <v>1215</v>
      </c>
      <c r="J14" s="7">
        <v>3</v>
      </c>
      <c r="K14" s="7"/>
      <c r="L14" s="7"/>
      <c r="M14" s="7"/>
      <c r="O14" s="150">
        <f t="shared" ca="1" si="2"/>
        <v>124</v>
      </c>
      <c r="P14" s="150" t="str">
        <f t="shared" si="3"/>
        <v>Outside Hitter</v>
      </c>
      <c r="Q14" s="151" t="str">
        <f t="shared" si="4"/>
        <v>Junior</v>
      </c>
      <c r="R14" s="149" t="str">
        <f>"D:\IMS Images\Headshots\VB\"&amp;'Team Info'!$B$12&amp;"\"&amp;D14&amp;"_"&amp;C14&amp;".png"</f>
        <v>D:\IMS Images\Headshots\VB\AKRON\Crabtree_Alayna.png</v>
      </c>
      <c r="S14" s="149" t="str">
        <f>"D:\IMS Images\ActionShots\VB\"&amp;'Team Info'!$B$12&amp;"\"&amp;D14&amp;"_"&amp;C14&amp;".png"</f>
        <v>D:\IMS Images\ActionShots\VB\AKRON\Crabtree_Alayna.png</v>
      </c>
      <c r="T14" s="148" t="str">
        <f t="shared" si="0"/>
        <v>Alayna Crabtree</v>
      </c>
      <c r="U14" s="148" t="str">
        <f t="shared" si="1"/>
        <v>A. Crabtree</v>
      </c>
      <c r="V14" s="148" t="str">
        <f t="shared" si="5"/>
        <v>JR</v>
      </c>
      <c r="W14" s="148" t="str">
        <f t="shared" si="6"/>
        <v>ALAYNA CRABTREE</v>
      </c>
      <c r="X14" s="148" t="str">
        <f t="shared" si="7"/>
        <v>ALAYNA</v>
      </c>
      <c r="Y14" s="148" t="str">
        <f t="shared" si="8"/>
        <v>CRABTREE</v>
      </c>
      <c r="Z14" s="148" t="str">
        <f t="shared" si="9"/>
        <v>JUNIOR</v>
      </c>
      <c r="AA14" s="148" t="str">
        <f t="shared" si="10"/>
        <v>11 Crabtree</v>
      </c>
      <c r="AB14" s="148" t="str">
        <f t="shared" si="11"/>
        <v>11 CRABTREE</v>
      </c>
    </row>
    <row r="15" spans="1:30" x14ac:dyDescent="0.25">
      <c r="A15" s="26">
        <v>12</v>
      </c>
      <c r="B15" s="5">
        <v>12</v>
      </c>
      <c r="C15" s="6" t="s">
        <v>1216</v>
      </c>
      <c r="D15" s="6" t="s">
        <v>1217</v>
      </c>
      <c r="E15" s="7" t="s">
        <v>1184</v>
      </c>
      <c r="F15" s="7" t="s">
        <v>1211</v>
      </c>
      <c r="G15" s="7"/>
      <c r="H15" s="7"/>
      <c r="I15" s="8" t="s">
        <v>1218</v>
      </c>
      <c r="J15" s="7">
        <v>4</v>
      </c>
      <c r="K15" s="7"/>
      <c r="L15" s="7"/>
      <c r="M15" s="7"/>
      <c r="O15" s="150">
        <f t="shared" ca="1" si="2"/>
        <v>124</v>
      </c>
      <c r="P15" s="150" t="str">
        <f t="shared" si="3"/>
        <v>Setter</v>
      </c>
      <c r="Q15" s="151" t="str">
        <f t="shared" si="4"/>
        <v>Senior</v>
      </c>
      <c r="R15" s="149" t="str">
        <f>"D:\IMS Images\Headshots\VB\"&amp;'Team Info'!$B$12&amp;"\"&amp;D15&amp;"_"&amp;C15&amp;".png"</f>
        <v>D:\IMS Images\Headshots\VB\AKRON\Clavenna_Izzy.png</v>
      </c>
      <c r="S15" s="149" t="str">
        <f>"D:\IMS Images\ActionShots\VB\"&amp;'Team Info'!$B$12&amp;"\"&amp;D15&amp;"_"&amp;C15&amp;".png"</f>
        <v>D:\IMS Images\ActionShots\VB\AKRON\Clavenna_Izzy.png</v>
      </c>
      <c r="T15" s="148" t="str">
        <f t="shared" si="0"/>
        <v>Izzy Clavenna</v>
      </c>
      <c r="U15" s="148" t="str">
        <f t="shared" si="1"/>
        <v>I. Clavenna</v>
      </c>
      <c r="V15" s="148" t="str">
        <f t="shared" si="5"/>
        <v>SR</v>
      </c>
      <c r="W15" s="148" t="str">
        <f t="shared" si="6"/>
        <v>IZZY CLAVENNA</v>
      </c>
      <c r="X15" s="148" t="str">
        <f t="shared" si="7"/>
        <v>IZZY</v>
      </c>
      <c r="Y15" s="148" t="str">
        <f t="shared" si="8"/>
        <v>CLAVENNA</v>
      </c>
      <c r="Z15" s="148" t="str">
        <f t="shared" si="9"/>
        <v>SENIOR</v>
      </c>
      <c r="AA15" s="148" t="str">
        <f t="shared" si="10"/>
        <v>12 Clavenna</v>
      </c>
      <c r="AB15" s="148" t="str">
        <f t="shared" si="11"/>
        <v>12 CLAVENNA</v>
      </c>
    </row>
    <row r="16" spans="1:30" x14ac:dyDescent="0.25">
      <c r="A16" s="26">
        <v>13</v>
      </c>
      <c r="B16" s="5">
        <v>13</v>
      </c>
      <c r="C16" s="6"/>
      <c r="D16" s="6"/>
      <c r="E16" s="7"/>
      <c r="F16" s="7"/>
      <c r="G16" s="7"/>
      <c r="H16" s="7"/>
      <c r="I16" s="8"/>
      <c r="J16" s="7"/>
      <c r="K16" s="7"/>
      <c r="L16" s="7"/>
      <c r="M16" s="7"/>
      <c r="O16" s="150">
        <f t="shared" ca="1" si="2"/>
        <v>124</v>
      </c>
      <c r="P16" s="150" t="str">
        <f t="shared" si="3"/>
        <v/>
      </c>
      <c r="Q16" s="151" t="str">
        <f t="shared" si="4"/>
        <v/>
      </c>
      <c r="R16" s="149" t="str">
        <f>"D:\IMS Images\Headshots\VB\"&amp;'Team Info'!$B$12&amp;"\"&amp;D16&amp;"_"&amp;C16&amp;".png"</f>
        <v>D:\IMS Images\Headshots\VB\AKRON\_.png</v>
      </c>
      <c r="S16" s="149" t="str">
        <f>"D:\IMS Images\ActionShots\VB\"&amp;'Team Info'!$B$12&amp;"\"&amp;D16&amp;"_"&amp;C16&amp;".png"</f>
        <v>D:\IMS Images\ActionShots\VB\AKRON\_.png</v>
      </c>
      <c r="T16" s="148" t="str">
        <f t="shared" si="0"/>
        <v xml:space="preserve"> </v>
      </c>
      <c r="U16" s="148" t="str">
        <f t="shared" si="1"/>
        <v xml:space="preserve">. </v>
      </c>
      <c r="V16" s="148" t="str">
        <f t="shared" si="5"/>
        <v/>
      </c>
      <c r="W16" s="148" t="str">
        <f t="shared" si="6"/>
        <v xml:space="preserve"> </v>
      </c>
      <c r="X16" s="148" t="str">
        <f t="shared" si="7"/>
        <v/>
      </c>
      <c r="Y16" s="148" t="str">
        <f t="shared" si="8"/>
        <v/>
      </c>
      <c r="Z16" s="148" t="str">
        <f t="shared" si="9"/>
        <v/>
      </c>
      <c r="AA16" s="148" t="str">
        <f t="shared" si="10"/>
        <v xml:space="preserve">13 </v>
      </c>
      <c r="AB16" s="148" t="str">
        <f t="shared" si="11"/>
        <v xml:space="preserve">13 </v>
      </c>
    </row>
    <row r="17" spans="1:28" x14ac:dyDescent="0.25">
      <c r="A17" s="26">
        <v>14</v>
      </c>
      <c r="B17" s="5">
        <v>14</v>
      </c>
      <c r="C17" s="6"/>
      <c r="D17" s="6"/>
      <c r="E17" s="7"/>
      <c r="F17" s="7"/>
      <c r="G17" s="7"/>
      <c r="H17" s="7"/>
      <c r="I17" s="8"/>
      <c r="J17" s="7"/>
      <c r="K17" s="7"/>
      <c r="L17" s="7"/>
      <c r="M17" s="7"/>
      <c r="O17" s="150">
        <f t="shared" ca="1" si="2"/>
        <v>124</v>
      </c>
      <c r="P17" s="150" t="str">
        <f t="shared" si="3"/>
        <v/>
      </c>
      <c r="Q17" s="151" t="str">
        <f t="shared" si="4"/>
        <v/>
      </c>
      <c r="R17" s="149" t="str">
        <f>"D:\IMS Images\Headshots\VB\"&amp;'Team Info'!$B$12&amp;"\"&amp;D17&amp;"_"&amp;C17&amp;".png"</f>
        <v>D:\IMS Images\Headshots\VB\AKRON\_.png</v>
      </c>
      <c r="S17" s="149" t="str">
        <f>"D:\IMS Images\ActionShots\VB\"&amp;'Team Info'!$B$12&amp;"\"&amp;D17&amp;"_"&amp;C17&amp;".png"</f>
        <v>D:\IMS Images\ActionShots\VB\AKRON\_.png</v>
      </c>
      <c r="T17" s="148" t="str">
        <f t="shared" si="0"/>
        <v xml:space="preserve"> </v>
      </c>
      <c r="U17" s="148" t="str">
        <f t="shared" si="1"/>
        <v xml:space="preserve">. </v>
      </c>
      <c r="V17" s="148" t="str">
        <f t="shared" si="5"/>
        <v/>
      </c>
      <c r="W17" s="148" t="str">
        <f t="shared" si="6"/>
        <v xml:space="preserve"> </v>
      </c>
      <c r="X17" s="148" t="str">
        <f t="shared" si="7"/>
        <v/>
      </c>
      <c r="Y17" s="148" t="str">
        <f t="shared" si="8"/>
        <v/>
      </c>
      <c r="Z17" s="148" t="str">
        <f t="shared" si="9"/>
        <v/>
      </c>
      <c r="AA17" s="148" t="str">
        <f t="shared" si="10"/>
        <v xml:space="preserve">14 </v>
      </c>
      <c r="AB17" s="148" t="str">
        <f t="shared" si="11"/>
        <v xml:space="preserve">14 </v>
      </c>
    </row>
    <row r="18" spans="1:28" x14ac:dyDescent="0.25">
      <c r="A18" s="26">
        <v>15</v>
      </c>
      <c r="B18" s="5">
        <v>15</v>
      </c>
      <c r="C18" s="6"/>
      <c r="D18" s="6"/>
      <c r="E18" s="7"/>
      <c r="F18" s="7"/>
      <c r="G18" s="7"/>
      <c r="H18" s="7"/>
      <c r="I18" s="8"/>
      <c r="J18" s="7"/>
      <c r="K18" s="7"/>
      <c r="L18" s="7"/>
      <c r="M18" s="7"/>
      <c r="O18" s="150">
        <f t="shared" ca="1" si="2"/>
        <v>124</v>
      </c>
      <c r="P18" s="150" t="str">
        <f t="shared" si="3"/>
        <v/>
      </c>
      <c r="Q18" s="151" t="str">
        <f t="shared" si="4"/>
        <v/>
      </c>
      <c r="R18" s="149" t="str">
        <f>"D:\IMS Images\Headshots\VB\"&amp;'Team Info'!$B$12&amp;"\"&amp;D18&amp;"_"&amp;C18&amp;".png"</f>
        <v>D:\IMS Images\Headshots\VB\AKRON\_.png</v>
      </c>
      <c r="S18" s="149" t="str">
        <f>"D:\IMS Images\ActionShots\VB\"&amp;'Team Info'!$B$12&amp;"\"&amp;D18&amp;"_"&amp;C18&amp;".png"</f>
        <v>D:\IMS Images\ActionShots\VB\AKRON\_.png</v>
      </c>
      <c r="T18" s="148" t="str">
        <f t="shared" si="0"/>
        <v xml:space="preserve"> </v>
      </c>
      <c r="U18" s="148" t="str">
        <f t="shared" si="1"/>
        <v xml:space="preserve">. </v>
      </c>
      <c r="V18" s="148" t="str">
        <f t="shared" si="5"/>
        <v/>
      </c>
      <c r="W18" s="148" t="str">
        <f t="shared" si="6"/>
        <v xml:space="preserve"> </v>
      </c>
      <c r="X18" s="148" t="str">
        <f t="shared" si="7"/>
        <v/>
      </c>
      <c r="Y18" s="148" t="str">
        <f t="shared" si="8"/>
        <v/>
      </c>
      <c r="Z18" s="148" t="str">
        <f t="shared" si="9"/>
        <v/>
      </c>
      <c r="AA18" s="148" t="str">
        <f t="shared" si="10"/>
        <v xml:space="preserve">15 </v>
      </c>
      <c r="AB18" s="148" t="str">
        <f t="shared" si="11"/>
        <v xml:space="preserve">15 </v>
      </c>
    </row>
    <row r="19" spans="1:28" x14ac:dyDescent="0.25">
      <c r="A19" s="26">
        <v>16</v>
      </c>
      <c r="B19" s="5">
        <v>16</v>
      </c>
      <c r="C19" s="6"/>
      <c r="D19" s="6"/>
      <c r="E19" s="7"/>
      <c r="F19" s="7"/>
      <c r="G19" s="7"/>
      <c r="H19" s="7"/>
      <c r="I19" s="8"/>
      <c r="J19" s="7"/>
      <c r="K19" s="7"/>
      <c r="L19" s="7"/>
      <c r="M19" s="7"/>
      <c r="O19" s="150">
        <f t="shared" ca="1" si="2"/>
        <v>124</v>
      </c>
      <c r="P19" s="150" t="str">
        <f t="shared" si="3"/>
        <v/>
      </c>
      <c r="Q19" s="151" t="str">
        <f t="shared" si="4"/>
        <v/>
      </c>
      <c r="R19" s="149" t="str">
        <f>"D:\IMS Images\Headshots\VB\"&amp;'Team Info'!$B$12&amp;"\"&amp;D19&amp;"_"&amp;C19&amp;".png"</f>
        <v>D:\IMS Images\Headshots\VB\AKRON\_.png</v>
      </c>
      <c r="S19" s="149" t="str">
        <f>"D:\IMS Images\ActionShots\VB\"&amp;'Team Info'!$B$12&amp;"\"&amp;D19&amp;"_"&amp;C19&amp;".png"</f>
        <v>D:\IMS Images\ActionShots\VB\AKRON\_.png</v>
      </c>
      <c r="T19" s="148" t="str">
        <f t="shared" si="0"/>
        <v xml:space="preserve"> </v>
      </c>
      <c r="U19" s="148" t="str">
        <f t="shared" si="1"/>
        <v xml:space="preserve">. </v>
      </c>
      <c r="V19" s="148" t="str">
        <f t="shared" si="5"/>
        <v/>
      </c>
      <c r="W19" s="148" t="str">
        <f t="shared" si="6"/>
        <v xml:space="preserve"> </v>
      </c>
      <c r="X19" s="148" t="str">
        <f t="shared" si="7"/>
        <v/>
      </c>
      <c r="Y19" s="148" t="str">
        <f t="shared" si="8"/>
        <v/>
      </c>
      <c r="Z19" s="148" t="str">
        <f t="shared" si="9"/>
        <v/>
      </c>
      <c r="AA19" s="148" t="str">
        <f t="shared" si="10"/>
        <v xml:space="preserve">16 </v>
      </c>
      <c r="AB19" s="148" t="str">
        <f t="shared" si="11"/>
        <v xml:space="preserve">16 </v>
      </c>
    </row>
    <row r="20" spans="1:28" x14ac:dyDescent="0.25">
      <c r="A20" s="26">
        <v>17</v>
      </c>
      <c r="B20" s="5">
        <v>17</v>
      </c>
      <c r="C20" s="6" t="s">
        <v>1219</v>
      </c>
      <c r="D20" s="6" t="s">
        <v>1220</v>
      </c>
      <c r="E20" s="7" t="s">
        <v>1210</v>
      </c>
      <c r="F20" s="7" t="s">
        <v>1211</v>
      </c>
      <c r="G20" s="7"/>
      <c r="H20" s="7"/>
      <c r="I20" s="8" t="s">
        <v>1221</v>
      </c>
      <c r="J20" s="7">
        <v>2</v>
      </c>
      <c r="K20" s="7"/>
      <c r="L20" s="7"/>
      <c r="M20" s="7"/>
      <c r="O20" s="150">
        <f t="shared" ca="1" si="2"/>
        <v>124</v>
      </c>
      <c r="P20" s="150" t="str">
        <f t="shared" si="3"/>
        <v>Middle Blocker</v>
      </c>
      <c r="Q20" s="151" t="str">
        <f t="shared" si="4"/>
        <v>Sophomore</v>
      </c>
      <c r="R20" s="149" t="str">
        <f>"D:\IMS Images\Headshots\VB\"&amp;'Team Info'!$B$12&amp;"\"&amp;D20&amp;"_"&amp;C20&amp;".png"</f>
        <v>D:\IMS Images\Headshots\VB\AKRON\Roach_Cornelia.png</v>
      </c>
      <c r="S20" s="149" t="str">
        <f>"D:\IMS Images\ActionShots\VB\"&amp;'Team Info'!$B$12&amp;"\"&amp;D20&amp;"_"&amp;C20&amp;".png"</f>
        <v>D:\IMS Images\ActionShots\VB\AKRON\Roach_Cornelia.png</v>
      </c>
      <c r="T20" s="148" t="str">
        <f t="shared" si="0"/>
        <v>Cornelia Roach</v>
      </c>
      <c r="U20" s="148" t="str">
        <f t="shared" si="1"/>
        <v>C. Roach</v>
      </c>
      <c r="V20" s="148" t="str">
        <f t="shared" si="5"/>
        <v>SO</v>
      </c>
      <c r="W20" s="148" t="str">
        <f t="shared" si="6"/>
        <v>CORNELIA ROACH</v>
      </c>
      <c r="X20" s="148" t="str">
        <f t="shared" si="7"/>
        <v>CORNELIA</v>
      </c>
      <c r="Y20" s="148" t="str">
        <f t="shared" si="8"/>
        <v>ROACH</v>
      </c>
      <c r="Z20" s="148" t="str">
        <f t="shared" si="9"/>
        <v>SOPHOMORE</v>
      </c>
      <c r="AA20" s="148" t="str">
        <f t="shared" si="10"/>
        <v>17 Roach</v>
      </c>
      <c r="AB20" s="148" t="str">
        <f t="shared" si="11"/>
        <v>17 ROACH</v>
      </c>
    </row>
    <row r="21" spans="1:28" x14ac:dyDescent="0.25">
      <c r="A21" s="26">
        <v>18</v>
      </c>
      <c r="B21" s="5">
        <v>18</v>
      </c>
      <c r="C21" s="6" t="s">
        <v>1222</v>
      </c>
      <c r="D21" s="6" t="s">
        <v>1223</v>
      </c>
      <c r="E21" s="7" t="s">
        <v>1014</v>
      </c>
      <c r="F21" s="7" t="s">
        <v>1224</v>
      </c>
      <c r="G21" s="7"/>
      <c r="H21" s="7"/>
      <c r="I21" s="8" t="s">
        <v>1225</v>
      </c>
      <c r="J21" s="7">
        <v>3</v>
      </c>
      <c r="K21" s="7"/>
      <c r="L21" s="7"/>
      <c r="M21" s="7"/>
      <c r="O21" s="150">
        <f t="shared" ca="1" si="2"/>
        <v>124</v>
      </c>
      <c r="P21" s="150" t="str">
        <f t="shared" si="3"/>
        <v>Libero</v>
      </c>
      <c r="Q21" s="151" t="str">
        <f t="shared" si="4"/>
        <v>Junior</v>
      </c>
      <c r="R21" s="149" t="str">
        <f>"D:\IMS Images\Headshots\VB\"&amp;'Team Info'!$B$12&amp;"\"&amp;D21&amp;"_"&amp;C21&amp;".png"</f>
        <v>D:\IMS Images\Headshots\VB\AKRON\Green_Bridget.png</v>
      </c>
      <c r="S21" s="149" t="str">
        <f>"D:\IMS Images\ActionShots\VB\"&amp;'Team Info'!$B$12&amp;"\"&amp;D21&amp;"_"&amp;C21&amp;".png"</f>
        <v>D:\IMS Images\ActionShots\VB\AKRON\Green_Bridget.png</v>
      </c>
      <c r="T21" s="148" t="str">
        <f t="shared" si="0"/>
        <v>Bridget Green</v>
      </c>
      <c r="U21" s="148" t="str">
        <f t="shared" si="1"/>
        <v>B. Green</v>
      </c>
      <c r="V21" s="148" t="str">
        <f t="shared" si="5"/>
        <v>JR</v>
      </c>
      <c r="W21" s="148" t="str">
        <f t="shared" si="6"/>
        <v>BRIDGET GREEN</v>
      </c>
      <c r="X21" s="148" t="str">
        <f t="shared" si="7"/>
        <v>BRIDGET</v>
      </c>
      <c r="Y21" s="148" t="str">
        <f t="shared" si="8"/>
        <v>GREEN</v>
      </c>
      <c r="Z21" s="148" t="str">
        <f t="shared" si="9"/>
        <v>JUNIOR</v>
      </c>
      <c r="AA21" s="148" t="str">
        <f t="shared" si="10"/>
        <v>18 Green</v>
      </c>
      <c r="AB21" s="148" t="str">
        <f t="shared" si="11"/>
        <v>18 GREEN</v>
      </c>
    </row>
    <row r="22" spans="1:28" x14ac:dyDescent="0.25">
      <c r="A22" s="26">
        <v>19</v>
      </c>
      <c r="B22" s="5">
        <v>19</v>
      </c>
      <c r="C22" s="6" t="s">
        <v>1226</v>
      </c>
      <c r="D22" s="6" t="s">
        <v>1227</v>
      </c>
      <c r="E22" s="7" t="s">
        <v>1184</v>
      </c>
      <c r="F22" s="7" t="s">
        <v>1224</v>
      </c>
      <c r="G22" s="7"/>
      <c r="H22" s="7"/>
      <c r="I22" s="8" t="s">
        <v>1228</v>
      </c>
      <c r="J22" s="7">
        <v>2</v>
      </c>
      <c r="K22" s="7"/>
      <c r="L22" s="7"/>
      <c r="M22" s="7"/>
      <c r="O22" s="150">
        <f t="shared" ca="1" si="2"/>
        <v>124</v>
      </c>
      <c r="P22" s="150" t="str">
        <f t="shared" si="3"/>
        <v>Setter</v>
      </c>
      <c r="Q22" s="151" t="str">
        <f t="shared" si="4"/>
        <v>Sophomore</v>
      </c>
      <c r="R22" s="149" t="str">
        <f>"D:\IMS Images\Headshots\VB\"&amp;'Team Info'!$B$12&amp;"\"&amp;D22&amp;"_"&amp;C22&amp;".png"</f>
        <v>D:\IMS Images\Headshots\VB\AKRON\Petrie_Jane.png</v>
      </c>
      <c r="S22" s="149" t="str">
        <f>"D:\IMS Images\ActionShots\VB\"&amp;'Team Info'!$B$12&amp;"\"&amp;D22&amp;"_"&amp;C22&amp;".png"</f>
        <v>D:\IMS Images\ActionShots\VB\AKRON\Petrie_Jane.png</v>
      </c>
      <c r="T22" s="148" t="str">
        <f t="shared" si="0"/>
        <v>Jane Petrie</v>
      </c>
      <c r="U22" s="148" t="str">
        <f t="shared" si="1"/>
        <v>J. Petrie</v>
      </c>
      <c r="V22" s="148" t="str">
        <f t="shared" si="5"/>
        <v>SO</v>
      </c>
      <c r="W22" s="148" t="str">
        <f t="shared" si="6"/>
        <v>JANE PETRIE</v>
      </c>
      <c r="X22" s="148" t="str">
        <f t="shared" si="7"/>
        <v>JANE</v>
      </c>
      <c r="Y22" s="148" t="str">
        <f t="shared" si="8"/>
        <v>PETRIE</v>
      </c>
      <c r="Z22" s="148" t="str">
        <f t="shared" si="9"/>
        <v>SOPHOMORE</v>
      </c>
      <c r="AA22" s="148" t="str">
        <f t="shared" si="10"/>
        <v>19 Petrie</v>
      </c>
      <c r="AB22" s="148" t="str">
        <f t="shared" si="11"/>
        <v>19 PETRIE</v>
      </c>
    </row>
    <row r="23" spans="1:28" x14ac:dyDescent="0.25">
      <c r="A23" s="26">
        <v>20</v>
      </c>
      <c r="B23" s="5">
        <v>20</v>
      </c>
      <c r="C23" s="6"/>
      <c r="D23" s="6"/>
      <c r="E23" s="7"/>
      <c r="F23" s="7"/>
      <c r="G23" s="7"/>
      <c r="H23" s="7"/>
      <c r="I23" s="8"/>
      <c r="J23" s="7"/>
      <c r="K23" s="7"/>
      <c r="L23" s="7"/>
      <c r="M23" s="7"/>
      <c r="O23" s="150">
        <f t="shared" ca="1" si="2"/>
        <v>124</v>
      </c>
      <c r="P23" s="150" t="str">
        <f t="shared" si="3"/>
        <v/>
      </c>
      <c r="Q23" s="151" t="str">
        <f t="shared" si="4"/>
        <v/>
      </c>
      <c r="R23" s="149" t="str">
        <f>"D:\IMS Images\Headshots\VB\"&amp;'Team Info'!$B$12&amp;"\"&amp;D23&amp;"_"&amp;C23&amp;".png"</f>
        <v>D:\IMS Images\Headshots\VB\AKRON\_.png</v>
      </c>
      <c r="S23" s="149" t="str">
        <f>"D:\IMS Images\ActionShots\VB\"&amp;'Team Info'!$B$12&amp;"\"&amp;D23&amp;"_"&amp;C23&amp;".png"</f>
        <v>D:\IMS Images\ActionShots\VB\AKRON\_.png</v>
      </c>
      <c r="T23" s="148" t="str">
        <f t="shared" si="0"/>
        <v xml:space="preserve"> </v>
      </c>
      <c r="U23" s="148" t="str">
        <f t="shared" si="1"/>
        <v xml:space="preserve">. </v>
      </c>
      <c r="V23" s="148" t="str">
        <f t="shared" si="5"/>
        <v/>
      </c>
      <c r="W23" s="148" t="str">
        <f t="shared" si="6"/>
        <v xml:space="preserve"> </v>
      </c>
      <c r="X23" s="148" t="str">
        <f t="shared" si="7"/>
        <v/>
      </c>
      <c r="Y23" s="148" t="str">
        <f t="shared" si="8"/>
        <v/>
      </c>
      <c r="Z23" s="148" t="str">
        <f t="shared" si="9"/>
        <v/>
      </c>
      <c r="AA23" s="148" t="str">
        <f t="shared" si="10"/>
        <v xml:space="preserve">20 </v>
      </c>
      <c r="AB23" s="148" t="str">
        <f t="shared" si="11"/>
        <v xml:space="preserve">20 </v>
      </c>
    </row>
    <row r="24" spans="1:28" x14ac:dyDescent="0.25">
      <c r="A24" s="26">
        <v>21</v>
      </c>
      <c r="B24" s="5">
        <v>21</v>
      </c>
      <c r="C24" s="6" t="s">
        <v>1229</v>
      </c>
      <c r="D24" s="6" t="s">
        <v>1230</v>
      </c>
      <c r="E24" s="7" t="s">
        <v>1189</v>
      </c>
      <c r="F24" s="7" t="s">
        <v>1198</v>
      </c>
      <c r="G24" s="7"/>
      <c r="H24" s="7"/>
      <c r="I24" s="8" t="s">
        <v>1231</v>
      </c>
      <c r="J24" s="7">
        <v>2</v>
      </c>
      <c r="K24" s="7"/>
      <c r="L24" s="7"/>
      <c r="M24" s="7"/>
      <c r="O24" s="150">
        <f t="shared" ca="1" si="2"/>
        <v>124</v>
      </c>
      <c r="P24" s="150" t="str">
        <f t="shared" si="3"/>
        <v>Outside Hitter</v>
      </c>
      <c r="Q24" s="151" t="str">
        <f t="shared" si="4"/>
        <v>Sophomore</v>
      </c>
      <c r="R24" s="149" t="str">
        <f>"D:\IMS Images\Headshots\VB\"&amp;'Team Info'!$B$12&amp;"\"&amp;D24&amp;"_"&amp;C24&amp;".png"</f>
        <v>D:\IMS Images\Headshots\VB\AKRON\Steinheiser_Nikki.png</v>
      </c>
      <c r="S24" s="149" t="str">
        <f>"D:\IMS Images\ActionShots\VB\"&amp;'Team Info'!$B$12&amp;"\"&amp;D24&amp;"_"&amp;C24&amp;".png"</f>
        <v>D:\IMS Images\ActionShots\VB\AKRON\Steinheiser_Nikki.png</v>
      </c>
      <c r="T24" s="148" t="str">
        <f t="shared" si="0"/>
        <v>Nikki Steinheiser</v>
      </c>
      <c r="U24" s="148" t="str">
        <f t="shared" si="1"/>
        <v>N. Steinheiser</v>
      </c>
      <c r="V24" s="148" t="str">
        <f t="shared" si="5"/>
        <v>SO</v>
      </c>
      <c r="W24" s="148" t="str">
        <f t="shared" si="6"/>
        <v>NIKKI STEINHEISER</v>
      </c>
      <c r="X24" s="148" t="str">
        <f t="shared" si="7"/>
        <v>NIKKI</v>
      </c>
      <c r="Y24" s="148" t="str">
        <f t="shared" si="8"/>
        <v>STEINHEISER</v>
      </c>
      <c r="Z24" s="148" t="str">
        <f t="shared" si="9"/>
        <v>SOPHOMORE</v>
      </c>
      <c r="AA24" s="148" t="str">
        <f t="shared" si="10"/>
        <v>21 Steinheiser</v>
      </c>
      <c r="AB24" s="148" t="str">
        <f t="shared" si="11"/>
        <v>21 STEINHEISER</v>
      </c>
    </row>
    <row r="25" spans="1:28" x14ac:dyDescent="0.25">
      <c r="A25" s="26">
        <v>22</v>
      </c>
      <c r="B25" s="5">
        <v>22</v>
      </c>
      <c r="C25" s="6"/>
      <c r="D25" s="6"/>
      <c r="E25" s="7"/>
      <c r="F25" s="7"/>
      <c r="G25" s="7"/>
      <c r="H25" s="7"/>
      <c r="I25" s="8"/>
      <c r="J25" s="7"/>
      <c r="K25" s="7"/>
      <c r="L25" s="7"/>
      <c r="M25" s="7"/>
      <c r="O25" s="150">
        <f t="shared" ca="1" si="2"/>
        <v>124</v>
      </c>
      <c r="P25" s="150" t="str">
        <f t="shared" si="3"/>
        <v/>
      </c>
      <c r="Q25" s="151" t="str">
        <f t="shared" si="4"/>
        <v/>
      </c>
      <c r="R25" s="149" t="str">
        <f>"D:\IMS Images\Headshots\VB\"&amp;'Team Info'!$B$12&amp;"\"&amp;D25&amp;"_"&amp;C25&amp;".png"</f>
        <v>D:\IMS Images\Headshots\VB\AKRON\_.png</v>
      </c>
      <c r="S25" s="149" t="str">
        <f>"D:\IMS Images\ActionShots\VB\"&amp;'Team Info'!$B$12&amp;"\"&amp;D25&amp;"_"&amp;C25&amp;".png"</f>
        <v>D:\IMS Images\ActionShots\VB\AKRON\_.png</v>
      </c>
      <c r="T25" s="148" t="str">
        <f t="shared" si="0"/>
        <v xml:space="preserve"> </v>
      </c>
      <c r="U25" s="148" t="str">
        <f t="shared" si="1"/>
        <v xml:space="preserve">. </v>
      </c>
      <c r="V25" s="148" t="str">
        <f t="shared" si="5"/>
        <v/>
      </c>
      <c r="W25" s="148" t="str">
        <f t="shared" si="6"/>
        <v xml:space="preserve"> </v>
      </c>
      <c r="X25" s="148" t="str">
        <f t="shared" si="7"/>
        <v/>
      </c>
      <c r="Y25" s="148" t="str">
        <f t="shared" si="8"/>
        <v/>
      </c>
      <c r="Z25" s="148" t="str">
        <f t="shared" si="9"/>
        <v/>
      </c>
      <c r="AA25" s="148" t="str">
        <f t="shared" si="10"/>
        <v xml:space="preserve">22 </v>
      </c>
      <c r="AB25" s="148" t="str">
        <f t="shared" si="11"/>
        <v xml:space="preserve">22 </v>
      </c>
    </row>
    <row r="26" spans="1:28" x14ac:dyDescent="0.25">
      <c r="A26" s="26">
        <v>23</v>
      </c>
      <c r="B26" s="5">
        <v>23</v>
      </c>
      <c r="C26" s="6" t="s">
        <v>1232</v>
      </c>
      <c r="D26" s="6" t="s">
        <v>1233</v>
      </c>
      <c r="E26" s="7" t="s">
        <v>1202</v>
      </c>
      <c r="F26" s="7" t="s">
        <v>1211</v>
      </c>
      <c r="G26" s="7"/>
      <c r="H26" s="7"/>
      <c r="I26" s="8" t="s">
        <v>1234</v>
      </c>
      <c r="J26" s="7">
        <v>2</v>
      </c>
      <c r="K26" s="7"/>
      <c r="L26" s="7"/>
      <c r="M26" s="7"/>
      <c r="O26" s="150">
        <f t="shared" ca="1" si="2"/>
        <v>124</v>
      </c>
      <c r="P26" s="150" t="str">
        <f t="shared" si="3"/>
        <v/>
      </c>
      <c r="Q26" s="151" t="str">
        <f t="shared" si="4"/>
        <v>Sophomore</v>
      </c>
      <c r="R26" s="149" t="str">
        <f>"D:\IMS Images\Headshots\VB\"&amp;'Team Info'!$B$12&amp;"\"&amp;D26&amp;"_"&amp;C26&amp;".png"</f>
        <v>D:\IMS Images\Headshots\VB\AKRON\Haggerty_Julia.png</v>
      </c>
      <c r="S26" s="149" t="str">
        <f>"D:\IMS Images\ActionShots\VB\"&amp;'Team Info'!$B$12&amp;"\"&amp;D26&amp;"_"&amp;C26&amp;".png"</f>
        <v>D:\IMS Images\ActionShots\VB\AKRON\Haggerty_Julia.png</v>
      </c>
      <c r="T26" s="148" t="str">
        <f t="shared" si="0"/>
        <v>Julia Haggerty</v>
      </c>
      <c r="U26" s="148" t="str">
        <f t="shared" si="1"/>
        <v>J. Haggerty</v>
      </c>
      <c r="V26" s="148" t="str">
        <f t="shared" si="5"/>
        <v>SO</v>
      </c>
      <c r="W26" s="148" t="str">
        <f t="shared" si="6"/>
        <v>JULIA HAGGERTY</v>
      </c>
      <c r="X26" s="148" t="str">
        <f t="shared" si="7"/>
        <v>JULIA</v>
      </c>
      <c r="Y26" s="148" t="str">
        <f t="shared" si="8"/>
        <v>HAGGERTY</v>
      </c>
      <c r="Z26" s="148" t="str">
        <f t="shared" si="9"/>
        <v>SOPHOMORE</v>
      </c>
      <c r="AA26" s="148" t="str">
        <f t="shared" si="10"/>
        <v>23 Haggerty</v>
      </c>
      <c r="AB26" s="148" t="str">
        <f t="shared" si="11"/>
        <v>23 HAGGERTY</v>
      </c>
    </row>
    <row r="27" spans="1:28" x14ac:dyDescent="0.25">
      <c r="A27" s="26">
        <v>24</v>
      </c>
      <c r="B27" s="5">
        <v>24</v>
      </c>
      <c r="C27" s="6"/>
      <c r="D27" s="6"/>
      <c r="E27" s="7"/>
      <c r="F27" s="7"/>
      <c r="G27" s="7"/>
      <c r="H27" s="7"/>
      <c r="I27" s="8"/>
      <c r="J27" s="7"/>
      <c r="K27" s="7"/>
      <c r="L27" s="7"/>
      <c r="M27" s="7"/>
      <c r="O27" s="150">
        <f t="shared" ca="1" si="2"/>
        <v>124</v>
      </c>
      <c r="P27" s="150" t="str">
        <f t="shared" si="3"/>
        <v/>
      </c>
      <c r="Q27" s="151" t="str">
        <f t="shared" si="4"/>
        <v/>
      </c>
      <c r="R27" s="149" t="str">
        <f>"D:\IMS Images\Headshots\VB\"&amp;'Team Info'!$B$12&amp;"\"&amp;D27&amp;"_"&amp;C27&amp;".png"</f>
        <v>D:\IMS Images\Headshots\VB\AKRON\_.png</v>
      </c>
      <c r="S27" s="149" t="str">
        <f>"D:\IMS Images\ActionShots\VB\"&amp;'Team Info'!$B$12&amp;"\"&amp;D27&amp;"_"&amp;C27&amp;".png"</f>
        <v>D:\IMS Images\ActionShots\VB\AKRON\_.png</v>
      </c>
      <c r="T27" s="148" t="str">
        <f t="shared" si="0"/>
        <v xml:space="preserve"> </v>
      </c>
      <c r="U27" s="148" t="str">
        <f t="shared" si="1"/>
        <v xml:space="preserve">. </v>
      </c>
      <c r="V27" s="148" t="str">
        <f t="shared" si="5"/>
        <v/>
      </c>
      <c r="W27" s="148" t="str">
        <f t="shared" si="6"/>
        <v xml:space="preserve"> </v>
      </c>
      <c r="X27" s="148" t="str">
        <f t="shared" si="7"/>
        <v/>
      </c>
      <c r="Y27" s="148" t="str">
        <f t="shared" si="8"/>
        <v/>
      </c>
      <c r="Z27" s="148" t="str">
        <f t="shared" si="9"/>
        <v/>
      </c>
      <c r="AA27" s="148" t="str">
        <f t="shared" si="10"/>
        <v xml:space="preserve">24 </v>
      </c>
      <c r="AB27" s="148" t="str">
        <f t="shared" si="11"/>
        <v xml:space="preserve">24 </v>
      </c>
    </row>
    <row r="28" spans="1:28" x14ac:dyDescent="0.25">
      <c r="A28" s="26">
        <v>25</v>
      </c>
      <c r="B28" s="5">
        <v>25</v>
      </c>
      <c r="C28" s="6"/>
      <c r="D28" s="6"/>
      <c r="E28" s="7"/>
      <c r="F28" s="7"/>
      <c r="G28" s="7"/>
      <c r="H28" s="7"/>
      <c r="I28" s="8"/>
      <c r="J28" s="7"/>
      <c r="K28" s="7"/>
      <c r="L28" s="7"/>
      <c r="M28" s="7"/>
      <c r="O28" s="150">
        <f t="shared" ca="1" si="2"/>
        <v>124</v>
      </c>
      <c r="P28" s="150" t="str">
        <f t="shared" si="3"/>
        <v/>
      </c>
      <c r="Q28" s="151" t="str">
        <f t="shared" si="4"/>
        <v/>
      </c>
      <c r="R28" s="149" t="str">
        <f>"D:\IMS Images\Headshots\VB\"&amp;'Team Info'!$B$12&amp;"\"&amp;D28&amp;"_"&amp;C28&amp;".png"</f>
        <v>D:\IMS Images\Headshots\VB\AKRON\_.png</v>
      </c>
      <c r="S28" s="149" t="str">
        <f>"D:\IMS Images\ActionShots\VB\"&amp;'Team Info'!$B$12&amp;"\"&amp;D28&amp;"_"&amp;C28&amp;".png"</f>
        <v>D:\IMS Images\ActionShots\VB\AKRON\_.png</v>
      </c>
      <c r="T28" s="148" t="str">
        <f t="shared" si="0"/>
        <v xml:space="preserve"> </v>
      </c>
      <c r="U28" s="148" t="str">
        <f t="shared" si="1"/>
        <v xml:space="preserve">. </v>
      </c>
      <c r="V28" s="148" t="str">
        <f t="shared" si="5"/>
        <v/>
      </c>
      <c r="W28" s="148" t="str">
        <f t="shared" si="6"/>
        <v xml:space="preserve"> </v>
      </c>
      <c r="X28" s="148" t="str">
        <f t="shared" si="7"/>
        <v/>
      </c>
      <c r="Y28" s="148" t="str">
        <f t="shared" si="8"/>
        <v/>
      </c>
      <c r="Z28" s="148" t="str">
        <f t="shared" si="9"/>
        <v/>
      </c>
      <c r="AA28" s="148" t="str">
        <f t="shared" si="10"/>
        <v xml:space="preserve">25 </v>
      </c>
      <c r="AB28" s="148" t="str">
        <f t="shared" si="11"/>
        <v xml:space="preserve">25 </v>
      </c>
    </row>
    <row r="29" spans="1:28" x14ac:dyDescent="0.25">
      <c r="A29" s="26">
        <v>26</v>
      </c>
      <c r="B29" s="5">
        <v>26</v>
      </c>
      <c r="C29" s="6"/>
      <c r="D29" s="6"/>
      <c r="E29" s="7"/>
      <c r="F29" s="7"/>
      <c r="G29" s="7"/>
      <c r="H29" s="7"/>
      <c r="I29" s="8"/>
      <c r="J29" s="7"/>
      <c r="K29" s="7"/>
      <c r="L29" s="7"/>
      <c r="M29" s="7"/>
      <c r="O29" s="150">
        <f t="shared" ca="1" si="2"/>
        <v>124</v>
      </c>
      <c r="P29" s="150" t="str">
        <f t="shared" si="3"/>
        <v/>
      </c>
      <c r="Q29" s="151" t="str">
        <f t="shared" si="4"/>
        <v/>
      </c>
      <c r="R29" s="149" t="str">
        <f>"D:\IMS Images\Headshots\VB\"&amp;'Team Info'!$B$12&amp;"\"&amp;D29&amp;"_"&amp;C29&amp;".png"</f>
        <v>D:\IMS Images\Headshots\VB\AKRON\_.png</v>
      </c>
      <c r="S29" s="149" t="str">
        <f>"D:\IMS Images\ActionShots\VB\"&amp;'Team Info'!$B$12&amp;"\"&amp;D29&amp;"_"&amp;C29&amp;".png"</f>
        <v>D:\IMS Images\ActionShots\VB\AKRON\_.png</v>
      </c>
      <c r="T29" s="148" t="str">
        <f t="shared" si="0"/>
        <v xml:space="preserve"> </v>
      </c>
      <c r="U29" s="148" t="str">
        <f t="shared" si="1"/>
        <v xml:space="preserve">. </v>
      </c>
      <c r="V29" s="148" t="str">
        <f t="shared" si="5"/>
        <v/>
      </c>
      <c r="W29" s="148" t="str">
        <f t="shared" si="6"/>
        <v xml:space="preserve"> </v>
      </c>
      <c r="X29" s="148" t="str">
        <f t="shared" si="7"/>
        <v/>
      </c>
      <c r="Y29" s="148" t="str">
        <f t="shared" si="8"/>
        <v/>
      </c>
      <c r="Z29" s="148" t="str">
        <f t="shared" si="9"/>
        <v/>
      </c>
      <c r="AA29" s="148" t="str">
        <f t="shared" si="10"/>
        <v xml:space="preserve">26 </v>
      </c>
      <c r="AB29" s="148" t="str">
        <f t="shared" si="11"/>
        <v xml:space="preserve">26 </v>
      </c>
    </row>
    <row r="30" spans="1:28" x14ac:dyDescent="0.25">
      <c r="A30" s="26">
        <v>27</v>
      </c>
      <c r="B30" s="5">
        <v>27</v>
      </c>
      <c r="C30" s="6"/>
      <c r="D30" s="6"/>
      <c r="E30" s="7"/>
      <c r="F30" s="7"/>
      <c r="G30" s="7"/>
      <c r="H30" s="7"/>
      <c r="I30" s="8"/>
      <c r="J30" s="7"/>
      <c r="K30" s="7"/>
      <c r="L30" s="7"/>
      <c r="M30" s="7"/>
      <c r="O30" s="150">
        <f t="shared" ca="1" si="2"/>
        <v>124</v>
      </c>
      <c r="P30" s="150" t="str">
        <f t="shared" si="3"/>
        <v/>
      </c>
      <c r="Q30" s="151" t="str">
        <f t="shared" si="4"/>
        <v/>
      </c>
      <c r="R30" s="149" t="str">
        <f>"D:\IMS Images\Headshots\VB\"&amp;'Team Info'!$B$12&amp;"\"&amp;D30&amp;"_"&amp;C30&amp;".png"</f>
        <v>D:\IMS Images\Headshots\VB\AKRON\_.png</v>
      </c>
      <c r="S30" s="149" t="str">
        <f>"D:\IMS Images\ActionShots\VB\"&amp;'Team Info'!$B$12&amp;"\"&amp;D30&amp;"_"&amp;C30&amp;".png"</f>
        <v>D:\IMS Images\ActionShots\VB\AKRON\_.png</v>
      </c>
      <c r="T30" s="148" t="str">
        <f t="shared" si="0"/>
        <v xml:space="preserve"> </v>
      </c>
      <c r="U30" s="148" t="str">
        <f t="shared" si="1"/>
        <v xml:space="preserve">. </v>
      </c>
      <c r="V30" s="148" t="str">
        <f t="shared" si="5"/>
        <v/>
      </c>
      <c r="W30" s="148" t="str">
        <f t="shared" si="6"/>
        <v xml:space="preserve"> </v>
      </c>
      <c r="X30" s="148" t="str">
        <f t="shared" si="7"/>
        <v/>
      </c>
      <c r="Y30" s="148" t="str">
        <f t="shared" si="8"/>
        <v/>
      </c>
      <c r="Z30" s="148" t="str">
        <f t="shared" si="9"/>
        <v/>
      </c>
      <c r="AA30" s="148" t="str">
        <f t="shared" si="10"/>
        <v xml:space="preserve">27 </v>
      </c>
      <c r="AB30" s="148" t="str">
        <f t="shared" si="11"/>
        <v xml:space="preserve">27 </v>
      </c>
    </row>
    <row r="31" spans="1:28" x14ac:dyDescent="0.25">
      <c r="A31" s="26">
        <v>28</v>
      </c>
      <c r="B31" s="5">
        <v>28</v>
      </c>
      <c r="C31" s="6"/>
      <c r="D31" s="6"/>
      <c r="E31" s="7"/>
      <c r="F31" s="7"/>
      <c r="G31" s="7"/>
      <c r="H31" s="7"/>
      <c r="I31" s="8"/>
      <c r="J31" s="7"/>
      <c r="K31" s="7"/>
      <c r="L31" s="7"/>
      <c r="M31" s="7"/>
      <c r="O31" s="150">
        <f t="shared" ca="1" si="2"/>
        <v>124</v>
      </c>
      <c r="P31" s="150" t="str">
        <f t="shared" si="3"/>
        <v/>
      </c>
      <c r="Q31" s="151" t="str">
        <f t="shared" si="4"/>
        <v/>
      </c>
      <c r="R31" s="149" t="str">
        <f>"D:\IMS Images\Headshots\VB\"&amp;'Team Info'!$B$12&amp;"\"&amp;D31&amp;"_"&amp;C31&amp;".png"</f>
        <v>D:\IMS Images\Headshots\VB\AKRON\_.png</v>
      </c>
      <c r="S31" s="149" t="str">
        <f>"D:\IMS Images\ActionShots\VB\"&amp;'Team Info'!$B$12&amp;"\"&amp;D31&amp;"_"&amp;C31&amp;".png"</f>
        <v>D:\IMS Images\ActionShots\VB\AKRON\_.png</v>
      </c>
      <c r="T31" s="148" t="str">
        <f t="shared" si="0"/>
        <v xml:space="preserve"> </v>
      </c>
      <c r="U31" s="148" t="str">
        <f t="shared" si="1"/>
        <v xml:space="preserve">. </v>
      </c>
      <c r="V31" s="148" t="str">
        <f t="shared" si="5"/>
        <v/>
      </c>
      <c r="W31" s="148" t="str">
        <f t="shared" si="6"/>
        <v xml:space="preserve"> </v>
      </c>
      <c r="X31" s="148" t="str">
        <f t="shared" si="7"/>
        <v/>
      </c>
      <c r="Y31" s="148" t="str">
        <f t="shared" si="8"/>
        <v/>
      </c>
      <c r="Z31" s="148" t="str">
        <f t="shared" si="9"/>
        <v/>
      </c>
      <c r="AA31" s="148" t="str">
        <f t="shared" si="10"/>
        <v xml:space="preserve">28 </v>
      </c>
      <c r="AB31" s="148" t="str">
        <f t="shared" si="11"/>
        <v xml:space="preserve">28 </v>
      </c>
    </row>
    <row r="32" spans="1:28" x14ac:dyDescent="0.25">
      <c r="A32" s="26">
        <v>29</v>
      </c>
      <c r="B32" s="5">
        <v>29</v>
      </c>
      <c r="C32" s="6"/>
      <c r="D32" s="6"/>
      <c r="E32" s="7"/>
      <c r="F32" s="7"/>
      <c r="G32" s="7"/>
      <c r="H32" s="7"/>
      <c r="I32" s="8"/>
      <c r="J32" s="7"/>
      <c r="K32" s="7"/>
      <c r="L32" s="7"/>
      <c r="M32" s="7"/>
      <c r="O32" s="150">
        <f t="shared" ca="1" si="2"/>
        <v>124</v>
      </c>
      <c r="P32" s="150" t="str">
        <f t="shared" si="3"/>
        <v/>
      </c>
      <c r="Q32" s="151" t="str">
        <f t="shared" si="4"/>
        <v/>
      </c>
      <c r="R32" s="149" t="str">
        <f>"D:\IMS Images\Headshots\VB\"&amp;'Team Info'!$B$12&amp;"\"&amp;D32&amp;"_"&amp;C32&amp;".png"</f>
        <v>D:\IMS Images\Headshots\VB\AKRON\_.png</v>
      </c>
      <c r="S32" s="149" t="str">
        <f>"D:\IMS Images\ActionShots\VB\"&amp;'Team Info'!$B$12&amp;"\"&amp;D32&amp;"_"&amp;C32&amp;".png"</f>
        <v>D:\IMS Images\ActionShots\VB\AKRON\_.png</v>
      </c>
      <c r="T32" s="148" t="str">
        <f t="shared" si="0"/>
        <v xml:space="preserve"> </v>
      </c>
      <c r="U32" s="148" t="str">
        <f t="shared" si="1"/>
        <v xml:space="preserve">. </v>
      </c>
      <c r="V32" s="148" t="str">
        <f t="shared" si="5"/>
        <v/>
      </c>
      <c r="W32" s="148" t="str">
        <f t="shared" si="6"/>
        <v xml:space="preserve"> </v>
      </c>
      <c r="X32" s="148" t="str">
        <f t="shared" si="7"/>
        <v/>
      </c>
      <c r="Y32" s="148" t="str">
        <f t="shared" si="8"/>
        <v/>
      </c>
      <c r="Z32" s="148" t="str">
        <f t="shared" si="9"/>
        <v/>
      </c>
      <c r="AA32" s="148" t="str">
        <f t="shared" si="10"/>
        <v xml:space="preserve">29 </v>
      </c>
      <c r="AB32" s="148" t="str">
        <f t="shared" si="11"/>
        <v xml:space="preserve">29 </v>
      </c>
    </row>
    <row r="33" spans="1:28" x14ac:dyDescent="0.25">
      <c r="A33" s="26">
        <v>30</v>
      </c>
      <c r="B33" s="5">
        <v>30</v>
      </c>
      <c r="C33" s="6"/>
      <c r="D33" s="6"/>
      <c r="E33" s="7"/>
      <c r="F33" s="7"/>
      <c r="G33" s="7"/>
      <c r="H33" s="7"/>
      <c r="I33" s="8"/>
      <c r="J33" s="7"/>
      <c r="K33" s="7"/>
      <c r="L33" s="7"/>
      <c r="M33" s="7"/>
      <c r="O33" s="150">
        <f t="shared" ca="1" si="2"/>
        <v>124</v>
      </c>
      <c r="P33" s="150" t="str">
        <f t="shared" si="3"/>
        <v/>
      </c>
      <c r="Q33" s="151" t="str">
        <f t="shared" si="4"/>
        <v/>
      </c>
      <c r="R33" s="149" t="str">
        <f>"D:\IMS Images\Headshots\VB\"&amp;'Team Info'!$B$12&amp;"\"&amp;D33&amp;"_"&amp;C33&amp;".png"</f>
        <v>D:\IMS Images\Headshots\VB\AKRON\_.png</v>
      </c>
      <c r="S33" s="149" t="str">
        <f>"D:\IMS Images\ActionShots\VB\"&amp;'Team Info'!$B$12&amp;"\"&amp;D33&amp;"_"&amp;C33&amp;".png"</f>
        <v>D:\IMS Images\ActionShots\VB\AKRON\_.png</v>
      </c>
      <c r="T33" s="148" t="str">
        <f t="shared" si="0"/>
        <v xml:space="preserve"> </v>
      </c>
      <c r="U33" s="148" t="str">
        <f t="shared" si="1"/>
        <v xml:space="preserve">. </v>
      </c>
      <c r="V33" s="148" t="str">
        <f t="shared" si="5"/>
        <v/>
      </c>
      <c r="W33" s="148" t="str">
        <f t="shared" si="6"/>
        <v xml:space="preserve"> </v>
      </c>
      <c r="X33" s="148" t="str">
        <f t="shared" si="7"/>
        <v/>
      </c>
      <c r="Y33" s="148" t="str">
        <f t="shared" si="8"/>
        <v/>
      </c>
      <c r="Z33" s="148" t="str">
        <f t="shared" si="9"/>
        <v/>
      </c>
      <c r="AA33" s="148" t="str">
        <f t="shared" si="10"/>
        <v xml:space="preserve">30 </v>
      </c>
      <c r="AB33" s="148" t="str">
        <f t="shared" si="11"/>
        <v xml:space="preserve">30 </v>
      </c>
    </row>
    <row r="34" spans="1:28" x14ac:dyDescent="0.25">
      <c r="A34" s="26">
        <v>31</v>
      </c>
      <c r="B34" s="5">
        <v>31</v>
      </c>
      <c r="C34" s="6"/>
      <c r="D34" s="6"/>
      <c r="E34" s="7"/>
      <c r="F34" s="7"/>
      <c r="G34" s="7"/>
      <c r="H34" s="7"/>
      <c r="I34" s="8"/>
      <c r="J34" s="7"/>
      <c r="K34" s="7"/>
      <c r="L34" s="7"/>
      <c r="M34" s="7"/>
      <c r="O34" s="150">
        <f t="shared" ca="1" si="2"/>
        <v>124</v>
      </c>
      <c r="P34" s="150" t="str">
        <f t="shared" si="3"/>
        <v/>
      </c>
      <c r="Q34" s="151" t="str">
        <f t="shared" si="4"/>
        <v/>
      </c>
      <c r="R34" s="149" t="str">
        <f>"D:\IMS Images\Headshots\VB\"&amp;'Team Info'!$B$12&amp;"\"&amp;D34&amp;"_"&amp;C34&amp;".png"</f>
        <v>D:\IMS Images\Headshots\VB\AKRON\_.png</v>
      </c>
      <c r="S34" s="149" t="str">
        <f>"D:\IMS Images\ActionShots\VB\"&amp;'Team Info'!$B$12&amp;"\"&amp;D34&amp;"_"&amp;C34&amp;".png"</f>
        <v>D:\IMS Images\ActionShots\VB\AKRON\_.png</v>
      </c>
      <c r="T34" s="148" t="str">
        <f t="shared" si="0"/>
        <v xml:space="preserve"> </v>
      </c>
      <c r="U34" s="148" t="str">
        <f t="shared" si="1"/>
        <v xml:space="preserve">. </v>
      </c>
      <c r="V34" s="148" t="str">
        <f t="shared" si="5"/>
        <v/>
      </c>
      <c r="W34" s="148" t="str">
        <f t="shared" si="6"/>
        <v xml:space="preserve"> </v>
      </c>
      <c r="X34" s="148" t="str">
        <f t="shared" si="7"/>
        <v/>
      </c>
      <c r="Y34" s="148" t="str">
        <f t="shared" si="8"/>
        <v/>
      </c>
      <c r="Z34" s="148" t="str">
        <f t="shared" si="9"/>
        <v/>
      </c>
      <c r="AA34" s="148" t="str">
        <f t="shared" si="10"/>
        <v xml:space="preserve">31 </v>
      </c>
      <c r="AB34" s="148" t="str">
        <f t="shared" si="11"/>
        <v xml:space="preserve">31 </v>
      </c>
    </row>
    <row r="35" spans="1:28" x14ac:dyDescent="0.25">
      <c r="A35" s="26">
        <v>32</v>
      </c>
      <c r="B35" s="5">
        <v>32</v>
      </c>
      <c r="C35" s="6"/>
      <c r="D35" s="6"/>
      <c r="E35" s="7"/>
      <c r="F35" s="7"/>
      <c r="G35" s="7"/>
      <c r="H35" s="7"/>
      <c r="I35" s="8"/>
      <c r="J35" s="7"/>
      <c r="K35" s="7"/>
      <c r="L35" s="7"/>
      <c r="M35" s="7"/>
      <c r="O35" s="150">
        <f t="shared" ca="1" si="2"/>
        <v>124</v>
      </c>
      <c r="P35" s="150" t="str">
        <f t="shared" si="3"/>
        <v/>
      </c>
      <c r="Q35" s="151" t="str">
        <f t="shared" si="4"/>
        <v/>
      </c>
      <c r="R35" s="149" t="str">
        <f>"D:\IMS Images\Headshots\VB\"&amp;'Team Info'!$B$12&amp;"\"&amp;D35&amp;"_"&amp;C35&amp;".png"</f>
        <v>D:\IMS Images\Headshots\VB\AKRON\_.png</v>
      </c>
      <c r="S35" s="149" t="str">
        <f>"D:\IMS Images\ActionShots\VB\"&amp;'Team Info'!$B$12&amp;"\"&amp;D35&amp;"_"&amp;C35&amp;".png"</f>
        <v>D:\IMS Images\ActionShots\VB\AKRON\_.png</v>
      </c>
      <c r="T35" s="148" t="str">
        <f t="shared" si="0"/>
        <v xml:space="preserve"> </v>
      </c>
      <c r="U35" s="148" t="str">
        <f t="shared" si="1"/>
        <v xml:space="preserve">. </v>
      </c>
      <c r="V35" s="148" t="str">
        <f t="shared" si="5"/>
        <v/>
      </c>
      <c r="W35" s="148" t="str">
        <f t="shared" si="6"/>
        <v xml:space="preserve"> </v>
      </c>
      <c r="X35" s="148" t="str">
        <f t="shared" si="7"/>
        <v/>
      </c>
      <c r="Y35" s="148" t="str">
        <f t="shared" si="8"/>
        <v/>
      </c>
      <c r="Z35" s="148" t="str">
        <f t="shared" si="9"/>
        <v/>
      </c>
      <c r="AA35" s="148" t="str">
        <f t="shared" si="10"/>
        <v xml:space="preserve">32 </v>
      </c>
      <c r="AB35" s="148" t="str">
        <f t="shared" si="11"/>
        <v xml:space="preserve">32 </v>
      </c>
    </row>
    <row r="36" spans="1:28" x14ac:dyDescent="0.25">
      <c r="A36" s="26">
        <v>33</v>
      </c>
      <c r="B36" s="5">
        <v>33</v>
      </c>
      <c r="C36" s="6"/>
      <c r="D36" s="6"/>
      <c r="E36" s="7"/>
      <c r="F36" s="7"/>
      <c r="G36" s="7"/>
      <c r="H36" s="7"/>
      <c r="I36" s="8"/>
      <c r="J36" s="7"/>
      <c r="K36" s="7"/>
      <c r="L36" s="7"/>
      <c r="M36" s="7"/>
      <c r="O36" s="150">
        <f t="shared" ca="1" si="2"/>
        <v>124</v>
      </c>
      <c r="P36" s="150" t="str">
        <f t="shared" si="3"/>
        <v/>
      </c>
      <c r="Q36" s="151" t="str">
        <f t="shared" si="4"/>
        <v/>
      </c>
      <c r="R36" s="149" t="str">
        <f>"D:\IMS Images\Headshots\VB\"&amp;'Team Info'!$B$12&amp;"\"&amp;D36&amp;"_"&amp;C36&amp;".png"</f>
        <v>D:\IMS Images\Headshots\VB\AKRON\_.png</v>
      </c>
      <c r="S36" s="149" t="str">
        <f>"D:\IMS Images\ActionShots\VB\"&amp;'Team Info'!$B$12&amp;"\"&amp;D36&amp;"_"&amp;C36&amp;".png"</f>
        <v>D:\IMS Images\ActionShots\VB\AKRON\_.png</v>
      </c>
      <c r="T36" s="148" t="str">
        <f t="shared" ref="T36:T67" si="12">C36&amp;" "&amp;D36</f>
        <v xml:space="preserve"> </v>
      </c>
      <c r="U36" s="148" t="str">
        <f t="shared" ref="U36:U67" si="13">LEFT(C36,1)&amp;". "&amp;D36</f>
        <v xml:space="preserve">. </v>
      </c>
      <c r="V36" s="148" t="str">
        <f t="shared" si="5"/>
        <v/>
      </c>
      <c r="W36" s="148" t="str">
        <f t="shared" si="6"/>
        <v xml:space="preserve"> </v>
      </c>
      <c r="X36" s="148" t="str">
        <f t="shared" si="7"/>
        <v/>
      </c>
      <c r="Y36" s="148" t="str">
        <f t="shared" si="8"/>
        <v/>
      </c>
      <c r="Z36" s="148" t="str">
        <f t="shared" si="9"/>
        <v/>
      </c>
      <c r="AA36" s="148" t="str">
        <f t="shared" si="10"/>
        <v xml:space="preserve">33 </v>
      </c>
      <c r="AB36" s="148" t="str">
        <f t="shared" si="11"/>
        <v xml:space="preserve">33 </v>
      </c>
    </row>
    <row r="37" spans="1:28" x14ac:dyDescent="0.25">
      <c r="A37" s="26">
        <v>34</v>
      </c>
      <c r="B37" s="5">
        <v>34</v>
      </c>
      <c r="C37" s="6"/>
      <c r="D37" s="6"/>
      <c r="E37" s="7"/>
      <c r="F37" s="7"/>
      <c r="G37" s="7"/>
      <c r="H37" s="7"/>
      <c r="I37" s="8"/>
      <c r="J37" s="7"/>
      <c r="K37" s="7"/>
      <c r="L37" s="7"/>
      <c r="M37" s="7"/>
      <c r="O37" s="150">
        <f t="shared" ca="1" si="2"/>
        <v>124</v>
      </c>
      <c r="P37" s="150" t="str">
        <f t="shared" si="3"/>
        <v/>
      </c>
      <c r="Q37" s="151" t="str">
        <f t="shared" si="4"/>
        <v/>
      </c>
      <c r="R37" s="149" t="str">
        <f>"D:\IMS Images\Headshots\VB\"&amp;'Team Info'!$B$12&amp;"\"&amp;D37&amp;"_"&amp;C37&amp;".png"</f>
        <v>D:\IMS Images\Headshots\VB\AKRON\_.png</v>
      </c>
      <c r="S37" s="149" t="str">
        <f>"D:\IMS Images\ActionShots\VB\"&amp;'Team Info'!$B$12&amp;"\"&amp;D37&amp;"_"&amp;C37&amp;".png"</f>
        <v>D:\IMS Images\ActionShots\VB\AKRON\_.png</v>
      </c>
      <c r="T37" s="148" t="str">
        <f t="shared" si="12"/>
        <v xml:space="preserve"> </v>
      </c>
      <c r="U37" s="148" t="str">
        <f t="shared" si="13"/>
        <v xml:space="preserve">. </v>
      </c>
      <c r="V37" s="148" t="str">
        <f t="shared" si="5"/>
        <v/>
      </c>
      <c r="W37" s="148" t="str">
        <f t="shared" si="6"/>
        <v xml:space="preserve"> </v>
      </c>
      <c r="X37" s="148" t="str">
        <f t="shared" si="7"/>
        <v/>
      </c>
      <c r="Y37" s="148" t="str">
        <f t="shared" si="8"/>
        <v/>
      </c>
      <c r="Z37" s="148" t="str">
        <f t="shared" si="9"/>
        <v/>
      </c>
      <c r="AA37" s="148" t="str">
        <f t="shared" si="10"/>
        <v xml:space="preserve">34 </v>
      </c>
      <c r="AB37" s="148" t="str">
        <f t="shared" si="11"/>
        <v xml:space="preserve">34 </v>
      </c>
    </row>
    <row r="38" spans="1:28" x14ac:dyDescent="0.25">
      <c r="A38" s="26">
        <v>35</v>
      </c>
      <c r="B38" s="5">
        <v>35</v>
      </c>
      <c r="C38" s="6"/>
      <c r="D38" s="6"/>
      <c r="E38" s="7"/>
      <c r="F38" s="7"/>
      <c r="G38" s="7"/>
      <c r="H38" s="7"/>
      <c r="I38" s="8"/>
      <c r="J38" s="7"/>
      <c r="K38" s="7"/>
      <c r="L38" s="7"/>
      <c r="M38" s="7"/>
      <c r="O38" s="150">
        <f t="shared" ca="1" si="2"/>
        <v>124</v>
      </c>
      <c r="P38" s="150" t="str">
        <f t="shared" si="3"/>
        <v/>
      </c>
      <c r="Q38" s="151" t="str">
        <f t="shared" si="4"/>
        <v/>
      </c>
      <c r="R38" s="149" t="str">
        <f>"D:\IMS Images\Headshots\VB\"&amp;'Team Info'!$B$12&amp;"\"&amp;D38&amp;"_"&amp;C38&amp;".png"</f>
        <v>D:\IMS Images\Headshots\VB\AKRON\_.png</v>
      </c>
      <c r="S38" s="149" t="str">
        <f>"D:\IMS Images\ActionShots\VB\"&amp;'Team Info'!$B$12&amp;"\"&amp;D38&amp;"_"&amp;C38&amp;".png"</f>
        <v>D:\IMS Images\ActionShots\VB\AKRON\_.png</v>
      </c>
      <c r="T38" s="148" t="str">
        <f t="shared" si="12"/>
        <v xml:space="preserve"> </v>
      </c>
      <c r="U38" s="148" t="str">
        <f t="shared" si="13"/>
        <v xml:space="preserve">. </v>
      </c>
      <c r="V38" s="148" t="str">
        <f t="shared" si="5"/>
        <v/>
      </c>
      <c r="W38" s="148" t="str">
        <f t="shared" si="6"/>
        <v xml:space="preserve"> </v>
      </c>
      <c r="X38" s="148" t="str">
        <f t="shared" si="7"/>
        <v/>
      </c>
      <c r="Y38" s="148" t="str">
        <f t="shared" si="8"/>
        <v/>
      </c>
      <c r="Z38" s="148" t="str">
        <f t="shared" si="9"/>
        <v/>
      </c>
      <c r="AA38" s="148" t="str">
        <f t="shared" si="10"/>
        <v xml:space="preserve">35 </v>
      </c>
      <c r="AB38" s="148" t="str">
        <f t="shared" si="11"/>
        <v xml:space="preserve">35 </v>
      </c>
    </row>
    <row r="39" spans="1:28" x14ac:dyDescent="0.25">
      <c r="A39" s="26">
        <v>36</v>
      </c>
      <c r="B39" s="5">
        <v>36</v>
      </c>
      <c r="C39" s="6"/>
      <c r="D39" s="6"/>
      <c r="E39" s="7"/>
      <c r="F39" s="7"/>
      <c r="G39" s="7"/>
      <c r="H39" s="7"/>
      <c r="I39" s="8"/>
      <c r="J39" s="7"/>
      <c r="K39" s="7"/>
      <c r="L39" s="7"/>
      <c r="M39" s="7"/>
      <c r="O39" s="150">
        <f t="shared" ca="1" si="2"/>
        <v>124</v>
      </c>
      <c r="P39" s="150" t="str">
        <f t="shared" si="3"/>
        <v/>
      </c>
      <c r="Q39" s="151" t="str">
        <f t="shared" si="4"/>
        <v/>
      </c>
      <c r="R39" s="149" t="str">
        <f>"D:\IMS Images\Headshots\VB\"&amp;'Team Info'!$B$12&amp;"\"&amp;D39&amp;"_"&amp;C39&amp;".png"</f>
        <v>D:\IMS Images\Headshots\VB\AKRON\_.png</v>
      </c>
      <c r="S39" s="149" t="str">
        <f>"D:\IMS Images\ActionShots\VB\"&amp;'Team Info'!$B$12&amp;"\"&amp;D39&amp;"_"&amp;C39&amp;".png"</f>
        <v>D:\IMS Images\ActionShots\VB\AKRON\_.png</v>
      </c>
      <c r="T39" s="148" t="str">
        <f t="shared" si="12"/>
        <v xml:space="preserve"> </v>
      </c>
      <c r="U39" s="148" t="str">
        <f t="shared" si="13"/>
        <v xml:space="preserve">. </v>
      </c>
      <c r="V39" s="148" t="str">
        <f t="shared" si="5"/>
        <v/>
      </c>
      <c r="W39" s="148" t="str">
        <f t="shared" si="6"/>
        <v xml:space="preserve"> </v>
      </c>
      <c r="X39" s="148" t="str">
        <f t="shared" si="7"/>
        <v/>
      </c>
      <c r="Y39" s="148" t="str">
        <f t="shared" si="8"/>
        <v/>
      </c>
      <c r="Z39" s="148" t="str">
        <f t="shared" si="9"/>
        <v/>
      </c>
      <c r="AA39" s="148" t="str">
        <f t="shared" si="10"/>
        <v xml:space="preserve">36 </v>
      </c>
      <c r="AB39" s="148" t="str">
        <f t="shared" si="11"/>
        <v xml:space="preserve">36 </v>
      </c>
    </row>
    <row r="40" spans="1:28" x14ac:dyDescent="0.25">
      <c r="A40" s="26">
        <v>37</v>
      </c>
      <c r="B40" s="5">
        <v>37</v>
      </c>
      <c r="C40" s="6"/>
      <c r="D40" s="6"/>
      <c r="E40" s="7"/>
      <c r="F40" s="7"/>
      <c r="G40" s="7"/>
      <c r="H40" s="7"/>
      <c r="I40" s="8"/>
      <c r="J40" s="7"/>
      <c r="K40" s="7"/>
      <c r="L40" s="7"/>
      <c r="M40" s="7"/>
      <c r="O40" s="150">
        <f t="shared" ca="1" si="2"/>
        <v>124</v>
      </c>
      <c r="P40" s="150" t="str">
        <f t="shared" si="3"/>
        <v/>
      </c>
      <c r="Q40" s="151" t="str">
        <f t="shared" si="4"/>
        <v/>
      </c>
      <c r="R40" s="149" t="str">
        <f>"D:\IMS Images\Headshots\VB\"&amp;'Team Info'!$B$12&amp;"\"&amp;D40&amp;"_"&amp;C40&amp;".png"</f>
        <v>D:\IMS Images\Headshots\VB\AKRON\_.png</v>
      </c>
      <c r="S40" s="149" t="str">
        <f>"D:\IMS Images\ActionShots\VB\"&amp;'Team Info'!$B$12&amp;"\"&amp;D40&amp;"_"&amp;C40&amp;".png"</f>
        <v>D:\IMS Images\ActionShots\VB\AKRON\_.png</v>
      </c>
      <c r="T40" s="148" t="str">
        <f t="shared" si="12"/>
        <v xml:space="preserve"> </v>
      </c>
      <c r="U40" s="148" t="str">
        <f t="shared" si="13"/>
        <v xml:space="preserve">. </v>
      </c>
      <c r="V40" s="148" t="str">
        <f t="shared" si="5"/>
        <v/>
      </c>
      <c r="W40" s="148" t="str">
        <f t="shared" si="6"/>
        <v xml:space="preserve"> </v>
      </c>
      <c r="X40" s="148" t="str">
        <f t="shared" si="7"/>
        <v/>
      </c>
      <c r="Y40" s="148" t="str">
        <f t="shared" si="8"/>
        <v/>
      </c>
      <c r="Z40" s="148" t="str">
        <f t="shared" si="9"/>
        <v/>
      </c>
      <c r="AA40" s="148" t="str">
        <f t="shared" si="10"/>
        <v xml:space="preserve">37 </v>
      </c>
      <c r="AB40" s="148" t="str">
        <f t="shared" si="11"/>
        <v xml:space="preserve">37 </v>
      </c>
    </row>
    <row r="41" spans="1:28" x14ac:dyDescent="0.25">
      <c r="A41" s="26">
        <v>38</v>
      </c>
      <c r="B41" s="5">
        <v>38</v>
      </c>
      <c r="C41" s="6"/>
      <c r="D41" s="6"/>
      <c r="E41" s="7"/>
      <c r="F41" s="7"/>
      <c r="G41" s="7"/>
      <c r="H41" s="7"/>
      <c r="I41" s="8"/>
      <c r="J41" s="7"/>
      <c r="K41" s="7"/>
      <c r="L41" s="7"/>
      <c r="M41" s="7"/>
      <c r="O41" s="150">
        <f t="shared" ca="1" si="2"/>
        <v>124</v>
      </c>
      <c r="P41" s="150" t="str">
        <f t="shared" si="3"/>
        <v/>
      </c>
      <c r="Q41" s="151" t="str">
        <f t="shared" si="4"/>
        <v/>
      </c>
      <c r="R41" s="149" t="str">
        <f>"D:\IMS Images\Headshots\VB\"&amp;'Team Info'!$B$12&amp;"\"&amp;D41&amp;"_"&amp;C41&amp;".png"</f>
        <v>D:\IMS Images\Headshots\VB\AKRON\_.png</v>
      </c>
      <c r="S41" s="149" t="str">
        <f>"D:\IMS Images\ActionShots\VB\"&amp;'Team Info'!$B$12&amp;"\"&amp;D41&amp;"_"&amp;C41&amp;".png"</f>
        <v>D:\IMS Images\ActionShots\VB\AKRON\_.png</v>
      </c>
      <c r="T41" s="148" t="str">
        <f t="shared" si="12"/>
        <v xml:space="preserve"> </v>
      </c>
      <c r="U41" s="148" t="str">
        <f t="shared" si="13"/>
        <v xml:space="preserve">. </v>
      </c>
      <c r="V41" s="148" t="str">
        <f t="shared" si="5"/>
        <v/>
      </c>
      <c r="W41" s="148" t="str">
        <f t="shared" si="6"/>
        <v xml:space="preserve"> </v>
      </c>
      <c r="X41" s="148" t="str">
        <f t="shared" si="7"/>
        <v/>
      </c>
      <c r="Y41" s="148" t="str">
        <f t="shared" si="8"/>
        <v/>
      </c>
      <c r="Z41" s="148" t="str">
        <f t="shared" si="9"/>
        <v/>
      </c>
      <c r="AA41" s="148" t="str">
        <f t="shared" si="10"/>
        <v xml:space="preserve">38 </v>
      </c>
      <c r="AB41" s="148" t="str">
        <f t="shared" si="11"/>
        <v xml:space="preserve">38 </v>
      </c>
    </row>
    <row r="42" spans="1:28" x14ac:dyDescent="0.25">
      <c r="A42" s="26">
        <v>39</v>
      </c>
      <c r="B42" s="5">
        <v>39</v>
      </c>
      <c r="C42" s="6"/>
      <c r="D42" s="6"/>
      <c r="E42" s="7"/>
      <c r="F42" s="7"/>
      <c r="G42" s="7"/>
      <c r="H42" s="7"/>
      <c r="I42" s="8"/>
      <c r="J42" s="7"/>
      <c r="K42" s="7"/>
      <c r="L42" s="7"/>
      <c r="M42" s="7"/>
      <c r="O42" s="150">
        <f t="shared" ca="1" si="2"/>
        <v>124</v>
      </c>
      <c r="P42" s="150" t="str">
        <f t="shared" si="3"/>
        <v/>
      </c>
      <c r="Q42" s="151" t="str">
        <f t="shared" si="4"/>
        <v/>
      </c>
      <c r="R42" s="149" t="str">
        <f>"D:\IMS Images\Headshots\VB\"&amp;'Team Info'!$B$12&amp;"\"&amp;D42&amp;"_"&amp;C42&amp;".png"</f>
        <v>D:\IMS Images\Headshots\VB\AKRON\_.png</v>
      </c>
      <c r="S42" s="149" t="str">
        <f>"D:\IMS Images\ActionShots\VB\"&amp;'Team Info'!$B$12&amp;"\"&amp;D42&amp;"_"&amp;C42&amp;".png"</f>
        <v>D:\IMS Images\ActionShots\VB\AKRON\_.png</v>
      </c>
      <c r="T42" s="148" t="str">
        <f t="shared" si="12"/>
        <v xml:space="preserve"> </v>
      </c>
      <c r="U42" s="148" t="str">
        <f t="shared" si="13"/>
        <v xml:space="preserve">. </v>
      </c>
      <c r="V42" s="148" t="str">
        <f t="shared" si="5"/>
        <v/>
      </c>
      <c r="W42" s="148" t="str">
        <f t="shared" si="6"/>
        <v xml:space="preserve"> </v>
      </c>
      <c r="X42" s="148" t="str">
        <f t="shared" si="7"/>
        <v/>
      </c>
      <c r="Y42" s="148" t="str">
        <f t="shared" si="8"/>
        <v/>
      </c>
      <c r="Z42" s="148" t="str">
        <f t="shared" si="9"/>
        <v/>
      </c>
      <c r="AA42" s="148" t="str">
        <f t="shared" si="10"/>
        <v xml:space="preserve">39 </v>
      </c>
      <c r="AB42" s="148" t="str">
        <f t="shared" si="11"/>
        <v xml:space="preserve">39 </v>
      </c>
    </row>
    <row r="43" spans="1:28" x14ac:dyDescent="0.25">
      <c r="A43" s="26">
        <v>40</v>
      </c>
      <c r="B43" s="5">
        <v>40</v>
      </c>
      <c r="C43" s="6"/>
      <c r="D43" s="6"/>
      <c r="E43" s="7"/>
      <c r="F43" s="7"/>
      <c r="G43" s="7"/>
      <c r="H43" s="7"/>
      <c r="I43" s="8"/>
      <c r="J43" s="7"/>
      <c r="K43" s="7"/>
      <c r="L43" s="7"/>
      <c r="M43" s="7"/>
      <c r="O43" s="150">
        <f t="shared" ca="1" si="2"/>
        <v>124</v>
      </c>
      <c r="P43" s="150" t="str">
        <f t="shared" si="3"/>
        <v/>
      </c>
      <c r="Q43" s="151" t="str">
        <f t="shared" si="4"/>
        <v/>
      </c>
      <c r="R43" s="149" t="str">
        <f>"D:\IMS Images\Headshots\VB\"&amp;'Team Info'!$B$12&amp;"\"&amp;D43&amp;"_"&amp;C43&amp;".png"</f>
        <v>D:\IMS Images\Headshots\VB\AKRON\_.png</v>
      </c>
      <c r="S43" s="149" t="str">
        <f>"D:\IMS Images\ActionShots\VB\"&amp;'Team Info'!$B$12&amp;"\"&amp;D43&amp;"_"&amp;C43&amp;".png"</f>
        <v>D:\IMS Images\ActionShots\VB\AKRON\_.png</v>
      </c>
      <c r="T43" s="148" t="str">
        <f t="shared" si="12"/>
        <v xml:space="preserve"> </v>
      </c>
      <c r="U43" s="148" t="str">
        <f t="shared" si="13"/>
        <v xml:space="preserve">. </v>
      </c>
      <c r="V43" s="148" t="str">
        <f t="shared" si="5"/>
        <v/>
      </c>
      <c r="W43" s="148" t="str">
        <f t="shared" si="6"/>
        <v xml:space="preserve"> </v>
      </c>
      <c r="X43" s="148" t="str">
        <f t="shared" si="7"/>
        <v/>
      </c>
      <c r="Y43" s="148" t="str">
        <f t="shared" si="8"/>
        <v/>
      </c>
      <c r="Z43" s="148" t="str">
        <f t="shared" si="9"/>
        <v/>
      </c>
      <c r="AA43" s="148" t="str">
        <f t="shared" si="10"/>
        <v xml:space="preserve">40 </v>
      </c>
      <c r="AB43" s="148" t="str">
        <f t="shared" si="11"/>
        <v xml:space="preserve">40 </v>
      </c>
    </row>
    <row r="44" spans="1:28" x14ac:dyDescent="0.25">
      <c r="A44" s="26">
        <v>41</v>
      </c>
      <c r="B44" s="5">
        <v>41</v>
      </c>
      <c r="C44" s="6"/>
      <c r="D44" s="6"/>
      <c r="E44" s="7"/>
      <c r="F44" s="7"/>
      <c r="G44" s="7"/>
      <c r="H44" s="7"/>
      <c r="I44" s="8"/>
      <c r="J44" s="7"/>
      <c r="K44" s="7"/>
      <c r="L44" s="7"/>
      <c r="M44" s="7"/>
      <c r="O44" s="150">
        <f t="shared" ca="1" si="2"/>
        <v>124</v>
      </c>
      <c r="P44" s="150" t="str">
        <f t="shared" si="3"/>
        <v/>
      </c>
      <c r="Q44" s="151" t="str">
        <f t="shared" si="4"/>
        <v/>
      </c>
      <c r="R44" s="149" t="str">
        <f>"D:\IMS Images\Headshots\VB\"&amp;'Team Info'!$B$12&amp;"\"&amp;D44&amp;"_"&amp;C44&amp;".png"</f>
        <v>D:\IMS Images\Headshots\VB\AKRON\_.png</v>
      </c>
      <c r="S44" s="149" t="str">
        <f>"D:\IMS Images\ActionShots\VB\"&amp;'Team Info'!$B$12&amp;"\"&amp;D44&amp;"_"&amp;C44&amp;".png"</f>
        <v>D:\IMS Images\ActionShots\VB\AKRON\_.png</v>
      </c>
      <c r="T44" s="148" t="str">
        <f t="shared" si="12"/>
        <v xml:space="preserve"> </v>
      </c>
      <c r="U44" s="148" t="str">
        <f t="shared" si="13"/>
        <v xml:space="preserve">. </v>
      </c>
      <c r="V44" s="148" t="str">
        <f t="shared" si="5"/>
        <v/>
      </c>
      <c r="W44" s="148" t="str">
        <f t="shared" si="6"/>
        <v xml:space="preserve"> </v>
      </c>
      <c r="X44" s="148" t="str">
        <f t="shared" si="7"/>
        <v/>
      </c>
      <c r="Y44" s="148" t="str">
        <f t="shared" si="8"/>
        <v/>
      </c>
      <c r="Z44" s="148" t="str">
        <f t="shared" si="9"/>
        <v/>
      </c>
      <c r="AA44" s="148" t="str">
        <f t="shared" si="10"/>
        <v xml:space="preserve">41 </v>
      </c>
      <c r="AB44" s="148" t="str">
        <f t="shared" si="11"/>
        <v xml:space="preserve">41 </v>
      </c>
    </row>
    <row r="45" spans="1:28" x14ac:dyDescent="0.25">
      <c r="A45" s="26">
        <v>42</v>
      </c>
      <c r="B45" s="5">
        <v>42</v>
      </c>
      <c r="C45" s="6"/>
      <c r="D45" s="6"/>
      <c r="E45" s="7"/>
      <c r="F45" s="7"/>
      <c r="G45" s="7"/>
      <c r="H45" s="7"/>
      <c r="I45" s="8"/>
      <c r="J45" s="7"/>
      <c r="K45" s="7"/>
      <c r="L45" s="7"/>
      <c r="M45" s="7"/>
      <c r="O45" s="150">
        <f t="shared" ca="1" si="2"/>
        <v>124</v>
      </c>
      <c r="P45" s="150" t="str">
        <f t="shared" si="3"/>
        <v/>
      </c>
      <c r="Q45" s="151" t="str">
        <f t="shared" si="4"/>
        <v/>
      </c>
      <c r="R45" s="149" t="str">
        <f>"D:\IMS Images\Headshots\VB\"&amp;'Team Info'!$B$12&amp;"\"&amp;D45&amp;"_"&amp;C45&amp;".png"</f>
        <v>D:\IMS Images\Headshots\VB\AKRON\_.png</v>
      </c>
      <c r="S45" s="149" t="str">
        <f>"D:\IMS Images\ActionShots\VB\"&amp;'Team Info'!$B$12&amp;"\"&amp;D45&amp;"_"&amp;C45&amp;".png"</f>
        <v>D:\IMS Images\ActionShots\VB\AKRON\_.png</v>
      </c>
      <c r="T45" s="148" t="str">
        <f t="shared" si="12"/>
        <v xml:space="preserve"> </v>
      </c>
      <c r="U45" s="148" t="str">
        <f t="shared" si="13"/>
        <v xml:space="preserve">. </v>
      </c>
      <c r="V45" s="148" t="str">
        <f t="shared" si="5"/>
        <v/>
      </c>
      <c r="W45" s="148" t="str">
        <f t="shared" si="6"/>
        <v xml:space="preserve"> </v>
      </c>
      <c r="X45" s="148" t="str">
        <f t="shared" si="7"/>
        <v/>
      </c>
      <c r="Y45" s="148" t="str">
        <f t="shared" si="8"/>
        <v/>
      </c>
      <c r="Z45" s="148" t="str">
        <f t="shared" si="9"/>
        <v/>
      </c>
      <c r="AA45" s="148" t="str">
        <f t="shared" si="10"/>
        <v xml:space="preserve">42 </v>
      </c>
      <c r="AB45" s="148" t="str">
        <f t="shared" si="11"/>
        <v xml:space="preserve">42 </v>
      </c>
    </row>
    <row r="46" spans="1:28" x14ac:dyDescent="0.25">
      <c r="A46" s="26">
        <v>43</v>
      </c>
      <c r="B46" s="5">
        <v>43</v>
      </c>
      <c r="C46" s="6"/>
      <c r="D46" s="6"/>
      <c r="E46" s="7"/>
      <c r="F46" s="7"/>
      <c r="G46" s="7"/>
      <c r="H46" s="7"/>
      <c r="I46" s="8"/>
      <c r="J46" s="7"/>
      <c r="K46" s="7"/>
      <c r="L46" s="7"/>
      <c r="M46" s="7"/>
      <c r="O46" s="150">
        <f t="shared" ca="1" si="2"/>
        <v>124</v>
      </c>
      <c r="P46" s="150" t="str">
        <f t="shared" si="3"/>
        <v/>
      </c>
      <c r="Q46" s="151" t="str">
        <f t="shared" si="4"/>
        <v/>
      </c>
      <c r="R46" s="149" t="str">
        <f>"D:\IMS Images\Headshots\VB\"&amp;'Team Info'!$B$12&amp;"\"&amp;D46&amp;"_"&amp;C46&amp;".png"</f>
        <v>D:\IMS Images\Headshots\VB\AKRON\_.png</v>
      </c>
      <c r="S46" s="149" t="str">
        <f>"D:\IMS Images\ActionShots\VB\"&amp;'Team Info'!$B$12&amp;"\"&amp;D46&amp;"_"&amp;C46&amp;".png"</f>
        <v>D:\IMS Images\ActionShots\VB\AKRON\_.png</v>
      </c>
      <c r="T46" s="148" t="str">
        <f t="shared" si="12"/>
        <v xml:space="preserve"> </v>
      </c>
      <c r="U46" s="148" t="str">
        <f t="shared" si="13"/>
        <v xml:space="preserve">. </v>
      </c>
      <c r="V46" s="148" t="str">
        <f t="shared" si="5"/>
        <v/>
      </c>
      <c r="W46" s="148" t="str">
        <f t="shared" si="6"/>
        <v xml:space="preserve"> </v>
      </c>
      <c r="X46" s="148" t="str">
        <f t="shared" si="7"/>
        <v/>
      </c>
      <c r="Y46" s="148" t="str">
        <f t="shared" si="8"/>
        <v/>
      </c>
      <c r="Z46" s="148" t="str">
        <f t="shared" si="9"/>
        <v/>
      </c>
      <c r="AA46" s="148" t="str">
        <f t="shared" si="10"/>
        <v xml:space="preserve">43 </v>
      </c>
      <c r="AB46" s="148" t="str">
        <f t="shared" si="11"/>
        <v xml:space="preserve">43 </v>
      </c>
    </row>
    <row r="47" spans="1:28" x14ac:dyDescent="0.25">
      <c r="A47" s="26">
        <v>44</v>
      </c>
      <c r="B47" s="5">
        <v>44</v>
      </c>
      <c r="C47" s="6"/>
      <c r="D47" s="6"/>
      <c r="E47" s="7"/>
      <c r="F47" s="7"/>
      <c r="G47" s="7"/>
      <c r="H47" s="7"/>
      <c r="I47" s="8"/>
      <c r="J47" s="7"/>
      <c r="K47" s="7"/>
      <c r="L47" s="7"/>
      <c r="M47" s="7"/>
      <c r="O47" s="150">
        <f t="shared" ca="1" si="2"/>
        <v>124</v>
      </c>
      <c r="P47" s="150" t="str">
        <f t="shared" si="3"/>
        <v/>
      </c>
      <c r="Q47" s="151" t="str">
        <f t="shared" si="4"/>
        <v/>
      </c>
      <c r="R47" s="149" t="str">
        <f>"D:\IMS Images\Headshots\VB\"&amp;'Team Info'!$B$12&amp;"\"&amp;D47&amp;"_"&amp;C47&amp;".png"</f>
        <v>D:\IMS Images\Headshots\VB\AKRON\_.png</v>
      </c>
      <c r="S47" s="149" t="str">
        <f>"D:\IMS Images\ActionShots\VB\"&amp;'Team Info'!$B$12&amp;"\"&amp;D47&amp;"_"&amp;C47&amp;".png"</f>
        <v>D:\IMS Images\ActionShots\VB\AKRON\_.png</v>
      </c>
      <c r="T47" s="148" t="str">
        <f t="shared" si="12"/>
        <v xml:space="preserve"> </v>
      </c>
      <c r="U47" s="148" t="str">
        <f t="shared" si="13"/>
        <v xml:space="preserve">. </v>
      </c>
      <c r="V47" s="148" t="str">
        <f t="shared" si="5"/>
        <v/>
      </c>
      <c r="W47" s="148" t="str">
        <f t="shared" si="6"/>
        <v xml:space="preserve"> </v>
      </c>
      <c r="X47" s="148" t="str">
        <f t="shared" si="7"/>
        <v/>
      </c>
      <c r="Y47" s="148" t="str">
        <f t="shared" si="8"/>
        <v/>
      </c>
      <c r="Z47" s="148" t="str">
        <f t="shared" si="9"/>
        <v/>
      </c>
      <c r="AA47" s="148" t="str">
        <f t="shared" si="10"/>
        <v xml:space="preserve">44 </v>
      </c>
      <c r="AB47" s="148" t="str">
        <f t="shared" si="11"/>
        <v xml:space="preserve">44 </v>
      </c>
    </row>
    <row r="48" spans="1:28" x14ac:dyDescent="0.25">
      <c r="A48" s="26">
        <v>45</v>
      </c>
      <c r="B48" s="5">
        <v>45</v>
      </c>
      <c r="C48" s="6"/>
      <c r="D48" s="6"/>
      <c r="E48" s="7"/>
      <c r="F48" s="7"/>
      <c r="G48" s="7"/>
      <c r="H48" s="7"/>
      <c r="I48" s="8"/>
      <c r="J48" s="7"/>
      <c r="K48" s="7"/>
      <c r="L48" s="7"/>
      <c r="M48" s="7"/>
      <c r="O48" s="150">
        <f t="shared" ca="1" si="2"/>
        <v>124</v>
      </c>
      <c r="P48" s="150" t="str">
        <f t="shared" si="3"/>
        <v/>
      </c>
      <c r="Q48" s="151" t="str">
        <f t="shared" si="4"/>
        <v/>
      </c>
      <c r="R48" s="149" t="str">
        <f>"D:\IMS Images\Headshots\VB\"&amp;'Team Info'!$B$12&amp;"\"&amp;D48&amp;"_"&amp;C48&amp;".png"</f>
        <v>D:\IMS Images\Headshots\VB\AKRON\_.png</v>
      </c>
      <c r="S48" s="149" t="str">
        <f>"D:\IMS Images\ActionShots\VB\"&amp;'Team Info'!$B$12&amp;"\"&amp;D48&amp;"_"&amp;C48&amp;".png"</f>
        <v>D:\IMS Images\ActionShots\VB\AKRON\_.png</v>
      </c>
      <c r="T48" s="148" t="str">
        <f t="shared" si="12"/>
        <v xml:space="preserve"> </v>
      </c>
      <c r="U48" s="148" t="str">
        <f t="shared" si="13"/>
        <v xml:space="preserve">. </v>
      </c>
      <c r="V48" s="148" t="str">
        <f t="shared" si="5"/>
        <v/>
      </c>
      <c r="W48" s="148" t="str">
        <f t="shared" si="6"/>
        <v xml:space="preserve"> </v>
      </c>
      <c r="X48" s="148" t="str">
        <f t="shared" si="7"/>
        <v/>
      </c>
      <c r="Y48" s="148" t="str">
        <f t="shared" si="8"/>
        <v/>
      </c>
      <c r="Z48" s="148" t="str">
        <f t="shared" si="9"/>
        <v/>
      </c>
      <c r="AA48" s="148" t="str">
        <f t="shared" si="10"/>
        <v xml:space="preserve">45 </v>
      </c>
      <c r="AB48" s="148" t="str">
        <f t="shared" si="11"/>
        <v xml:space="preserve">45 </v>
      </c>
    </row>
    <row r="49" spans="1:28" x14ac:dyDescent="0.25">
      <c r="A49" s="26">
        <v>46</v>
      </c>
      <c r="B49" s="5">
        <v>46</v>
      </c>
      <c r="C49" s="6"/>
      <c r="D49" s="6"/>
      <c r="E49" s="7"/>
      <c r="F49" s="7"/>
      <c r="G49" s="7"/>
      <c r="H49" s="7"/>
      <c r="I49" s="8"/>
      <c r="J49" s="7"/>
      <c r="K49" s="7"/>
      <c r="L49" s="7"/>
      <c r="M49" s="7"/>
      <c r="O49" s="150">
        <f t="shared" ca="1" si="2"/>
        <v>124</v>
      </c>
      <c r="P49" s="150" t="str">
        <f t="shared" si="3"/>
        <v/>
      </c>
      <c r="Q49" s="151" t="str">
        <f t="shared" si="4"/>
        <v/>
      </c>
      <c r="R49" s="149" t="str">
        <f>"D:\IMS Images\Headshots\VB\"&amp;'Team Info'!$B$12&amp;"\"&amp;D49&amp;"_"&amp;C49&amp;".png"</f>
        <v>D:\IMS Images\Headshots\VB\AKRON\_.png</v>
      </c>
      <c r="S49" s="149" t="str">
        <f>"D:\IMS Images\ActionShots\VB\"&amp;'Team Info'!$B$12&amp;"\"&amp;D49&amp;"_"&amp;C49&amp;".png"</f>
        <v>D:\IMS Images\ActionShots\VB\AKRON\_.png</v>
      </c>
      <c r="T49" s="148" t="str">
        <f t="shared" si="12"/>
        <v xml:space="preserve"> </v>
      </c>
      <c r="U49" s="148" t="str">
        <f t="shared" si="13"/>
        <v xml:space="preserve">. </v>
      </c>
      <c r="V49" s="148" t="str">
        <f t="shared" si="5"/>
        <v/>
      </c>
      <c r="W49" s="148" t="str">
        <f t="shared" si="6"/>
        <v xml:space="preserve"> </v>
      </c>
      <c r="X49" s="148" t="str">
        <f t="shared" si="7"/>
        <v/>
      </c>
      <c r="Y49" s="148" t="str">
        <f t="shared" si="8"/>
        <v/>
      </c>
      <c r="Z49" s="148" t="str">
        <f t="shared" si="9"/>
        <v/>
      </c>
      <c r="AA49" s="148" t="str">
        <f t="shared" si="10"/>
        <v xml:space="preserve">46 </v>
      </c>
      <c r="AB49" s="148" t="str">
        <f t="shared" si="11"/>
        <v xml:space="preserve">46 </v>
      </c>
    </row>
    <row r="50" spans="1:28" x14ac:dyDescent="0.25">
      <c r="A50" s="26">
        <v>47</v>
      </c>
      <c r="B50" s="5">
        <v>47</v>
      </c>
      <c r="C50" s="6"/>
      <c r="D50" s="6"/>
      <c r="E50" s="7"/>
      <c r="F50" s="7"/>
      <c r="G50" s="7"/>
      <c r="H50" s="7"/>
      <c r="I50" s="8"/>
      <c r="J50" s="7"/>
      <c r="K50" s="7"/>
      <c r="L50" s="7"/>
      <c r="M50" s="7"/>
      <c r="O50" s="150">
        <f t="shared" ca="1" si="2"/>
        <v>124</v>
      </c>
      <c r="P50" s="150" t="str">
        <f t="shared" si="3"/>
        <v/>
      </c>
      <c r="Q50" s="151" t="str">
        <f t="shared" si="4"/>
        <v/>
      </c>
      <c r="R50" s="149" t="str">
        <f>"D:\IMS Images\Headshots\VB\"&amp;'Team Info'!$B$12&amp;"\"&amp;D50&amp;"_"&amp;C50&amp;".png"</f>
        <v>D:\IMS Images\Headshots\VB\AKRON\_.png</v>
      </c>
      <c r="S50" s="149" t="str">
        <f>"D:\IMS Images\ActionShots\VB\"&amp;'Team Info'!$B$12&amp;"\"&amp;D50&amp;"_"&amp;C50&amp;".png"</f>
        <v>D:\IMS Images\ActionShots\VB\AKRON\_.png</v>
      </c>
      <c r="T50" s="148" t="str">
        <f t="shared" si="12"/>
        <v xml:space="preserve"> </v>
      </c>
      <c r="U50" s="148" t="str">
        <f t="shared" si="13"/>
        <v xml:space="preserve">. </v>
      </c>
      <c r="V50" s="148" t="str">
        <f t="shared" si="5"/>
        <v/>
      </c>
      <c r="W50" s="148" t="str">
        <f t="shared" si="6"/>
        <v xml:space="preserve"> </v>
      </c>
      <c r="X50" s="148" t="str">
        <f t="shared" si="7"/>
        <v/>
      </c>
      <c r="Y50" s="148" t="str">
        <f t="shared" si="8"/>
        <v/>
      </c>
      <c r="Z50" s="148" t="str">
        <f t="shared" si="9"/>
        <v/>
      </c>
      <c r="AA50" s="148" t="str">
        <f t="shared" si="10"/>
        <v xml:space="preserve">47 </v>
      </c>
      <c r="AB50" s="148" t="str">
        <f t="shared" si="11"/>
        <v xml:space="preserve">47 </v>
      </c>
    </row>
    <row r="51" spans="1:28" x14ac:dyDescent="0.25">
      <c r="A51" s="26">
        <v>48</v>
      </c>
      <c r="B51" s="5">
        <v>48</v>
      </c>
      <c r="C51" s="6"/>
      <c r="D51" s="6"/>
      <c r="E51" s="7"/>
      <c r="F51" s="7"/>
      <c r="G51" s="7"/>
      <c r="H51" s="7"/>
      <c r="I51" s="8"/>
      <c r="J51" s="7"/>
      <c r="K51" s="7"/>
      <c r="L51" s="7"/>
      <c r="M51" s="7"/>
      <c r="O51" s="150">
        <f t="shared" ca="1" si="2"/>
        <v>124</v>
      </c>
      <c r="P51" s="150" t="str">
        <f t="shared" si="3"/>
        <v/>
      </c>
      <c r="Q51" s="151" t="str">
        <f t="shared" si="4"/>
        <v/>
      </c>
      <c r="R51" s="149" t="str">
        <f>"D:\IMS Images\Headshots\VB\"&amp;'Team Info'!$B$12&amp;"\"&amp;D51&amp;"_"&amp;C51&amp;".png"</f>
        <v>D:\IMS Images\Headshots\VB\AKRON\_.png</v>
      </c>
      <c r="S51" s="149" t="str">
        <f>"D:\IMS Images\ActionShots\VB\"&amp;'Team Info'!$B$12&amp;"\"&amp;D51&amp;"_"&amp;C51&amp;".png"</f>
        <v>D:\IMS Images\ActionShots\VB\AKRON\_.png</v>
      </c>
      <c r="T51" s="148" t="str">
        <f t="shared" si="12"/>
        <v xml:space="preserve"> </v>
      </c>
      <c r="U51" s="148" t="str">
        <f t="shared" si="13"/>
        <v xml:space="preserve">. </v>
      </c>
      <c r="V51" s="148" t="str">
        <f t="shared" si="5"/>
        <v/>
      </c>
      <c r="W51" s="148" t="str">
        <f t="shared" si="6"/>
        <v xml:space="preserve"> </v>
      </c>
      <c r="X51" s="148" t="str">
        <f t="shared" si="7"/>
        <v/>
      </c>
      <c r="Y51" s="148" t="str">
        <f t="shared" si="8"/>
        <v/>
      </c>
      <c r="Z51" s="148" t="str">
        <f t="shared" si="9"/>
        <v/>
      </c>
      <c r="AA51" s="148" t="str">
        <f t="shared" si="10"/>
        <v xml:space="preserve">48 </v>
      </c>
      <c r="AB51" s="148" t="str">
        <f t="shared" si="11"/>
        <v xml:space="preserve">48 </v>
      </c>
    </row>
    <row r="52" spans="1:28" x14ac:dyDescent="0.25">
      <c r="A52" s="26">
        <v>49</v>
      </c>
      <c r="B52" s="5">
        <v>49</v>
      </c>
      <c r="C52" s="6"/>
      <c r="D52" s="6"/>
      <c r="E52" s="7"/>
      <c r="F52" s="7"/>
      <c r="G52" s="7"/>
      <c r="H52" s="7"/>
      <c r="I52" s="8"/>
      <c r="J52" s="7"/>
      <c r="K52" s="7"/>
      <c r="L52" s="7"/>
      <c r="M52" s="7"/>
      <c r="O52" s="150">
        <f t="shared" ca="1" si="2"/>
        <v>124</v>
      </c>
      <c r="P52" s="150" t="str">
        <f t="shared" si="3"/>
        <v/>
      </c>
      <c r="Q52" s="151" t="str">
        <f t="shared" si="4"/>
        <v/>
      </c>
      <c r="R52" s="149" t="str">
        <f>"D:\IMS Images\Headshots\VB\"&amp;'Team Info'!$B$12&amp;"\"&amp;D52&amp;"_"&amp;C52&amp;".png"</f>
        <v>D:\IMS Images\Headshots\VB\AKRON\_.png</v>
      </c>
      <c r="S52" s="149" t="str">
        <f>"D:\IMS Images\ActionShots\VB\"&amp;'Team Info'!$B$12&amp;"\"&amp;D52&amp;"_"&amp;C52&amp;".png"</f>
        <v>D:\IMS Images\ActionShots\VB\AKRON\_.png</v>
      </c>
      <c r="T52" s="148" t="str">
        <f t="shared" si="12"/>
        <v xml:space="preserve"> </v>
      </c>
      <c r="U52" s="148" t="str">
        <f t="shared" si="13"/>
        <v xml:space="preserve">. </v>
      </c>
      <c r="V52" s="148" t="str">
        <f t="shared" si="5"/>
        <v/>
      </c>
      <c r="W52" s="148" t="str">
        <f t="shared" si="6"/>
        <v xml:space="preserve"> </v>
      </c>
      <c r="X52" s="148" t="str">
        <f t="shared" si="7"/>
        <v/>
      </c>
      <c r="Y52" s="148" t="str">
        <f t="shared" si="8"/>
        <v/>
      </c>
      <c r="Z52" s="148" t="str">
        <f t="shared" si="9"/>
        <v/>
      </c>
      <c r="AA52" s="148" t="str">
        <f t="shared" si="10"/>
        <v xml:space="preserve">49 </v>
      </c>
      <c r="AB52" s="148" t="str">
        <f t="shared" si="11"/>
        <v xml:space="preserve">49 </v>
      </c>
    </row>
    <row r="53" spans="1:28" x14ac:dyDescent="0.25">
      <c r="A53" s="26">
        <v>50</v>
      </c>
      <c r="B53" s="5">
        <v>50</v>
      </c>
      <c r="C53" s="6"/>
      <c r="D53" s="6"/>
      <c r="E53" s="7"/>
      <c r="F53" s="7"/>
      <c r="G53" s="7"/>
      <c r="H53" s="7"/>
      <c r="I53" s="8"/>
      <c r="J53" s="7"/>
      <c r="K53" s="7"/>
      <c r="L53" s="7"/>
      <c r="M53" s="7"/>
      <c r="O53" s="150">
        <f t="shared" ca="1" si="2"/>
        <v>124</v>
      </c>
      <c r="P53" s="150" t="str">
        <f t="shared" si="3"/>
        <v/>
      </c>
      <c r="Q53" s="151" t="str">
        <f t="shared" si="4"/>
        <v/>
      </c>
      <c r="R53" s="149" t="str">
        <f>"D:\IMS Images\Headshots\VB\"&amp;'Team Info'!$B$12&amp;"\"&amp;D53&amp;"_"&amp;C53&amp;".png"</f>
        <v>D:\IMS Images\Headshots\VB\AKRON\_.png</v>
      </c>
      <c r="S53" s="149" t="str">
        <f>"D:\IMS Images\ActionShots\VB\"&amp;'Team Info'!$B$12&amp;"\"&amp;D53&amp;"_"&amp;C53&amp;".png"</f>
        <v>D:\IMS Images\ActionShots\VB\AKRON\_.png</v>
      </c>
      <c r="T53" s="148" t="str">
        <f t="shared" si="12"/>
        <v xml:space="preserve"> </v>
      </c>
      <c r="U53" s="148" t="str">
        <f t="shared" si="13"/>
        <v xml:space="preserve">. </v>
      </c>
      <c r="V53" s="148" t="str">
        <f t="shared" si="5"/>
        <v/>
      </c>
      <c r="W53" s="148" t="str">
        <f t="shared" si="6"/>
        <v xml:space="preserve"> </v>
      </c>
      <c r="X53" s="148" t="str">
        <f t="shared" si="7"/>
        <v/>
      </c>
      <c r="Y53" s="148" t="str">
        <f t="shared" si="8"/>
        <v/>
      </c>
      <c r="Z53" s="148" t="str">
        <f t="shared" si="9"/>
        <v/>
      </c>
      <c r="AA53" s="148" t="str">
        <f t="shared" si="10"/>
        <v xml:space="preserve">50 </v>
      </c>
      <c r="AB53" s="148" t="str">
        <f t="shared" si="11"/>
        <v xml:space="preserve">50 </v>
      </c>
    </row>
    <row r="54" spans="1:28" x14ac:dyDescent="0.25">
      <c r="A54" s="26">
        <v>51</v>
      </c>
      <c r="B54" s="5">
        <v>51</v>
      </c>
      <c r="C54" s="6"/>
      <c r="D54" s="6"/>
      <c r="E54" s="7"/>
      <c r="F54" s="7"/>
      <c r="G54" s="7"/>
      <c r="H54" s="7"/>
      <c r="I54" s="8"/>
      <c r="J54" s="7"/>
      <c r="K54" s="7"/>
      <c r="L54" s="7"/>
      <c r="M54" s="7"/>
      <c r="O54" s="150">
        <f t="shared" ca="1" si="2"/>
        <v>124</v>
      </c>
      <c r="P54" s="150" t="str">
        <f t="shared" si="3"/>
        <v/>
      </c>
      <c r="Q54" s="151" t="str">
        <f t="shared" si="4"/>
        <v/>
      </c>
      <c r="R54" s="149" t="str">
        <f>"D:\IMS Images\Headshots\VB\"&amp;'Team Info'!$B$12&amp;"\"&amp;D54&amp;"_"&amp;C54&amp;".png"</f>
        <v>D:\IMS Images\Headshots\VB\AKRON\_.png</v>
      </c>
      <c r="S54" s="149" t="str">
        <f>"D:\IMS Images\ActionShots\VB\"&amp;'Team Info'!$B$12&amp;"\"&amp;D54&amp;"_"&amp;C54&amp;".png"</f>
        <v>D:\IMS Images\ActionShots\VB\AKRON\_.png</v>
      </c>
      <c r="T54" s="148" t="str">
        <f t="shared" si="12"/>
        <v xml:space="preserve"> </v>
      </c>
      <c r="U54" s="148" t="str">
        <f t="shared" si="13"/>
        <v xml:space="preserve">. </v>
      </c>
      <c r="V54" s="148" t="str">
        <f t="shared" si="5"/>
        <v/>
      </c>
      <c r="W54" s="148" t="str">
        <f t="shared" si="6"/>
        <v xml:space="preserve"> </v>
      </c>
      <c r="X54" s="148" t="str">
        <f t="shared" si="7"/>
        <v/>
      </c>
      <c r="Y54" s="148" t="str">
        <f t="shared" si="8"/>
        <v/>
      </c>
      <c r="Z54" s="148" t="str">
        <f t="shared" si="9"/>
        <v/>
      </c>
      <c r="AA54" s="148" t="str">
        <f t="shared" si="10"/>
        <v xml:space="preserve">51 </v>
      </c>
      <c r="AB54" s="148" t="str">
        <f t="shared" si="11"/>
        <v xml:space="preserve">51 </v>
      </c>
    </row>
    <row r="55" spans="1:28" x14ac:dyDescent="0.25">
      <c r="A55" s="26">
        <v>52</v>
      </c>
      <c r="B55" s="5">
        <v>52</v>
      </c>
      <c r="C55" s="6"/>
      <c r="D55" s="6"/>
      <c r="E55" s="7"/>
      <c r="F55" s="7"/>
      <c r="G55" s="7"/>
      <c r="H55" s="7"/>
      <c r="I55" s="8"/>
      <c r="J55" s="7"/>
      <c r="K55" s="7"/>
      <c r="L55" s="7"/>
      <c r="M55" s="7"/>
      <c r="O55" s="150">
        <f t="shared" ca="1" si="2"/>
        <v>124</v>
      </c>
      <c r="P55" s="150" t="str">
        <f t="shared" si="3"/>
        <v/>
      </c>
      <c r="Q55" s="151" t="str">
        <f t="shared" si="4"/>
        <v/>
      </c>
      <c r="R55" s="149" t="str">
        <f>"D:\IMS Images\Headshots\VB\"&amp;'Team Info'!$B$12&amp;"\"&amp;D55&amp;"_"&amp;C55&amp;".png"</f>
        <v>D:\IMS Images\Headshots\VB\AKRON\_.png</v>
      </c>
      <c r="S55" s="149" t="str">
        <f>"D:\IMS Images\ActionShots\VB\"&amp;'Team Info'!$B$12&amp;"\"&amp;D55&amp;"_"&amp;C55&amp;".png"</f>
        <v>D:\IMS Images\ActionShots\VB\AKRON\_.png</v>
      </c>
      <c r="T55" s="148" t="str">
        <f t="shared" si="12"/>
        <v xml:space="preserve"> </v>
      </c>
      <c r="U55" s="148" t="str">
        <f t="shared" si="13"/>
        <v xml:space="preserve">. </v>
      </c>
      <c r="V55" s="148" t="str">
        <f t="shared" si="5"/>
        <v/>
      </c>
      <c r="W55" s="148" t="str">
        <f t="shared" si="6"/>
        <v xml:space="preserve"> </v>
      </c>
      <c r="X55" s="148" t="str">
        <f t="shared" si="7"/>
        <v/>
      </c>
      <c r="Y55" s="148" t="str">
        <f t="shared" si="8"/>
        <v/>
      </c>
      <c r="Z55" s="148" t="str">
        <f t="shared" si="9"/>
        <v/>
      </c>
      <c r="AA55" s="148" t="str">
        <f t="shared" si="10"/>
        <v xml:space="preserve">52 </v>
      </c>
      <c r="AB55" s="148" t="str">
        <f t="shared" si="11"/>
        <v xml:space="preserve">52 </v>
      </c>
    </row>
    <row r="56" spans="1:28" x14ac:dyDescent="0.25">
      <c r="A56" s="26">
        <v>53</v>
      </c>
      <c r="B56" s="5">
        <v>53</v>
      </c>
      <c r="C56" s="6"/>
      <c r="D56" s="6"/>
      <c r="E56" s="7"/>
      <c r="F56" s="7"/>
      <c r="G56" s="7"/>
      <c r="H56" s="7"/>
      <c r="I56" s="8"/>
      <c r="J56" s="7"/>
      <c r="K56" s="7"/>
      <c r="L56" s="7"/>
      <c r="M56" s="7"/>
      <c r="O56" s="150">
        <f t="shared" ca="1" si="2"/>
        <v>124</v>
      </c>
      <c r="P56" s="150" t="str">
        <f t="shared" si="3"/>
        <v/>
      </c>
      <c r="Q56" s="151" t="str">
        <f t="shared" si="4"/>
        <v/>
      </c>
      <c r="R56" s="149" t="str">
        <f>"D:\IMS Images\Headshots\VB\"&amp;'Team Info'!$B$12&amp;"\"&amp;D56&amp;"_"&amp;C56&amp;".png"</f>
        <v>D:\IMS Images\Headshots\VB\AKRON\_.png</v>
      </c>
      <c r="S56" s="149" t="str">
        <f>"D:\IMS Images\ActionShots\VB\"&amp;'Team Info'!$B$12&amp;"\"&amp;D56&amp;"_"&amp;C56&amp;".png"</f>
        <v>D:\IMS Images\ActionShots\VB\AKRON\_.png</v>
      </c>
      <c r="T56" s="148" t="str">
        <f t="shared" si="12"/>
        <v xml:space="preserve"> </v>
      </c>
      <c r="U56" s="148" t="str">
        <f t="shared" si="13"/>
        <v xml:space="preserve">. </v>
      </c>
      <c r="V56" s="148" t="str">
        <f t="shared" si="5"/>
        <v/>
      </c>
      <c r="W56" s="148" t="str">
        <f t="shared" si="6"/>
        <v xml:space="preserve"> </v>
      </c>
      <c r="X56" s="148" t="str">
        <f t="shared" si="7"/>
        <v/>
      </c>
      <c r="Y56" s="148" t="str">
        <f t="shared" si="8"/>
        <v/>
      </c>
      <c r="Z56" s="148" t="str">
        <f t="shared" si="9"/>
        <v/>
      </c>
      <c r="AA56" s="148" t="str">
        <f t="shared" si="10"/>
        <v xml:space="preserve">53 </v>
      </c>
      <c r="AB56" s="148" t="str">
        <f t="shared" si="11"/>
        <v xml:space="preserve">53 </v>
      </c>
    </row>
    <row r="57" spans="1:28" x14ac:dyDescent="0.25">
      <c r="A57" s="26">
        <v>54</v>
      </c>
      <c r="B57" s="5">
        <v>54</v>
      </c>
      <c r="C57" s="6"/>
      <c r="D57" s="6"/>
      <c r="E57" s="7"/>
      <c r="F57" s="7"/>
      <c r="G57" s="7"/>
      <c r="H57" s="7"/>
      <c r="I57" s="8"/>
      <c r="J57" s="7"/>
      <c r="K57" s="7"/>
      <c r="L57" s="7"/>
      <c r="M57" s="7"/>
      <c r="O57" s="150">
        <f t="shared" ca="1" si="2"/>
        <v>124</v>
      </c>
      <c r="P57" s="150" t="str">
        <f t="shared" si="3"/>
        <v/>
      </c>
      <c r="Q57" s="151" t="str">
        <f t="shared" si="4"/>
        <v/>
      </c>
      <c r="R57" s="149" t="str">
        <f>"D:\IMS Images\Headshots\VB\"&amp;'Team Info'!$B$12&amp;"\"&amp;D57&amp;"_"&amp;C57&amp;".png"</f>
        <v>D:\IMS Images\Headshots\VB\AKRON\_.png</v>
      </c>
      <c r="S57" s="149" t="str">
        <f>"D:\IMS Images\ActionShots\VB\"&amp;'Team Info'!$B$12&amp;"\"&amp;D57&amp;"_"&amp;C57&amp;".png"</f>
        <v>D:\IMS Images\ActionShots\VB\AKRON\_.png</v>
      </c>
      <c r="T57" s="148" t="str">
        <f t="shared" si="12"/>
        <v xml:space="preserve"> </v>
      </c>
      <c r="U57" s="148" t="str">
        <f t="shared" si="13"/>
        <v xml:space="preserve">. </v>
      </c>
      <c r="V57" s="148" t="str">
        <f t="shared" si="5"/>
        <v/>
      </c>
      <c r="W57" s="148" t="str">
        <f t="shared" si="6"/>
        <v xml:space="preserve"> </v>
      </c>
      <c r="X57" s="148" t="str">
        <f t="shared" si="7"/>
        <v/>
      </c>
      <c r="Y57" s="148" t="str">
        <f t="shared" si="8"/>
        <v/>
      </c>
      <c r="Z57" s="148" t="str">
        <f t="shared" si="9"/>
        <v/>
      </c>
      <c r="AA57" s="148" t="str">
        <f t="shared" si="10"/>
        <v xml:space="preserve">54 </v>
      </c>
      <c r="AB57" s="148" t="str">
        <f t="shared" si="11"/>
        <v xml:space="preserve">54 </v>
      </c>
    </row>
    <row r="58" spans="1:28" x14ac:dyDescent="0.25">
      <c r="A58" s="26">
        <v>55</v>
      </c>
      <c r="B58" s="5">
        <v>55</v>
      </c>
      <c r="C58" s="6"/>
      <c r="D58" s="6"/>
      <c r="E58" s="7"/>
      <c r="F58" s="7"/>
      <c r="G58" s="7"/>
      <c r="H58" s="7"/>
      <c r="I58" s="8"/>
      <c r="J58" s="7"/>
      <c r="K58" s="7"/>
      <c r="L58" s="7"/>
      <c r="M58" s="7"/>
      <c r="O58" s="150">
        <f t="shared" ca="1" si="2"/>
        <v>124</v>
      </c>
      <c r="P58" s="150" t="str">
        <f t="shared" si="3"/>
        <v/>
      </c>
      <c r="Q58" s="151" t="str">
        <f t="shared" si="4"/>
        <v/>
      </c>
      <c r="R58" s="149" t="str">
        <f>"D:\IMS Images\Headshots\VB\"&amp;'Team Info'!$B$12&amp;"\"&amp;D58&amp;"_"&amp;C58&amp;".png"</f>
        <v>D:\IMS Images\Headshots\VB\AKRON\_.png</v>
      </c>
      <c r="S58" s="149" t="str">
        <f>"D:\IMS Images\ActionShots\VB\"&amp;'Team Info'!$B$12&amp;"\"&amp;D58&amp;"_"&amp;C58&amp;".png"</f>
        <v>D:\IMS Images\ActionShots\VB\AKRON\_.png</v>
      </c>
      <c r="T58" s="148" t="str">
        <f t="shared" si="12"/>
        <v xml:space="preserve"> </v>
      </c>
      <c r="U58" s="148" t="str">
        <f t="shared" si="13"/>
        <v xml:space="preserve">. </v>
      </c>
      <c r="V58" s="148" t="str">
        <f t="shared" si="5"/>
        <v/>
      </c>
      <c r="W58" s="148" t="str">
        <f t="shared" si="6"/>
        <v xml:space="preserve"> </v>
      </c>
      <c r="X58" s="148" t="str">
        <f t="shared" si="7"/>
        <v/>
      </c>
      <c r="Y58" s="148" t="str">
        <f t="shared" si="8"/>
        <v/>
      </c>
      <c r="Z58" s="148" t="str">
        <f t="shared" si="9"/>
        <v/>
      </c>
      <c r="AA58" s="148" t="str">
        <f t="shared" si="10"/>
        <v xml:space="preserve">55 </v>
      </c>
      <c r="AB58" s="148" t="str">
        <f t="shared" si="11"/>
        <v xml:space="preserve">55 </v>
      </c>
    </row>
    <row r="59" spans="1:28" x14ac:dyDescent="0.25">
      <c r="A59" s="26">
        <v>56</v>
      </c>
      <c r="B59" s="5">
        <v>56</v>
      </c>
      <c r="C59" s="6"/>
      <c r="D59" s="6"/>
      <c r="E59" s="7"/>
      <c r="F59" s="7"/>
      <c r="G59" s="7"/>
      <c r="H59" s="7"/>
      <c r="I59" s="8"/>
      <c r="J59" s="7"/>
      <c r="K59" s="7"/>
      <c r="L59" s="7"/>
      <c r="M59" s="7"/>
      <c r="O59" s="150">
        <f t="shared" ca="1" si="2"/>
        <v>124</v>
      </c>
      <c r="P59" s="150" t="str">
        <f t="shared" si="3"/>
        <v/>
      </c>
      <c r="Q59" s="151" t="str">
        <f t="shared" si="4"/>
        <v/>
      </c>
      <c r="R59" s="149" t="str">
        <f>"D:\IMS Images\Headshots\VB\"&amp;'Team Info'!$B$12&amp;"\"&amp;D59&amp;"_"&amp;C59&amp;".png"</f>
        <v>D:\IMS Images\Headshots\VB\AKRON\_.png</v>
      </c>
      <c r="S59" s="149" t="str">
        <f>"D:\IMS Images\ActionShots\VB\"&amp;'Team Info'!$B$12&amp;"\"&amp;D59&amp;"_"&amp;C59&amp;".png"</f>
        <v>D:\IMS Images\ActionShots\VB\AKRON\_.png</v>
      </c>
      <c r="T59" s="148" t="str">
        <f t="shared" si="12"/>
        <v xml:space="preserve"> </v>
      </c>
      <c r="U59" s="148" t="str">
        <f t="shared" si="13"/>
        <v xml:space="preserve">. </v>
      </c>
      <c r="V59" s="148" t="str">
        <f t="shared" si="5"/>
        <v/>
      </c>
      <c r="W59" s="148" t="str">
        <f t="shared" si="6"/>
        <v xml:space="preserve"> </v>
      </c>
      <c r="X59" s="148" t="str">
        <f t="shared" si="7"/>
        <v/>
      </c>
      <c r="Y59" s="148" t="str">
        <f t="shared" si="8"/>
        <v/>
      </c>
      <c r="Z59" s="148" t="str">
        <f t="shared" si="9"/>
        <v/>
      </c>
      <c r="AA59" s="148" t="str">
        <f t="shared" si="10"/>
        <v xml:space="preserve">56 </v>
      </c>
      <c r="AB59" s="148" t="str">
        <f t="shared" si="11"/>
        <v xml:space="preserve">56 </v>
      </c>
    </row>
    <row r="60" spans="1:28" x14ac:dyDescent="0.25">
      <c r="A60" s="26">
        <v>57</v>
      </c>
      <c r="B60" s="5">
        <v>57</v>
      </c>
      <c r="C60" s="6"/>
      <c r="D60" s="6"/>
      <c r="E60" s="7"/>
      <c r="F60" s="7"/>
      <c r="G60" s="7"/>
      <c r="H60" s="7"/>
      <c r="I60" s="8"/>
      <c r="J60" s="7"/>
      <c r="K60" s="7"/>
      <c r="L60" s="7"/>
      <c r="M60" s="7"/>
      <c r="O60" s="150">
        <f t="shared" ca="1" si="2"/>
        <v>124</v>
      </c>
      <c r="P60" s="150" t="str">
        <f t="shared" si="3"/>
        <v/>
      </c>
      <c r="Q60" s="151" t="str">
        <f t="shared" si="4"/>
        <v/>
      </c>
      <c r="R60" s="149" t="str">
        <f>"D:\IMS Images\Headshots\VB\"&amp;'Team Info'!$B$12&amp;"\"&amp;D60&amp;"_"&amp;C60&amp;".png"</f>
        <v>D:\IMS Images\Headshots\VB\AKRON\_.png</v>
      </c>
      <c r="S60" s="149" t="str">
        <f>"D:\IMS Images\ActionShots\VB\"&amp;'Team Info'!$B$12&amp;"\"&amp;D60&amp;"_"&amp;C60&amp;".png"</f>
        <v>D:\IMS Images\ActionShots\VB\AKRON\_.png</v>
      </c>
      <c r="T60" s="148" t="str">
        <f t="shared" si="12"/>
        <v xml:space="preserve"> </v>
      </c>
      <c r="U60" s="148" t="str">
        <f t="shared" si="13"/>
        <v xml:space="preserve">. </v>
      </c>
      <c r="V60" s="148" t="str">
        <f t="shared" si="5"/>
        <v/>
      </c>
      <c r="W60" s="148" t="str">
        <f t="shared" si="6"/>
        <v xml:space="preserve"> </v>
      </c>
      <c r="X60" s="148" t="str">
        <f t="shared" si="7"/>
        <v/>
      </c>
      <c r="Y60" s="148" t="str">
        <f t="shared" si="8"/>
        <v/>
      </c>
      <c r="Z60" s="148" t="str">
        <f t="shared" si="9"/>
        <v/>
      </c>
      <c r="AA60" s="148" t="str">
        <f t="shared" si="10"/>
        <v xml:space="preserve">57 </v>
      </c>
      <c r="AB60" s="148" t="str">
        <f t="shared" si="11"/>
        <v xml:space="preserve">57 </v>
      </c>
    </row>
    <row r="61" spans="1:28" x14ac:dyDescent="0.25">
      <c r="A61" s="26">
        <v>58</v>
      </c>
      <c r="B61" s="5">
        <v>58</v>
      </c>
      <c r="C61" s="6"/>
      <c r="D61" s="6"/>
      <c r="E61" s="7"/>
      <c r="F61" s="7"/>
      <c r="G61" s="7"/>
      <c r="H61" s="7"/>
      <c r="I61" s="8"/>
      <c r="J61" s="7"/>
      <c r="K61" s="7"/>
      <c r="L61" s="7"/>
      <c r="M61" s="7"/>
      <c r="O61" s="150">
        <f t="shared" ca="1" si="2"/>
        <v>124</v>
      </c>
      <c r="P61" s="150" t="str">
        <f t="shared" si="3"/>
        <v/>
      </c>
      <c r="Q61" s="151" t="str">
        <f t="shared" si="4"/>
        <v/>
      </c>
      <c r="R61" s="149" t="str">
        <f>"D:\IMS Images\Headshots\VB\"&amp;'Team Info'!$B$12&amp;"\"&amp;D61&amp;"_"&amp;C61&amp;".png"</f>
        <v>D:\IMS Images\Headshots\VB\AKRON\_.png</v>
      </c>
      <c r="S61" s="149" t="str">
        <f>"D:\IMS Images\ActionShots\VB\"&amp;'Team Info'!$B$12&amp;"\"&amp;D61&amp;"_"&amp;C61&amp;".png"</f>
        <v>D:\IMS Images\ActionShots\VB\AKRON\_.png</v>
      </c>
      <c r="T61" s="148" t="str">
        <f t="shared" si="12"/>
        <v xml:space="preserve"> </v>
      </c>
      <c r="U61" s="148" t="str">
        <f t="shared" si="13"/>
        <v xml:space="preserve">. </v>
      </c>
      <c r="V61" s="148" t="str">
        <f t="shared" si="5"/>
        <v/>
      </c>
      <c r="W61" s="148" t="str">
        <f t="shared" si="6"/>
        <v xml:space="preserve"> </v>
      </c>
      <c r="X61" s="148" t="str">
        <f t="shared" si="7"/>
        <v/>
      </c>
      <c r="Y61" s="148" t="str">
        <f t="shared" si="8"/>
        <v/>
      </c>
      <c r="Z61" s="148" t="str">
        <f t="shared" si="9"/>
        <v/>
      </c>
      <c r="AA61" s="148" t="str">
        <f t="shared" si="10"/>
        <v xml:space="preserve">58 </v>
      </c>
      <c r="AB61" s="148" t="str">
        <f t="shared" si="11"/>
        <v xml:space="preserve">58 </v>
      </c>
    </row>
    <row r="62" spans="1:28" x14ac:dyDescent="0.25">
      <c r="A62" s="26">
        <v>59</v>
      </c>
      <c r="B62" s="5">
        <v>59</v>
      </c>
      <c r="C62" s="6"/>
      <c r="D62" s="6"/>
      <c r="E62" s="7"/>
      <c r="F62" s="7"/>
      <c r="G62" s="7"/>
      <c r="H62" s="7"/>
      <c r="I62" s="8"/>
      <c r="J62" s="7"/>
      <c r="K62" s="7"/>
      <c r="L62" s="7"/>
      <c r="M62" s="7"/>
      <c r="O62" s="150">
        <f t="shared" ca="1" si="2"/>
        <v>124</v>
      </c>
      <c r="P62" s="150" t="str">
        <f t="shared" si="3"/>
        <v/>
      </c>
      <c r="Q62" s="151" t="str">
        <f t="shared" si="4"/>
        <v/>
      </c>
      <c r="R62" s="149" t="str">
        <f>"D:\IMS Images\Headshots\VB\"&amp;'Team Info'!$B$12&amp;"\"&amp;D62&amp;"_"&amp;C62&amp;".png"</f>
        <v>D:\IMS Images\Headshots\VB\AKRON\_.png</v>
      </c>
      <c r="S62" s="149" t="str">
        <f>"D:\IMS Images\ActionShots\VB\"&amp;'Team Info'!$B$12&amp;"\"&amp;D62&amp;"_"&amp;C62&amp;".png"</f>
        <v>D:\IMS Images\ActionShots\VB\AKRON\_.png</v>
      </c>
      <c r="T62" s="148" t="str">
        <f t="shared" si="12"/>
        <v xml:space="preserve"> </v>
      </c>
      <c r="U62" s="148" t="str">
        <f t="shared" si="13"/>
        <v xml:space="preserve">. </v>
      </c>
      <c r="V62" s="148" t="str">
        <f t="shared" si="5"/>
        <v/>
      </c>
      <c r="W62" s="148" t="str">
        <f t="shared" si="6"/>
        <v xml:space="preserve"> </v>
      </c>
      <c r="X62" s="148" t="str">
        <f t="shared" si="7"/>
        <v/>
      </c>
      <c r="Y62" s="148" t="str">
        <f t="shared" si="8"/>
        <v/>
      </c>
      <c r="Z62" s="148" t="str">
        <f t="shared" si="9"/>
        <v/>
      </c>
      <c r="AA62" s="148" t="str">
        <f t="shared" si="10"/>
        <v xml:space="preserve">59 </v>
      </c>
      <c r="AB62" s="148" t="str">
        <f t="shared" si="11"/>
        <v xml:space="preserve">59 </v>
      </c>
    </row>
    <row r="63" spans="1:28" x14ac:dyDescent="0.25">
      <c r="A63" s="26">
        <v>60</v>
      </c>
      <c r="B63" s="5">
        <v>60</v>
      </c>
      <c r="C63" s="6"/>
      <c r="D63" s="6"/>
      <c r="E63" s="7"/>
      <c r="F63" s="7"/>
      <c r="G63" s="7"/>
      <c r="H63" s="7"/>
      <c r="I63" s="8"/>
      <c r="J63" s="7"/>
      <c r="K63" s="7"/>
      <c r="L63" s="7"/>
      <c r="M63" s="7"/>
      <c r="O63" s="150">
        <f t="shared" ca="1" si="2"/>
        <v>124</v>
      </c>
      <c r="P63" s="150" t="str">
        <f t="shared" si="3"/>
        <v/>
      </c>
      <c r="Q63" s="151" t="str">
        <f t="shared" si="4"/>
        <v/>
      </c>
      <c r="R63" s="149" t="str">
        <f>"D:\IMS Images\Headshots\VB\"&amp;'Team Info'!$B$12&amp;"\"&amp;D63&amp;"_"&amp;C63&amp;".png"</f>
        <v>D:\IMS Images\Headshots\VB\AKRON\_.png</v>
      </c>
      <c r="S63" s="149" t="str">
        <f>"D:\IMS Images\ActionShots\VB\"&amp;'Team Info'!$B$12&amp;"\"&amp;D63&amp;"_"&amp;C63&amp;".png"</f>
        <v>D:\IMS Images\ActionShots\VB\AKRON\_.png</v>
      </c>
      <c r="T63" s="148" t="str">
        <f t="shared" si="12"/>
        <v xml:space="preserve"> </v>
      </c>
      <c r="U63" s="148" t="str">
        <f t="shared" si="13"/>
        <v xml:space="preserve">. </v>
      </c>
      <c r="V63" s="148" t="str">
        <f t="shared" si="5"/>
        <v/>
      </c>
      <c r="W63" s="148" t="str">
        <f t="shared" si="6"/>
        <v xml:space="preserve"> </v>
      </c>
      <c r="X63" s="148" t="str">
        <f t="shared" si="7"/>
        <v/>
      </c>
      <c r="Y63" s="148" t="str">
        <f t="shared" si="8"/>
        <v/>
      </c>
      <c r="Z63" s="148" t="str">
        <f t="shared" si="9"/>
        <v/>
      </c>
      <c r="AA63" s="148" t="str">
        <f t="shared" si="10"/>
        <v xml:space="preserve">60 </v>
      </c>
      <c r="AB63" s="148" t="str">
        <f t="shared" si="11"/>
        <v xml:space="preserve">60 </v>
      </c>
    </row>
    <row r="64" spans="1:28" x14ac:dyDescent="0.25">
      <c r="A64" s="26">
        <v>61</v>
      </c>
      <c r="B64" s="5">
        <v>61</v>
      </c>
      <c r="C64" s="6"/>
      <c r="D64" s="6"/>
      <c r="E64" s="7"/>
      <c r="F64" s="7"/>
      <c r="G64" s="7"/>
      <c r="H64" s="7"/>
      <c r="I64" s="8"/>
      <c r="J64" s="7"/>
      <c r="K64" s="7"/>
      <c r="L64" s="7"/>
      <c r="M64" s="7"/>
      <c r="O64" s="150">
        <f t="shared" ca="1" si="2"/>
        <v>124</v>
      </c>
      <c r="P64" s="150" t="str">
        <f t="shared" si="3"/>
        <v/>
      </c>
      <c r="Q64" s="151" t="str">
        <f t="shared" si="4"/>
        <v/>
      </c>
      <c r="R64" s="149" t="str">
        <f>"D:\IMS Images\Headshots\VB\"&amp;'Team Info'!$B$12&amp;"\"&amp;D64&amp;"_"&amp;C64&amp;".png"</f>
        <v>D:\IMS Images\Headshots\VB\AKRON\_.png</v>
      </c>
      <c r="S64" s="149" t="str">
        <f>"D:\IMS Images\ActionShots\VB\"&amp;'Team Info'!$B$12&amp;"\"&amp;D64&amp;"_"&amp;C64&amp;".png"</f>
        <v>D:\IMS Images\ActionShots\VB\AKRON\_.png</v>
      </c>
      <c r="T64" s="148" t="str">
        <f t="shared" si="12"/>
        <v xml:space="preserve"> </v>
      </c>
      <c r="U64" s="148" t="str">
        <f t="shared" si="13"/>
        <v xml:space="preserve">. </v>
      </c>
      <c r="V64" s="148" t="str">
        <f t="shared" si="5"/>
        <v/>
      </c>
      <c r="W64" s="148" t="str">
        <f t="shared" si="6"/>
        <v xml:space="preserve"> </v>
      </c>
      <c r="X64" s="148" t="str">
        <f t="shared" si="7"/>
        <v/>
      </c>
      <c r="Y64" s="148" t="str">
        <f t="shared" si="8"/>
        <v/>
      </c>
      <c r="Z64" s="148" t="str">
        <f t="shared" si="9"/>
        <v/>
      </c>
      <c r="AA64" s="148" t="str">
        <f t="shared" si="10"/>
        <v xml:space="preserve">61 </v>
      </c>
      <c r="AB64" s="148" t="str">
        <f t="shared" si="11"/>
        <v xml:space="preserve">61 </v>
      </c>
    </row>
    <row r="65" spans="1:28" x14ac:dyDescent="0.25">
      <c r="A65" s="26">
        <v>62</v>
      </c>
      <c r="B65" s="5">
        <v>62</v>
      </c>
      <c r="C65" s="6"/>
      <c r="D65" s="6"/>
      <c r="E65" s="7"/>
      <c r="F65" s="7"/>
      <c r="G65" s="7"/>
      <c r="H65" s="7"/>
      <c r="I65" s="8"/>
      <c r="J65" s="7"/>
      <c r="K65" s="7"/>
      <c r="L65" s="7"/>
      <c r="M65" s="7"/>
      <c r="O65" s="150">
        <f t="shared" ca="1" si="2"/>
        <v>124</v>
      </c>
      <c r="P65" s="150" t="str">
        <f t="shared" si="3"/>
        <v/>
      </c>
      <c r="Q65" s="151" t="str">
        <f t="shared" si="4"/>
        <v/>
      </c>
      <c r="R65" s="149" t="str">
        <f>"D:\IMS Images\Headshots\VB\"&amp;'Team Info'!$B$12&amp;"\"&amp;D65&amp;"_"&amp;C65&amp;".png"</f>
        <v>D:\IMS Images\Headshots\VB\AKRON\_.png</v>
      </c>
      <c r="S65" s="149" t="str">
        <f>"D:\IMS Images\ActionShots\VB\"&amp;'Team Info'!$B$12&amp;"\"&amp;D65&amp;"_"&amp;C65&amp;".png"</f>
        <v>D:\IMS Images\ActionShots\VB\AKRON\_.png</v>
      </c>
      <c r="T65" s="148" t="str">
        <f t="shared" si="12"/>
        <v xml:space="preserve"> </v>
      </c>
      <c r="U65" s="148" t="str">
        <f t="shared" si="13"/>
        <v xml:space="preserve">. </v>
      </c>
      <c r="V65" s="148" t="str">
        <f t="shared" si="5"/>
        <v/>
      </c>
      <c r="W65" s="148" t="str">
        <f t="shared" si="6"/>
        <v xml:space="preserve"> </v>
      </c>
      <c r="X65" s="148" t="str">
        <f t="shared" si="7"/>
        <v/>
      </c>
      <c r="Y65" s="148" t="str">
        <f t="shared" si="8"/>
        <v/>
      </c>
      <c r="Z65" s="148" t="str">
        <f t="shared" si="9"/>
        <v/>
      </c>
      <c r="AA65" s="148" t="str">
        <f t="shared" si="10"/>
        <v xml:space="preserve">62 </v>
      </c>
      <c r="AB65" s="148" t="str">
        <f t="shared" si="11"/>
        <v xml:space="preserve">62 </v>
      </c>
    </row>
    <row r="66" spans="1:28" x14ac:dyDescent="0.25">
      <c r="A66" s="26">
        <v>63</v>
      </c>
      <c r="B66" s="5">
        <v>63</v>
      </c>
      <c r="C66" s="6"/>
      <c r="D66" s="6"/>
      <c r="E66" s="7"/>
      <c r="F66" s="7"/>
      <c r="G66" s="7"/>
      <c r="H66" s="7"/>
      <c r="I66" s="8"/>
      <c r="J66" s="7"/>
      <c r="K66" s="7"/>
      <c r="L66" s="7"/>
      <c r="M66" s="7"/>
      <c r="O66" s="150">
        <f t="shared" ca="1" si="2"/>
        <v>124</v>
      </c>
      <c r="P66" s="150" t="str">
        <f t="shared" si="3"/>
        <v/>
      </c>
      <c r="Q66" s="151" t="str">
        <f t="shared" si="4"/>
        <v/>
      </c>
      <c r="R66" s="149" t="str">
        <f>"D:\IMS Images\Headshots\VB\"&amp;'Team Info'!$B$12&amp;"\"&amp;D66&amp;"_"&amp;C66&amp;".png"</f>
        <v>D:\IMS Images\Headshots\VB\AKRON\_.png</v>
      </c>
      <c r="S66" s="149" t="str">
        <f>"D:\IMS Images\ActionShots\VB\"&amp;'Team Info'!$B$12&amp;"\"&amp;D66&amp;"_"&amp;C66&amp;".png"</f>
        <v>D:\IMS Images\ActionShots\VB\AKRON\_.png</v>
      </c>
      <c r="T66" s="148" t="str">
        <f t="shared" si="12"/>
        <v xml:space="preserve"> </v>
      </c>
      <c r="U66" s="148" t="str">
        <f t="shared" si="13"/>
        <v xml:space="preserve">. </v>
      </c>
      <c r="V66" s="148" t="str">
        <f t="shared" si="5"/>
        <v/>
      </c>
      <c r="W66" s="148" t="str">
        <f t="shared" si="6"/>
        <v xml:space="preserve"> </v>
      </c>
      <c r="X66" s="148" t="str">
        <f t="shared" si="7"/>
        <v/>
      </c>
      <c r="Y66" s="148" t="str">
        <f t="shared" si="8"/>
        <v/>
      </c>
      <c r="Z66" s="148" t="str">
        <f t="shared" si="9"/>
        <v/>
      </c>
      <c r="AA66" s="148" t="str">
        <f t="shared" si="10"/>
        <v xml:space="preserve">63 </v>
      </c>
      <c r="AB66" s="148" t="str">
        <f t="shared" si="11"/>
        <v xml:space="preserve">63 </v>
      </c>
    </row>
    <row r="67" spans="1:28" x14ac:dyDescent="0.25">
      <c r="A67" s="26">
        <v>64</v>
      </c>
      <c r="B67" s="5">
        <v>64</v>
      </c>
      <c r="C67" s="6"/>
      <c r="D67" s="6"/>
      <c r="E67" s="7"/>
      <c r="F67" s="7"/>
      <c r="G67" s="7"/>
      <c r="H67" s="7"/>
      <c r="I67" s="8"/>
      <c r="J67" s="7"/>
      <c r="K67" s="7"/>
      <c r="L67" s="7"/>
      <c r="M67" s="7"/>
      <c r="O67" s="150">
        <f t="shared" ca="1" si="2"/>
        <v>124</v>
      </c>
      <c r="P67" s="150" t="str">
        <f t="shared" si="3"/>
        <v/>
      </c>
      <c r="Q67" s="151" t="str">
        <f t="shared" si="4"/>
        <v/>
      </c>
      <c r="R67" s="149" t="str">
        <f>"D:\IMS Images\Headshots\VB\"&amp;'Team Info'!$B$12&amp;"\"&amp;D67&amp;"_"&amp;C67&amp;".png"</f>
        <v>D:\IMS Images\Headshots\VB\AKRON\_.png</v>
      </c>
      <c r="S67" s="149" t="str">
        <f>"D:\IMS Images\ActionShots\VB\"&amp;'Team Info'!$B$12&amp;"\"&amp;D67&amp;"_"&amp;C67&amp;".png"</f>
        <v>D:\IMS Images\ActionShots\VB\AKRON\_.png</v>
      </c>
      <c r="T67" s="148" t="str">
        <f t="shared" si="12"/>
        <v xml:space="preserve"> </v>
      </c>
      <c r="U67" s="148" t="str">
        <f t="shared" si="13"/>
        <v xml:space="preserve">. </v>
      </c>
      <c r="V67" s="148" t="str">
        <f t="shared" si="5"/>
        <v/>
      </c>
      <c r="W67" s="148" t="str">
        <f t="shared" si="6"/>
        <v xml:space="preserve"> </v>
      </c>
      <c r="X67" s="148" t="str">
        <f t="shared" si="7"/>
        <v/>
      </c>
      <c r="Y67" s="148" t="str">
        <f t="shared" si="8"/>
        <v/>
      </c>
      <c r="Z67" s="148" t="str">
        <f t="shared" si="9"/>
        <v/>
      </c>
      <c r="AA67" s="148" t="str">
        <f t="shared" si="10"/>
        <v xml:space="preserve">64 </v>
      </c>
      <c r="AB67" s="148" t="str">
        <f t="shared" si="11"/>
        <v xml:space="preserve">64 </v>
      </c>
    </row>
    <row r="68" spans="1:28" x14ac:dyDescent="0.25">
      <c r="A68" s="26">
        <v>65</v>
      </c>
      <c r="B68" s="5">
        <v>65</v>
      </c>
      <c r="C68" s="6"/>
      <c r="D68" s="6"/>
      <c r="E68" s="7"/>
      <c r="F68" s="7"/>
      <c r="G68" s="7"/>
      <c r="H68" s="7"/>
      <c r="I68" s="8"/>
      <c r="J68" s="7"/>
      <c r="K68" s="7"/>
      <c r="L68" s="7"/>
      <c r="M68" s="7"/>
      <c r="O68" s="150">
        <f t="shared" ca="1" si="2"/>
        <v>124</v>
      </c>
      <c r="P68" s="150" t="str">
        <f t="shared" si="3"/>
        <v/>
      </c>
      <c r="Q68" s="151" t="str">
        <f t="shared" si="4"/>
        <v/>
      </c>
      <c r="R68" s="149" t="str">
        <f>"D:\IMS Images\Headshots\VB\"&amp;'Team Info'!$B$12&amp;"\"&amp;D68&amp;"_"&amp;C68&amp;".png"</f>
        <v>D:\IMS Images\Headshots\VB\AKRON\_.png</v>
      </c>
      <c r="S68" s="149" t="str">
        <f>"D:\IMS Images\ActionShots\VB\"&amp;'Team Info'!$B$12&amp;"\"&amp;D68&amp;"_"&amp;C68&amp;".png"</f>
        <v>D:\IMS Images\ActionShots\VB\AKRON\_.png</v>
      </c>
      <c r="T68" s="148" t="str">
        <f t="shared" ref="T68:T102" si="14">C68&amp;" "&amp;D68</f>
        <v xml:space="preserve"> </v>
      </c>
      <c r="U68" s="148" t="str">
        <f t="shared" ref="U68:U102" si="15">LEFT(C68,1)&amp;". "&amp;D68</f>
        <v xml:space="preserve">. </v>
      </c>
      <c r="V68" s="148" t="str">
        <f t="shared" si="5"/>
        <v/>
      </c>
      <c r="W68" s="148" t="str">
        <f t="shared" si="6"/>
        <v xml:space="preserve"> </v>
      </c>
      <c r="X68" s="148" t="str">
        <f t="shared" si="7"/>
        <v/>
      </c>
      <c r="Y68" s="148" t="str">
        <f t="shared" si="8"/>
        <v/>
      </c>
      <c r="Z68" s="148" t="str">
        <f t="shared" si="9"/>
        <v/>
      </c>
      <c r="AA68" s="148" t="str">
        <f t="shared" si="10"/>
        <v xml:space="preserve">65 </v>
      </c>
      <c r="AB68" s="148" t="str">
        <f t="shared" si="11"/>
        <v xml:space="preserve">65 </v>
      </c>
    </row>
    <row r="69" spans="1:28" x14ac:dyDescent="0.25">
      <c r="A69" s="26">
        <v>66</v>
      </c>
      <c r="B69" s="5">
        <v>66</v>
      </c>
      <c r="C69" s="6"/>
      <c r="D69" s="6"/>
      <c r="E69" s="7"/>
      <c r="F69" s="7"/>
      <c r="G69" s="7"/>
      <c r="H69" s="7"/>
      <c r="I69" s="8"/>
      <c r="J69" s="7"/>
      <c r="K69" s="7"/>
      <c r="L69" s="7"/>
      <c r="M69" s="7"/>
      <c r="O69" s="150">
        <f t="shared" ref="O69:O102" ca="1" si="16">INT(YEARFRAC($H69, TODAY()))</f>
        <v>124</v>
      </c>
      <c r="P69" s="150" t="str">
        <f t="shared" ref="P69:P102" si="17">IF($E69="OPP","Opposite",IF($E69="OH","Outside Hitter",IF($E69="MB","Middle Blocker",IF($E69="S","Setter",IF($E69="L","Libero","")))))</f>
        <v/>
      </c>
      <c r="Q69" s="151" t="str">
        <f t="shared" ref="Q69:Q102" si="18">IF($J69=4,"Senior",IF($J69=3,"Junior",IF($J69=2,"Sophomore",IF($J69=1,"Freshman",""))))</f>
        <v/>
      </c>
      <c r="R69" s="149" t="str">
        <f>"D:\IMS Images\Headshots\VB\"&amp;'Team Info'!$B$12&amp;"\"&amp;D69&amp;"_"&amp;C69&amp;".png"</f>
        <v>D:\IMS Images\Headshots\VB\AKRON\_.png</v>
      </c>
      <c r="S69" s="149" t="str">
        <f>"D:\IMS Images\ActionShots\VB\"&amp;'Team Info'!$B$12&amp;"\"&amp;D69&amp;"_"&amp;C69&amp;".png"</f>
        <v>D:\IMS Images\ActionShots\VB\AKRON\_.png</v>
      </c>
      <c r="T69" s="148" t="str">
        <f t="shared" si="14"/>
        <v xml:space="preserve"> </v>
      </c>
      <c r="U69" s="148" t="str">
        <f t="shared" si="15"/>
        <v xml:space="preserve">. </v>
      </c>
      <c r="V69" s="148" t="str">
        <f t="shared" ref="V69:V102" si="19">IF($J69=4,"SR",IF($J69=3,"JR",IF($J69=2,"SO",IF($J69=1,"FR",""))))</f>
        <v/>
      </c>
      <c r="W69" s="148" t="str">
        <f t="shared" ref="W69:W102" si="20">UPPER(T69)</f>
        <v xml:space="preserve"> </v>
      </c>
      <c r="X69" s="148" t="str">
        <f t="shared" ref="X69:X102" si="21">UPPER(C69)</f>
        <v/>
      </c>
      <c r="Y69" s="148" t="str">
        <f t="shared" ref="Y69:Y102" si="22">UPPER(D69)</f>
        <v/>
      </c>
      <c r="Z69" s="148" t="str">
        <f t="shared" ref="Z69:Z102" si="23">UPPER(Q69)</f>
        <v/>
      </c>
      <c r="AA69" s="148" t="str">
        <f t="shared" ref="AA69:AA102" si="24">B69 &amp; " " &amp;D69</f>
        <v xml:space="preserve">66 </v>
      </c>
      <c r="AB69" s="148" t="str">
        <f t="shared" ref="AB69:AB102" si="25">UPPER(AA69)</f>
        <v xml:space="preserve">66 </v>
      </c>
    </row>
    <row r="70" spans="1:28" x14ac:dyDescent="0.25">
      <c r="A70" s="26">
        <v>67</v>
      </c>
      <c r="B70" s="5">
        <v>67</v>
      </c>
      <c r="C70" s="6"/>
      <c r="D70" s="6"/>
      <c r="E70" s="7"/>
      <c r="F70" s="7"/>
      <c r="G70" s="7"/>
      <c r="H70" s="7"/>
      <c r="I70" s="8"/>
      <c r="J70" s="7"/>
      <c r="K70" s="7"/>
      <c r="L70" s="7"/>
      <c r="M70" s="7"/>
      <c r="O70" s="150">
        <f t="shared" ca="1" si="16"/>
        <v>124</v>
      </c>
      <c r="P70" s="150" t="str">
        <f t="shared" si="17"/>
        <v/>
      </c>
      <c r="Q70" s="151" t="str">
        <f t="shared" si="18"/>
        <v/>
      </c>
      <c r="R70" s="149" t="str">
        <f>"D:\IMS Images\Headshots\VB\"&amp;'Team Info'!$B$12&amp;"\"&amp;D70&amp;"_"&amp;C70&amp;".png"</f>
        <v>D:\IMS Images\Headshots\VB\AKRON\_.png</v>
      </c>
      <c r="S70" s="149" t="str">
        <f>"D:\IMS Images\ActionShots\VB\"&amp;'Team Info'!$B$12&amp;"\"&amp;D70&amp;"_"&amp;C70&amp;".png"</f>
        <v>D:\IMS Images\ActionShots\VB\AKRON\_.png</v>
      </c>
      <c r="T70" s="148" t="str">
        <f t="shared" si="14"/>
        <v xml:space="preserve"> </v>
      </c>
      <c r="U70" s="148" t="str">
        <f t="shared" si="15"/>
        <v xml:space="preserve">. </v>
      </c>
      <c r="V70" s="148" t="str">
        <f t="shared" si="19"/>
        <v/>
      </c>
      <c r="W70" s="148" t="str">
        <f t="shared" si="20"/>
        <v xml:space="preserve"> </v>
      </c>
      <c r="X70" s="148" t="str">
        <f t="shared" si="21"/>
        <v/>
      </c>
      <c r="Y70" s="148" t="str">
        <f t="shared" si="22"/>
        <v/>
      </c>
      <c r="Z70" s="148" t="str">
        <f t="shared" si="23"/>
        <v/>
      </c>
      <c r="AA70" s="148" t="str">
        <f t="shared" si="24"/>
        <v xml:space="preserve">67 </v>
      </c>
      <c r="AB70" s="148" t="str">
        <f t="shared" si="25"/>
        <v xml:space="preserve">67 </v>
      </c>
    </row>
    <row r="71" spans="1:28" x14ac:dyDescent="0.25">
      <c r="A71" s="26">
        <v>68</v>
      </c>
      <c r="B71" s="5">
        <v>68</v>
      </c>
      <c r="C71" s="6"/>
      <c r="D71" s="6"/>
      <c r="E71" s="7"/>
      <c r="F71" s="7"/>
      <c r="G71" s="7"/>
      <c r="H71" s="7"/>
      <c r="I71" s="8"/>
      <c r="J71" s="7"/>
      <c r="K71" s="7"/>
      <c r="L71" s="7"/>
      <c r="M71" s="7"/>
      <c r="O71" s="150">
        <f t="shared" ca="1" si="16"/>
        <v>124</v>
      </c>
      <c r="P71" s="150" t="str">
        <f t="shared" si="17"/>
        <v/>
      </c>
      <c r="Q71" s="151" t="str">
        <f t="shared" si="18"/>
        <v/>
      </c>
      <c r="R71" s="149" t="str">
        <f>"D:\IMS Images\Headshots\VB\"&amp;'Team Info'!$B$12&amp;"\"&amp;D71&amp;"_"&amp;C71&amp;".png"</f>
        <v>D:\IMS Images\Headshots\VB\AKRON\_.png</v>
      </c>
      <c r="S71" s="149" t="str">
        <f>"D:\IMS Images\ActionShots\VB\"&amp;'Team Info'!$B$12&amp;"\"&amp;D71&amp;"_"&amp;C71&amp;".png"</f>
        <v>D:\IMS Images\ActionShots\VB\AKRON\_.png</v>
      </c>
      <c r="T71" s="148" t="str">
        <f t="shared" si="14"/>
        <v xml:space="preserve"> </v>
      </c>
      <c r="U71" s="148" t="str">
        <f t="shared" si="15"/>
        <v xml:space="preserve">. </v>
      </c>
      <c r="V71" s="148" t="str">
        <f t="shared" si="19"/>
        <v/>
      </c>
      <c r="W71" s="148" t="str">
        <f t="shared" si="20"/>
        <v xml:space="preserve"> </v>
      </c>
      <c r="X71" s="148" t="str">
        <f t="shared" si="21"/>
        <v/>
      </c>
      <c r="Y71" s="148" t="str">
        <f t="shared" si="22"/>
        <v/>
      </c>
      <c r="Z71" s="148" t="str">
        <f t="shared" si="23"/>
        <v/>
      </c>
      <c r="AA71" s="148" t="str">
        <f t="shared" si="24"/>
        <v xml:space="preserve">68 </v>
      </c>
      <c r="AB71" s="148" t="str">
        <f t="shared" si="25"/>
        <v xml:space="preserve">68 </v>
      </c>
    </row>
    <row r="72" spans="1:28" x14ac:dyDescent="0.25">
      <c r="A72" s="26">
        <v>69</v>
      </c>
      <c r="B72" s="5">
        <v>69</v>
      </c>
      <c r="C72" s="6"/>
      <c r="D72" s="6"/>
      <c r="E72" s="7"/>
      <c r="F72" s="7"/>
      <c r="G72" s="7"/>
      <c r="H72" s="7"/>
      <c r="I72" s="8"/>
      <c r="J72" s="7"/>
      <c r="K72" s="7"/>
      <c r="L72" s="7"/>
      <c r="M72" s="7"/>
      <c r="O72" s="150">
        <f t="shared" ca="1" si="16"/>
        <v>124</v>
      </c>
      <c r="P72" s="150" t="str">
        <f t="shared" si="17"/>
        <v/>
      </c>
      <c r="Q72" s="151" t="str">
        <f t="shared" si="18"/>
        <v/>
      </c>
      <c r="R72" s="149" t="str">
        <f>"D:\IMS Images\Headshots\VB\"&amp;'Team Info'!$B$12&amp;"\"&amp;D72&amp;"_"&amp;C72&amp;".png"</f>
        <v>D:\IMS Images\Headshots\VB\AKRON\_.png</v>
      </c>
      <c r="S72" s="149" t="str">
        <f>"D:\IMS Images\ActionShots\VB\"&amp;'Team Info'!$B$12&amp;"\"&amp;D72&amp;"_"&amp;C72&amp;".png"</f>
        <v>D:\IMS Images\ActionShots\VB\AKRON\_.png</v>
      </c>
      <c r="T72" s="148" t="str">
        <f t="shared" si="14"/>
        <v xml:space="preserve"> </v>
      </c>
      <c r="U72" s="148" t="str">
        <f t="shared" si="15"/>
        <v xml:space="preserve">. </v>
      </c>
      <c r="V72" s="148" t="str">
        <f t="shared" si="19"/>
        <v/>
      </c>
      <c r="W72" s="148" t="str">
        <f t="shared" si="20"/>
        <v xml:space="preserve"> </v>
      </c>
      <c r="X72" s="148" t="str">
        <f t="shared" si="21"/>
        <v/>
      </c>
      <c r="Y72" s="148" t="str">
        <f t="shared" si="22"/>
        <v/>
      </c>
      <c r="Z72" s="148" t="str">
        <f t="shared" si="23"/>
        <v/>
      </c>
      <c r="AA72" s="148" t="str">
        <f t="shared" si="24"/>
        <v xml:space="preserve">69 </v>
      </c>
      <c r="AB72" s="148" t="str">
        <f t="shared" si="25"/>
        <v xml:space="preserve">69 </v>
      </c>
    </row>
    <row r="73" spans="1:28" x14ac:dyDescent="0.25">
      <c r="A73" s="26">
        <v>70</v>
      </c>
      <c r="B73" s="5">
        <v>70</v>
      </c>
      <c r="C73" s="6"/>
      <c r="D73" s="6"/>
      <c r="E73" s="7"/>
      <c r="F73" s="7"/>
      <c r="G73" s="7"/>
      <c r="H73" s="7"/>
      <c r="I73" s="8"/>
      <c r="J73" s="7"/>
      <c r="K73" s="7"/>
      <c r="L73" s="7"/>
      <c r="M73" s="7"/>
      <c r="O73" s="150">
        <f t="shared" ca="1" si="16"/>
        <v>124</v>
      </c>
      <c r="P73" s="150" t="str">
        <f t="shared" si="17"/>
        <v/>
      </c>
      <c r="Q73" s="151" t="str">
        <f t="shared" si="18"/>
        <v/>
      </c>
      <c r="R73" s="149" t="str">
        <f>"D:\IMS Images\Headshots\VB\"&amp;'Team Info'!$B$12&amp;"\"&amp;D73&amp;"_"&amp;C73&amp;".png"</f>
        <v>D:\IMS Images\Headshots\VB\AKRON\_.png</v>
      </c>
      <c r="S73" s="149" t="str">
        <f>"D:\IMS Images\ActionShots\VB\"&amp;'Team Info'!$B$12&amp;"\"&amp;D73&amp;"_"&amp;C73&amp;".png"</f>
        <v>D:\IMS Images\ActionShots\VB\AKRON\_.png</v>
      </c>
      <c r="T73" s="148" t="str">
        <f t="shared" si="14"/>
        <v xml:space="preserve"> </v>
      </c>
      <c r="U73" s="148" t="str">
        <f t="shared" si="15"/>
        <v xml:space="preserve">. </v>
      </c>
      <c r="V73" s="148" t="str">
        <f t="shared" si="19"/>
        <v/>
      </c>
      <c r="W73" s="148" t="str">
        <f t="shared" si="20"/>
        <v xml:space="preserve"> </v>
      </c>
      <c r="X73" s="148" t="str">
        <f t="shared" si="21"/>
        <v/>
      </c>
      <c r="Y73" s="148" t="str">
        <f t="shared" si="22"/>
        <v/>
      </c>
      <c r="Z73" s="148" t="str">
        <f t="shared" si="23"/>
        <v/>
      </c>
      <c r="AA73" s="148" t="str">
        <f t="shared" si="24"/>
        <v xml:space="preserve">70 </v>
      </c>
      <c r="AB73" s="148" t="str">
        <f t="shared" si="25"/>
        <v xml:space="preserve">70 </v>
      </c>
    </row>
    <row r="74" spans="1:28" x14ac:dyDescent="0.25">
      <c r="A74" s="26">
        <v>71</v>
      </c>
      <c r="B74" s="5">
        <v>71</v>
      </c>
      <c r="C74" s="6"/>
      <c r="D74" s="6"/>
      <c r="E74" s="7"/>
      <c r="F74" s="7"/>
      <c r="G74" s="7"/>
      <c r="H74" s="7"/>
      <c r="I74" s="8"/>
      <c r="J74" s="7"/>
      <c r="K74" s="7"/>
      <c r="L74" s="7"/>
      <c r="M74" s="7"/>
      <c r="O74" s="150">
        <f t="shared" ca="1" si="16"/>
        <v>124</v>
      </c>
      <c r="P74" s="150" t="str">
        <f t="shared" si="17"/>
        <v/>
      </c>
      <c r="Q74" s="151" t="str">
        <f t="shared" si="18"/>
        <v/>
      </c>
      <c r="R74" s="149" t="str">
        <f>"D:\IMS Images\Headshots\VB\"&amp;'Team Info'!$B$12&amp;"\"&amp;D74&amp;"_"&amp;C74&amp;".png"</f>
        <v>D:\IMS Images\Headshots\VB\AKRON\_.png</v>
      </c>
      <c r="S74" s="149" t="str">
        <f>"D:\IMS Images\ActionShots\VB\"&amp;'Team Info'!$B$12&amp;"\"&amp;D74&amp;"_"&amp;C74&amp;".png"</f>
        <v>D:\IMS Images\ActionShots\VB\AKRON\_.png</v>
      </c>
      <c r="T74" s="148" t="str">
        <f t="shared" si="14"/>
        <v xml:space="preserve"> </v>
      </c>
      <c r="U74" s="148" t="str">
        <f t="shared" si="15"/>
        <v xml:space="preserve">. </v>
      </c>
      <c r="V74" s="148" t="str">
        <f t="shared" si="19"/>
        <v/>
      </c>
      <c r="W74" s="148" t="str">
        <f t="shared" si="20"/>
        <v xml:space="preserve"> </v>
      </c>
      <c r="X74" s="148" t="str">
        <f t="shared" si="21"/>
        <v/>
      </c>
      <c r="Y74" s="148" t="str">
        <f t="shared" si="22"/>
        <v/>
      </c>
      <c r="Z74" s="148" t="str">
        <f t="shared" si="23"/>
        <v/>
      </c>
      <c r="AA74" s="148" t="str">
        <f t="shared" si="24"/>
        <v xml:space="preserve">71 </v>
      </c>
      <c r="AB74" s="148" t="str">
        <f t="shared" si="25"/>
        <v xml:space="preserve">71 </v>
      </c>
    </row>
    <row r="75" spans="1:28" x14ac:dyDescent="0.25">
      <c r="A75" s="26">
        <v>72</v>
      </c>
      <c r="B75" s="5">
        <v>72</v>
      </c>
      <c r="C75" s="6"/>
      <c r="D75" s="6"/>
      <c r="E75" s="7"/>
      <c r="F75" s="7"/>
      <c r="G75" s="7"/>
      <c r="H75" s="7"/>
      <c r="I75" s="8"/>
      <c r="J75" s="7"/>
      <c r="K75" s="7"/>
      <c r="L75" s="7"/>
      <c r="M75" s="7"/>
      <c r="O75" s="150">
        <f t="shared" ca="1" si="16"/>
        <v>124</v>
      </c>
      <c r="P75" s="150" t="str">
        <f t="shared" si="17"/>
        <v/>
      </c>
      <c r="Q75" s="151" t="str">
        <f t="shared" si="18"/>
        <v/>
      </c>
      <c r="R75" s="149" t="str">
        <f>"D:\IMS Images\Headshots\VB\"&amp;'Team Info'!$B$12&amp;"\"&amp;D75&amp;"_"&amp;C75&amp;".png"</f>
        <v>D:\IMS Images\Headshots\VB\AKRON\_.png</v>
      </c>
      <c r="S75" s="149" t="str">
        <f>"D:\IMS Images\ActionShots\VB\"&amp;'Team Info'!$B$12&amp;"\"&amp;D75&amp;"_"&amp;C75&amp;".png"</f>
        <v>D:\IMS Images\ActionShots\VB\AKRON\_.png</v>
      </c>
      <c r="T75" s="148" t="str">
        <f t="shared" si="14"/>
        <v xml:space="preserve"> </v>
      </c>
      <c r="U75" s="148" t="str">
        <f t="shared" si="15"/>
        <v xml:space="preserve">. </v>
      </c>
      <c r="V75" s="148" t="str">
        <f t="shared" si="19"/>
        <v/>
      </c>
      <c r="W75" s="148" t="str">
        <f t="shared" si="20"/>
        <v xml:space="preserve"> </v>
      </c>
      <c r="X75" s="148" t="str">
        <f t="shared" si="21"/>
        <v/>
      </c>
      <c r="Y75" s="148" t="str">
        <f t="shared" si="22"/>
        <v/>
      </c>
      <c r="Z75" s="148" t="str">
        <f t="shared" si="23"/>
        <v/>
      </c>
      <c r="AA75" s="148" t="str">
        <f t="shared" si="24"/>
        <v xml:space="preserve">72 </v>
      </c>
      <c r="AB75" s="148" t="str">
        <f t="shared" si="25"/>
        <v xml:space="preserve">72 </v>
      </c>
    </row>
    <row r="76" spans="1:28" x14ac:dyDescent="0.25">
      <c r="A76" s="26">
        <v>73</v>
      </c>
      <c r="B76" s="5">
        <v>73</v>
      </c>
      <c r="C76" s="6"/>
      <c r="D76" s="6"/>
      <c r="E76" s="7"/>
      <c r="F76" s="7"/>
      <c r="G76" s="7"/>
      <c r="H76" s="7"/>
      <c r="I76" s="8"/>
      <c r="J76" s="7"/>
      <c r="K76" s="7"/>
      <c r="L76" s="7"/>
      <c r="M76" s="7"/>
      <c r="O76" s="150">
        <f t="shared" ca="1" si="16"/>
        <v>124</v>
      </c>
      <c r="P76" s="150" t="str">
        <f t="shared" si="17"/>
        <v/>
      </c>
      <c r="Q76" s="151" t="str">
        <f t="shared" si="18"/>
        <v/>
      </c>
      <c r="R76" s="149" t="str">
        <f>"D:\IMS Images\Headshots\VB\"&amp;'Team Info'!$B$12&amp;"\"&amp;D76&amp;"_"&amp;C76&amp;".png"</f>
        <v>D:\IMS Images\Headshots\VB\AKRON\_.png</v>
      </c>
      <c r="S76" s="149" t="str">
        <f>"D:\IMS Images\ActionShots\VB\"&amp;'Team Info'!$B$12&amp;"\"&amp;D76&amp;"_"&amp;C76&amp;".png"</f>
        <v>D:\IMS Images\ActionShots\VB\AKRON\_.png</v>
      </c>
      <c r="T76" s="148" t="str">
        <f t="shared" si="14"/>
        <v xml:space="preserve"> </v>
      </c>
      <c r="U76" s="148" t="str">
        <f t="shared" si="15"/>
        <v xml:space="preserve">. </v>
      </c>
      <c r="V76" s="148" t="str">
        <f t="shared" si="19"/>
        <v/>
      </c>
      <c r="W76" s="148" t="str">
        <f t="shared" si="20"/>
        <v xml:space="preserve"> </v>
      </c>
      <c r="X76" s="148" t="str">
        <f t="shared" si="21"/>
        <v/>
      </c>
      <c r="Y76" s="148" t="str">
        <f t="shared" si="22"/>
        <v/>
      </c>
      <c r="Z76" s="148" t="str">
        <f t="shared" si="23"/>
        <v/>
      </c>
      <c r="AA76" s="148" t="str">
        <f t="shared" si="24"/>
        <v xml:space="preserve">73 </v>
      </c>
      <c r="AB76" s="148" t="str">
        <f t="shared" si="25"/>
        <v xml:space="preserve">73 </v>
      </c>
    </row>
    <row r="77" spans="1:28" x14ac:dyDescent="0.25">
      <c r="A77" s="26">
        <v>74</v>
      </c>
      <c r="B77" s="5">
        <v>74</v>
      </c>
      <c r="C77" s="6"/>
      <c r="D77" s="6"/>
      <c r="E77" s="7"/>
      <c r="F77" s="7"/>
      <c r="G77" s="7"/>
      <c r="H77" s="7"/>
      <c r="I77" s="8"/>
      <c r="J77" s="7"/>
      <c r="K77" s="7"/>
      <c r="L77" s="7"/>
      <c r="M77" s="7"/>
      <c r="O77" s="150">
        <f t="shared" ca="1" si="16"/>
        <v>124</v>
      </c>
      <c r="P77" s="150" t="str">
        <f t="shared" si="17"/>
        <v/>
      </c>
      <c r="Q77" s="151" t="str">
        <f t="shared" si="18"/>
        <v/>
      </c>
      <c r="R77" s="149" t="str">
        <f>"D:\IMS Images\Headshots\VB\"&amp;'Team Info'!$B$12&amp;"\"&amp;D77&amp;"_"&amp;C77&amp;".png"</f>
        <v>D:\IMS Images\Headshots\VB\AKRON\_.png</v>
      </c>
      <c r="S77" s="149" t="str">
        <f>"D:\IMS Images\ActionShots\VB\"&amp;'Team Info'!$B$12&amp;"\"&amp;D77&amp;"_"&amp;C77&amp;".png"</f>
        <v>D:\IMS Images\ActionShots\VB\AKRON\_.png</v>
      </c>
      <c r="T77" s="148" t="str">
        <f t="shared" si="14"/>
        <v xml:space="preserve"> </v>
      </c>
      <c r="U77" s="148" t="str">
        <f t="shared" si="15"/>
        <v xml:space="preserve">. </v>
      </c>
      <c r="V77" s="148" t="str">
        <f t="shared" si="19"/>
        <v/>
      </c>
      <c r="W77" s="148" t="str">
        <f t="shared" si="20"/>
        <v xml:space="preserve"> </v>
      </c>
      <c r="X77" s="148" t="str">
        <f t="shared" si="21"/>
        <v/>
      </c>
      <c r="Y77" s="148" t="str">
        <f t="shared" si="22"/>
        <v/>
      </c>
      <c r="Z77" s="148" t="str">
        <f t="shared" si="23"/>
        <v/>
      </c>
      <c r="AA77" s="148" t="str">
        <f t="shared" si="24"/>
        <v xml:space="preserve">74 </v>
      </c>
      <c r="AB77" s="148" t="str">
        <f t="shared" si="25"/>
        <v xml:space="preserve">74 </v>
      </c>
    </row>
    <row r="78" spans="1:28" x14ac:dyDescent="0.25">
      <c r="A78" s="26">
        <v>75</v>
      </c>
      <c r="B78" s="5">
        <v>75</v>
      </c>
      <c r="C78" s="6"/>
      <c r="D78" s="6"/>
      <c r="E78" s="7"/>
      <c r="F78" s="7"/>
      <c r="G78" s="7"/>
      <c r="H78" s="7"/>
      <c r="I78" s="8"/>
      <c r="J78" s="7"/>
      <c r="K78" s="7"/>
      <c r="L78" s="7"/>
      <c r="M78" s="7"/>
      <c r="O78" s="150">
        <f t="shared" ca="1" si="16"/>
        <v>124</v>
      </c>
      <c r="P78" s="150" t="str">
        <f t="shared" si="17"/>
        <v/>
      </c>
      <c r="Q78" s="151" t="str">
        <f t="shared" si="18"/>
        <v/>
      </c>
      <c r="R78" s="149" t="str">
        <f>"D:\IMS Images\Headshots\VB\"&amp;'Team Info'!$B$12&amp;"\"&amp;D78&amp;"_"&amp;C78&amp;".png"</f>
        <v>D:\IMS Images\Headshots\VB\AKRON\_.png</v>
      </c>
      <c r="S78" s="149" t="str">
        <f>"D:\IMS Images\ActionShots\VB\"&amp;'Team Info'!$B$12&amp;"\"&amp;D78&amp;"_"&amp;C78&amp;".png"</f>
        <v>D:\IMS Images\ActionShots\VB\AKRON\_.png</v>
      </c>
      <c r="T78" s="148" t="str">
        <f t="shared" si="14"/>
        <v xml:space="preserve"> </v>
      </c>
      <c r="U78" s="148" t="str">
        <f t="shared" si="15"/>
        <v xml:space="preserve">. </v>
      </c>
      <c r="V78" s="148" t="str">
        <f t="shared" si="19"/>
        <v/>
      </c>
      <c r="W78" s="148" t="str">
        <f t="shared" si="20"/>
        <v xml:space="preserve"> </v>
      </c>
      <c r="X78" s="148" t="str">
        <f t="shared" si="21"/>
        <v/>
      </c>
      <c r="Y78" s="148" t="str">
        <f t="shared" si="22"/>
        <v/>
      </c>
      <c r="Z78" s="148" t="str">
        <f t="shared" si="23"/>
        <v/>
      </c>
      <c r="AA78" s="148" t="str">
        <f t="shared" si="24"/>
        <v xml:space="preserve">75 </v>
      </c>
      <c r="AB78" s="148" t="str">
        <f t="shared" si="25"/>
        <v xml:space="preserve">75 </v>
      </c>
    </row>
    <row r="79" spans="1:28" x14ac:dyDescent="0.25">
      <c r="A79" s="26">
        <v>76</v>
      </c>
      <c r="B79" s="5">
        <v>76</v>
      </c>
      <c r="C79" s="6"/>
      <c r="D79" s="6"/>
      <c r="E79" s="7"/>
      <c r="F79" s="7"/>
      <c r="G79" s="7"/>
      <c r="H79" s="7"/>
      <c r="I79" s="8"/>
      <c r="J79" s="7"/>
      <c r="K79" s="7"/>
      <c r="L79" s="7"/>
      <c r="M79" s="7"/>
      <c r="O79" s="150">
        <f t="shared" ca="1" si="16"/>
        <v>124</v>
      </c>
      <c r="P79" s="150" t="str">
        <f t="shared" si="17"/>
        <v/>
      </c>
      <c r="Q79" s="151" t="str">
        <f t="shared" si="18"/>
        <v/>
      </c>
      <c r="R79" s="149" t="str">
        <f>"D:\IMS Images\Headshots\VB\"&amp;'Team Info'!$B$12&amp;"\"&amp;D79&amp;"_"&amp;C79&amp;".png"</f>
        <v>D:\IMS Images\Headshots\VB\AKRON\_.png</v>
      </c>
      <c r="S79" s="149" t="str">
        <f>"D:\IMS Images\ActionShots\VB\"&amp;'Team Info'!$B$12&amp;"\"&amp;D79&amp;"_"&amp;C79&amp;".png"</f>
        <v>D:\IMS Images\ActionShots\VB\AKRON\_.png</v>
      </c>
      <c r="T79" s="148" t="str">
        <f t="shared" si="14"/>
        <v xml:space="preserve"> </v>
      </c>
      <c r="U79" s="148" t="str">
        <f t="shared" si="15"/>
        <v xml:space="preserve">. </v>
      </c>
      <c r="V79" s="148" t="str">
        <f t="shared" si="19"/>
        <v/>
      </c>
      <c r="W79" s="148" t="str">
        <f t="shared" si="20"/>
        <v xml:space="preserve"> </v>
      </c>
      <c r="X79" s="148" t="str">
        <f t="shared" si="21"/>
        <v/>
      </c>
      <c r="Y79" s="148" t="str">
        <f t="shared" si="22"/>
        <v/>
      </c>
      <c r="Z79" s="148" t="str">
        <f t="shared" si="23"/>
        <v/>
      </c>
      <c r="AA79" s="148" t="str">
        <f t="shared" si="24"/>
        <v xml:space="preserve">76 </v>
      </c>
      <c r="AB79" s="148" t="str">
        <f t="shared" si="25"/>
        <v xml:space="preserve">76 </v>
      </c>
    </row>
    <row r="80" spans="1:28" x14ac:dyDescent="0.25">
      <c r="A80" s="26">
        <v>77</v>
      </c>
      <c r="B80" s="5">
        <v>77</v>
      </c>
      <c r="C80" s="6"/>
      <c r="D80" s="6"/>
      <c r="E80" s="7"/>
      <c r="F80" s="7"/>
      <c r="G80" s="7"/>
      <c r="H80" s="7"/>
      <c r="I80" s="8"/>
      <c r="J80" s="7"/>
      <c r="K80" s="7"/>
      <c r="L80" s="7"/>
      <c r="M80" s="7"/>
      <c r="O80" s="150">
        <f t="shared" ca="1" si="16"/>
        <v>124</v>
      </c>
      <c r="P80" s="150" t="str">
        <f t="shared" si="17"/>
        <v/>
      </c>
      <c r="Q80" s="151" t="str">
        <f t="shared" si="18"/>
        <v/>
      </c>
      <c r="R80" s="149" t="str">
        <f>"D:\IMS Images\Headshots\VB\"&amp;'Team Info'!$B$12&amp;"\"&amp;D80&amp;"_"&amp;C80&amp;".png"</f>
        <v>D:\IMS Images\Headshots\VB\AKRON\_.png</v>
      </c>
      <c r="S80" s="149" t="str">
        <f>"D:\IMS Images\ActionShots\VB\"&amp;'Team Info'!$B$12&amp;"\"&amp;D80&amp;"_"&amp;C80&amp;".png"</f>
        <v>D:\IMS Images\ActionShots\VB\AKRON\_.png</v>
      </c>
      <c r="T80" s="148" t="str">
        <f t="shared" si="14"/>
        <v xml:space="preserve"> </v>
      </c>
      <c r="U80" s="148" t="str">
        <f t="shared" si="15"/>
        <v xml:space="preserve">. </v>
      </c>
      <c r="V80" s="148" t="str">
        <f t="shared" si="19"/>
        <v/>
      </c>
      <c r="W80" s="148" t="str">
        <f t="shared" si="20"/>
        <v xml:space="preserve"> </v>
      </c>
      <c r="X80" s="148" t="str">
        <f t="shared" si="21"/>
        <v/>
      </c>
      <c r="Y80" s="148" t="str">
        <f t="shared" si="22"/>
        <v/>
      </c>
      <c r="Z80" s="148" t="str">
        <f t="shared" si="23"/>
        <v/>
      </c>
      <c r="AA80" s="148" t="str">
        <f t="shared" si="24"/>
        <v xml:space="preserve">77 </v>
      </c>
      <c r="AB80" s="148" t="str">
        <f t="shared" si="25"/>
        <v xml:space="preserve">77 </v>
      </c>
    </row>
    <row r="81" spans="1:28" x14ac:dyDescent="0.25">
      <c r="A81" s="26">
        <v>78</v>
      </c>
      <c r="B81" s="5">
        <v>78</v>
      </c>
      <c r="C81" s="6"/>
      <c r="D81" s="6"/>
      <c r="E81" s="7"/>
      <c r="F81" s="7"/>
      <c r="G81" s="7"/>
      <c r="H81" s="7"/>
      <c r="I81" s="8"/>
      <c r="J81" s="7"/>
      <c r="K81" s="7"/>
      <c r="L81" s="7"/>
      <c r="M81" s="7"/>
      <c r="O81" s="150">
        <f t="shared" ca="1" si="16"/>
        <v>124</v>
      </c>
      <c r="P81" s="150" t="str">
        <f t="shared" si="17"/>
        <v/>
      </c>
      <c r="Q81" s="151" t="str">
        <f t="shared" si="18"/>
        <v/>
      </c>
      <c r="R81" s="149" t="str">
        <f>"D:\IMS Images\Headshots\VB\"&amp;'Team Info'!$B$12&amp;"\"&amp;D81&amp;"_"&amp;C81&amp;".png"</f>
        <v>D:\IMS Images\Headshots\VB\AKRON\_.png</v>
      </c>
      <c r="S81" s="149" t="str">
        <f>"D:\IMS Images\ActionShots\VB\"&amp;'Team Info'!$B$12&amp;"\"&amp;D81&amp;"_"&amp;C81&amp;".png"</f>
        <v>D:\IMS Images\ActionShots\VB\AKRON\_.png</v>
      </c>
      <c r="T81" s="148" t="str">
        <f t="shared" si="14"/>
        <v xml:space="preserve"> </v>
      </c>
      <c r="U81" s="148" t="str">
        <f t="shared" si="15"/>
        <v xml:space="preserve">. </v>
      </c>
      <c r="V81" s="148" t="str">
        <f t="shared" si="19"/>
        <v/>
      </c>
      <c r="W81" s="148" t="str">
        <f t="shared" si="20"/>
        <v xml:space="preserve"> </v>
      </c>
      <c r="X81" s="148" t="str">
        <f t="shared" si="21"/>
        <v/>
      </c>
      <c r="Y81" s="148" t="str">
        <f t="shared" si="22"/>
        <v/>
      </c>
      <c r="Z81" s="148" t="str">
        <f t="shared" si="23"/>
        <v/>
      </c>
      <c r="AA81" s="148" t="str">
        <f t="shared" si="24"/>
        <v xml:space="preserve">78 </v>
      </c>
      <c r="AB81" s="148" t="str">
        <f t="shared" si="25"/>
        <v xml:space="preserve">78 </v>
      </c>
    </row>
    <row r="82" spans="1:28" x14ac:dyDescent="0.25">
      <c r="A82" s="26">
        <v>79</v>
      </c>
      <c r="B82" s="5">
        <v>79</v>
      </c>
      <c r="C82" s="6"/>
      <c r="D82" s="6"/>
      <c r="E82" s="7"/>
      <c r="F82" s="7"/>
      <c r="G82" s="7"/>
      <c r="H82" s="7"/>
      <c r="I82" s="8"/>
      <c r="J82" s="7"/>
      <c r="K82" s="7"/>
      <c r="L82" s="7"/>
      <c r="M82" s="7"/>
      <c r="O82" s="150">
        <f t="shared" ca="1" si="16"/>
        <v>124</v>
      </c>
      <c r="P82" s="150" t="str">
        <f t="shared" si="17"/>
        <v/>
      </c>
      <c r="Q82" s="151" t="str">
        <f t="shared" si="18"/>
        <v/>
      </c>
      <c r="R82" s="149" t="str">
        <f>"D:\IMS Images\Headshots\VB\"&amp;'Team Info'!$B$12&amp;"\"&amp;D82&amp;"_"&amp;C82&amp;".png"</f>
        <v>D:\IMS Images\Headshots\VB\AKRON\_.png</v>
      </c>
      <c r="S82" s="149" t="str">
        <f>"D:\IMS Images\ActionShots\VB\"&amp;'Team Info'!$B$12&amp;"\"&amp;D82&amp;"_"&amp;C82&amp;".png"</f>
        <v>D:\IMS Images\ActionShots\VB\AKRON\_.png</v>
      </c>
      <c r="T82" s="148" t="str">
        <f t="shared" si="14"/>
        <v xml:space="preserve"> </v>
      </c>
      <c r="U82" s="148" t="str">
        <f t="shared" si="15"/>
        <v xml:space="preserve">. </v>
      </c>
      <c r="V82" s="148" t="str">
        <f t="shared" si="19"/>
        <v/>
      </c>
      <c r="W82" s="148" t="str">
        <f t="shared" si="20"/>
        <v xml:space="preserve"> </v>
      </c>
      <c r="X82" s="148" t="str">
        <f t="shared" si="21"/>
        <v/>
      </c>
      <c r="Y82" s="148" t="str">
        <f t="shared" si="22"/>
        <v/>
      </c>
      <c r="Z82" s="148" t="str">
        <f t="shared" si="23"/>
        <v/>
      </c>
      <c r="AA82" s="148" t="str">
        <f t="shared" si="24"/>
        <v xml:space="preserve">79 </v>
      </c>
      <c r="AB82" s="148" t="str">
        <f t="shared" si="25"/>
        <v xml:space="preserve">79 </v>
      </c>
    </row>
    <row r="83" spans="1:28" x14ac:dyDescent="0.25">
      <c r="A83" s="26">
        <v>80</v>
      </c>
      <c r="B83" s="5">
        <v>80</v>
      </c>
      <c r="C83" s="6"/>
      <c r="D83" s="6"/>
      <c r="E83" s="7"/>
      <c r="F83" s="7"/>
      <c r="G83" s="7"/>
      <c r="H83" s="7"/>
      <c r="I83" s="8"/>
      <c r="J83" s="7"/>
      <c r="K83" s="7"/>
      <c r="L83" s="7"/>
      <c r="M83" s="7"/>
      <c r="O83" s="150">
        <f t="shared" ca="1" si="16"/>
        <v>124</v>
      </c>
      <c r="P83" s="150" t="str">
        <f t="shared" si="17"/>
        <v/>
      </c>
      <c r="Q83" s="151" t="str">
        <f t="shared" si="18"/>
        <v/>
      </c>
      <c r="R83" s="149" t="str">
        <f>"D:\IMS Images\Headshots\VB\"&amp;'Team Info'!$B$12&amp;"\"&amp;D83&amp;"_"&amp;C83&amp;".png"</f>
        <v>D:\IMS Images\Headshots\VB\AKRON\_.png</v>
      </c>
      <c r="S83" s="149" t="str">
        <f>"D:\IMS Images\ActionShots\VB\"&amp;'Team Info'!$B$12&amp;"\"&amp;D83&amp;"_"&amp;C83&amp;".png"</f>
        <v>D:\IMS Images\ActionShots\VB\AKRON\_.png</v>
      </c>
      <c r="T83" s="148" t="str">
        <f t="shared" si="14"/>
        <v xml:space="preserve"> </v>
      </c>
      <c r="U83" s="148" t="str">
        <f t="shared" si="15"/>
        <v xml:space="preserve">. </v>
      </c>
      <c r="V83" s="148" t="str">
        <f t="shared" si="19"/>
        <v/>
      </c>
      <c r="W83" s="148" t="str">
        <f t="shared" si="20"/>
        <v xml:space="preserve"> </v>
      </c>
      <c r="X83" s="148" t="str">
        <f t="shared" si="21"/>
        <v/>
      </c>
      <c r="Y83" s="148" t="str">
        <f t="shared" si="22"/>
        <v/>
      </c>
      <c r="Z83" s="148" t="str">
        <f t="shared" si="23"/>
        <v/>
      </c>
      <c r="AA83" s="148" t="str">
        <f t="shared" si="24"/>
        <v xml:space="preserve">80 </v>
      </c>
      <c r="AB83" s="148" t="str">
        <f t="shared" si="25"/>
        <v xml:space="preserve">80 </v>
      </c>
    </row>
    <row r="84" spans="1:28" x14ac:dyDescent="0.25">
      <c r="A84" s="26">
        <v>81</v>
      </c>
      <c r="B84" s="5">
        <v>81</v>
      </c>
      <c r="C84" s="6"/>
      <c r="D84" s="6"/>
      <c r="E84" s="7"/>
      <c r="F84" s="7"/>
      <c r="G84" s="7"/>
      <c r="H84" s="7"/>
      <c r="I84" s="8"/>
      <c r="J84" s="7"/>
      <c r="K84" s="7"/>
      <c r="L84" s="7"/>
      <c r="M84" s="7"/>
      <c r="O84" s="150">
        <f t="shared" ca="1" si="16"/>
        <v>124</v>
      </c>
      <c r="P84" s="150" t="str">
        <f t="shared" si="17"/>
        <v/>
      </c>
      <c r="Q84" s="151" t="str">
        <f t="shared" si="18"/>
        <v/>
      </c>
      <c r="R84" s="149" t="str">
        <f>"D:\IMS Images\Headshots\VB\"&amp;'Team Info'!$B$12&amp;"\"&amp;D84&amp;"_"&amp;C84&amp;".png"</f>
        <v>D:\IMS Images\Headshots\VB\AKRON\_.png</v>
      </c>
      <c r="S84" s="149" t="str">
        <f>"D:\IMS Images\ActionShots\VB\"&amp;'Team Info'!$B$12&amp;"\"&amp;D84&amp;"_"&amp;C84&amp;".png"</f>
        <v>D:\IMS Images\ActionShots\VB\AKRON\_.png</v>
      </c>
      <c r="T84" s="148" t="str">
        <f t="shared" si="14"/>
        <v xml:space="preserve"> </v>
      </c>
      <c r="U84" s="148" t="str">
        <f t="shared" si="15"/>
        <v xml:space="preserve">. </v>
      </c>
      <c r="V84" s="148" t="str">
        <f t="shared" si="19"/>
        <v/>
      </c>
      <c r="W84" s="148" t="str">
        <f t="shared" si="20"/>
        <v xml:space="preserve"> </v>
      </c>
      <c r="X84" s="148" t="str">
        <f t="shared" si="21"/>
        <v/>
      </c>
      <c r="Y84" s="148" t="str">
        <f t="shared" si="22"/>
        <v/>
      </c>
      <c r="Z84" s="148" t="str">
        <f t="shared" si="23"/>
        <v/>
      </c>
      <c r="AA84" s="148" t="str">
        <f t="shared" si="24"/>
        <v xml:space="preserve">81 </v>
      </c>
      <c r="AB84" s="148" t="str">
        <f t="shared" si="25"/>
        <v xml:space="preserve">81 </v>
      </c>
    </row>
    <row r="85" spans="1:28" x14ac:dyDescent="0.25">
      <c r="A85" s="26">
        <v>82</v>
      </c>
      <c r="B85" s="5">
        <v>82</v>
      </c>
      <c r="C85" s="6"/>
      <c r="D85" s="6"/>
      <c r="E85" s="7"/>
      <c r="F85" s="7"/>
      <c r="G85" s="7"/>
      <c r="H85" s="7"/>
      <c r="I85" s="8"/>
      <c r="J85" s="7"/>
      <c r="K85" s="7"/>
      <c r="L85" s="7"/>
      <c r="M85" s="7"/>
      <c r="O85" s="150">
        <f t="shared" ca="1" si="16"/>
        <v>124</v>
      </c>
      <c r="P85" s="150" t="str">
        <f t="shared" si="17"/>
        <v/>
      </c>
      <c r="Q85" s="151" t="str">
        <f t="shared" si="18"/>
        <v/>
      </c>
      <c r="R85" s="149" t="str">
        <f>"D:\IMS Images\Headshots\VB\"&amp;'Team Info'!$B$12&amp;"\"&amp;D85&amp;"_"&amp;C85&amp;".png"</f>
        <v>D:\IMS Images\Headshots\VB\AKRON\_.png</v>
      </c>
      <c r="S85" s="149" t="str">
        <f>"D:\IMS Images\ActionShots\VB\"&amp;'Team Info'!$B$12&amp;"\"&amp;D85&amp;"_"&amp;C85&amp;".png"</f>
        <v>D:\IMS Images\ActionShots\VB\AKRON\_.png</v>
      </c>
      <c r="T85" s="148" t="str">
        <f t="shared" si="14"/>
        <v xml:space="preserve"> </v>
      </c>
      <c r="U85" s="148" t="str">
        <f t="shared" si="15"/>
        <v xml:space="preserve">. </v>
      </c>
      <c r="V85" s="148" t="str">
        <f t="shared" si="19"/>
        <v/>
      </c>
      <c r="W85" s="148" t="str">
        <f t="shared" si="20"/>
        <v xml:space="preserve"> </v>
      </c>
      <c r="X85" s="148" t="str">
        <f t="shared" si="21"/>
        <v/>
      </c>
      <c r="Y85" s="148" t="str">
        <f t="shared" si="22"/>
        <v/>
      </c>
      <c r="Z85" s="148" t="str">
        <f t="shared" si="23"/>
        <v/>
      </c>
      <c r="AA85" s="148" t="str">
        <f t="shared" si="24"/>
        <v xml:space="preserve">82 </v>
      </c>
      <c r="AB85" s="148" t="str">
        <f t="shared" si="25"/>
        <v xml:space="preserve">82 </v>
      </c>
    </row>
    <row r="86" spans="1:28" x14ac:dyDescent="0.25">
      <c r="A86" s="26">
        <v>83</v>
      </c>
      <c r="B86" s="5">
        <v>83</v>
      </c>
      <c r="C86" s="6"/>
      <c r="D86" s="6"/>
      <c r="E86" s="7"/>
      <c r="F86" s="7"/>
      <c r="G86" s="7"/>
      <c r="H86" s="7"/>
      <c r="I86" s="8"/>
      <c r="J86" s="7"/>
      <c r="K86" s="7"/>
      <c r="L86" s="7"/>
      <c r="M86" s="7"/>
      <c r="O86" s="150">
        <f t="shared" ca="1" si="16"/>
        <v>124</v>
      </c>
      <c r="P86" s="150" t="str">
        <f t="shared" si="17"/>
        <v/>
      </c>
      <c r="Q86" s="151" t="str">
        <f t="shared" si="18"/>
        <v/>
      </c>
      <c r="R86" s="149" t="str">
        <f>"D:\IMS Images\Headshots\VB\"&amp;'Team Info'!$B$12&amp;"\"&amp;D86&amp;"_"&amp;C86&amp;".png"</f>
        <v>D:\IMS Images\Headshots\VB\AKRON\_.png</v>
      </c>
      <c r="S86" s="149" t="str">
        <f>"D:\IMS Images\ActionShots\VB\"&amp;'Team Info'!$B$12&amp;"\"&amp;D86&amp;"_"&amp;C86&amp;".png"</f>
        <v>D:\IMS Images\ActionShots\VB\AKRON\_.png</v>
      </c>
      <c r="T86" s="148" t="str">
        <f t="shared" si="14"/>
        <v xml:space="preserve"> </v>
      </c>
      <c r="U86" s="148" t="str">
        <f t="shared" si="15"/>
        <v xml:space="preserve">. </v>
      </c>
      <c r="V86" s="148" t="str">
        <f t="shared" si="19"/>
        <v/>
      </c>
      <c r="W86" s="148" t="str">
        <f t="shared" si="20"/>
        <v xml:space="preserve"> </v>
      </c>
      <c r="X86" s="148" t="str">
        <f t="shared" si="21"/>
        <v/>
      </c>
      <c r="Y86" s="148" t="str">
        <f t="shared" si="22"/>
        <v/>
      </c>
      <c r="Z86" s="148" t="str">
        <f t="shared" si="23"/>
        <v/>
      </c>
      <c r="AA86" s="148" t="str">
        <f t="shared" si="24"/>
        <v xml:space="preserve">83 </v>
      </c>
      <c r="AB86" s="148" t="str">
        <f t="shared" si="25"/>
        <v xml:space="preserve">83 </v>
      </c>
    </row>
    <row r="87" spans="1:28" x14ac:dyDescent="0.25">
      <c r="A87" s="26">
        <v>84</v>
      </c>
      <c r="B87" s="5">
        <v>84</v>
      </c>
      <c r="C87" s="6"/>
      <c r="D87" s="6"/>
      <c r="E87" s="7"/>
      <c r="F87" s="7"/>
      <c r="G87" s="7"/>
      <c r="H87" s="7"/>
      <c r="I87" s="8"/>
      <c r="J87" s="7"/>
      <c r="K87" s="7"/>
      <c r="L87" s="7"/>
      <c r="M87" s="7"/>
      <c r="O87" s="150">
        <f t="shared" ca="1" si="16"/>
        <v>124</v>
      </c>
      <c r="P87" s="150" t="str">
        <f t="shared" si="17"/>
        <v/>
      </c>
      <c r="Q87" s="151" t="str">
        <f t="shared" si="18"/>
        <v/>
      </c>
      <c r="R87" s="149" t="str">
        <f>"D:\IMS Images\Headshots\VB\"&amp;'Team Info'!$B$12&amp;"\"&amp;D87&amp;"_"&amp;C87&amp;".png"</f>
        <v>D:\IMS Images\Headshots\VB\AKRON\_.png</v>
      </c>
      <c r="S87" s="149" t="str">
        <f>"D:\IMS Images\ActionShots\VB\"&amp;'Team Info'!$B$12&amp;"\"&amp;D87&amp;"_"&amp;C87&amp;".png"</f>
        <v>D:\IMS Images\ActionShots\VB\AKRON\_.png</v>
      </c>
      <c r="T87" s="148" t="str">
        <f t="shared" si="14"/>
        <v xml:space="preserve"> </v>
      </c>
      <c r="U87" s="148" t="str">
        <f t="shared" si="15"/>
        <v xml:space="preserve">. </v>
      </c>
      <c r="V87" s="148" t="str">
        <f t="shared" si="19"/>
        <v/>
      </c>
      <c r="W87" s="148" t="str">
        <f t="shared" si="20"/>
        <v xml:space="preserve"> </v>
      </c>
      <c r="X87" s="148" t="str">
        <f t="shared" si="21"/>
        <v/>
      </c>
      <c r="Y87" s="148" t="str">
        <f t="shared" si="22"/>
        <v/>
      </c>
      <c r="Z87" s="148" t="str">
        <f t="shared" si="23"/>
        <v/>
      </c>
      <c r="AA87" s="148" t="str">
        <f t="shared" si="24"/>
        <v xml:space="preserve">84 </v>
      </c>
      <c r="AB87" s="148" t="str">
        <f t="shared" si="25"/>
        <v xml:space="preserve">84 </v>
      </c>
    </row>
    <row r="88" spans="1:28" x14ac:dyDescent="0.25">
      <c r="A88" s="26">
        <v>85</v>
      </c>
      <c r="B88" s="5">
        <v>85</v>
      </c>
      <c r="C88" s="6"/>
      <c r="D88" s="6"/>
      <c r="E88" s="7"/>
      <c r="F88" s="7"/>
      <c r="G88" s="7"/>
      <c r="H88" s="7"/>
      <c r="I88" s="8"/>
      <c r="J88" s="7"/>
      <c r="K88" s="7"/>
      <c r="L88" s="7"/>
      <c r="M88" s="7"/>
      <c r="O88" s="150">
        <f t="shared" ca="1" si="16"/>
        <v>124</v>
      </c>
      <c r="P88" s="150" t="str">
        <f t="shared" si="17"/>
        <v/>
      </c>
      <c r="Q88" s="151" t="str">
        <f t="shared" si="18"/>
        <v/>
      </c>
      <c r="R88" s="149" t="str">
        <f>"D:\IMS Images\Headshots\VB\"&amp;'Team Info'!$B$12&amp;"\"&amp;D88&amp;"_"&amp;C88&amp;".png"</f>
        <v>D:\IMS Images\Headshots\VB\AKRON\_.png</v>
      </c>
      <c r="S88" s="149" t="str">
        <f>"D:\IMS Images\ActionShots\VB\"&amp;'Team Info'!$B$12&amp;"\"&amp;D88&amp;"_"&amp;C88&amp;".png"</f>
        <v>D:\IMS Images\ActionShots\VB\AKRON\_.png</v>
      </c>
      <c r="T88" s="148" t="str">
        <f t="shared" si="14"/>
        <v xml:space="preserve"> </v>
      </c>
      <c r="U88" s="148" t="str">
        <f t="shared" si="15"/>
        <v xml:space="preserve">. </v>
      </c>
      <c r="V88" s="148" t="str">
        <f t="shared" si="19"/>
        <v/>
      </c>
      <c r="W88" s="148" t="str">
        <f t="shared" si="20"/>
        <v xml:space="preserve"> </v>
      </c>
      <c r="X88" s="148" t="str">
        <f t="shared" si="21"/>
        <v/>
      </c>
      <c r="Y88" s="148" t="str">
        <f t="shared" si="22"/>
        <v/>
      </c>
      <c r="Z88" s="148" t="str">
        <f t="shared" si="23"/>
        <v/>
      </c>
      <c r="AA88" s="148" t="str">
        <f t="shared" si="24"/>
        <v xml:space="preserve">85 </v>
      </c>
      <c r="AB88" s="148" t="str">
        <f t="shared" si="25"/>
        <v xml:space="preserve">85 </v>
      </c>
    </row>
    <row r="89" spans="1:28" x14ac:dyDescent="0.25">
      <c r="A89" s="26">
        <v>86</v>
      </c>
      <c r="B89" s="5">
        <v>86</v>
      </c>
      <c r="C89" s="6"/>
      <c r="D89" s="6"/>
      <c r="E89" s="7"/>
      <c r="F89" s="7"/>
      <c r="G89" s="7"/>
      <c r="H89" s="7"/>
      <c r="I89" s="8"/>
      <c r="J89" s="7"/>
      <c r="K89" s="7"/>
      <c r="L89" s="7"/>
      <c r="M89" s="7"/>
      <c r="O89" s="150">
        <f t="shared" ca="1" si="16"/>
        <v>124</v>
      </c>
      <c r="P89" s="150" t="str">
        <f t="shared" si="17"/>
        <v/>
      </c>
      <c r="Q89" s="151" t="str">
        <f t="shared" si="18"/>
        <v/>
      </c>
      <c r="R89" s="149" t="str">
        <f>"D:\IMS Images\Headshots\VB\"&amp;'Team Info'!$B$12&amp;"\"&amp;D89&amp;"_"&amp;C89&amp;".png"</f>
        <v>D:\IMS Images\Headshots\VB\AKRON\_.png</v>
      </c>
      <c r="S89" s="149" t="str">
        <f>"D:\IMS Images\ActionShots\VB\"&amp;'Team Info'!$B$12&amp;"\"&amp;D89&amp;"_"&amp;C89&amp;".png"</f>
        <v>D:\IMS Images\ActionShots\VB\AKRON\_.png</v>
      </c>
      <c r="T89" s="148" t="str">
        <f t="shared" si="14"/>
        <v xml:space="preserve"> </v>
      </c>
      <c r="U89" s="148" t="str">
        <f t="shared" si="15"/>
        <v xml:space="preserve">. </v>
      </c>
      <c r="V89" s="148" t="str">
        <f t="shared" si="19"/>
        <v/>
      </c>
      <c r="W89" s="148" t="str">
        <f t="shared" si="20"/>
        <v xml:space="preserve"> </v>
      </c>
      <c r="X89" s="148" t="str">
        <f t="shared" si="21"/>
        <v/>
      </c>
      <c r="Y89" s="148" t="str">
        <f t="shared" si="22"/>
        <v/>
      </c>
      <c r="Z89" s="148" t="str">
        <f t="shared" si="23"/>
        <v/>
      </c>
      <c r="AA89" s="148" t="str">
        <f t="shared" si="24"/>
        <v xml:space="preserve">86 </v>
      </c>
      <c r="AB89" s="148" t="str">
        <f t="shared" si="25"/>
        <v xml:space="preserve">86 </v>
      </c>
    </row>
    <row r="90" spans="1:28" x14ac:dyDescent="0.25">
      <c r="A90" s="26">
        <v>87</v>
      </c>
      <c r="B90" s="5">
        <v>87</v>
      </c>
      <c r="C90" s="6"/>
      <c r="D90" s="6"/>
      <c r="E90" s="7"/>
      <c r="F90" s="7"/>
      <c r="G90" s="7"/>
      <c r="H90" s="7"/>
      <c r="I90" s="8"/>
      <c r="J90" s="7"/>
      <c r="K90" s="7"/>
      <c r="L90" s="7"/>
      <c r="M90" s="7"/>
      <c r="O90" s="150">
        <f t="shared" ca="1" si="16"/>
        <v>124</v>
      </c>
      <c r="P90" s="150" t="str">
        <f t="shared" si="17"/>
        <v/>
      </c>
      <c r="Q90" s="151" t="str">
        <f t="shared" si="18"/>
        <v/>
      </c>
      <c r="R90" s="149" t="str">
        <f>"D:\IMS Images\Headshots\VB\"&amp;'Team Info'!$B$12&amp;"\"&amp;D90&amp;"_"&amp;C90&amp;".png"</f>
        <v>D:\IMS Images\Headshots\VB\AKRON\_.png</v>
      </c>
      <c r="S90" s="149" t="str">
        <f>"D:\IMS Images\ActionShots\VB\"&amp;'Team Info'!$B$12&amp;"\"&amp;D90&amp;"_"&amp;C90&amp;".png"</f>
        <v>D:\IMS Images\ActionShots\VB\AKRON\_.png</v>
      </c>
      <c r="T90" s="148" t="str">
        <f t="shared" si="14"/>
        <v xml:space="preserve"> </v>
      </c>
      <c r="U90" s="148" t="str">
        <f t="shared" si="15"/>
        <v xml:space="preserve">. </v>
      </c>
      <c r="V90" s="148" t="str">
        <f t="shared" si="19"/>
        <v/>
      </c>
      <c r="W90" s="148" t="str">
        <f t="shared" si="20"/>
        <v xml:space="preserve"> </v>
      </c>
      <c r="X90" s="148" t="str">
        <f t="shared" si="21"/>
        <v/>
      </c>
      <c r="Y90" s="148" t="str">
        <f t="shared" si="22"/>
        <v/>
      </c>
      <c r="Z90" s="148" t="str">
        <f t="shared" si="23"/>
        <v/>
      </c>
      <c r="AA90" s="148" t="str">
        <f t="shared" si="24"/>
        <v xml:space="preserve">87 </v>
      </c>
      <c r="AB90" s="148" t="str">
        <f t="shared" si="25"/>
        <v xml:space="preserve">87 </v>
      </c>
    </row>
    <row r="91" spans="1:28" x14ac:dyDescent="0.25">
      <c r="A91" s="26">
        <v>88</v>
      </c>
      <c r="B91" s="5">
        <v>88</v>
      </c>
      <c r="C91" s="6"/>
      <c r="D91" s="6"/>
      <c r="E91" s="7"/>
      <c r="F91" s="7"/>
      <c r="G91" s="7"/>
      <c r="H91" s="7"/>
      <c r="I91" s="8"/>
      <c r="J91" s="7"/>
      <c r="K91" s="7"/>
      <c r="L91" s="7"/>
      <c r="M91" s="7"/>
      <c r="O91" s="150">
        <f t="shared" ca="1" si="16"/>
        <v>124</v>
      </c>
      <c r="P91" s="150" t="str">
        <f t="shared" si="17"/>
        <v/>
      </c>
      <c r="Q91" s="151" t="str">
        <f t="shared" si="18"/>
        <v/>
      </c>
      <c r="R91" s="149" t="str">
        <f>"D:\IMS Images\Headshots\VB\"&amp;'Team Info'!$B$12&amp;"\"&amp;D91&amp;"_"&amp;C91&amp;".png"</f>
        <v>D:\IMS Images\Headshots\VB\AKRON\_.png</v>
      </c>
      <c r="S91" s="149" t="str">
        <f>"D:\IMS Images\ActionShots\VB\"&amp;'Team Info'!$B$12&amp;"\"&amp;D91&amp;"_"&amp;C91&amp;".png"</f>
        <v>D:\IMS Images\ActionShots\VB\AKRON\_.png</v>
      </c>
      <c r="T91" s="148" t="str">
        <f t="shared" si="14"/>
        <v xml:space="preserve"> </v>
      </c>
      <c r="U91" s="148" t="str">
        <f t="shared" si="15"/>
        <v xml:space="preserve">. </v>
      </c>
      <c r="V91" s="148" t="str">
        <f t="shared" si="19"/>
        <v/>
      </c>
      <c r="W91" s="148" t="str">
        <f t="shared" si="20"/>
        <v xml:space="preserve"> </v>
      </c>
      <c r="X91" s="148" t="str">
        <f t="shared" si="21"/>
        <v/>
      </c>
      <c r="Y91" s="148" t="str">
        <f t="shared" si="22"/>
        <v/>
      </c>
      <c r="Z91" s="148" t="str">
        <f t="shared" si="23"/>
        <v/>
      </c>
      <c r="AA91" s="148" t="str">
        <f t="shared" si="24"/>
        <v xml:space="preserve">88 </v>
      </c>
      <c r="AB91" s="148" t="str">
        <f t="shared" si="25"/>
        <v xml:space="preserve">88 </v>
      </c>
    </row>
    <row r="92" spans="1:28" x14ac:dyDescent="0.25">
      <c r="A92" s="26">
        <v>89</v>
      </c>
      <c r="B92" s="5">
        <v>89</v>
      </c>
      <c r="C92" s="6"/>
      <c r="D92" s="6"/>
      <c r="E92" s="7"/>
      <c r="F92" s="7"/>
      <c r="G92" s="7"/>
      <c r="H92" s="7"/>
      <c r="I92" s="8"/>
      <c r="J92" s="7"/>
      <c r="K92" s="7"/>
      <c r="L92" s="7"/>
      <c r="M92" s="7"/>
      <c r="O92" s="150">
        <f t="shared" ca="1" si="16"/>
        <v>124</v>
      </c>
      <c r="P92" s="150" t="str">
        <f t="shared" si="17"/>
        <v/>
      </c>
      <c r="Q92" s="151" t="str">
        <f t="shared" si="18"/>
        <v/>
      </c>
      <c r="R92" s="149" t="str">
        <f>"D:\IMS Images\Headshots\VB\"&amp;'Team Info'!$B$12&amp;"\"&amp;D92&amp;"_"&amp;C92&amp;".png"</f>
        <v>D:\IMS Images\Headshots\VB\AKRON\_.png</v>
      </c>
      <c r="S92" s="149" t="str">
        <f>"D:\IMS Images\ActionShots\VB\"&amp;'Team Info'!$B$12&amp;"\"&amp;D92&amp;"_"&amp;C92&amp;".png"</f>
        <v>D:\IMS Images\ActionShots\VB\AKRON\_.png</v>
      </c>
      <c r="T92" s="148" t="str">
        <f t="shared" si="14"/>
        <v xml:space="preserve"> </v>
      </c>
      <c r="U92" s="148" t="str">
        <f t="shared" si="15"/>
        <v xml:space="preserve">. </v>
      </c>
      <c r="V92" s="148" t="str">
        <f t="shared" si="19"/>
        <v/>
      </c>
      <c r="W92" s="148" t="str">
        <f t="shared" si="20"/>
        <v xml:space="preserve"> </v>
      </c>
      <c r="X92" s="148" t="str">
        <f t="shared" si="21"/>
        <v/>
      </c>
      <c r="Y92" s="148" t="str">
        <f t="shared" si="22"/>
        <v/>
      </c>
      <c r="Z92" s="148" t="str">
        <f t="shared" si="23"/>
        <v/>
      </c>
      <c r="AA92" s="148" t="str">
        <f t="shared" si="24"/>
        <v xml:space="preserve">89 </v>
      </c>
      <c r="AB92" s="148" t="str">
        <f t="shared" si="25"/>
        <v xml:space="preserve">89 </v>
      </c>
    </row>
    <row r="93" spans="1:28" x14ac:dyDescent="0.25">
      <c r="A93" s="26">
        <v>90</v>
      </c>
      <c r="B93" s="5">
        <v>0</v>
      </c>
      <c r="C93" s="200" t="str">
        <f>IF(C$104=0,"",C$104)</f>
        <v/>
      </c>
      <c r="D93" s="200" t="str">
        <f t="shared" ref="D93:M93" si="26">IF(D$104=0,"",D$104)</f>
        <v/>
      </c>
      <c r="E93" s="200" t="str">
        <f t="shared" si="26"/>
        <v/>
      </c>
      <c r="F93" s="200" t="str">
        <f t="shared" si="26"/>
        <v/>
      </c>
      <c r="G93" s="200" t="str">
        <f t="shared" si="26"/>
        <v/>
      </c>
      <c r="H93" s="200" t="str">
        <f t="shared" si="26"/>
        <v/>
      </c>
      <c r="I93" s="200" t="str">
        <f t="shared" si="26"/>
        <v/>
      </c>
      <c r="J93" s="200" t="str">
        <f t="shared" si="26"/>
        <v/>
      </c>
      <c r="K93" s="200" t="str">
        <f t="shared" si="26"/>
        <v/>
      </c>
      <c r="L93" s="200" t="str">
        <f t="shared" si="26"/>
        <v/>
      </c>
      <c r="M93" s="200" t="str">
        <f t="shared" si="26"/>
        <v/>
      </c>
      <c r="O93" s="150" t="e">
        <f t="shared" ca="1" si="16"/>
        <v>#VALUE!</v>
      </c>
      <c r="P93" s="150" t="str">
        <f t="shared" si="17"/>
        <v/>
      </c>
      <c r="Q93" s="151" t="str">
        <f t="shared" si="18"/>
        <v/>
      </c>
      <c r="R93" s="149" t="str">
        <f>"D:\IMS Images\Headshots\VB\"&amp;'Team Info'!$B$12&amp;"\"&amp;D93&amp;"_"&amp;C93&amp;".png"</f>
        <v>D:\IMS Images\Headshots\VB\AKRON\_.png</v>
      </c>
      <c r="S93" s="149" t="str">
        <f>"D:\IMS Images\ActionShots\VB\"&amp;'Team Info'!$B$12&amp;"\"&amp;D93&amp;"_"&amp;C93&amp;".png"</f>
        <v>D:\IMS Images\ActionShots\VB\AKRON\_.png</v>
      </c>
      <c r="T93" s="148" t="str">
        <f t="shared" si="14"/>
        <v xml:space="preserve"> </v>
      </c>
      <c r="U93" s="148" t="str">
        <f t="shared" si="15"/>
        <v xml:space="preserve">. </v>
      </c>
      <c r="V93" s="148" t="str">
        <f t="shared" si="19"/>
        <v/>
      </c>
      <c r="W93" s="148" t="str">
        <f t="shared" si="20"/>
        <v xml:space="preserve"> </v>
      </c>
      <c r="X93" s="148" t="str">
        <f t="shared" si="21"/>
        <v/>
      </c>
      <c r="Y93" s="148" t="str">
        <f t="shared" si="22"/>
        <v/>
      </c>
      <c r="Z93" s="148" t="str">
        <f t="shared" si="23"/>
        <v/>
      </c>
      <c r="AA93" s="148" t="str">
        <f t="shared" si="24"/>
        <v xml:space="preserve">0 </v>
      </c>
      <c r="AB93" s="148" t="str">
        <f t="shared" si="25"/>
        <v xml:space="preserve">0 </v>
      </c>
    </row>
    <row r="94" spans="1:28" x14ac:dyDescent="0.25">
      <c r="A94" s="26">
        <v>91</v>
      </c>
      <c r="B94" s="5">
        <v>91</v>
      </c>
      <c r="C94" s="6"/>
      <c r="D94" s="6"/>
      <c r="E94" s="7"/>
      <c r="F94" s="7"/>
      <c r="G94" s="7"/>
      <c r="H94" s="7"/>
      <c r="I94" s="8"/>
      <c r="J94" s="7"/>
      <c r="K94" s="7"/>
      <c r="L94" s="7"/>
      <c r="M94" s="7"/>
      <c r="O94" s="150">
        <f t="shared" ca="1" si="16"/>
        <v>124</v>
      </c>
      <c r="P94" s="150" t="str">
        <f t="shared" si="17"/>
        <v/>
      </c>
      <c r="Q94" s="151" t="str">
        <f t="shared" si="18"/>
        <v/>
      </c>
      <c r="R94" s="149" t="str">
        <f>"D:\IMS Images\Headshots\VB\"&amp;'Team Info'!$B$12&amp;"\"&amp;D94&amp;"_"&amp;C94&amp;".png"</f>
        <v>D:\IMS Images\Headshots\VB\AKRON\_.png</v>
      </c>
      <c r="S94" s="149" t="str">
        <f>"D:\IMS Images\ActionShots\VB\"&amp;'Team Info'!$B$12&amp;"\"&amp;D94&amp;"_"&amp;C94&amp;".png"</f>
        <v>D:\IMS Images\ActionShots\VB\AKRON\_.png</v>
      </c>
      <c r="T94" s="148" t="str">
        <f t="shared" si="14"/>
        <v xml:space="preserve"> </v>
      </c>
      <c r="U94" s="148" t="str">
        <f t="shared" si="15"/>
        <v xml:space="preserve">. </v>
      </c>
      <c r="V94" s="148" t="str">
        <f t="shared" si="19"/>
        <v/>
      </c>
      <c r="W94" s="148" t="str">
        <f t="shared" si="20"/>
        <v xml:space="preserve"> </v>
      </c>
      <c r="X94" s="148" t="str">
        <f t="shared" si="21"/>
        <v/>
      </c>
      <c r="Y94" s="148" t="str">
        <f t="shared" si="22"/>
        <v/>
      </c>
      <c r="Z94" s="148" t="str">
        <f t="shared" si="23"/>
        <v/>
      </c>
      <c r="AA94" s="148" t="str">
        <f t="shared" si="24"/>
        <v xml:space="preserve">91 </v>
      </c>
      <c r="AB94" s="148" t="str">
        <f t="shared" si="25"/>
        <v xml:space="preserve">91 </v>
      </c>
    </row>
    <row r="95" spans="1:28" x14ac:dyDescent="0.25">
      <c r="A95" s="26">
        <v>92</v>
      </c>
      <c r="B95" s="5">
        <v>92</v>
      </c>
      <c r="C95" s="6"/>
      <c r="D95" s="6"/>
      <c r="E95" s="7"/>
      <c r="F95" s="7"/>
      <c r="G95" s="7"/>
      <c r="H95" s="7"/>
      <c r="I95" s="8"/>
      <c r="J95" s="7"/>
      <c r="K95" s="7"/>
      <c r="L95" s="7"/>
      <c r="M95" s="7"/>
      <c r="O95" s="150">
        <f t="shared" ca="1" si="16"/>
        <v>124</v>
      </c>
      <c r="P95" s="150" t="str">
        <f t="shared" si="17"/>
        <v/>
      </c>
      <c r="Q95" s="151" t="str">
        <f t="shared" si="18"/>
        <v/>
      </c>
      <c r="R95" s="149" t="str">
        <f>"D:\IMS Images\Headshots\VB\"&amp;'Team Info'!$B$12&amp;"\"&amp;D95&amp;"_"&amp;C95&amp;".png"</f>
        <v>D:\IMS Images\Headshots\VB\AKRON\_.png</v>
      </c>
      <c r="S95" s="149" t="str">
        <f>"D:\IMS Images\ActionShots\VB\"&amp;'Team Info'!$B$12&amp;"\"&amp;D95&amp;"_"&amp;C95&amp;".png"</f>
        <v>D:\IMS Images\ActionShots\VB\AKRON\_.png</v>
      </c>
      <c r="T95" s="148" t="str">
        <f t="shared" si="14"/>
        <v xml:space="preserve"> </v>
      </c>
      <c r="U95" s="148" t="str">
        <f t="shared" si="15"/>
        <v xml:space="preserve">. </v>
      </c>
      <c r="V95" s="148" t="str">
        <f t="shared" si="19"/>
        <v/>
      </c>
      <c r="W95" s="148" t="str">
        <f t="shared" si="20"/>
        <v xml:space="preserve"> </v>
      </c>
      <c r="X95" s="148" t="str">
        <f t="shared" si="21"/>
        <v/>
      </c>
      <c r="Y95" s="148" t="str">
        <f t="shared" si="22"/>
        <v/>
      </c>
      <c r="Z95" s="148" t="str">
        <f t="shared" si="23"/>
        <v/>
      </c>
      <c r="AA95" s="148" t="str">
        <f t="shared" si="24"/>
        <v xml:space="preserve">92 </v>
      </c>
      <c r="AB95" s="148" t="str">
        <f t="shared" si="25"/>
        <v xml:space="preserve">92 </v>
      </c>
    </row>
    <row r="96" spans="1:28" x14ac:dyDescent="0.25">
      <c r="A96" s="26">
        <v>93</v>
      </c>
      <c r="B96" s="5">
        <v>93</v>
      </c>
      <c r="C96" s="6"/>
      <c r="D96" s="6"/>
      <c r="E96" s="7"/>
      <c r="F96" s="7"/>
      <c r="G96" s="7"/>
      <c r="H96" s="7"/>
      <c r="I96" s="8"/>
      <c r="J96" s="7"/>
      <c r="K96" s="7"/>
      <c r="L96" s="7"/>
      <c r="M96" s="7"/>
      <c r="O96" s="150">
        <f t="shared" ca="1" si="16"/>
        <v>124</v>
      </c>
      <c r="P96" s="150" t="str">
        <f t="shared" si="17"/>
        <v/>
      </c>
      <c r="Q96" s="151" t="str">
        <f t="shared" si="18"/>
        <v/>
      </c>
      <c r="R96" s="149" t="str">
        <f>"D:\IMS Images\Headshots\VB\"&amp;'Team Info'!$B$12&amp;"\"&amp;D96&amp;"_"&amp;C96&amp;".png"</f>
        <v>D:\IMS Images\Headshots\VB\AKRON\_.png</v>
      </c>
      <c r="S96" s="149" t="str">
        <f>"D:\IMS Images\ActionShots\VB\"&amp;'Team Info'!$B$12&amp;"\"&amp;D96&amp;"_"&amp;C96&amp;".png"</f>
        <v>D:\IMS Images\ActionShots\VB\AKRON\_.png</v>
      </c>
      <c r="T96" s="148" t="str">
        <f t="shared" si="14"/>
        <v xml:space="preserve"> </v>
      </c>
      <c r="U96" s="148" t="str">
        <f t="shared" si="15"/>
        <v xml:space="preserve">. </v>
      </c>
      <c r="V96" s="148" t="str">
        <f t="shared" si="19"/>
        <v/>
      </c>
      <c r="W96" s="148" t="str">
        <f t="shared" si="20"/>
        <v xml:space="preserve"> </v>
      </c>
      <c r="X96" s="148" t="str">
        <f t="shared" si="21"/>
        <v/>
      </c>
      <c r="Y96" s="148" t="str">
        <f t="shared" si="22"/>
        <v/>
      </c>
      <c r="Z96" s="148" t="str">
        <f t="shared" si="23"/>
        <v/>
      </c>
      <c r="AA96" s="148" t="str">
        <f t="shared" si="24"/>
        <v xml:space="preserve">93 </v>
      </c>
      <c r="AB96" s="148" t="str">
        <f t="shared" si="25"/>
        <v xml:space="preserve">93 </v>
      </c>
    </row>
    <row r="97" spans="1:28" x14ac:dyDescent="0.25">
      <c r="A97" s="26">
        <v>94</v>
      </c>
      <c r="B97" s="5">
        <v>94</v>
      </c>
      <c r="C97" s="6"/>
      <c r="D97" s="6"/>
      <c r="E97" s="7"/>
      <c r="F97" s="7"/>
      <c r="G97" s="7"/>
      <c r="H97" s="7"/>
      <c r="I97" s="8"/>
      <c r="J97" s="7"/>
      <c r="K97" s="7"/>
      <c r="L97" s="7"/>
      <c r="M97" s="7"/>
      <c r="O97" s="150">
        <f t="shared" ca="1" si="16"/>
        <v>124</v>
      </c>
      <c r="P97" s="150" t="str">
        <f t="shared" si="17"/>
        <v/>
      </c>
      <c r="Q97" s="151" t="str">
        <f t="shared" si="18"/>
        <v/>
      </c>
      <c r="R97" s="149" t="str">
        <f>"D:\IMS Images\Headshots\VB\"&amp;'Team Info'!$B$12&amp;"\"&amp;D97&amp;"_"&amp;C97&amp;".png"</f>
        <v>D:\IMS Images\Headshots\VB\AKRON\_.png</v>
      </c>
      <c r="S97" s="149" t="str">
        <f>"D:\IMS Images\ActionShots\VB\"&amp;'Team Info'!$B$12&amp;"\"&amp;D97&amp;"_"&amp;C97&amp;".png"</f>
        <v>D:\IMS Images\ActionShots\VB\AKRON\_.png</v>
      </c>
      <c r="T97" s="148" t="str">
        <f t="shared" si="14"/>
        <v xml:space="preserve"> </v>
      </c>
      <c r="U97" s="148" t="str">
        <f t="shared" si="15"/>
        <v xml:space="preserve">. </v>
      </c>
      <c r="V97" s="148" t="str">
        <f t="shared" si="19"/>
        <v/>
      </c>
      <c r="W97" s="148" t="str">
        <f t="shared" si="20"/>
        <v xml:space="preserve"> </v>
      </c>
      <c r="X97" s="148" t="str">
        <f t="shared" si="21"/>
        <v/>
      </c>
      <c r="Y97" s="148" t="str">
        <f t="shared" si="22"/>
        <v/>
      </c>
      <c r="Z97" s="148" t="str">
        <f t="shared" si="23"/>
        <v/>
      </c>
      <c r="AA97" s="148" t="str">
        <f t="shared" si="24"/>
        <v xml:space="preserve">94 </v>
      </c>
      <c r="AB97" s="148" t="str">
        <f t="shared" si="25"/>
        <v xml:space="preserve">94 </v>
      </c>
    </row>
    <row r="98" spans="1:28" x14ac:dyDescent="0.25">
      <c r="A98" s="26">
        <v>95</v>
      </c>
      <c r="B98" s="5">
        <v>95</v>
      </c>
      <c r="C98" s="6"/>
      <c r="D98" s="6"/>
      <c r="E98" s="7"/>
      <c r="F98" s="7"/>
      <c r="G98" s="7"/>
      <c r="H98" s="7"/>
      <c r="I98" s="8"/>
      <c r="J98" s="7"/>
      <c r="K98" s="7"/>
      <c r="L98" s="7"/>
      <c r="M98" s="7"/>
      <c r="O98" s="150">
        <f t="shared" ca="1" si="16"/>
        <v>124</v>
      </c>
      <c r="P98" s="150" t="str">
        <f t="shared" si="17"/>
        <v/>
      </c>
      <c r="Q98" s="151" t="str">
        <f t="shared" si="18"/>
        <v/>
      </c>
      <c r="R98" s="149" t="str">
        <f>"D:\IMS Images\Headshots\VB\"&amp;'Team Info'!$B$12&amp;"\"&amp;D98&amp;"_"&amp;C98&amp;".png"</f>
        <v>D:\IMS Images\Headshots\VB\AKRON\_.png</v>
      </c>
      <c r="S98" s="149" t="str">
        <f>"D:\IMS Images\ActionShots\VB\"&amp;'Team Info'!$B$12&amp;"\"&amp;D98&amp;"_"&amp;C98&amp;".png"</f>
        <v>D:\IMS Images\ActionShots\VB\AKRON\_.png</v>
      </c>
      <c r="T98" s="148" t="str">
        <f t="shared" si="14"/>
        <v xml:space="preserve"> </v>
      </c>
      <c r="U98" s="148" t="str">
        <f t="shared" si="15"/>
        <v xml:space="preserve">. </v>
      </c>
      <c r="V98" s="148" t="str">
        <f t="shared" si="19"/>
        <v/>
      </c>
      <c r="W98" s="148" t="str">
        <f t="shared" si="20"/>
        <v xml:space="preserve"> </v>
      </c>
      <c r="X98" s="148" t="str">
        <f t="shared" si="21"/>
        <v/>
      </c>
      <c r="Y98" s="148" t="str">
        <f t="shared" si="22"/>
        <v/>
      </c>
      <c r="Z98" s="148" t="str">
        <f t="shared" si="23"/>
        <v/>
      </c>
      <c r="AA98" s="148" t="str">
        <f t="shared" si="24"/>
        <v xml:space="preserve">95 </v>
      </c>
      <c r="AB98" s="148" t="str">
        <f t="shared" si="25"/>
        <v xml:space="preserve">95 </v>
      </c>
    </row>
    <row r="99" spans="1:28" x14ac:dyDescent="0.25">
      <c r="A99" s="26">
        <v>96</v>
      </c>
      <c r="B99" s="5">
        <v>96</v>
      </c>
      <c r="C99" s="6"/>
      <c r="D99" s="6"/>
      <c r="E99" s="7"/>
      <c r="F99" s="7"/>
      <c r="G99" s="7"/>
      <c r="H99" s="7"/>
      <c r="I99" s="8"/>
      <c r="J99" s="7"/>
      <c r="K99" s="7"/>
      <c r="L99" s="7"/>
      <c r="M99" s="7"/>
      <c r="O99" s="150">
        <f t="shared" ca="1" si="16"/>
        <v>124</v>
      </c>
      <c r="P99" s="150" t="str">
        <f t="shared" si="17"/>
        <v/>
      </c>
      <c r="Q99" s="151" t="str">
        <f t="shared" si="18"/>
        <v/>
      </c>
      <c r="R99" s="149" t="str">
        <f>"D:\IMS Images\Headshots\VB\"&amp;'Team Info'!$B$12&amp;"\"&amp;D99&amp;"_"&amp;C99&amp;".png"</f>
        <v>D:\IMS Images\Headshots\VB\AKRON\_.png</v>
      </c>
      <c r="S99" s="149" t="str">
        <f>"D:\IMS Images\ActionShots\VB\"&amp;'Team Info'!$B$12&amp;"\"&amp;D99&amp;"_"&amp;C99&amp;".png"</f>
        <v>D:\IMS Images\ActionShots\VB\AKRON\_.png</v>
      </c>
      <c r="T99" s="148" t="str">
        <f t="shared" si="14"/>
        <v xml:space="preserve"> </v>
      </c>
      <c r="U99" s="148" t="str">
        <f t="shared" si="15"/>
        <v xml:space="preserve">. </v>
      </c>
      <c r="V99" s="148" t="str">
        <f t="shared" si="19"/>
        <v/>
      </c>
      <c r="W99" s="148" t="str">
        <f t="shared" si="20"/>
        <v xml:space="preserve"> </v>
      </c>
      <c r="X99" s="148" t="str">
        <f t="shared" si="21"/>
        <v/>
      </c>
      <c r="Y99" s="148" t="str">
        <f t="shared" si="22"/>
        <v/>
      </c>
      <c r="Z99" s="148" t="str">
        <f t="shared" si="23"/>
        <v/>
      </c>
      <c r="AA99" s="148" t="str">
        <f t="shared" si="24"/>
        <v xml:space="preserve">96 </v>
      </c>
      <c r="AB99" s="148" t="str">
        <f t="shared" si="25"/>
        <v xml:space="preserve">96 </v>
      </c>
    </row>
    <row r="100" spans="1:28" x14ac:dyDescent="0.25">
      <c r="A100" s="26">
        <v>97</v>
      </c>
      <c r="B100" s="5">
        <v>97</v>
      </c>
      <c r="C100" s="6"/>
      <c r="D100" s="6"/>
      <c r="E100" s="7"/>
      <c r="F100" s="7"/>
      <c r="G100" s="7"/>
      <c r="H100" s="7"/>
      <c r="I100" s="8"/>
      <c r="J100" s="7"/>
      <c r="K100" s="7"/>
      <c r="L100" s="7"/>
      <c r="M100" s="7"/>
      <c r="O100" s="150">
        <f t="shared" ca="1" si="16"/>
        <v>124</v>
      </c>
      <c r="P100" s="150" t="str">
        <f t="shared" si="17"/>
        <v/>
      </c>
      <c r="Q100" s="151" t="str">
        <f t="shared" si="18"/>
        <v/>
      </c>
      <c r="R100" s="149" t="str">
        <f>"D:\IMS Images\Headshots\VB\"&amp;'Team Info'!$B$12&amp;"\"&amp;D100&amp;"_"&amp;C100&amp;".png"</f>
        <v>D:\IMS Images\Headshots\VB\AKRON\_.png</v>
      </c>
      <c r="S100" s="149" t="str">
        <f>"D:\IMS Images\ActionShots\VB\"&amp;'Team Info'!$B$12&amp;"\"&amp;D100&amp;"_"&amp;C100&amp;".png"</f>
        <v>D:\IMS Images\ActionShots\VB\AKRON\_.png</v>
      </c>
      <c r="T100" s="148" t="str">
        <f t="shared" si="14"/>
        <v xml:space="preserve"> </v>
      </c>
      <c r="U100" s="148" t="str">
        <f t="shared" si="15"/>
        <v xml:space="preserve">. </v>
      </c>
      <c r="V100" s="148" t="str">
        <f t="shared" si="19"/>
        <v/>
      </c>
      <c r="W100" s="148" t="str">
        <f t="shared" si="20"/>
        <v xml:space="preserve"> </v>
      </c>
      <c r="X100" s="148" t="str">
        <f t="shared" si="21"/>
        <v/>
      </c>
      <c r="Y100" s="148" t="str">
        <f t="shared" si="22"/>
        <v/>
      </c>
      <c r="Z100" s="148" t="str">
        <f t="shared" si="23"/>
        <v/>
      </c>
      <c r="AA100" s="148" t="str">
        <f t="shared" si="24"/>
        <v xml:space="preserve">97 </v>
      </c>
      <c r="AB100" s="148" t="str">
        <f t="shared" si="25"/>
        <v xml:space="preserve">97 </v>
      </c>
    </row>
    <row r="101" spans="1:28" x14ac:dyDescent="0.25">
      <c r="A101" s="26">
        <v>98</v>
      </c>
      <c r="B101" s="5">
        <v>98</v>
      </c>
      <c r="C101" s="6"/>
      <c r="D101" s="6"/>
      <c r="E101" s="7"/>
      <c r="F101" s="7"/>
      <c r="G101" s="7"/>
      <c r="H101" s="7"/>
      <c r="I101" s="8"/>
      <c r="J101" s="7"/>
      <c r="K101" s="7"/>
      <c r="L101" s="7"/>
      <c r="M101" s="7"/>
      <c r="O101" s="150">
        <f t="shared" ca="1" si="16"/>
        <v>124</v>
      </c>
      <c r="P101" s="150" t="str">
        <f t="shared" si="17"/>
        <v/>
      </c>
      <c r="Q101" s="151" t="str">
        <f t="shared" si="18"/>
        <v/>
      </c>
      <c r="R101" s="149" t="str">
        <f>"D:\IMS Images\Headshots\VB\"&amp;'Team Info'!$B$12&amp;"\"&amp;D101&amp;"_"&amp;C101&amp;".png"</f>
        <v>D:\IMS Images\Headshots\VB\AKRON\_.png</v>
      </c>
      <c r="S101" s="149" t="str">
        <f>"D:\IMS Images\ActionShots\VB\"&amp;'Team Info'!$B$12&amp;"\"&amp;D101&amp;"_"&amp;C101&amp;".png"</f>
        <v>D:\IMS Images\ActionShots\VB\AKRON\_.png</v>
      </c>
      <c r="T101" s="148" t="str">
        <f t="shared" si="14"/>
        <v xml:space="preserve"> </v>
      </c>
      <c r="U101" s="148" t="str">
        <f t="shared" si="15"/>
        <v xml:space="preserve">. </v>
      </c>
      <c r="V101" s="148" t="str">
        <f t="shared" si="19"/>
        <v/>
      </c>
      <c r="W101" s="148" t="str">
        <f t="shared" si="20"/>
        <v xml:space="preserve"> </v>
      </c>
      <c r="X101" s="148" t="str">
        <f t="shared" si="21"/>
        <v/>
      </c>
      <c r="Y101" s="148" t="str">
        <f t="shared" si="22"/>
        <v/>
      </c>
      <c r="Z101" s="148" t="str">
        <f t="shared" si="23"/>
        <v/>
      </c>
      <c r="AA101" s="148" t="str">
        <f t="shared" si="24"/>
        <v xml:space="preserve">98 </v>
      </c>
      <c r="AB101" s="148" t="str">
        <f t="shared" si="25"/>
        <v xml:space="preserve">98 </v>
      </c>
    </row>
    <row r="102" spans="1:28" ht="15.75" thickBot="1" x14ac:dyDescent="0.3">
      <c r="A102" s="26">
        <v>99</v>
      </c>
      <c r="B102" s="191" t="s">
        <v>927</v>
      </c>
      <c r="C102" s="200" t="str">
        <f>IF(C$104=0,"",C$104)</f>
        <v/>
      </c>
      <c r="D102" s="200" t="str">
        <f t="shared" ref="D102:M102" si="27">IF(D$104=0,"",D$104)</f>
        <v/>
      </c>
      <c r="E102" s="200" t="str">
        <f t="shared" si="27"/>
        <v/>
      </c>
      <c r="F102" s="200" t="str">
        <f t="shared" si="27"/>
        <v/>
      </c>
      <c r="G102" s="200" t="str">
        <f t="shared" si="27"/>
        <v/>
      </c>
      <c r="H102" s="200" t="str">
        <f t="shared" si="27"/>
        <v/>
      </c>
      <c r="I102" s="200" t="str">
        <f t="shared" si="27"/>
        <v/>
      </c>
      <c r="J102" s="200" t="str">
        <f t="shared" si="27"/>
        <v/>
      </c>
      <c r="K102" s="200" t="str">
        <f t="shared" si="27"/>
        <v/>
      </c>
      <c r="L102" s="200" t="str">
        <f t="shared" si="27"/>
        <v/>
      </c>
      <c r="M102" s="200" t="str">
        <f t="shared" si="27"/>
        <v/>
      </c>
      <c r="O102" s="150" t="e">
        <f t="shared" ca="1" si="16"/>
        <v>#VALUE!</v>
      </c>
      <c r="P102" s="150" t="str">
        <f t="shared" si="17"/>
        <v/>
      </c>
      <c r="Q102" s="151" t="str">
        <f t="shared" si="18"/>
        <v/>
      </c>
      <c r="R102" s="149" t="str">
        <f>"D:\IMS Images\Headshots\VB\"&amp;'Team Info'!$B$12&amp;"\"&amp;D102&amp;"_"&amp;C102&amp;".png"</f>
        <v>D:\IMS Images\Headshots\VB\AKRON\_.png</v>
      </c>
      <c r="S102" s="149" t="str">
        <f>"D:\IMS Images\ActionShots\VB\"&amp;'Team Info'!$B$12&amp;"\"&amp;D102&amp;"_"&amp;C102&amp;".png"</f>
        <v>D:\IMS Images\ActionShots\VB\AKRON\_.png</v>
      </c>
      <c r="T102" s="148" t="str">
        <f t="shared" si="14"/>
        <v xml:space="preserve"> </v>
      </c>
      <c r="U102" s="148" t="str">
        <f t="shared" si="15"/>
        <v xml:space="preserve">. </v>
      </c>
      <c r="V102" s="148" t="str">
        <f t="shared" si="19"/>
        <v/>
      </c>
      <c r="W102" s="148" t="str">
        <f t="shared" si="20"/>
        <v xml:space="preserve"> </v>
      </c>
      <c r="X102" s="148" t="str">
        <f t="shared" si="21"/>
        <v/>
      </c>
      <c r="Y102" s="148" t="str">
        <f t="shared" si="22"/>
        <v/>
      </c>
      <c r="Z102" s="148" t="str">
        <f t="shared" si="23"/>
        <v/>
      </c>
      <c r="AA102" s="148" t="str">
        <f t="shared" si="24"/>
        <v xml:space="preserve">00 </v>
      </c>
      <c r="AB102" s="148" t="str">
        <f t="shared" si="25"/>
        <v xml:space="preserve">00 </v>
      </c>
    </row>
    <row r="103" spans="1:28" ht="15.75" thickBot="1" x14ac:dyDescent="0.3">
      <c r="A103" s="197" t="s">
        <v>979</v>
      </c>
      <c r="B103" s="198"/>
      <c r="C103" s="198"/>
      <c r="D103" s="198"/>
      <c r="E103" s="198"/>
      <c r="F103" s="198"/>
      <c r="G103" s="198"/>
      <c r="H103" s="198"/>
      <c r="I103" s="198"/>
      <c r="J103" s="198"/>
      <c r="K103" s="198"/>
      <c r="L103" s="198"/>
      <c r="M103" s="199"/>
    </row>
    <row r="104" spans="1:28" x14ac:dyDescent="0.25">
      <c r="A104" s="26"/>
      <c r="B104" s="192">
        <v>0</v>
      </c>
      <c r="C104" s="216"/>
      <c r="D104" s="193"/>
      <c r="E104" s="194"/>
      <c r="F104" s="217"/>
      <c r="G104" s="194"/>
      <c r="H104" s="195"/>
      <c r="I104" s="196"/>
      <c r="J104" s="194"/>
      <c r="K104" s="194"/>
      <c r="L104" s="194"/>
      <c r="M104" s="194"/>
    </row>
  </sheetData>
  <customSheetViews>
    <customSheetView guid="{792F7DB4-F0C7-4F6F-9D44-1CA398E3F0DC}" hiddenColumns="1" topLeftCell="B1">
      <pane ySplit="2" topLeftCell="A87" activePane="bottomLeft" state="frozen"/>
      <selection pane="bottomLeft" activeCell="L17" sqref="L17"/>
      <pageMargins left="0.7" right="0.7" top="0.75" bottom="0.75" header="0.3" footer="0.3"/>
      <pageSetup orientation="portrait" r:id="rId1"/>
    </customSheetView>
    <customSheetView guid="{BE266B8E-38B0-4631-9C30-67CA48A8BD7F}" hiddenColumns="1" topLeftCell="B1">
      <pane ySplit="2" topLeftCell="A4" activePane="bottomLeft" state="frozen"/>
      <selection pane="bottomLeft" activeCell="B4" sqref="A4:XFD102"/>
      <pageMargins left="0.7" right="0.7" top="0.75" bottom="0.75" header="0.3" footer="0.3"/>
      <pageSetup orientation="portrait" r:id="rId2"/>
    </customSheetView>
    <customSheetView guid="{BD1DF852-269B-4C2F-AF89-1FA576EA4603}" hiddenColumns="1">
      <pane ySplit="3" topLeftCell="A4" activePane="bottomLeft" state="frozen"/>
      <selection pane="bottomLeft" activeCell="E10" sqref="E10"/>
      <pageMargins left="0.7" right="0.7" top="0.75" bottom="0.75" header="0.3" footer="0.3"/>
      <pageSetup orientation="portrait" r:id="rId3"/>
    </customSheetView>
    <customSheetView guid="{6A3B2C41-2DBC-4B17-AB58-12C85E3A6B8A}" hiddenColumns="1">
      <pane ySplit="3" topLeftCell="A4" activePane="bottomLeft" state="frozen"/>
      <selection pane="bottomLeft" activeCell="A4" sqref="A4"/>
      <pageMargins left="0.7" right="0.7" top="0.75" bottom="0.75" header="0.3" footer="0.3"/>
      <pageSetup orientation="portrait" r:id="rId4"/>
    </customSheetView>
    <customSheetView guid="{9DC468DE-D883-45B4-B188-265B9DA68425}">
      <pane ySplit="2" topLeftCell="A3" activePane="bottomLeft" state="frozen"/>
      <selection pane="bottomLeft" activeCell="F9" sqref="F9"/>
      <pageMargins left="0.7" right="0.7" top="0.75" bottom="0.75" header="0.3" footer="0.3"/>
      <pageSetup orientation="portrait" r:id="rId5"/>
    </customSheetView>
    <customSheetView guid="{6960175A-17E1-4BDD-98F7-6E9A590B8B7F}">
      <pane ySplit="2" topLeftCell="A77" activePane="bottomLeft" state="frozen"/>
      <selection pane="bottomLeft" activeCell="C81" sqref="C81"/>
      <pageMargins left="0.7" right="0.7" top="0.75" bottom="0.75" header="0.3" footer="0.3"/>
      <pageSetup orientation="portrait" r:id="rId6"/>
    </customSheetView>
    <customSheetView guid="{DB365F32-166D-4348-BCE9-F0F1DB0B73A9}">
      <pane ySplit="2" topLeftCell="A83" activePane="bottomLeft" state="frozen"/>
      <selection pane="bottomLeft" activeCell="C81" sqref="C81"/>
      <pageMargins left="0.7" right="0.7" top="0.75" bottom="0.75" header="0.3" footer="0.3"/>
      <pageSetup orientation="portrait" r:id="rId7"/>
    </customSheetView>
    <customSheetView guid="{6EDF2E63-E51E-449A-B1C5-EFB1FD6A259C}">
      <pane ySplit="2" topLeftCell="A3" activePane="bottomLeft" state="frozen"/>
      <selection pane="bottomLeft" activeCell="K117" sqref="A3:K117"/>
      <pageMargins left="0.7" right="0.7" top="0.75" bottom="0.75" header="0.3" footer="0.3"/>
      <pageSetup orientation="portrait" r:id="rId8"/>
    </customSheetView>
    <customSheetView guid="{46B088B4-7F51-4D35-9F00-2268626FA819}" hiddenRows="1" hiddenColumns="1">
      <pane ySplit="2" topLeftCell="A3" activePane="bottomLeft" state="frozen"/>
      <selection pane="bottomLeft" activeCell="E2" sqref="E2"/>
      <pageMargins left="0.7" right="0.7" top="0.75" bottom="0.75" header="0.3" footer="0.3"/>
      <pageSetup orientation="portrait" r:id="rId9"/>
    </customSheetView>
    <customSheetView guid="{42F19D52-E208-414F-9E2E-506DF902926F}" hiddenColumns="1">
      <pane ySplit="3" topLeftCell="A4" activePane="bottomLeft" state="frozen"/>
      <selection pane="bottomLeft" activeCell="A4" sqref="A4"/>
      <pageMargins left="0.7" right="0.7" top="0.75" bottom="0.75" header="0.3" footer="0.3"/>
      <pageSetup orientation="portrait" r:id="rId10"/>
    </customSheetView>
    <customSheetView guid="{AC8CA20A-2130-4ED2-A745-85677B08F97C}" hiddenColumns="1">
      <pane ySplit="3" topLeftCell="A4" activePane="bottomLeft" state="frozen"/>
      <selection pane="bottomLeft" activeCell="E10" sqref="E10"/>
      <pageMargins left="0.7" right="0.7" top="0.75" bottom="0.75" header="0.3" footer="0.3"/>
      <pageSetup orientation="portrait" r:id="rId11"/>
    </customSheetView>
    <customSheetView guid="{2F318324-B2A5-4EFB-BB30-8D1AF11C1A9F}" hiddenColumns="1" topLeftCell="B1">
      <pane ySplit="2" topLeftCell="A3" activePane="bottomLeft" state="frozen"/>
      <selection pane="bottomLeft" activeCell="F29" sqref="F29"/>
      <pageMargins left="0.7" right="0.7" top="0.75" bottom="0.75" header="0.3" footer="0.3"/>
      <pageSetup orientation="portrait" r:id="rId12"/>
    </customSheetView>
  </customSheetViews>
  <dataValidations count="1">
    <dataValidation type="list" allowBlank="1" showInputMessage="1" showErrorMessage="1" sqref="K3" xr:uid="{00000000-0002-0000-0200-000000000000}">
      <formula1>$N$8:$N$9</formula1>
    </dataValidation>
  </dataValidations>
  <pageMargins left="0.7" right="0.7" top="0.75" bottom="0.75" header="0.3" footer="0.3"/>
  <pageSetup orientation="portrait" r:id="rId1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104"/>
  <sheetViews>
    <sheetView view="pageBreakPreview" zoomScaleNormal="100" zoomScaleSheetLayoutView="100" workbookViewId="0">
      <pane ySplit="1" topLeftCell="A2" activePane="bottomLeft" state="frozen"/>
      <selection pane="bottomLeft" activeCell="AK5" sqref="AK5"/>
    </sheetView>
  </sheetViews>
  <sheetFormatPr defaultRowHeight="15" x14ac:dyDescent="0.25"/>
  <cols>
    <col min="2" max="2" width="17.5703125" bestFit="1" customWidth="1"/>
    <col min="3" max="3" width="35.7109375" style="29" customWidth="1"/>
    <col min="4" max="4" width="10.7109375" customWidth="1"/>
    <col min="5" max="5" width="5.7109375" customWidth="1"/>
    <col min="6" max="6" width="10.7109375" customWidth="1"/>
    <col min="7" max="7" width="5.7109375" customWidth="1"/>
    <col min="8" max="8" width="10.7109375" customWidth="1"/>
    <col min="9" max="9" width="5.7109375" customWidth="1"/>
    <col min="10" max="10" width="25.7109375" style="29" customWidth="1"/>
    <col min="11" max="11" width="3.7109375" customWidth="1"/>
    <col min="12" max="12" width="10.7109375" hidden="1" customWidth="1"/>
    <col min="13" max="22" width="9.140625" hidden="1" customWidth="1"/>
    <col min="23" max="23" width="15.42578125" bestFit="1" customWidth="1"/>
    <col min="24" max="24" width="12.7109375" customWidth="1"/>
    <col min="25" max="26" width="20.7109375" hidden="1" customWidth="1"/>
    <col min="27" max="36" width="9.140625" hidden="1" customWidth="1"/>
    <col min="37" max="37" width="9.140625" customWidth="1"/>
  </cols>
  <sheetData>
    <row r="1" spans="1:36" ht="16.5" thickBot="1" x14ac:dyDescent="0.3">
      <c r="A1" s="77" t="s">
        <v>43</v>
      </c>
      <c r="B1" s="78" t="s">
        <v>828</v>
      </c>
      <c r="C1" s="78" t="s">
        <v>846</v>
      </c>
      <c r="D1" s="79" t="s">
        <v>855</v>
      </c>
      <c r="E1" s="79" t="s">
        <v>856</v>
      </c>
      <c r="F1" s="79" t="s">
        <v>857</v>
      </c>
      <c r="G1" s="79" t="s">
        <v>858</v>
      </c>
      <c r="H1" s="79" t="s">
        <v>859</v>
      </c>
      <c r="I1" s="79" t="s">
        <v>860</v>
      </c>
      <c r="J1" s="48" t="s">
        <v>861</v>
      </c>
      <c r="K1" s="44"/>
      <c r="L1" s="67" t="s">
        <v>862</v>
      </c>
      <c r="M1" s="65" t="s">
        <v>863</v>
      </c>
      <c r="N1" s="65" t="s">
        <v>864</v>
      </c>
      <c r="O1" s="65" t="s">
        <v>865</v>
      </c>
      <c r="P1" s="65" t="s">
        <v>866</v>
      </c>
      <c r="Q1" s="65" t="s">
        <v>867</v>
      </c>
      <c r="R1" s="65" t="s">
        <v>868</v>
      </c>
      <c r="S1" s="65" t="s">
        <v>869</v>
      </c>
      <c r="T1" s="65" t="s">
        <v>870</v>
      </c>
      <c r="U1" s="65" t="s">
        <v>871</v>
      </c>
      <c r="W1" s="90" t="s">
        <v>898</v>
      </c>
      <c r="X1" s="91" t="s">
        <v>899</v>
      </c>
      <c r="Y1" s="89" t="s">
        <v>872</v>
      </c>
      <c r="Z1" s="62" t="s">
        <v>873</v>
      </c>
      <c r="AB1" s="62" t="s">
        <v>847</v>
      </c>
      <c r="AC1" s="62" t="s">
        <v>874</v>
      </c>
      <c r="AD1" s="62" t="s">
        <v>848</v>
      </c>
      <c r="AE1" s="62" t="s">
        <v>849</v>
      </c>
      <c r="AF1" s="62" t="s">
        <v>850</v>
      </c>
      <c r="AG1" s="62" t="s">
        <v>851</v>
      </c>
      <c r="AH1" s="62" t="s">
        <v>852</v>
      </c>
      <c r="AI1" s="62" t="s">
        <v>853</v>
      </c>
      <c r="AJ1" s="62" t="s">
        <v>854</v>
      </c>
    </row>
    <row r="2" spans="1:36" x14ac:dyDescent="0.25">
      <c r="A2" s="72">
        <f>Roster!$A4</f>
        <v>1</v>
      </c>
      <c r="B2" s="72">
        <f>Roster!B4</f>
        <v>1</v>
      </c>
      <c r="C2" s="73" t="str">
        <f>Roster!$T4</f>
        <v>Grace Penn</v>
      </c>
      <c r="D2" s="74" t="s">
        <v>983</v>
      </c>
      <c r="E2" s="75" t="s">
        <v>875</v>
      </c>
      <c r="F2" s="74" t="s">
        <v>1020</v>
      </c>
      <c r="G2" s="75" t="s">
        <v>875</v>
      </c>
      <c r="H2" s="74" t="s">
        <v>1020</v>
      </c>
      <c r="I2" s="75" t="s">
        <v>875</v>
      </c>
      <c r="J2" s="76" t="s">
        <v>952</v>
      </c>
      <c r="K2" s="64"/>
      <c r="L2" s="66" t="e">
        <f>#REF!</f>
        <v>#REF!</v>
      </c>
      <c r="M2" s="66" t="e">
        <f>#REF!</f>
        <v>#REF!</v>
      </c>
      <c r="N2" s="66" t="e">
        <f>#REF!</f>
        <v>#REF!</v>
      </c>
      <c r="O2" s="66" t="e">
        <f>#REF!</f>
        <v>#REF!</v>
      </c>
      <c r="P2" s="66" t="e">
        <f>#REF!</f>
        <v>#REF!</v>
      </c>
      <c r="Q2" s="66" t="e">
        <f>#REF!</f>
        <v>#REF!</v>
      </c>
      <c r="R2" s="66" t="e">
        <f>#REF!</f>
        <v>#REF!</v>
      </c>
      <c r="S2" s="66" t="e">
        <f>#REF!</f>
        <v>#REF!</v>
      </c>
      <c r="T2" s="66" t="e">
        <f>#REF!</f>
        <v>#REF!</v>
      </c>
      <c r="U2" s="66" t="s">
        <v>58</v>
      </c>
      <c r="W2" s="87" t="s">
        <v>1236</v>
      </c>
      <c r="X2" s="87" t="s">
        <v>877</v>
      </c>
      <c r="Y2" s="69" t="e">
        <f>'Team Info'!$B$19&amp;": "&amp;O2&amp;""</f>
        <v>#REF!</v>
      </c>
      <c r="Z2" s="69" t="e">
        <f>'Team Info'!$B$19&amp;": "&amp;N2&amp;""</f>
        <v>#REF!</v>
      </c>
      <c r="AB2" s="68" t="e">
        <f>L2&amp;" PPG"</f>
        <v>#REF!</v>
      </c>
      <c r="AC2" s="68" t="e">
        <f>M2&amp;" FG"</f>
        <v>#REF!</v>
      </c>
      <c r="AD2" s="68" t="e">
        <f>N2&amp;" 3-PT"</f>
        <v>#REF!</v>
      </c>
      <c r="AE2" s="68" t="e">
        <f>O2&amp;" FT"</f>
        <v>#REF!</v>
      </c>
      <c r="AF2" s="68" t="e">
        <f>P2&amp;" RPG"</f>
        <v>#REF!</v>
      </c>
      <c r="AG2" s="68" t="e">
        <f>Q2&amp;" APG"</f>
        <v>#REF!</v>
      </c>
      <c r="AH2" s="68" t="e">
        <f>R2&amp;" BPG"</f>
        <v>#REF!</v>
      </c>
      <c r="AI2" s="68" t="e">
        <f>S2&amp;" SPG"</f>
        <v>#REF!</v>
      </c>
      <c r="AJ2" s="68" t="e">
        <f>T2&amp;" MPG"</f>
        <v>#REF!</v>
      </c>
    </row>
    <row r="3" spans="1:36" x14ac:dyDescent="0.25">
      <c r="A3" s="30">
        <v>2</v>
      </c>
      <c r="B3" s="30">
        <v>2</v>
      </c>
      <c r="C3" s="63" t="str">
        <f>Roster!$T5</f>
        <v>Silvia Ianeselli</v>
      </c>
      <c r="D3" s="10" t="s">
        <v>983</v>
      </c>
      <c r="E3" s="70"/>
      <c r="F3" s="10" t="s">
        <v>1020</v>
      </c>
      <c r="G3" s="70"/>
      <c r="H3" s="10" t="s">
        <v>1020</v>
      </c>
      <c r="I3" s="70"/>
      <c r="J3" s="71" t="s">
        <v>876</v>
      </c>
      <c r="K3" s="64"/>
      <c r="L3" s="66" t="e">
        <f>#REF!</f>
        <v>#REF!</v>
      </c>
      <c r="M3" s="66" t="e">
        <f>#REF!</f>
        <v>#REF!</v>
      </c>
      <c r="N3" s="66" t="e">
        <f>#REF!</f>
        <v>#REF!</v>
      </c>
      <c r="O3" s="66" t="e">
        <f>#REF!</f>
        <v>#REF!</v>
      </c>
      <c r="P3" s="66" t="e">
        <f>#REF!</f>
        <v>#REF!</v>
      </c>
      <c r="Q3" s="66" t="e">
        <f>#REF!</f>
        <v>#REF!</v>
      </c>
      <c r="R3" s="66" t="e">
        <f>#REF!</f>
        <v>#REF!</v>
      </c>
      <c r="S3" s="66" t="e">
        <f>#REF!</f>
        <v>#REF!</v>
      </c>
      <c r="T3" s="66" t="e">
        <f>#REF!</f>
        <v>#REF!</v>
      </c>
      <c r="U3" s="66" t="e">
        <f>#REF!</f>
        <v>#REF!</v>
      </c>
      <c r="W3" s="87" t="s">
        <v>1236</v>
      </c>
      <c r="X3" s="88" t="s">
        <v>896</v>
      </c>
      <c r="Y3" s="69" t="e">
        <f>'Team Info'!$B$19&amp;": "&amp;O3&amp;""</f>
        <v>#REF!</v>
      </c>
      <c r="Z3" s="69" t="e">
        <f>'Team Info'!$B$19&amp;": "&amp;N3&amp;""</f>
        <v>#REF!</v>
      </c>
      <c r="AB3" s="68" t="e">
        <f t="shared" ref="AB3:AB66" si="0">L3&amp;" PPG"</f>
        <v>#REF!</v>
      </c>
      <c r="AC3" s="68" t="e">
        <f t="shared" ref="AC3:AC66" si="1">M3&amp;" FG"</f>
        <v>#REF!</v>
      </c>
      <c r="AD3" s="68" t="e">
        <f t="shared" ref="AD3:AD66" si="2">N3&amp;" 3-PT"</f>
        <v>#REF!</v>
      </c>
      <c r="AE3" s="68" t="e">
        <f t="shared" ref="AE3:AE66" si="3">O3&amp;" FT"</f>
        <v>#REF!</v>
      </c>
      <c r="AF3" s="68" t="e">
        <f t="shared" ref="AF3:AF66" si="4">P3&amp;" RPG"</f>
        <v>#REF!</v>
      </c>
      <c r="AG3" s="68" t="e">
        <f t="shared" ref="AG3:AG66" si="5">Q3&amp;" APG"</f>
        <v>#REF!</v>
      </c>
      <c r="AH3" s="68" t="e">
        <f t="shared" ref="AH3:AH66" si="6">R3&amp;" BPG"</f>
        <v>#REF!</v>
      </c>
      <c r="AI3" s="68" t="e">
        <f t="shared" ref="AI3:AI66" si="7">S3&amp;" SPG"</f>
        <v>#REF!</v>
      </c>
      <c r="AJ3" s="68" t="e">
        <f t="shared" ref="AJ3:AJ66" si="8">T3&amp;" MPG"</f>
        <v>#REF!</v>
      </c>
    </row>
    <row r="4" spans="1:36" x14ac:dyDescent="0.25">
      <c r="A4" s="30">
        <v>3</v>
      </c>
      <c r="B4" s="30">
        <v>3</v>
      </c>
      <c r="C4" s="63" t="str">
        <f>Roster!$T6</f>
        <v xml:space="preserve"> </v>
      </c>
      <c r="D4" s="10"/>
      <c r="E4" s="70"/>
      <c r="F4" s="10"/>
      <c r="G4" s="70"/>
      <c r="H4" s="10"/>
      <c r="I4" s="70"/>
      <c r="J4" s="71"/>
      <c r="K4" s="64"/>
      <c r="L4" s="66" t="e">
        <f>#REF!</f>
        <v>#REF!</v>
      </c>
      <c r="M4" s="66" t="e">
        <f>#REF!</f>
        <v>#REF!</v>
      </c>
      <c r="N4" s="66" t="e">
        <f>#REF!</f>
        <v>#REF!</v>
      </c>
      <c r="O4" s="66" t="e">
        <f>#REF!</f>
        <v>#REF!</v>
      </c>
      <c r="P4" s="66" t="e">
        <f>#REF!</f>
        <v>#REF!</v>
      </c>
      <c r="Q4" s="66" t="e">
        <f>#REF!</f>
        <v>#REF!</v>
      </c>
      <c r="R4" s="66" t="e">
        <f>#REF!</f>
        <v>#REF!</v>
      </c>
      <c r="S4" s="66" t="e">
        <f>#REF!</f>
        <v>#REF!</v>
      </c>
      <c r="T4" s="66" t="e">
        <f>#REF!</f>
        <v>#REF!</v>
      </c>
      <c r="U4" s="66" t="e">
        <f>#REF!</f>
        <v>#REF!</v>
      </c>
      <c r="W4" s="88"/>
      <c r="X4" s="88"/>
      <c r="Y4" s="69" t="e">
        <f>'Team Info'!$B$19&amp;": "&amp;O4&amp;""</f>
        <v>#REF!</v>
      </c>
      <c r="Z4" s="69" t="e">
        <f>'Team Info'!$B$19&amp;": "&amp;N4&amp;""</f>
        <v>#REF!</v>
      </c>
      <c r="AB4" s="68" t="e">
        <f t="shared" si="0"/>
        <v>#REF!</v>
      </c>
      <c r="AC4" s="68" t="e">
        <f t="shared" si="1"/>
        <v>#REF!</v>
      </c>
      <c r="AD4" s="68" t="e">
        <f t="shared" si="2"/>
        <v>#REF!</v>
      </c>
      <c r="AE4" s="68" t="e">
        <f t="shared" si="3"/>
        <v>#REF!</v>
      </c>
      <c r="AF4" s="68" t="e">
        <f t="shared" si="4"/>
        <v>#REF!</v>
      </c>
      <c r="AG4" s="68" t="e">
        <f t="shared" si="5"/>
        <v>#REF!</v>
      </c>
      <c r="AH4" s="68" t="e">
        <f t="shared" si="6"/>
        <v>#REF!</v>
      </c>
      <c r="AI4" s="68" t="e">
        <f t="shared" si="7"/>
        <v>#REF!</v>
      </c>
      <c r="AJ4" s="68" t="e">
        <f t="shared" si="8"/>
        <v>#REF!</v>
      </c>
    </row>
    <row r="5" spans="1:36" x14ac:dyDescent="0.25">
      <c r="A5" s="30">
        <v>4</v>
      </c>
      <c r="B5" s="30">
        <v>4</v>
      </c>
      <c r="C5" s="63" t="str">
        <f>Roster!$T7</f>
        <v>Anna Murphy</v>
      </c>
      <c r="D5" s="10"/>
      <c r="E5" s="70"/>
      <c r="F5" s="10"/>
      <c r="G5" s="70"/>
      <c r="H5" s="10"/>
      <c r="I5" s="70"/>
      <c r="J5" s="71"/>
      <c r="K5" s="64"/>
      <c r="L5" s="66" t="e">
        <f>#REF!</f>
        <v>#REF!</v>
      </c>
      <c r="M5" s="66" t="e">
        <f>#REF!</f>
        <v>#REF!</v>
      </c>
      <c r="N5" s="66" t="e">
        <f>#REF!</f>
        <v>#REF!</v>
      </c>
      <c r="O5" s="66" t="e">
        <f>#REF!</f>
        <v>#REF!</v>
      </c>
      <c r="P5" s="66" t="e">
        <f>#REF!</f>
        <v>#REF!</v>
      </c>
      <c r="Q5" s="66" t="e">
        <f>#REF!</f>
        <v>#REF!</v>
      </c>
      <c r="R5" s="66" t="e">
        <f>#REF!</f>
        <v>#REF!</v>
      </c>
      <c r="S5" s="66" t="e">
        <f>#REF!</f>
        <v>#REF!</v>
      </c>
      <c r="T5" s="66" t="e">
        <f>#REF!</f>
        <v>#REF!</v>
      </c>
      <c r="U5" s="66" t="e">
        <f>#REF!</f>
        <v>#REF!</v>
      </c>
      <c r="W5" s="88"/>
      <c r="X5" s="88"/>
      <c r="Y5" s="69" t="e">
        <f>'Team Info'!$B$19&amp;": "&amp;O5&amp;""</f>
        <v>#REF!</v>
      </c>
      <c r="Z5" s="69" t="e">
        <f>'Team Info'!$B$19&amp;": "&amp;N5&amp;""</f>
        <v>#REF!</v>
      </c>
      <c r="AB5" s="68" t="e">
        <f t="shared" si="0"/>
        <v>#REF!</v>
      </c>
      <c r="AC5" s="68" t="e">
        <f t="shared" si="1"/>
        <v>#REF!</v>
      </c>
      <c r="AD5" s="68" t="e">
        <f t="shared" si="2"/>
        <v>#REF!</v>
      </c>
      <c r="AE5" s="68" t="e">
        <f t="shared" si="3"/>
        <v>#REF!</v>
      </c>
      <c r="AF5" s="68" t="e">
        <f t="shared" si="4"/>
        <v>#REF!</v>
      </c>
      <c r="AG5" s="68" t="e">
        <f t="shared" si="5"/>
        <v>#REF!</v>
      </c>
      <c r="AH5" s="68" t="e">
        <f t="shared" si="6"/>
        <v>#REF!</v>
      </c>
      <c r="AI5" s="68" t="e">
        <f t="shared" si="7"/>
        <v>#REF!</v>
      </c>
      <c r="AJ5" s="68" t="e">
        <f t="shared" si="8"/>
        <v>#REF!</v>
      </c>
    </row>
    <row r="6" spans="1:36" x14ac:dyDescent="0.25">
      <c r="A6" s="30">
        <v>5</v>
      </c>
      <c r="B6" s="30">
        <v>5</v>
      </c>
      <c r="C6" s="63" t="str">
        <f>Roster!$T8</f>
        <v>Sophia Lambros</v>
      </c>
      <c r="D6" s="10"/>
      <c r="E6" s="70"/>
      <c r="F6" s="10"/>
      <c r="G6" s="70"/>
      <c r="H6" s="10"/>
      <c r="I6" s="70"/>
      <c r="J6" s="71"/>
      <c r="K6" s="64"/>
      <c r="L6" s="66" t="e">
        <f>#REF!</f>
        <v>#REF!</v>
      </c>
      <c r="M6" s="66" t="e">
        <f>#REF!</f>
        <v>#REF!</v>
      </c>
      <c r="N6" s="66" t="e">
        <f>#REF!</f>
        <v>#REF!</v>
      </c>
      <c r="O6" s="66" t="e">
        <f>#REF!</f>
        <v>#REF!</v>
      </c>
      <c r="P6" s="66" t="e">
        <f>#REF!</f>
        <v>#REF!</v>
      </c>
      <c r="Q6" s="66" t="e">
        <f>#REF!</f>
        <v>#REF!</v>
      </c>
      <c r="R6" s="66" t="e">
        <f>#REF!</f>
        <v>#REF!</v>
      </c>
      <c r="S6" s="66" t="e">
        <f>#REF!</f>
        <v>#REF!</v>
      </c>
      <c r="T6" s="66" t="e">
        <f>#REF!</f>
        <v>#REF!</v>
      </c>
      <c r="U6" s="66" t="e">
        <f>#REF!</f>
        <v>#REF!</v>
      </c>
      <c r="W6" s="88"/>
      <c r="X6" s="88"/>
      <c r="Y6" s="69" t="e">
        <f>'Team Info'!$B$19&amp;": "&amp;O6&amp;""</f>
        <v>#REF!</v>
      </c>
      <c r="Z6" s="69" t="e">
        <f>'Team Info'!$B$19&amp;": "&amp;N6&amp;""</f>
        <v>#REF!</v>
      </c>
      <c r="AB6" s="68" t="e">
        <f t="shared" si="0"/>
        <v>#REF!</v>
      </c>
      <c r="AC6" s="68" t="e">
        <f t="shared" si="1"/>
        <v>#REF!</v>
      </c>
      <c r="AD6" s="68" t="e">
        <f t="shared" si="2"/>
        <v>#REF!</v>
      </c>
      <c r="AE6" s="68" t="e">
        <f t="shared" si="3"/>
        <v>#REF!</v>
      </c>
      <c r="AF6" s="68" t="e">
        <f t="shared" si="4"/>
        <v>#REF!</v>
      </c>
      <c r="AG6" s="68" t="e">
        <f t="shared" si="5"/>
        <v>#REF!</v>
      </c>
      <c r="AH6" s="68" t="e">
        <f t="shared" si="6"/>
        <v>#REF!</v>
      </c>
      <c r="AI6" s="68" t="e">
        <f t="shared" si="7"/>
        <v>#REF!</v>
      </c>
      <c r="AJ6" s="68" t="e">
        <f t="shared" si="8"/>
        <v>#REF!</v>
      </c>
    </row>
    <row r="7" spans="1:36" x14ac:dyDescent="0.25">
      <c r="A7" s="30">
        <v>6</v>
      </c>
      <c r="B7" s="30">
        <v>6</v>
      </c>
      <c r="C7" s="63" t="str">
        <f>Roster!$T9</f>
        <v>Jenna Pollock</v>
      </c>
      <c r="D7" s="10"/>
      <c r="E7" s="70"/>
      <c r="F7" s="10"/>
      <c r="G7" s="70"/>
      <c r="H7" s="10"/>
      <c r="I7" s="70"/>
      <c r="J7" s="71"/>
      <c r="K7" s="64"/>
      <c r="L7" s="66" t="e">
        <f>#REF!</f>
        <v>#REF!</v>
      </c>
      <c r="M7" s="66" t="e">
        <f>#REF!</f>
        <v>#REF!</v>
      </c>
      <c r="N7" s="66" t="e">
        <f>#REF!</f>
        <v>#REF!</v>
      </c>
      <c r="O7" s="66" t="e">
        <f>#REF!</f>
        <v>#REF!</v>
      </c>
      <c r="P7" s="66" t="e">
        <f>#REF!</f>
        <v>#REF!</v>
      </c>
      <c r="Q7" s="66" t="e">
        <f>#REF!</f>
        <v>#REF!</v>
      </c>
      <c r="R7" s="66" t="e">
        <f>#REF!</f>
        <v>#REF!</v>
      </c>
      <c r="S7" s="66" t="e">
        <f>#REF!</f>
        <v>#REF!</v>
      </c>
      <c r="T7" s="66" t="e">
        <f>#REF!</f>
        <v>#REF!</v>
      </c>
      <c r="U7" s="66" t="e">
        <f>#REF!</f>
        <v>#REF!</v>
      </c>
      <c r="W7" s="88"/>
      <c r="X7" s="88"/>
      <c r="Y7" s="69" t="e">
        <f>'Team Info'!$B$19&amp;": "&amp;O7&amp;""</f>
        <v>#REF!</v>
      </c>
      <c r="Z7" s="69" t="e">
        <f>'Team Info'!$B$19&amp;": "&amp;N7&amp;""</f>
        <v>#REF!</v>
      </c>
      <c r="AB7" s="68" t="e">
        <f t="shared" si="0"/>
        <v>#REF!</v>
      </c>
      <c r="AC7" s="68" t="e">
        <f t="shared" si="1"/>
        <v>#REF!</v>
      </c>
      <c r="AD7" s="68" t="e">
        <f t="shared" si="2"/>
        <v>#REF!</v>
      </c>
      <c r="AE7" s="68" t="e">
        <f t="shared" si="3"/>
        <v>#REF!</v>
      </c>
      <c r="AF7" s="68" t="e">
        <f t="shared" si="4"/>
        <v>#REF!</v>
      </c>
      <c r="AG7" s="68" t="e">
        <f t="shared" si="5"/>
        <v>#REF!</v>
      </c>
      <c r="AH7" s="68" t="e">
        <f t="shared" si="6"/>
        <v>#REF!</v>
      </c>
      <c r="AI7" s="68" t="e">
        <f t="shared" si="7"/>
        <v>#REF!</v>
      </c>
      <c r="AJ7" s="68" t="e">
        <f t="shared" si="8"/>
        <v>#REF!</v>
      </c>
    </row>
    <row r="8" spans="1:36" x14ac:dyDescent="0.25">
      <c r="A8" s="30">
        <v>7</v>
      </c>
      <c r="B8" s="30">
        <v>7</v>
      </c>
      <c r="C8" s="63" t="str">
        <f>Roster!$T10</f>
        <v xml:space="preserve"> </v>
      </c>
      <c r="D8" s="10"/>
      <c r="E8" s="70"/>
      <c r="F8" s="10"/>
      <c r="G8" s="70"/>
      <c r="H8" s="10"/>
      <c r="I8" s="70"/>
      <c r="J8" s="71"/>
      <c r="K8" s="64"/>
      <c r="L8" s="66" t="e">
        <f>#REF!</f>
        <v>#REF!</v>
      </c>
      <c r="M8" s="66" t="e">
        <f>#REF!</f>
        <v>#REF!</v>
      </c>
      <c r="N8" s="66" t="e">
        <f>#REF!</f>
        <v>#REF!</v>
      </c>
      <c r="O8" s="66" t="e">
        <f>#REF!</f>
        <v>#REF!</v>
      </c>
      <c r="P8" s="66" t="e">
        <f>#REF!</f>
        <v>#REF!</v>
      </c>
      <c r="Q8" s="66" t="e">
        <f>#REF!</f>
        <v>#REF!</v>
      </c>
      <c r="R8" s="66" t="e">
        <f>#REF!</f>
        <v>#REF!</v>
      </c>
      <c r="S8" s="66" t="e">
        <f>#REF!</f>
        <v>#REF!</v>
      </c>
      <c r="T8" s="66" t="e">
        <f>#REF!</f>
        <v>#REF!</v>
      </c>
      <c r="U8" s="66" t="e">
        <f>#REF!</f>
        <v>#REF!</v>
      </c>
      <c r="W8" s="88"/>
      <c r="X8" s="88"/>
      <c r="Y8" s="69" t="e">
        <f>'Team Info'!$B$19&amp;": "&amp;O8&amp;""</f>
        <v>#REF!</v>
      </c>
      <c r="Z8" s="69" t="e">
        <f>'Team Info'!$B$19&amp;": "&amp;N8&amp;""</f>
        <v>#REF!</v>
      </c>
      <c r="AB8" s="68" t="e">
        <f t="shared" si="0"/>
        <v>#REF!</v>
      </c>
      <c r="AC8" s="68" t="e">
        <f t="shared" si="1"/>
        <v>#REF!</v>
      </c>
      <c r="AD8" s="68" t="e">
        <f t="shared" si="2"/>
        <v>#REF!</v>
      </c>
      <c r="AE8" s="68" t="e">
        <f t="shared" si="3"/>
        <v>#REF!</v>
      </c>
      <c r="AF8" s="68" t="e">
        <f t="shared" si="4"/>
        <v>#REF!</v>
      </c>
      <c r="AG8" s="68" t="e">
        <f t="shared" si="5"/>
        <v>#REF!</v>
      </c>
      <c r="AH8" s="68" t="e">
        <f t="shared" si="6"/>
        <v>#REF!</v>
      </c>
      <c r="AI8" s="68" t="e">
        <f t="shared" si="7"/>
        <v>#REF!</v>
      </c>
      <c r="AJ8" s="68" t="e">
        <f t="shared" si="8"/>
        <v>#REF!</v>
      </c>
    </row>
    <row r="9" spans="1:36" x14ac:dyDescent="0.25">
      <c r="A9" s="30">
        <v>8</v>
      </c>
      <c r="B9" s="30">
        <v>8</v>
      </c>
      <c r="C9" s="63" t="str">
        <f>Roster!$T11</f>
        <v xml:space="preserve"> </v>
      </c>
      <c r="D9" s="10"/>
      <c r="E9" s="70"/>
      <c r="F9" s="10"/>
      <c r="G9" s="70"/>
      <c r="H9" s="10"/>
      <c r="I9" s="70"/>
      <c r="J9" s="71"/>
      <c r="K9" s="64"/>
      <c r="L9" s="66" t="e">
        <f>#REF!</f>
        <v>#REF!</v>
      </c>
      <c r="M9" s="66" t="e">
        <f>#REF!</f>
        <v>#REF!</v>
      </c>
      <c r="N9" s="66" t="e">
        <f>#REF!</f>
        <v>#REF!</v>
      </c>
      <c r="O9" s="66" t="e">
        <f>#REF!</f>
        <v>#REF!</v>
      </c>
      <c r="P9" s="66" t="e">
        <f>#REF!</f>
        <v>#REF!</v>
      </c>
      <c r="Q9" s="66" t="e">
        <f>#REF!</f>
        <v>#REF!</v>
      </c>
      <c r="R9" s="66" t="e">
        <f>#REF!</f>
        <v>#REF!</v>
      </c>
      <c r="S9" s="66" t="e">
        <f>#REF!</f>
        <v>#REF!</v>
      </c>
      <c r="T9" s="66" t="e">
        <f>#REF!</f>
        <v>#REF!</v>
      </c>
      <c r="U9" s="66" t="e">
        <f>#REF!</f>
        <v>#REF!</v>
      </c>
      <c r="W9" s="88"/>
      <c r="X9" s="88"/>
      <c r="Y9" s="69" t="e">
        <f>'Team Info'!$B$19&amp;": "&amp;O9&amp;""</f>
        <v>#REF!</v>
      </c>
      <c r="Z9" s="69" t="e">
        <f>'Team Info'!$B$19&amp;": "&amp;N9&amp;""</f>
        <v>#REF!</v>
      </c>
      <c r="AB9" s="68" t="e">
        <f t="shared" si="0"/>
        <v>#REF!</v>
      </c>
      <c r="AC9" s="68" t="e">
        <f t="shared" si="1"/>
        <v>#REF!</v>
      </c>
      <c r="AD9" s="68" t="e">
        <f t="shared" si="2"/>
        <v>#REF!</v>
      </c>
      <c r="AE9" s="68" t="e">
        <f t="shared" si="3"/>
        <v>#REF!</v>
      </c>
      <c r="AF9" s="68" t="e">
        <f t="shared" si="4"/>
        <v>#REF!</v>
      </c>
      <c r="AG9" s="68" t="e">
        <f t="shared" si="5"/>
        <v>#REF!</v>
      </c>
      <c r="AH9" s="68" t="e">
        <f t="shared" si="6"/>
        <v>#REF!</v>
      </c>
      <c r="AI9" s="68" t="e">
        <f t="shared" si="7"/>
        <v>#REF!</v>
      </c>
      <c r="AJ9" s="68" t="e">
        <f t="shared" si="8"/>
        <v>#REF!</v>
      </c>
    </row>
    <row r="10" spans="1:36" x14ac:dyDescent="0.25">
      <c r="A10" s="30">
        <v>9</v>
      </c>
      <c r="B10" s="30">
        <v>9</v>
      </c>
      <c r="C10" s="63" t="str">
        <f>Roster!$T12</f>
        <v>Katrina Jensen</v>
      </c>
      <c r="D10" s="10"/>
      <c r="E10" s="70"/>
      <c r="F10" s="10"/>
      <c r="G10" s="70"/>
      <c r="H10" s="10"/>
      <c r="I10" s="70"/>
      <c r="J10" s="71"/>
      <c r="K10" s="64"/>
      <c r="L10" s="66" t="e">
        <f>#REF!</f>
        <v>#REF!</v>
      </c>
      <c r="M10" s="66" t="e">
        <f>#REF!</f>
        <v>#REF!</v>
      </c>
      <c r="N10" s="66" t="e">
        <f>#REF!</f>
        <v>#REF!</v>
      </c>
      <c r="O10" s="66" t="e">
        <f>#REF!</f>
        <v>#REF!</v>
      </c>
      <c r="P10" s="66" t="e">
        <f>#REF!</f>
        <v>#REF!</v>
      </c>
      <c r="Q10" s="66" t="e">
        <f>#REF!</f>
        <v>#REF!</v>
      </c>
      <c r="R10" s="66" t="e">
        <f>#REF!</f>
        <v>#REF!</v>
      </c>
      <c r="S10" s="66" t="e">
        <f>#REF!</f>
        <v>#REF!</v>
      </c>
      <c r="T10" s="66" t="e">
        <f>#REF!</f>
        <v>#REF!</v>
      </c>
      <c r="U10" s="66" t="e">
        <f>#REF!</f>
        <v>#REF!</v>
      </c>
      <c r="W10" s="88"/>
      <c r="X10" s="88"/>
      <c r="Y10" s="69" t="e">
        <f>'Team Info'!$B$19&amp;": "&amp;O10&amp;""</f>
        <v>#REF!</v>
      </c>
      <c r="Z10" s="69" t="e">
        <f>'Team Info'!$B$19&amp;": "&amp;N10&amp;""</f>
        <v>#REF!</v>
      </c>
      <c r="AB10" s="68" t="e">
        <f t="shared" si="0"/>
        <v>#REF!</v>
      </c>
      <c r="AC10" s="68" t="e">
        <f t="shared" si="1"/>
        <v>#REF!</v>
      </c>
      <c r="AD10" s="68" t="e">
        <f t="shared" si="2"/>
        <v>#REF!</v>
      </c>
      <c r="AE10" s="68" t="e">
        <f t="shared" si="3"/>
        <v>#REF!</v>
      </c>
      <c r="AF10" s="68" t="e">
        <f t="shared" si="4"/>
        <v>#REF!</v>
      </c>
      <c r="AG10" s="68" t="e">
        <f t="shared" si="5"/>
        <v>#REF!</v>
      </c>
      <c r="AH10" s="68" t="e">
        <f t="shared" si="6"/>
        <v>#REF!</v>
      </c>
      <c r="AI10" s="68" t="e">
        <f t="shared" si="7"/>
        <v>#REF!</v>
      </c>
      <c r="AJ10" s="68" t="e">
        <f t="shared" si="8"/>
        <v>#REF!</v>
      </c>
    </row>
    <row r="11" spans="1:36" x14ac:dyDescent="0.25">
      <c r="A11" s="30">
        <v>10</v>
      </c>
      <c r="B11" s="30">
        <v>10</v>
      </c>
      <c r="C11" s="63" t="str">
        <f>Roster!$T13</f>
        <v>Peyton Minyard</v>
      </c>
      <c r="D11" s="10"/>
      <c r="E11" s="70"/>
      <c r="F11" s="10"/>
      <c r="G11" s="70"/>
      <c r="H11" s="10"/>
      <c r="I11" s="70"/>
      <c r="J11" s="71"/>
      <c r="K11" s="64"/>
      <c r="L11" s="66" t="e">
        <f>#REF!</f>
        <v>#REF!</v>
      </c>
      <c r="M11" s="66" t="e">
        <f>#REF!</f>
        <v>#REF!</v>
      </c>
      <c r="N11" s="66" t="e">
        <f>#REF!</f>
        <v>#REF!</v>
      </c>
      <c r="O11" s="66" t="e">
        <f>#REF!</f>
        <v>#REF!</v>
      </c>
      <c r="P11" s="66" t="e">
        <f>#REF!</f>
        <v>#REF!</v>
      </c>
      <c r="Q11" s="66" t="e">
        <f>#REF!</f>
        <v>#REF!</v>
      </c>
      <c r="R11" s="66" t="e">
        <f>#REF!</f>
        <v>#REF!</v>
      </c>
      <c r="S11" s="66" t="e">
        <f>#REF!</f>
        <v>#REF!</v>
      </c>
      <c r="T11" s="66" t="e">
        <f>#REF!</f>
        <v>#REF!</v>
      </c>
      <c r="U11" s="66" t="e">
        <f>#REF!</f>
        <v>#REF!</v>
      </c>
      <c r="W11" s="88"/>
      <c r="X11" s="88"/>
      <c r="Y11" s="69" t="e">
        <f>'Team Info'!$B$19&amp;": "&amp;O11&amp;""</f>
        <v>#REF!</v>
      </c>
      <c r="Z11" s="69" t="e">
        <f>'Team Info'!$B$19&amp;": "&amp;N11&amp;""</f>
        <v>#REF!</v>
      </c>
      <c r="AB11" s="68" t="e">
        <f t="shared" si="0"/>
        <v>#REF!</v>
      </c>
      <c r="AC11" s="68" t="e">
        <f t="shared" si="1"/>
        <v>#REF!</v>
      </c>
      <c r="AD11" s="68" t="e">
        <f t="shared" si="2"/>
        <v>#REF!</v>
      </c>
      <c r="AE11" s="68" t="e">
        <f t="shared" si="3"/>
        <v>#REF!</v>
      </c>
      <c r="AF11" s="68" t="e">
        <f t="shared" si="4"/>
        <v>#REF!</v>
      </c>
      <c r="AG11" s="68" t="e">
        <f t="shared" si="5"/>
        <v>#REF!</v>
      </c>
      <c r="AH11" s="68" t="e">
        <f t="shared" si="6"/>
        <v>#REF!</v>
      </c>
      <c r="AI11" s="68" t="e">
        <f t="shared" si="7"/>
        <v>#REF!</v>
      </c>
      <c r="AJ11" s="68" t="e">
        <f t="shared" si="8"/>
        <v>#REF!</v>
      </c>
    </row>
    <row r="12" spans="1:36" x14ac:dyDescent="0.25">
      <c r="A12" s="30">
        <v>11</v>
      </c>
      <c r="B12" s="30">
        <v>11</v>
      </c>
      <c r="C12" s="63" t="str">
        <f>Roster!$T14</f>
        <v>Alayna Crabtree</v>
      </c>
      <c r="D12" s="10"/>
      <c r="E12" s="70"/>
      <c r="F12" s="10"/>
      <c r="G12" s="70"/>
      <c r="H12" s="10"/>
      <c r="I12" s="70"/>
      <c r="J12" s="71"/>
      <c r="K12" s="64"/>
      <c r="L12" s="66" t="e">
        <f>#REF!</f>
        <v>#REF!</v>
      </c>
      <c r="M12" s="66" t="e">
        <f>#REF!</f>
        <v>#REF!</v>
      </c>
      <c r="N12" s="66" t="e">
        <f>#REF!</f>
        <v>#REF!</v>
      </c>
      <c r="O12" s="66" t="e">
        <f>#REF!</f>
        <v>#REF!</v>
      </c>
      <c r="P12" s="66" t="e">
        <f>#REF!</f>
        <v>#REF!</v>
      </c>
      <c r="Q12" s="66" t="e">
        <f>#REF!</f>
        <v>#REF!</v>
      </c>
      <c r="R12" s="66" t="e">
        <f>#REF!</f>
        <v>#REF!</v>
      </c>
      <c r="S12" s="66" t="e">
        <f>#REF!</f>
        <v>#REF!</v>
      </c>
      <c r="T12" s="66" t="e">
        <f>#REF!</f>
        <v>#REF!</v>
      </c>
      <c r="U12" s="66" t="e">
        <f>#REF!</f>
        <v>#REF!</v>
      </c>
      <c r="W12" s="88"/>
      <c r="X12" s="88"/>
      <c r="Y12" s="69" t="e">
        <f>'Team Info'!$B$19&amp;": "&amp;O12&amp;""</f>
        <v>#REF!</v>
      </c>
      <c r="Z12" s="69" t="e">
        <f>'Team Info'!$B$19&amp;": "&amp;N12&amp;""</f>
        <v>#REF!</v>
      </c>
      <c r="AB12" s="68" t="e">
        <f t="shared" si="0"/>
        <v>#REF!</v>
      </c>
      <c r="AC12" s="68" t="e">
        <f t="shared" si="1"/>
        <v>#REF!</v>
      </c>
      <c r="AD12" s="68" t="e">
        <f t="shared" si="2"/>
        <v>#REF!</v>
      </c>
      <c r="AE12" s="68" t="e">
        <f t="shared" si="3"/>
        <v>#REF!</v>
      </c>
      <c r="AF12" s="68" t="e">
        <f t="shared" si="4"/>
        <v>#REF!</v>
      </c>
      <c r="AG12" s="68" t="e">
        <f t="shared" si="5"/>
        <v>#REF!</v>
      </c>
      <c r="AH12" s="68" t="e">
        <f t="shared" si="6"/>
        <v>#REF!</v>
      </c>
      <c r="AI12" s="68" t="e">
        <f t="shared" si="7"/>
        <v>#REF!</v>
      </c>
      <c r="AJ12" s="68" t="e">
        <f t="shared" si="8"/>
        <v>#REF!</v>
      </c>
    </row>
    <row r="13" spans="1:36" x14ac:dyDescent="0.25">
      <c r="A13" s="30">
        <v>12</v>
      </c>
      <c r="B13" s="30">
        <v>12</v>
      </c>
      <c r="C13" s="63" t="str">
        <f>Roster!$T15</f>
        <v>Izzy Clavenna</v>
      </c>
      <c r="D13" s="10"/>
      <c r="E13" s="70"/>
      <c r="F13" s="10"/>
      <c r="G13" s="70"/>
      <c r="H13" s="10"/>
      <c r="I13" s="70"/>
      <c r="J13" s="71"/>
      <c r="K13" s="64"/>
      <c r="L13" s="66" t="e">
        <f>#REF!</f>
        <v>#REF!</v>
      </c>
      <c r="M13" s="66" t="e">
        <f>#REF!</f>
        <v>#REF!</v>
      </c>
      <c r="N13" s="66" t="e">
        <f>#REF!</f>
        <v>#REF!</v>
      </c>
      <c r="O13" s="66" t="e">
        <f>#REF!</f>
        <v>#REF!</v>
      </c>
      <c r="P13" s="66" t="e">
        <f>#REF!</f>
        <v>#REF!</v>
      </c>
      <c r="Q13" s="66" t="e">
        <f>#REF!</f>
        <v>#REF!</v>
      </c>
      <c r="R13" s="66" t="e">
        <f>#REF!</f>
        <v>#REF!</v>
      </c>
      <c r="S13" s="66" t="e">
        <f>#REF!</f>
        <v>#REF!</v>
      </c>
      <c r="T13" s="66" t="e">
        <f>#REF!</f>
        <v>#REF!</v>
      </c>
      <c r="U13" s="66" t="e">
        <f>#REF!</f>
        <v>#REF!</v>
      </c>
      <c r="W13" s="88"/>
      <c r="X13" s="88"/>
      <c r="Y13" s="69" t="e">
        <f>'Team Info'!$B$19&amp;": "&amp;O13&amp;""</f>
        <v>#REF!</v>
      </c>
      <c r="Z13" s="69" t="e">
        <f>'Team Info'!$B$19&amp;": "&amp;N13&amp;""</f>
        <v>#REF!</v>
      </c>
      <c r="AB13" s="68" t="e">
        <f t="shared" si="0"/>
        <v>#REF!</v>
      </c>
      <c r="AC13" s="68" t="e">
        <f t="shared" si="1"/>
        <v>#REF!</v>
      </c>
      <c r="AD13" s="68" t="e">
        <f t="shared" si="2"/>
        <v>#REF!</v>
      </c>
      <c r="AE13" s="68" t="e">
        <f t="shared" si="3"/>
        <v>#REF!</v>
      </c>
      <c r="AF13" s="68" t="e">
        <f t="shared" si="4"/>
        <v>#REF!</v>
      </c>
      <c r="AG13" s="68" t="e">
        <f t="shared" si="5"/>
        <v>#REF!</v>
      </c>
      <c r="AH13" s="68" t="e">
        <f t="shared" si="6"/>
        <v>#REF!</v>
      </c>
      <c r="AI13" s="68" t="e">
        <f t="shared" si="7"/>
        <v>#REF!</v>
      </c>
      <c r="AJ13" s="68" t="e">
        <f t="shared" si="8"/>
        <v>#REF!</v>
      </c>
    </row>
    <row r="14" spans="1:36" x14ac:dyDescent="0.25">
      <c r="A14" s="30">
        <v>13</v>
      </c>
      <c r="B14" s="30">
        <v>13</v>
      </c>
      <c r="C14" s="63" t="str">
        <f>Roster!$T16</f>
        <v xml:space="preserve"> </v>
      </c>
      <c r="D14" s="10"/>
      <c r="E14" s="70"/>
      <c r="F14" s="10"/>
      <c r="G14" s="70"/>
      <c r="H14" s="10"/>
      <c r="I14" s="70"/>
      <c r="J14" s="71"/>
      <c r="K14" s="64"/>
      <c r="L14" s="66" t="e">
        <f>#REF!</f>
        <v>#REF!</v>
      </c>
      <c r="M14" s="66" t="e">
        <f>#REF!</f>
        <v>#REF!</v>
      </c>
      <c r="N14" s="66" t="e">
        <f>#REF!</f>
        <v>#REF!</v>
      </c>
      <c r="O14" s="66" t="e">
        <f>#REF!</f>
        <v>#REF!</v>
      </c>
      <c r="P14" s="66" t="e">
        <f>#REF!</f>
        <v>#REF!</v>
      </c>
      <c r="Q14" s="66" t="e">
        <f>#REF!</f>
        <v>#REF!</v>
      </c>
      <c r="R14" s="66" t="e">
        <f>#REF!</f>
        <v>#REF!</v>
      </c>
      <c r="S14" s="66" t="e">
        <f>#REF!</f>
        <v>#REF!</v>
      </c>
      <c r="T14" s="66" t="e">
        <f>#REF!</f>
        <v>#REF!</v>
      </c>
      <c r="U14" s="66" t="e">
        <f>#REF!</f>
        <v>#REF!</v>
      </c>
      <c r="W14" s="88"/>
      <c r="X14" s="88"/>
      <c r="Y14" s="69" t="e">
        <f>'Team Info'!$B$19&amp;": "&amp;O14&amp;""</f>
        <v>#REF!</v>
      </c>
      <c r="Z14" s="69" t="e">
        <f>'Team Info'!$B$19&amp;": "&amp;N14&amp;""</f>
        <v>#REF!</v>
      </c>
      <c r="AB14" s="68" t="e">
        <f t="shared" si="0"/>
        <v>#REF!</v>
      </c>
      <c r="AC14" s="68" t="e">
        <f t="shared" si="1"/>
        <v>#REF!</v>
      </c>
      <c r="AD14" s="68" t="e">
        <f t="shared" si="2"/>
        <v>#REF!</v>
      </c>
      <c r="AE14" s="68" t="e">
        <f t="shared" si="3"/>
        <v>#REF!</v>
      </c>
      <c r="AF14" s="68" t="e">
        <f t="shared" si="4"/>
        <v>#REF!</v>
      </c>
      <c r="AG14" s="68" t="e">
        <f t="shared" si="5"/>
        <v>#REF!</v>
      </c>
      <c r="AH14" s="68" t="e">
        <f t="shared" si="6"/>
        <v>#REF!</v>
      </c>
      <c r="AI14" s="68" t="e">
        <f t="shared" si="7"/>
        <v>#REF!</v>
      </c>
      <c r="AJ14" s="68" t="e">
        <f t="shared" si="8"/>
        <v>#REF!</v>
      </c>
    </row>
    <row r="15" spans="1:36" x14ac:dyDescent="0.25">
      <c r="A15" s="30">
        <v>14</v>
      </c>
      <c r="B15" s="30">
        <v>14</v>
      </c>
      <c r="C15" s="63" t="str">
        <f>Roster!$T17</f>
        <v xml:space="preserve"> </v>
      </c>
      <c r="D15" s="10"/>
      <c r="E15" s="70"/>
      <c r="F15" s="10"/>
      <c r="G15" s="70"/>
      <c r="H15" s="10"/>
      <c r="I15" s="70"/>
      <c r="J15" s="71"/>
      <c r="K15" s="64"/>
      <c r="L15" s="66" t="e">
        <f>#REF!</f>
        <v>#REF!</v>
      </c>
      <c r="M15" s="66" t="e">
        <f>#REF!</f>
        <v>#REF!</v>
      </c>
      <c r="N15" s="66" t="e">
        <f>#REF!</f>
        <v>#REF!</v>
      </c>
      <c r="O15" s="66" t="e">
        <f>#REF!</f>
        <v>#REF!</v>
      </c>
      <c r="P15" s="66" t="e">
        <f>#REF!</f>
        <v>#REF!</v>
      </c>
      <c r="Q15" s="66" t="e">
        <f>#REF!</f>
        <v>#REF!</v>
      </c>
      <c r="R15" s="66" t="e">
        <f>#REF!</f>
        <v>#REF!</v>
      </c>
      <c r="S15" s="66" t="e">
        <f>#REF!</f>
        <v>#REF!</v>
      </c>
      <c r="T15" s="66" t="e">
        <f>#REF!</f>
        <v>#REF!</v>
      </c>
      <c r="U15" s="66" t="e">
        <f>#REF!</f>
        <v>#REF!</v>
      </c>
      <c r="W15" s="88"/>
      <c r="X15" s="88"/>
      <c r="Y15" s="69" t="e">
        <f>'Team Info'!$B$19&amp;": "&amp;O15&amp;""</f>
        <v>#REF!</v>
      </c>
      <c r="Z15" s="69" t="e">
        <f>'Team Info'!$B$19&amp;": "&amp;N15&amp;""</f>
        <v>#REF!</v>
      </c>
      <c r="AB15" s="68" t="e">
        <f t="shared" si="0"/>
        <v>#REF!</v>
      </c>
      <c r="AC15" s="68" t="e">
        <f t="shared" si="1"/>
        <v>#REF!</v>
      </c>
      <c r="AD15" s="68" t="e">
        <f t="shared" si="2"/>
        <v>#REF!</v>
      </c>
      <c r="AE15" s="68" t="e">
        <f t="shared" si="3"/>
        <v>#REF!</v>
      </c>
      <c r="AF15" s="68" t="e">
        <f t="shared" si="4"/>
        <v>#REF!</v>
      </c>
      <c r="AG15" s="68" t="e">
        <f t="shared" si="5"/>
        <v>#REF!</v>
      </c>
      <c r="AH15" s="68" t="e">
        <f t="shared" si="6"/>
        <v>#REF!</v>
      </c>
      <c r="AI15" s="68" t="e">
        <f t="shared" si="7"/>
        <v>#REF!</v>
      </c>
      <c r="AJ15" s="68" t="e">
        <f t="shared" si="8"/>
        <v>#REF!</v>
      </c>
    </row>
    <row r="16" spans="1:36" x14ac:dyDescent="0.25">
      <c r="A16" s="30">
        <v>15</v>
      </c>
      <c r="B16" s="30">
        <v>15</v>
      </c>
      <c r="C16" s="63" t="str">
        <f>Roster!$T18</f>
        <v xml:space="preserve"> </v>
      </c>
      <c r="D16" s="10"/>
      <c r="E16" s="70"/>
      <c r="F16" s="10"/>
      <c r="G16" s="70"/>
      <c r="H16" s="10"/>
      <c r="I16" s="70"/>
      <c r="J16" s="71"/>
      <c r="K16" s="64"/>
      <c r="L16" s="66" t="e">
        <f>#REF!</f>
        <v>#REF!</v>
      </c>
      <c r="M16" s="66" t="e">
        <f>#REF!</f>
        <v>#REF!</v>
      </c>
      <c r="N16" s="66" t="e">
        <f>#REF!</f>
        <v>#REF!</v>
      </c>
      <c r="O16" s="66" t="e">
        <f>#REF!</f>
        <v>#REF!</v>
      </c>
      <c r="P16" s="66" t="e">
        <f>#REF!</f>
        <v>#REF!</v>
      </c>
      <c r="Q16" s="66" t="e">
        <f>#REF!</f>
        <v>#REF!</v>
      </c>
      <c r="R16" s="66" t="e">
        <f>#REF!</f>
        <v>#REF!</v>
      </c>
      <c r="S16" s="66" t="e">
        <f>#REF!</f>
        <v>#REF!</v>
      </c>
      <c r="T16" s="66" t="e">
        <f>#REF!</f>
        <v>#REF!</v>
      </c>
      <c r="U16" s="66" t="e">
        <f>#REF!</f>
        <v>#REF!</v>
      </c>
      <c r="W16" s="88"/>
      <c r="X16" s="88"/>
      <c r="Y16" s="69" t="e">
        <f>'Team Info'!$B$19&amp;": "&amp;O16&amp;""</f>
        <v>#REF!</v>
      </c>
      <c r="Z16" s="69" t="e">
        <f>'Team Info'!$B$19&amp;": "&amp;N16&amp;""</f>
        <v>#REF!</v>
      </c>
      <c r="AB16" s="68" t="e">
        <f t="shared" si="0"/>
        <v>#REF!</v>
      </c>
      <c r="AC16" s="68" t="e">
        <f t="shared" si="1"/>
        <v>#REF!</v>
      </c>
      <c r="AD16" s="68" t="e">
        <f t="shared" si="2"/>
        <v>#REF!</v>
      </c>
      <c r="AE16" s="68" t="e">
        <f t="shared" si="3"/>
        <v>#REF!</v>
      </c>
      <c r="AF16" s="68" t="e">
        <f t="shared" si="4"/>
        <v>#REF!</v>
      </c>
      <c r="AG16" s="68" t="e">
        <f t="shared" si="5"/>
        <v>#REF!</v>
      </c>
      <c r="AH16" s="68" t="e">
        <f t="shared" si="6"/>
        <v>#REF!</v>
      </c>
      <c r="AI16" s="68" t="e">
        <f t="shared" si="7"/>
        <v>#REF!</v>
      </c>
      <c r="AJ16" s="68" t="e">
        <f t="shared" si="8"/>
        <v>#REF!</v>
      </c>
    </row>
    <row r="17" spans="1:36" x14ac:dyDescent="0.25">
      <c r="A17" s="30">
        <v>16</v>
      </c>
      <c r="B17" s="30">
        <v>16</v>
      </c>
      <c r="C17" s="63" t="str">
        <f>Roster!$T19</f>
        <v xml:space="preserve"> </v>
      </c>
      <c r="D17" s="10"/>
      <c r="E17" s="70"/>
      <c r="F17" s="10"/>
      <c r="G17" s="70"/>
      <c r="H17" s="10"/>
      <c r="I17" s="70"/>
      <c r="J17" s="71"/>
      <c r="K17" s="64"/>
      <c r="L17" s="66" t="e">
        <f>#REF!</f>
        <v>#REF!</v>
      </c>
      <c r="M17" s="66" t="e">
        <f>#REF!</f>
        <v>#REF!</v>
      </c>
      <c r="N17" s="66" t="e">
        <f>#REF!</f>
        <v>#REF!</v>
      </c>
      <c r="O17" s="66" t="e">
        <f>#REF!</f>
        <v>#REF!</v>
      </c>
      <c r="P17" s="66" t="e">
        <f>#REF!</f>
        <v>#REF!</v>
      </c>
      <c r="Q17" s="66" t="e">
        <f>#REF!</f>
        <v>#REF!</v>
      </c>
      <c r="R17" s="66" t="e">
        <f>#REF!</f>
        <v>#REF!</v>
      </c>
      <c r="S17" s="66" t="e">
        <f>#REF!</f>
        <v>#REF!</v>
      </c>
      <c r="T17" s="66" t="e">
        <f>#REF!</f>
        <v>#REF!</v>
      </c>
      <c r="U17" s="66" t="e">
        <f>#REF!</f>
        <v>#REF!</v>
      </c>
      <c r="W17" s="88"/>
      <c r="X17" s="88"/>
      <c r="Y17" s="69" t="e">
        <f>'Team Info'!$B$19&amp;": "&amp;O17&amp;""</f>
        <v>#REF!</v>
      </c>
      <c r="Z17" s="69" t="e">
        <f>'Team Info'!$B$19&amp;": "&amp;N17&amp;""</f>
        <v>#REF!</v>
      </c>
      <c r="AB17" s="68" t="e">
        <f t="shared" si="0"/>
        <v>#REF!</v>
      </c>
      <c r="AC17" s="68" t="e">
        <f t="shared" si="1"/>
        <v>#REF!</v>
      </c>
      <c r="AD17" s="68" t="e">
        <f t="shared" si="2"/>
        <v>#REF!</v>
      </c>
      <c r="AE17" s="68" t="e">
        <f t="shared" si="3"/>
        <v>#REF!</v>
      </c>
      <c r="AF17" s="68" t="e">
        <f t="shared" si="4"/>
        <v>#REF!</v>
      </c>
      <c r="AG17" s="68" t="e">
        <f t="shared" si="5"/>
        <v>#REF!</v>
      </c>
      <c r="AH17" s="68" t="e">
        <f t="shared" si="6"/>
        <v>#REF!</v>
      </c>
      <c r="AI17" s="68" t="e">
        <f t="shared" si="7"/>
        <v>#REF!</v>
      </c>
      <c r="AJ17" s="68" t="e">
        <f t="shared" si="8"/>
        <v>#REF!</v>
      </c>
    </row>
    <row r="18" spans="1:36" x14ac:dyDescent="0.25">
      <c r="A18" s="30">
        <v>17</v>
      </c>
      <c r="B18" s="30">
        <v>17</v>
      </c>
      <c r="C18" s="63" t="str">
        <f>Roster!$T20</f>
        <v>Cornelia Roach</v>
      </c>
      <c r="D18" s="10"/>
      <c r="E18" s="70"/>
      <c r="F18" s="10"/>
      <c r="G18" s="70"/>
      <c r="H18" s="10"/>
      <c r="I18" s="70"/>
      <c r="J18" s="71"/>
      <c r="K18" s="64"/>
      <c r="L18" s="66" t="e">
        <f>#REF!</f>
        <v>#REF!</v>
      </c>
      <c r="M18" s="66" t="e">
        <f>#REF!</f>
        <v>#REF!</v>
      </c>
      <c r="N18" s="66" t="e">
        <f>#REF!</f>
        <v>#REF!</v>
      </c>
      <c r="O18" s="66" t="e">
        <f>#REF!</f>
        <v>#REF!</v>
      </c>
      <c r="P18" s="66" t="e">
        <f>#REF!</f>
        <v>#REF!</v>
      </c>
      <c r="Q18" s="66" t="e">
        <f>#REF!</f>
        <v>#REF!</v>
      </c>
      <c r="R18" s="66" t="e">
        <f>#REF!</f>
        <v>#REF!</v>
      </c>
      <c r="S18" s="66" t="e">
        <f>#REF!</f>
        <v>#REF!</v>
      </c>
      <c r="T18" s="66" t="e">
        <f>#REF!</f>
        <v>#REF!</v>
      </c>
      <c r="U18" s="66" t="e">
        <f>#REF!</f>
        <v>#REF!</v>
      </c>
      <c r="W18" s="88"/>
      <c r="X18" s="88"/>
      <c r="Y18" s="69" t="e">
        <f>'Team Info'!$B$19&amp;": "&amp;O18&amp;""</f>
        <v>#REF!</v>
      </c>
      <c r="Z18" s="69" t="e">
        <f>'Team Info'!$B$19&amp;": "&amp;N18&amp;""</f>
        <v>#REF!</v>
      </c>
      <c r="AB18" s="68" t="e">
        <f t="shared" si="0"/>
        <v>#REF!</v>
      </c>
      <c r="AC18" s="68" t="e">
        <f t="shared" si="1"/>
        <v>#REF!</v>
      </c>
      <c r="AD18" s="68" t="e">
        <f t="shared" si="2"/>
        <v>#REF!</v>
      </c>
      <c r="AE18" s="68" t="e">
        <f t="shared" si="3"/>
        <v>#REF!</v>
      </c>
      <c r="AF18" s="68" t="e">
        <f t="shared" si="4"/>
        <v>#REF!</v>
      </c>
      <c r="AG18" s="68" t="e">
        <f t="shared" si="5"/>
        <v>#REF!</v>
      </c>
      <c r="AH18" s="68" t="e">
        <f t="shared" si="6"/>
        <v>#REF!</v>
      </c>
      <c r="AI18" s="68" t="e">
        <f t="shared" si="7"/>
        <v>#REF!</v>
      </c>
      <c r="AJ18" s="68" t="e">
        <f t="shared" si="8"/>
        <v>#REF!</v>
      </c>
    </row>
    <row r="19" spans="1:36" x14ac:dyDescent="0.25">
      <c r="A19" s="30">
        <v>18</v>
      </c>
      <c r="B19" s="30">
        <v>18</v>
      </c>
      <c r="C19" s="63" t="str">
        <f>Roster!$T21</f>
        <v>Bridget Green</v>
      </c>
      <c r="D19" s="10"/>
      <c r="E19" s="70"/>
      <c r="F19" s="10"/>
      <c r="G19" s="70"/>
      <c r="H19" s="10"/>
      <c r="I19" s="70"/>
      <c r="J19" s="71"/>
      <c r="K19" s="64"/>
      <c r="L19" s="66" t="e">
        <f>#REF!</f>
        <v>#REF!</v>
      </c>
      <c r="M19" s="66" t="e">
        <f>#REF!</f>
        <v>#REF!</v>
      </c>
      <c r="N19" s="66" t="e">
        <f>#REF!</f>
        <v>#REF!</v>
      </c>
      <c r="O19" s="66" t="e">
        <f>#REF!</f>
        <v>#REF!</v>
      </c>
      <c r="P19" s="66" t="e">
        <f>#REF!</f>
        <v>#REF!</v>
      </c>
      <c r="Q19" s="66" t="e">
        <f>#REF!</f>
        <v>#REF!</v>
      </c>
      <c r="R19" s="66" t="e">
        <f>#REF!</f>
        <v>#REF!</v>
      </c>
      <c r="S19" s="66" t="e">
        <f>#REF!</f>
        <v>#REF!</v>
      </c>
      <c r="T19" s="66" t="e">
        <f>#REF!</f>
        <v>#REF!</v>
      </c>
      <c r="U19" s="66" t="e">
        <f>#REF!</f>
        <v>#REF!</v>
      </c>
      <c r="W19" s="88"/>
      <c r="X19" s="88"/>
      <c r="Y19" s="69" t="e">
        <f>'Team Info'!$B$19&amp;": "&amp;O19&amp;""</f>
        <v>#REF!</v>
      </c>
      <c r="Z19" s="69" t="e">
        <f>'Team Info'!$B$19&amp;": "&amp;N19&amp;""</f>
        <v>#REF!</v>
      </c>
      <c r="AB19" s="68" t="e">
        <f t="shared" si="0"/>
        <v>#REF!</v>
      </c>
      <c r="AC19" s="68" t="e">
        <f t="shared" si="1"/>
        <v>#REF!</v>
      </c>
      <c r="AD19" s="68" t="e">
        <f t="shared" si="2"/>
        <v>#REF!</v>
      </c>
      <c r="AE19" s="68" t="e">
        <f t="shared" si="3"/>
        <v>#REF!</v>
      </c>
      <c r="AF19" s="68" t="e">
        <f t="shared" si="4"/>
        <v>#REF!</v>
      </c>
      <c r="AG19" s="68" t="e">
        <f t="shared" si="5"/>
        <v>#REF!</v>
      </c>
      <c r="AH19" s="68" t="e">
        <f t="shared" si="6"/>
        <v>#REF!</v>
      </c>
      <c r="AI19" s="68" t="e">
        <f t="shared" si="7"/>
        <v>#REF!</v>
      </c>
      <c r="AJ19" s="68" t="e">
        <f t="shared" si="8"/>
        <v>#REF!</v>
      </c>
    </row>
    <row r="20" spans="1:36" x14ac:dyDescent="0.25">
      <c r="A20" s="30">
        <v>19</v>
      </c>
      <c r="B20" s="30">
        <v>19</v>
      </c>
      <c r="C20" s="63" t="str">
        <f>Roster!$T22</f>
        <v>Jane Petrie</v>
      </c>
      <c r="D20" s="10"/>
      <c r="E20" s="70"/>
      <c r="F20" s="10"/>
      <c r="G20" s="70"/>
      <c r="H20" s="10"/>
      <c r="I20" s="70"/>
      <c r="J20" s="71"/>
      <c r="K20" s="64"/>
      <c r="L20" s="66" t="e">
        <f>#REF!</f>
        <v>#REF!</v>
      </c>
      <c r="M20" s="66" t="e">
        <f>#REF!</f>
        <v>#REF!</v>
      </c>
      <c r="N20" s="66" t="e">
        <f>#REF!</f>
        <v>#REF!</v>
      </c>
      <c r="O20" s="66" t="e">
        <f>#REF!</f>
        <v>#REF!</v>
      </c>
      <c r="P20" s="66" t="e">
        <f>#REF!</f>
        <v>#REF!</v>
      </c>
      <c r="Q20" s="66" t="e">
        <f>#REF!</f>
        <v>#REF!</v>
      </c>
      <c r="R20" s="66" t="e">
        <f>#REF!</f>
        <v>#REF!</v>
      </c>
      <c r="S20" s="66" t="e">
        <f>#REF!</f>
        <v>#REF!</v>
      </c>
      <c r="T20" s="66" t="e">
        <f>#REF!</f>
        <v>#REF!</v>
      </c>
      <c r="U20" s="66" t="e">
        <f>#REF!</f>
        <v>#REF!</v>
      </c>
      <c r="W20" s="88"/>
      <c r="X20" s="88"/>
      <c r="Y20" s="69" t="e">
        <f>'Team Info'!$B$19&amp;": "&amp;O20&amp;""</f>
        <v>#REF!</v>
      </c>
      <c r="Z20" s="69" t="e">
        <f>'Team Info'!$B$19&amp;": "&amp;N20&amp;""</f>
        <v>#REF!</v>
      </c>
      <c r="AB20" s="68" t="e">
        <f t="shared" si="0"/>
        <v>#REF!</v>
      </c>
      <c r="AC20" s="68" t="e">
        <f t="shared" si="1"/>
        <v>#REF!</v>
      </c>
      <c r="AD20" s="68" t="e">
        <f t="shared" si="2"/>
        <v>#REF!</v>
      </c>
      <c r="AE20" s="68" t="e">
        <f t="shared" si="3"/>
        <v>#REF!</v>
      </c>
      <c r="AF20" s="68" t="e">
        <f t="shared" si="4"/>
        <v>#REF!</v>
      </c>
      <c r="AG20" s="68" t="e">
        <f t="shared" si="5"/>
        <v>#REF!</v>
      </c>
      <c r="AH20" s="68" t="e">
        <f t="shared" si="6"/>
        <v>#REF!</v>
      </c>
      <c r="AI20" s="68" t="e">
        <f t="shared" si="7"/>
        <v>#REF!</v>
      </c>
      <c r="AJ20" s="68" t="e">
        <f t="shared" si="8"/>
        <v>#REF!</v>
      </c>
    </row>
    <row r="21" spans="1:36" x14ac:dyDescent="0.25">
      <c r="A21" s="30">
        <v>20</v>
      </c>
      <c r="B21" s="30">
        <v>20</v>
      </c>
      <c r="C21" s="63" t="str">
        <f>Roster!$T23</f>
        <v xml:space="preserve"> </v>
      </c>
      <c r="D21" s="10"/>
      <c r="E21" s="70"/>
      <c r="F21" s="10"/>
      <c r="G21" s="70"/>
      <c r="H21" s="10"/>
      <c r="I21" s="70"/>
      <c r="J21" s="71"/>
      <c r="K21" s="64"/>
      <c r="L21" s="66" t="e">
        <f>#REF!</f>
        <v>#REF!</v>
      </c>
      <c r="M21" s="66" t="e">
        <f>#REF!</f>
        <v>#REF!</v>
      </c>
      <c r="N21" s="66" t="e">
        <f>#REF!</f>
        <v>#REF!</v>
      </c>
      <c r="O21" s="66" t="e">
        <f>#REF!</f>
        <v>#REF!</v>
      </c>
      <c r="P21" s="66" t="e">
        <f>#REF!</f>
        <v>#REF!</v>
      </c>
      <c r="Q21" s="66" t="e">
        <f>#REF!</f>
        <v>#REF!</v>
      </c>
      <c r="R21" s="66" t="e">
        <f>#REF!</f>
        <v>#REF!</v>
      </c>
      <c r="S21" s="66" t="e">
        <f>#REF!</f>
        <v>#REF!</v>
      </c>
      <c r="T21" s="66" t="e">
        <f>#REF!</f>
        <v>#REF!</v>
      </c>
      <c r="U21" s="66" t="e">
        <f>#REF!</f>
        <v>#REF!</v>
      </c>
      <c r="W21" s="88"/>
      <c r="X21" s="88"/>
      <c r="Y21" s="69" t="e">
        <f>'Team Info'!$B$19&amp;": "&amp;O21&amp;""</f>
        <v>#REF!</v>
      </c>
      <c r="Z21" s="69" t="e">
        <f>'Team Info'!$B$19&amp;": "&amp;N21&amp;""</f>
        <v>#REF!</v>
      </c>
      <c r="AB21" s="68" t="e">
        <f t="shared" si="0"/>
        <v>#REF!</v>
      </c>
      <c r="AC21" s="68" t="e">
        <f t="shared" si="1"/>
        <v>#REF!</v>
      </c>
      <c r="AD21" s="68" t="e">
        <f t="shared" si="2"/>
        <v>#REF!</v>
      </c>
      <c r="AE21" s="68" t="e">
        <f t="shared" si="3"/>
        <v>#REF!</v>
      </c>
      <c r="AF21" s="68" t="e">
        <f t="shared" si="4"/>
        <v>#REF!</v>
      </c>
      <c r="AG21" s="68" t="e">
        <f t="shared" si="5"/>
        <v>#REF!</v>
      </c>
      <c r="AH21" s="68" t="e">
        <f t="shared" si="6"/>
        <v>#REF!</v>
      </c>
      <c r="AI21" s="68" t="e">
        <f t="shared" si="7"/>
        <v>#REF!</v>
      </c>
      <c r="AJ21" s="68" t="e">
        <f t="shared" si="8"/>
        <v>#REF!</v>
      </c>
    </row>
    <row r="22" spans="1:36" x14ac:dyDescent="0.25">
      <c r="A22" s="30">
        <v>21</v>
      </c>
      <c r="B22" s="30">
        <v>21</v>
      </c>
      <c r="C22" s="63" t="str">
        <f>Roster!$T24</f>
        <v>Nikki Steinheiser</v>
      </c>
      <c r="D22" s="10"/>
      <c r="E22" s="70"/>
      <c r="F22" s="10"/>
      <c r="G22" s="70"/>
      <c r="H22" s="10"/>
      <c r="I22" s="70"/>
      <c r="J22" s="71"/>
      <c r="K22" s="64"/>
      <c r="L22" s="66" t="e">
        <f>#REF!</f>
        <v>#REF!</v>
      </c>
      <c r="M22" s="66" t="e">
        <f>#REF!</f>
        <v>#REF!</v>
      </c>
      <c r="N22" s="66" t="e">
        <f>#REF!</f>
        <v>#REF!</v>
      </c>
      <c r="O22" s="66" t="e">
        <f>#REF!</f>
        <v>#REF!</v>
      </c>
      <c r="P22" s="66" t="e">
        <f>#REF!</f>
        <v>#REF!</v>
      </c>
      <c r="Q22" s="66" t="e">
        <f>#REF!</f>
        <v>#REF!</v>
      </c>
      <c r="R22" s="66" t="e">
        <f>#REF!</f>
        <v>#REF!</v>
      </c>
      <c r="S22" s="66" t="e">
        <f>#REF!</f>
        <v>#REF!</v>
      </c>
      <c r="T22" s="66" t="e">
        <f>#REF!</f>
        <v>#REF!</v>
      </c>
      <c r="U22" s="66" t="e">
        <f>#REF!</f>
        <v>#REF!</v>
      </c>
      <c r="W22" s="88"/>
      <c r="X22" s="88"/>
      <c r="Y22" s="69" t="e">
        <f>'Team Info'!$B$19&amp;": "&amp;O22&amp;""</f>
        <v>#REF!</v>
      </c>
      <c r="Z22" s="69" t="e">
        <f>'Team Info'!$B$19&amp;": "&amp;N22&amp;""</f>
        <v>#REF!</v>
      </c>
      <c r="AB22" s="68" t="e">
        <f t="shared" si="0"/>
        <v>#REF!</v>
      </c>
      <c r="AC22" s="68" t="e">
        <f t="shared" si="1"/>
        <v>#REF!</v>
      </c>
      <c r="AD22" s="68" t="e">
        <f t="shared" si="2"/>
        <v>#REF!</v>
      </c>
      <c r="AE22" s="68" t="e">
        <f t="shared" si="3"/>
        <v>#REF!</v>
      </c>
      <c r="AF22" s="68" t="e">
        <f t="shared" si="4"/>
        <v>#REF!</v>
      </c>
      <c r="AG22" s="68" t="e">
        <f t="shared" si="5"/>
        <v>#REF!</v>
      </c>
      <c r="AH22" s="68" t="e">
        <f t="shared" si="6"/>
        <v>#REF!</v>
      </c>
      <c r="AI22" s="68" t="e">
        <f t="shared" si="7"/>
        <v>#REF!</v>
      </c>
      <c r="AJ22" s="68" t="e">
        <f t="shared" si="8"/>
        <v>#REF!</v>
      </c>
    </row>
    <row r="23" spans="1:36" x14ac:dyDescent="0.25">
      <c r="A23" s="30">
        <v>22</v>
      </c>
      <c r="B23" s="30">
        <v>22</v>
      </c>
      <c r="C23" s="63" t="str">
        <f>Roster!$T25</f>
        <v xml:space="preserve"> </v>
      </c>
      <c r="D23" s="10"/>
      <c r="E23" s="70"/>
      <c r="F23" s="10"/>
      <c r="G23" s="70"/>
      <c r="H23" s="10"/>
      <c r="I23" s="70"/>
      <c r="J23" s="71"/>
      <c r="K23" s="64"/>
      <c r="L23" s="66" t="e">
        <f>#REF!</f>
        <v>#REF!</v>
      </c>
      <c r="M23" s="66" t="e">
        <f>#REF!</f>
        <v>#REF!</v>
      </c>
      <c r="N23" s="66" t="e">
        <f>#REF!</f>
        <v>#REF!</v>
      </c>
      <c r="O23" s="66" t="e">
        <f>#REF!</f>
        <v>#REF!</v>
      </c>
      <c r="P23" s="66" t="e">
        <f>#REF!</f>
        <v>#REF!</v>
      </c>
      <c r="Q23" s="66" t="e">
        <f>#REF!</f>
        <v>#REF!</v>
      </c>
      <c r="R23" s="66" t="e">
        <f>#REF!</f>
        <v>#REF!</v>
      </c>
      <c r="S23" s="66" t="e">
        <f>#REF!</f>
        <v>#REF!</v>
      </c>
      <c r="T23" s="66" t="e">
        <f>#REF!</f>
        <v>#REF!</v>
      </c>
      <c r="U23" s="66" t="e">
        <f>#REF!</f>
        <v>#REF!</v>
      </c>
      <c r="W23" s="88"/>
      <c r="X23" s="88"/>
      <c r="Y23" s="69" t="e">
        <f>'Team Info'!$B$19&amp;": "&amp;O23&amp;""</f>
        <v>#REF!</v>
      </c>
      <c r="Z23" s="69" t="e">
        <f>'Team Info'!$B$19&amp;": "&amp;N23&amp;""</f>
        <v>#REF!</v>
      </c>
      <c r="AB23" s="68" t="e">
        <f t="shared" si="0"/>
        <v>#REF!</v>
      </c>
      <c r="AC23" s="68" t="e">
        <f t="shared" si="1"/>
        <v>#REF!</v>
      </c>
      <c r="AD23" s="68" t="e">
        <f t="shared" si="2"/>
        <v>#REF!</v>
      </c>
      <c r="AE23" s="68" t="e">
        <f t="shared" si="3"/>
        <v>#REF!</v>
      </c>
      <c r="AF23" s="68" t="e">
        <f t="shared" si="4"/>
        <v>#REF!</v>
      </c>
      <c r="AG23" s="68" t="e">
        <f t="shared" si="5"/>
        <v>#REF!</v>
      </c>
      <c r="AH23" s="68" t="e">
        <f t="shared" si="6"/>
        <v>#REF!</v>
      </c>
      <c r="AI23" s="68" t="e">
        <f t="shared" si="7"/>
        <v>#REF!</v>
      </c>
      <c r="AJ23" s="68" t="e">
        <f t="shared" si="8"/>
        <v>#REF!</v>
      </c>
    </row>
    <row r="24" spans="1:36" x14ac:dyDescent="0.25">
      <c r="A24" s="30">
        <v>23</v>
      </c>
      <c r="B24" s="30">
        <v>23</v>
      </c>
      <c r="C24" s="63" t="str">
        <f>Roster!$T26</f>
        <v>Julia Haggerty</v>
      </c>
      <c r="D24" s="10"/>
      <c r="E24" s="70"/>
      <c r="F24" s="10"/>
      <c r="G24" s="70"/>
      <c r="H24" s="10"/>
      <c r="I24" s="70"/>
      <c r="J24" s="71"/>
      <c r="K24" s="64"/>
      <c r="L24" s="66" t="e">
        <f>#REF!</f>
        <v>#REF!</v>
      </c>
      <c r="M24" s="66" t="e">
        <f>#REF!</f>
        <v>#REF!</v>
      </c>
      <c r="N24" s="66" t="e">
        <f>#REF!</f>
        <v>#REF!</v>
      </c>
      <c r="O24" s="66" t="e">
        <f>#REF!</f>
        <v>#REF!</v>
      </c>
      <c r="P24" s="66" t="e">
        <f>#REF!</f>
        <v>#REF!</v>
      </c>
      <c r="Q24" s="66" t="e">
        <f>#REF!</f>
        <v>#REF!</v>
      </c>
      <c r="R24" s="66" t="e">
        <f>#REF!</f>
        <v>#REF!</v>
      </c>
      <c r="S24" s="66" t="e">
        <f>#REF!</f>
        <v>#REF!</v>
      </c>
      <c r="T24" s="66" t="e">
        <f>#REF!</f>
        <v>#REF!</v>
      </c>
      <c r="U24" s="66" t="e">
        <f>#REF!</f>
        <v>#REF!</v>
      </c>
      <c r="W24" s="88"/>
      <c r="X24" s="88"/>
      <c r="Y24" s="69" t="e">
        <f>'Team Info'!$B$19&amp;": "&amp;O24&amp;""</f>
        <v>#REF!</v>
      </c>
      <c r="Z24" s="69" t="e">
        <f>'Team Info'!$B$19&amp;": "&amp;N24&amp;""</f>
        <v>#REF!</v>
      </c>
      <c r="AB24" s="68" t="e">
        <f t="shared" si="0"/>
        <v>#REF!</v>
      </c>
      <c r="AC24" s="68" t="e">
        <f t="shared" si="1"/>
        <v>#REF!</v>
      </c>
      <c r="AD24" s="68" t="e">
        <f t="shared" si="2"/>
        <v>#REF!</v>
      </c>
      <c r="AE24" s="68" t="e">
        <f t="shared" si="3"/>
        <v>#REF!</v>
      </c>
      <c r="AF24" s="68" t="e">
        <f t="shared" si="4"/>
        <v>#REF!</v>
      </c>
      <c r="AG24" s="68" t="e">
        <f t="shared" si="5"/>
        <v>#REF!</v>
      </c>
      <c r="AH24" s="68" t="e">
        <f t="shared" si="6"/>
        <v>#REF!</v>
      </c>
      <c r="AI24" s="68" t="e">
        <f t="shared" si="7"/>
        <v>#REF!</v>
      </c>
      <c r="AJ24" s="68" t="e">
        <f t="shared" si="8"/>
        <v>#REF!</v>
      </c>
    </row>
    <row r="25" spans="1:36" x14ac:dyDescent="0.25">
      <c r="A25" s="30">
        <v>24</v>
      </c>
      <c r="B25" s="30">
        <v>24</v>
      </c>
      <c r="C25" s="63" t="str">
        <f>Roster!$T27</f>
        <v xml:space="preserve"> </v>
      </c>
      <c r="D25" s="10"/>
      <c r="E25" s="70"/>
      <c r="F25" s="10"/>
      <c r="G25" s="70"/>
      <c r="H25" s="10"/>
      <c r="I25" s="70"/>
      <c r="J25" s="71"/>
      <c r="K25" s="64"/>
      <c r="L25" s="66" t="e">
        <f>#REF!</f>
        <v>#REF!</v>
      </c>
      <c r="M25" s="66" t="e">
        <f>#REF!</f>
        <v>#REF!</v>
      </c>
      <c r="N25" s="66" t="e">
        <f>#REF!</f>
        <v>#REF!</v>
      </c>
      <c r="O25" s="66" t="e">
        <f>#REF!</f>
        <v>#REF!</v>
      </c>
      <c r="P25" s="66" t="e">
        <f>#REF!</f>
        <v>#REF!</v>
      </c>
      <c r="Q25" s="66" t="e">
        <f>#REF!</f>
        <v>#REF!</v>
      </c>
      <c r="R25" s="66" t="e">
        <f>#REF!</f>
        <v>#REF!</v>
      </c>
      <c r="S25" s="66" t="e">
        <f>#REF!</f>
        <v>#REF!</v>
      </c>
      <c r="T25" s="66" t="e">
        <f>#REF!</f>
        <v>#REF!</v>
      </c>
      <c r="U25" s="66" t="e">
        <f>#REF!</f>
        <v>#REF!</v>
      </c>
      <c r="W25" s="88"/>
      <c r="X25" s="88"/>
      <c r="Y25" s="69" t="e">
        <f>'Team Info'!$B$19&amp;": "&amp;O25&amp;""</f>
        <v>#REF!</v>
      </c>
      <c r="Z25" s="69" t="e">
        <f>'Team Info'!$B$19&amp;": "&amp;N25&amp;""</f>
        <v>#REF!</v>
      </c>
      <c r="AB25" s="68" t="e">
        <f t="shared" si="0"/>
        <v>#REF!</v>
      </c>
      <c r="AC25" s="68" t="e">
        <f t="shared" si="1"/>
        <v>#REF!</v>
      </c>
      <c r="AD25" s="68" t="e">
        <f t="shared" si="2"/>
        <v>#REF!</v>
      </c>
      <c r="AE25" s="68" t="e">
        <f t="shared" si="3"/>
        <v>#REF!</v>
      </c>
      <c r="AF25" s="68" t="e">
        <f t="shared" si="4"/>
        <v>#REF!</v>
      </c>
      <c r="AG25" s="68" t="e">
        <f t="shared" si="5"/>
        <v>#REF!</v>
      </c>
      <c r="AH25" s="68" t="e">
        <f t="shared" si="6"/>
        <v>#REF!</v>
      </c>
      <c r="AI25" s="68" t="e">
        <f t="shared" si="7"/>
        <v>#REF!</v>
      </c>
      <c r="AJ25" s="68" t="e">
        <f t="shared" si="8"/>
        <v>#REF!</v>
      </c>
    </row>
    <row r="26" spans="1:36" x14ac:dyDescent="0.25">
      <c r="A26" s="30">
        <v>25</v>
      </c>
      <c r="B26" s="30">
        <v>25</v>
      </c>
      <c r="C26" s="63" t="str">
        <f>Roster!$T28</f>
        <v xml:space="preserve"> </v>
      </c>
      <c r="D26" s="10"/>
      <c r="E26" s="70"/>
      <c r="F26" s="10"/>
      <c r="G26" s="70"/>
      <c r="H26" s="10"/>
      <c r="I26" s="70"/>
      <c r="J26" s="71"/>
      <c r="K26" s="64"/>
      <c r="L26" s="66" t="e">
        <f>#REF!</f>
        <v>#REF!</v>
      </c>
      <c r="M26" s="66" t="e">
        <f>#REF!</f>
        <v>#REF!</v>
      </c>
      <c r="N26" s="66" t="e">
        <f>#REF!</f>
        <v>#REF!</v>
      </c>
      <c r="O26" s="66" t="e">
        <f>#REF!</f>
        <v>#REF!</v>
      </c>
      <c r="P26" s="66" t="e">
        <f>#REF!</f>
        <v>#REF!</v>
      </c>
      <c r="Q26" s="66" t="e">
        <f>#REF!</f>
        <v>#REF!</v>
      </c>
      <c r="R26" s="66" t="e">
        <f>#REF!</f>
        <v>#REF!</v>
      </c>
      <c r="S26" s="66" t="e">
        <f>#REF!</f>
        <v>#REF!</v>
      </c>
      <c r="T26" s="66" t="e">
        <f>#REF!</f>
        <v>#REF!</v>
      </c>
      <c r="U26" s="66" t="e">
        <f>#REF!</f>
        <v>#REF!</v>
      </c>
      <c r="W26" s="88"/>
      <c r="X26" s="88"/>
      <c r="Y26" s="69" t="e">
        <f>'Team Info'!$B$19&amp;": "&amp;O26&amp;""</f>
        <v>#REF!</v>
      </c>
      <c r="Z26" s="69" t="e">
        <f>'Team Info'!$B$19&amp;": "&amp;N26&amp;""</f>
        <v>#REF!</v>
      </c>
      <c r="AB26" s="68" t="e">
        <f t="shared" si="0"/>
        <v>#REF!</v>
      </c>
      <c r="AC26" s="68" t="e">
        <f t="shared" si="1"/>
        <v>#REF!</v>
      </c>
      <c r="AD26" s="68" t="e">
        <f t="shared" si="2"/>
        <v>#REF!</v>
      </c>
      <c r="AE26" s="68" t="e">
        <f t="shared" si="3"/>
        <v>#REF!</v>
      </c>
      <c r="AF26" s="68" t="e">
        <f t="shared" si="4"/>
        <v>#REF!</v>
      </c>
      <c r="AG26" s="68" t="e">
        <f t="shared" si="5"/>
        <v>#REF!</v>
      </c>
      <c r="AH26" s="68" t="e">
        <f t="shared" si="6"/>
        <v>#REF!</v>
      </c>
      <c r="AI26" s="68" t="e">
        <f t="shared" si="7"/>
        <v>#REF!</v>
      </c>
      <c r="AJ26" s="68" t="e">
        <f t="shared" si="8"/>
        <v>#REF!</v>
      </c>
    </row>
    <row r="27" spans="1:36" x14ac:dyDescent="0.25">
      <c r="A27" s="30">
        <v>26</v>
      </c>
      <c r="B27" s="30">
        <v>26</v>
      </c>
      <c r="C27" s="63" t="str">
        <f>Roster!$T29</f>
        <v xml:space="preserve"> </v>
      </c>
      <c r="D27" s="10"/>
      <c r="E27" s="70"/>
      <c r="F27" s="10"/>
      <c r="G27" s="70"/>
      <c r="H27" s="10"/>
      <c r="I27" s="70"/>
      <c r="J27" s="71"/>
      <c r="K27" s="64"/>
      <c r="L27" s="66" t="e">
        <f>#REF!</f>
        <v>#REF!</v>
      </c>
      <c r="M27" s="66" t="e">
        <f>#REF!</f>
        <v>#REF!</v>
      </c>
      <c r="N27" s="66" t="e">
        <f>#REF!</f>
        <v>#REF!</v>
      </c>
      <c r="O27" s="66" t="e">
        <f>#REF!</f>
        <v>#REF!</v>
      </c>
      <c r="P27" s="66" t="e">
        <f>#REF!</f>
        <v>#REF!</v>
      </c>
      <c r="Q27" s="66" t="e">
        <f>#REF!</f>
        <v>#REF!</v>
      </c>
      <c r="R27" s="66" t="e">
        <f>#REF!</f>
        <v>#REF!</v>
      </c>
      <c r="S27" s="66" t="e">
        <f>#REF!</f>
        <v>#REF!</v>
      </c>
      <c r="T27" s="66" t="e">
        <f>#REF!</f>
        <v>#REF!</v>
      </c>
      <c r="U27" s="66" t="e">
        <f>#REF!</f>
        <v>#REF!</v>
      </c>
      <c r="W27" s="88"/>
      <c r="X27" s="88"/>
      <c r="Y27" s="69" t="e">
        <f>'Team Info'!$B$19&amp;": "&amp;O27&amp;""</f>
        <v>#REF!</v>
      </c>
      <c r="Z27" s="69" t="e">
        <f>'Team Info'!$B$19&amp;": "&amp;N27&amp;""</f>
        <v>#REF!</v>
      </c>
      <c r="AB27" s="68" t="e">
        <f t="shared" si="0"/>
        <v>#REF!</v>
      </c>
      <c r="AC27" s="68" t="e">
        <f t="shared" si="1"/>
        <v>#REF!</v>
      </c>
      <c r="AD27" s="68" t="e">
        <f t="shared" si="2"/>
        <v>#REF!</v>
      </c>
      <c r="AE27" s="68" t="e">
        <f t="shared" si="3"/>
        <v>#REF!</v>
      </c>
      <c r="AF27" s="68" t="e">
        <f t="shared" si="4"/>
        <v>#REF!</v>
      </c>
      <c r="AG27" s="68" t="e">
        <f t="shared" si="5"/>
        <v>#REF!</v>
      </c>
      <c r="AH27" s="68" t="e">
        <f t="shared" si="6"/>
        <v>#REF!</v>
      </c>
      <c r="AI27" s="68" t="e">
        <f t="shared" si="7"/>
        <v>#REF!</v>
      </c>
      <c r="AJ27" s="68" t="e">
        <f t="shared" si="8"/>
        <v>#REF!</v>
      </c>
    </row>
    <row r="28" spans="1:36" x14ac:dyDescent="0.25">
      <c r="A28" s="30">
        <v>27</v>
      </c>
      <c r="B28" s="30">
        <v>27</v>
      </c>
      <c r="C28" s="63" t="str">
        <f>Roster!$T30</f>
        <v xml:space="preserve"> </v>
      </c>
      <c r="D28" s="10"/>
      <c r="E28" s="70"/>
      <c r="F28" s="10"/>
      <c r="G28" s="70"/>
      <c r="H28" s="10"/>
      <c r="I28" s="70"/>
      <c r="J28" s="71"/>
      <c r="K28" s="64"/>
      <c r="L28" s="66" t="e">
        <f>#REF!</f>
        <v>#REF!</v>
      </c>
      <c r="M28" s="66" t="e">
        <f>#REF!</f>
        <v>#REF!</v>
      </c>
      <c r="N28" s="66" t="e">
        <f>#REF!</f>
        <v>#REF!</v>
      </c>
      <c r="O28" s="66" t="e">
        <f>#REF!</f>
        <v>#REF!</v>
      </c>
      <c r="P28" s="66" t="e">
        <f>#REF!</f>
        <v>#REF!</v>
      </c>
      <c r="Q28" s="66" t="e">
        <f>#REF!</f>
        <v>#REF!</v>
      </c>
      <c r="R28" s="66" t="e">
        <f>#REF!</f>
        <v>#REF!</v>
      </c>
      <c r="S28" s="66" t="e">
        <f>#REF!</f>
        <v>#REF!</v>
      </c>
      <c r="T28" s="66" t="e">
        <f>#REF!</f>
        <v>#REF!</v>
      </c>
      <c r="U28" s="66" t="e">
        <f>#REF!</f>
        <v>#REF!</v>
      </c>
      <c r="W28" s="88"/>
      <c r="X28" s="88"/>
      <c r="Y28" s="69" t="e">
        <f>'Team Info'!$B$19&amp;": "&amp;O28&amp;""</f>
        <v>#REF!</v>
      </c>
      <c r="Z28" s="69" t="e">
        <f>'Team Info'!$B$19&amp;": "&amp;N28&amp;""</f>
        <v>#REF!</v>
      </c>
      <c r="AB28" s="68" t="e">
        <f t="shared" si="0"/>
        <v>#REF!</v>
      </c>
      <c r="AC28" s="68" t="e">
        <f t="shared" si="1"/>
        <v>#REF!</v>
      </c>
      <c r="AD28" s="68" t="e">
        <f t="shared" si="2"/>
        <v>#REF!</v>
      </c>
      <c r="AE28" s="68" t="e">
        <f t="shared" si="3"/>
        <v>#REF!</v>
      </c>
      <c r="AF28" s="68" t="e">
        <f t="shared" si="4"/>
        <v>#REF!</v>
      </c>
      <c r="AG28" s="68" t="e">
        <f t="shared" si="5"/>
        <v>#REF!</v>
      </c>
      <c r="AH28" s="68" t="e">
        <f t="shared" si="6"/>
        <v>#REF!</v>
      </c>
      <c r="AI28" s="68" t="e">
        <f t="shared" si="7"/>
        <v>#REF!</v>
      </c>
      <c r="AJ28" s="68" t="e">
        <f t="shared" si="8"/>
        <v>#REF!</v>
      </c>
    </row>
    <row r="29" spans="1:36" x14ac:dyDescent="0.25">
      <c r="A29" s="30">
        <v>28</v>
      </c>
      <c r="B29" s="30">
        <v>28</v>
      </c>
      <c r="C29" s="63" t="str">
        <f>Roster!$T31</f>
        <v xml:space="preserve"> </v>
      </c>
      <c r="D29" s="10"/>
      <c r="E29" s="70"/>
      <c r="F29" s="10"/>
      <c r="G29" s="70"/>
      <c r="H29" s="10"/>
      <c r="I29" s="70"/>
      <c r="J29" s="71"/>
      <c r="K29" s="64"/>
      <c r="L29" s="66" t="e">
        <f>#REF!</f>
        <v>#REF!</v>
      </c>
      <c r="M29" s="66" t="e">
        <f>#REF!</f>
        <v>#REF!</v>
      </c>
      <c r="N29" s="66" t="e">
        <f>#REF!</f>
        <v>#REF!</v>
      </c>
      <c r="O29" s="66" t="e">
        <f>#REF!</f>
        <v>#REF!</v>
      </c>
      <c r="P29" s="66" t="e">
        <f>#REF!</f>
        <v>#REF!</v>
      </c>
      <c r="Q29" s="66" t="e">
        <f>#REF!</f>
        <v>#REF!</v>
      </c>
      <c r="R29" s="66" t="e">
        <f>#REF!</f>
        <v>#REF!</v>
      </c>
      <c r="S29" s="66" t="e">
        <f>#REF!</f>
        <v>#REF!</v>
      </c>
      <c r="T29" s="66" t="e">
        <f>#REF!</f>
        <v>#REF!</v>
      </c>
      <c r="U29" s="66" t="e">
        <f>#REF!</f>
        <v>#REF!</v>
      </c>
      <c r="W29" s="88"/>
      <c r="X29" s="88"/>
      <c r="Y29" s="69" t="e">
        <f>'Team Info'!$B$19&amp;": "&amp;O29&amp;""</f>
        <v>#REF!</v>
      </c>
      <c r="Z29" s="69" t="e">
        <f>'Team Info'!$B$19&amp;": "&amp;N29&amp;""</f>
        <v>#REF!</v>
      </c>
      <c r="AB29" s="68" t="e">
        <f t="shared" si="0"/>
        <v>#REF!</v>
      </c>
      <c r="AC29" s="68" t="e">
        <f t="shared" si="1"/>
        <v>#REF!</v>
      </c>
      <c r="AD29" s="68" t="e">
        <f t="shared" si="2"/>
        <v>#REF!</v>
      </c>
      <c r="AE29" s="68" t="e">
        <f t="shared" si="3"/>
        <v>#REF!</v>
      </c>
      <c r="AF29" s="68" t="e">
        <f t="shared" si="4"/>
        <v>#REF!</v>
      </c>
      <c r="AG29" s="68" t="e">
        <f t="shared" si="5"/>
        <v>#REF!</v>
      </c>
      <c r="AH29" s="68" t="e">
        <f t="shared" si="6"/>
        <v>#REF!</v>
      </c>
      <c r="AI29" s="68" t="e">
        <f t="shared" si="7"/>
        <v>#REF!</v>
      </c>
      <c r="AJ29" s="68" t="e">
        <f t="shared" si="8"/>
        <v>#REF!</v>
      </c>
    </row>
    <row r="30" spans="1:36" x14ac:dyDescent="0.25">
      <c r="A30" s="30">
        <v>29</v>
      </c>
      <c r="B30" s="30">
        <v>29</v>
      </c>
      <c r="C30" s="63" t="str">
        <f>Roster!$T32</f>
        <v xml:space="preserve"> </v>
      </c>
      <c r="D30" s="10"/>
      <c r="E30" s="70"/>
      <c r="F30" s="10"/>
      <c r="G30" s="70"/>
      <c r="H30" s="10"/>
      <c r="I30" s="70"/>
      <c r="J30" s="71"/>
      <c r="K30" s="64"/>
      <c r="L30" s="66" t="e">
        <f>#REF!</f>
        <v>#REF!</v>
      </c>
      <c r="M30" s="66" t="e">
        <f>#REF!</f>
        <v>#REF!</v>
      </c>
      <c r="N30" s="66" t="e">
        <f>#REF!</f>
        <v>#REF!</v>
      </c>
      <c r="O30" s="66" t="e">
        <f>#REF!</f>
        <v>#REF!</v>
      </c>
      <c r="P30" s="66" t="e">
        <f>#REF!</f>
        <v>#REF!</v>
      </c>
      <c r="Q30" s="66" t="e">
        <f>#REF!</f>
        <v>#REF!</v>
      </c>
      <c r="R30" s="66" t="e">
        <f>#REF!</f>
        <v>#REF!</v>
      </c>
      <c r="S30" s="66" t="e">
        <f>#REF!</f>
        <v>#REF!</v>
      </c>
      <c r="T30" s="66" t="e">
        <f>#REF!</f>
        <v>#REF!</v>
      </c>
      <c r="U30" s="66" t="e">
        <f>#REF!</f>
        <v>#REF!</v>
      </c>
      <c r="W30" s="88"/>
      <c r="X30" s="88"/>
      <c r="Y30" s="69" t="e">
        <f>'Team Info'!$B$19&amp;": "&amp;O30&amp;""</f>
        <v>#REF!</v>
      </c>
      <c r="Z30" s="69" t="e">
        <f>'Team Info'!$B$19&amp;": "&amp;N30&amp;""</f>
        <v>#REF!</v>
      </c>
      <c r="AB30" s="68" t="e">
        <f t="shared" si="0"/>
        <v>#REF!</v>
      </c>
      <c r="AC30" s="68" t="e">
        <f t="shared" si="1"/>
        <v>#REF!</v>
      </c>
      <c r="AD30" s="68" t="e">
        <f t="shared" si="2"/>
        <v>#REF!</v>
      </c>
      <c r="AE30" s="68" t="e">
        <f t="shared" si="3"/>
        <v>#REF!</v>
      </c>
      <c r="AF30" s="68" t="e">
        <f t="shared" si="4"/>
        <v>#REF!</v>
      </c>
      <c r="AG30" s="68" t="e">
        <f t="shared" si="5"/>
        <v>#REF!</v>
      </c>
      <c r="AH30" s="68" t="e">
        <f t="shared" si="6"/>
        <v>#REF!</v>
      </c>
      <c r="AI30" s="68" t="e">
        <f t="shared" si="7"/>
        <v>#REF!</v>
      </c>
      <c r="AJ30" s="68" t="e">
        <f t="shared" si="8"/>
        <v>#REF!</v>
      </c>
    </row>
    <row r="31" spans="1:36" x14ac:dyDescent="0.25">
      <c r="A31" s="30">
        <v>30</v>
      </c>
      <c r="B31" s="30">
        <v>30</v>
      </c>
      <c r="C31" s="63" t="str">
        <f>Roster!$T33</f>
        <v xml:space="preserve"> </v>
      </c>
      <c r="D31" s="10"/>
      <c r="E31" s="70"/>
      <c r="F31" s="10"/>
      <c r="G31" s="70"/>
      <c r="H31" s="10"/>
      <c r="I31" s="70"/>
      <c r="J31" s="71"/>
      <c r="K31" s="64"/>
      <c r="L31" s="66" t="e">
        <f>#REF!</f>
        <v>#REF!</v>
      </c>
      <c r="M31" s="66" t="e">
        <f>#REF!</f>
        <v>#REF!</v>
      </c>
      <c r="N31" s="66" t="e">
        <f>#REF!</f>
        <v>#REF!</v>
      </c>
      <c r="O31" s="66" t="e">
        <f>#REF!</f>
        <v>#REF!</v>
      </c>
      <c r="P31" s="66" t="e">
        <f>#REF!</f>
        <v>#REF!</v>
      </c>
      <c r="Q31" s="66" t="e">
        <f>#REF!</f>
        <v>#REF!</v>
      </c>
      <c r="R31" s="66" t="e">
        <f>#REF!</f>
        <v>#REF!</v>
      </c>
      <c r="S31" s="66" t="e">
        <f>#REF!</f>
        <v>#REF!</v>
      </c>
      <c r="T31" s="66" t="e">
        <f>#REF!</f>
        <v>#REF!</v>
      </c>
      <c r="U31" s="66" t="e">
        <f>#REF!</f>
        <v>#REF!</v>
      </c>
      <c r="W31" s="88"/>
      <c r="X31" s="88"/>
      <c r="Y31" s="69" t="e">
        <f>'Team Info'!$B$19&amp;": "&amp;O31&amp;""</f>
        <v>#REF!</v>
      </c>
      <c r="Z31" s="69" t="e">
        <f>'Team Info'!$B$19&amp;": "&amp;N31&amp;""</f>
        <v>#REF!</v>
      </c>
      <c r="AB31" s="68" t="e">
        <f t="shared" si="0"/>
        <v>#REF!</v>
      </c>
      <c r="AC31" s="68" t="e">
        <f t="shared" si="1"/>
        <v>#REF!</v>
      </c>
      <c r="AD31" s="68" t="e">
        <f t="shared" si="2"/>
        <v>#REF!</v>
      </c>
      <c r="AE31" s="68" t="e">
        <f t="shared" si="3"/>
        <v>#REF!</v>
      </c>
      <c r="AF31" s="68" t="e">
        <f t="shared" si="4"/>
        <v>#REF!</v>
      </c>
      <c r="AG31" s="68" t="e">
        <f t="shared" si="5"/>
        <v>#REF!</v>
      </c>
      <c r="AH31" s="68" t="e">
        <f t="shared" si="6"/>
        <v>#REF!</v>
      </c>
      <c r="AI31" s="68" t="e">
        <f t="shared" si="7"/>
        <v>#REF!</v>
      </c>
      <c r="AJ31" s="68" t="e">
        <f t="shared" si="8"/>
        <v>#REF!</v>
      </c>
    </row>
    <row r="32" spans="1:36" x14ac:dyDescent="0.25">
      <c r="A32" s="30">
        <v>31</v>
      </c>
      <c r="B32" s="30">
        <v>31</v>
      </c>
      <c r="C32" s="63" t="str">
        <f>Roster!$T34</f>
        <v xml:space="preserve"> </v>
      </c>
      <c r="D32" s="10"/>
      <c r="E32" s="70"/>
      <c r="F32" s="10"/>
      <c r="G32" s="70"/>
      <c r="H32" s="10"/>
      <c r="I32" s="70"/>
      <c r="J32" s="71"/>
      <c r="K32" s="64"/>
      <c r="L32" s="66" t="e">
        <f>#REF!</f>
        <v>#REF!</v>
      </c>
      <c r="M32" s="66" t="e">
        <f>#REF!</f>
        <v>#REF!</v>
      </c>
      <c r="N32" s="66" t="e">
        <f>#REF!</f>
        <v>#REF!</v>
      </c>
      <c r="O32" s="66" t="e">
        <f>#REF!</f>
        <v>#REF!</v>
      </c>
      <c r="P32" s="66" t="e">
        <f>#REF!</f>
        <v>#REF!</v>
      </c>
      <c r="Q32" s="66" t="e">
        <f>#REF!</f>
        <v>#REF!</v>
      </c>
      <c r="R32" s="66" t="e">
        <f>#REF!</f>
        <v>#REF!</v>
      </c>
      <c r="S32" s="66" t="e">
        <f>#REF!</f>
        <v>#REF!</v>
      </c>
      <c r="T32" s="66" t="e">
        <f>#REF!</f>
        <v>#REF!</v>
      </c>
      <c r="U32" s="66" t="e">
        <f>#REF!</f>
        <v>#REF!</v>
      </c>
      <c r="W32" s="88"/>
      <c r="X32" s="88"/>
      <c r="Y32" s="69" t="e">
        <f>'Team Info'!$B$19&amp;": "&amp;O32&amp;""</f>
        <v>#REF!</v>
      </c>
      <c r="Z32" s="69" t="e">
        <f>'Team Info'!$B$19&amp;": "&amp;N32&amp;""</f>
        <v>#REF!</v>
      </c>
      <c r="AB32" s="68" t="e">
        <f t="shared" si="0"/>
        <v>#REF!</v>
      </c>
      <c r="AC32" s="68" t="e">
        <f t="shared" si="1"/>
        <v>#REF!</v>
      </c>
      <c r="AD32" s="68" t="e">
        <f t="shared" si="2"/>
        <v>#REF!</v>
      </c>
      <c r="AE32" s="68" t="e">
        <f t="shared" si="3"/>
        <v>#REF!</v>
      </c>
      <c r="AF32" s="68" t="e">
        <f t="shared" si="4"/>
        <v>#REF!</v>
      </c>
      <c r="AG32" s="68" t="e">
        <f t="shared" si="5"/>
        <v>#REF!</v>
      </c>
      <c r="AH32" s="68" t="e">
        <f t="shared" si="6"/>
        <v>#REF!</v>
      </c>
      <c r="AI32" s="68" t="e">
        <f t="shared" si="7"/>
        <v>#REF!</v>
      </c>
      <c r="AJ32" s="68" t="e">
        <f t="shared" si="8"/>
        <v>#REF!</v>
      </c>
    </row>
    <row r="33" spans="1:36" x14ac:dyDescent="0.25">
      <c r="A33" s="30">
        <v>32</v>
      </c>
      <c r="B33" s="30">
        <v>32</v>
      </c>
      <c r="C33" s="63" t="str">
        <f>Roster!$T35</f>
        <v xml:space="preserve"> </v>
      </c>
      <c r="D33" s="10"/>
      <c r="E33" s="70"/>
      <c r="F33" s="10"/>
      <c r="G33" s="70"/>
      <c r="H33" s="10"/>
      <c r="I33" s="70"/>
      <c r="J33" s="71"/>
      <c r="K33" s="64"/>
      <c r="L33" s="66" t="e">
        <f>#REF!</f>
        <v>#REF!</v>
      </c>
      <c r="M33" s="66" t="e">
        <f>#REF!</f>
        <v>#REF!</v>
      </c>
      <c r="N33" s="66" t="e">
        <f>#REF!</f>
        <v>#REF!</v>
      </c>
      <c r="O33" s="66" t="e">
        <f>#REF!</f>
        <v>#REF!</v>
      </c>
      <c r="P33" s="66" t="e">
        <f>#REF!</f>
        <v>#REF!</v>
      </c>
      <c r="Q33" s="66" t="e">
        <f>#REF!</f>
        <v>#REF!</v>
      </c>
      <c r="R33" s="66" t="e">
        <f>#REF!</f>
        <v>#REF!</v>
      </c>
      <c r="S33" s="66" t="e">
        <f>#REF!</f>
        <v>#REF!</v>
      </c>
      <c r="T33" s="66" t="e">
        <f>#REF!</f>
        <v>#REF!</v>
      </c>
      <c r="U33" s="66" t="e">
        <f>#REF!</f>
        <v>#REF!</v>
      </c>
      <c r="W33" s="88"/>
      <c r="X33" s="88"/>
      <c r="Y33" s="69" t="e">
        <f>'Team Info'!$B$19&amp;": "&amp;O33&amp;""</f>
        <v>#REF!</v>
      </c>
      <c r="Z33" s="69" t="e">
        <f>'Team Info'!$B$19&amp;": "&amp;N33&amp;""</f>
        <v>#REF!</v>
      </c>
      <c r="AB33" s="68" t="e">
        <f t="shared" si="0"/>
        <v>#REF!</v>
      </c>
      <c r="AC33" s="68" t="e">
        <f t="shared" si="1"/>
        <v>#REF!</v>
      </c>
      <c r="AD33" s="68" t="e">
        <f t="shared" si="2"/>
        <v>#REF!</v>
      </c>
      <c r="AE33" s="68" t="e">
        <f t="shared" si="3"/>
        <v>#REF!</v>
      </c>
      <c r="AF33" s="68" t="e">
        <f t="shared" si="4"/>
        <v>#REF!</v>
      </c>
      <c r="AG33" s="68" t="e">
        <f t="shared" si="5"/>
        <v>#REF!</v>
      </c>
      <c r="AH33" s="68" t="e">
        <f t="shared" si="6"/>
        <v>#REF!</v>
      </c>
      <c r="AI33" s="68" t="e">
        <f t="shared" si="7"/>
        <v>#REF!</v>
      </c>
      <c r="AJ33" s="68" t="e">
        <f t="shared" si="8"/>
        <v>#REF!</v>
      </c>
    </row>
    <row r="34" spans="1:36" x14ac:dyDescent="0.25">
      <c r="A34" s="30">
        <v>33</v>
      </c>
      <c r="B34" s="30">
        <v>33</v>
      </c>
      <c r="C34" s="63" t="str">
        <f>Roster!$T36</f>
        <v xml:space="preserve"> </v>
      </c>
      <c r="D34" s="10"/>
      <c r="E34" s="70"/>
      <c r="F34" s="10"/>
      <c r="G34" s="70"/>
      <c r="H34" s="10"/>
      <c r="I34" s="70"/>
      <c r="J34" s="71"/>
      <c r="K34" s="64"/>
      <c r="L34" s="66" t="e">
        <f>#REF!</f>
        <v>#REF!</v>
      </c>
      <c r="M34" s="66" t="e">
        <f>#REF!</f>
        <v>#REF!</v>
      </c>
      <c r="N34" s="66" t="e">
        <f>#REF!</f>
        <v>#REF!</v>
      </c>
      <c r="O34" s="66" t="e">
        <f>#REF!</f>
        <v>#REF!</v>
      </c>
      <c r="P34" s="66" t="e">
        <f>#REF!</f>
        <v>#REF!</v>
      </c>
      <c r="Q34" s="66" t="e">
        <f>#REF!</f>
        <v>#REF!</v>
      </c>
      <c r="R34" s="66" t="e">
        <f>#REF!</f>
        <v>#REF!</v>
      </c>
      <c r="S34" s="66" t="e">
        <f>#REF!</f>
        <v>#REF!</v>
      </c>
      <c r="T34" s="66" t="e">
        <f>#REF!</f>
        <v>#REF!</v>
      </c>
      <c r="U34" s="66" t="e">
        <f>#REF!</f>
        <v>#REF!</v>
      </c>
      <c r="W34" s="88"/>
      <c r="X34" s="88"/>
      <c r="Y34" s="69" t="e">
        <f>'Team Info'!$B$19&amp;": "&amp;O34&amp;""</f>
        <v>#REF!</v>
      </c>
      <c r="Z34" s="69" t="e">
        <f>'Team Info'!$B$19&amp;": "&amp;N34&amp;""</f>
        <v>#REF!</v>
      </c>
      <c r="AB34" s="68" t="e">
        <f t="shared" si="0"/>
        <v>#REF!</v>
      </c>
      <c r="AC34" s="68" t="e">
        <f t="shared" si="1"/>
        <v>#REF!</v>
      </c>
      <c r="AD34" s="68" t="e">
        <f t="shared" si="2"/>
        <v>#REF!</v>
      </c>
      <c r="AE34" s="68" t="e">
        <f t="shared" si="3"/>
        <v>#REF!</v>
      </c>
      <c r="AF34" s="68" t="e">
        <f t="shared" si="4"/>
        <v>#REF!</v>
      </c>
      <c r="AG34" s="68" t="e">
        <f t="shared" si="5"/>
        <v>#REF!</v>
      </c>
      <c r="AH34" s="68" t="e">
        <f t="shared" si="6"/>
        <v>#REF!</v>
      </c>
      <c r="AI34" s="68" t="e">
        <f t="shared" si="7"/>
        <v>#REF!</v>
      </c>
      <c r="AJ34" s="68" t="e">
        <f t="shared" si="8"/>
        <v>#REF!</v>
      </c>
    </row>
    <row r="35" spans="1:36" x14ac:dyDescent="0.25">
      <c r="A35" s="30">
        <v>34</v>
      </c>
      <c r="B35" s="30">
        <v>34</v>
      </c>
      <c r="C35" s="63" t="str">
        <f>Roster!$T37</f>
        <v xml:space="preserve"> </v>
      </c>
      <c r="D35" s="10"/>
      <c r="E35" s="70"/>
      <c r="F35" s="10"/>
      <c r="G35" s="70"/>
      <c r="H35" s="10"/>
      <c r="I35" s="70"/>
      <c r="J35" s="71"/>
      <c r="K35" s="64"/>
      <c r="L35" s="66" t="e">
        <f>#REF!</f>
        <v>#REF!</v>
      </c>
      <c r="M35" s="66" t="e">
        <f>#REF!</f>
        <v>#REF!</v>
      </c>
      <c r="N35" s="66" t="e">
        <f>#REF!</f>
        <v>#REF!</v>
      </c>
      <c r="O35" s="66" t="e">
        <f>#REF!</f>
        <v>#REF!</v>
      </c>
      <c r="P35" s="66" t="e">
        <f>#REF!</f>
        <v>#REF!</v>
      </c>
      <c r="Q35" s="66" t="e">
        <f>#REF!</f>
        <v>#REF!</v>
      </c>
      <c r="R35" s="66" t="e">
        <f>#REF!</f>
        <v>#REF!</v>
      </c>
      <c r="S35" s="66" t="e">
        <f>#REF!</f>
        <v>#REF!</v>
      </c>
      <c r="T35" s="66" t="e">
        <f>#REF!</f>
        <v>#REF!</v>
      </c>
      <c r="U35" s="66" t="e">
        <f>#REF!</f>
        <v>#REF!</v>
      </c>
      <c r="W35" s="88"/>
      <c r="X35" s="88"/>
      <c r="Y35" s="69" t="e">
        <f>'Team Info'!$B$19&amp;": "&amp;O35&amp;""</f>
        <v>#REF!</v>
      </c>
      <c r="Z35" s="69" t="e">
        <f>'Team Info'!$B$19&amp;": "&amp;N35&amp;""</f>
        <v>#REF!</v>
      </c>
      <c r="AB35" s="68" t="e">
        <f t="shared" si="0"/>
        <v>#REF!</v>
      </c>
      <c r="AC35" s="68" t="e">
        <f t="shared" si="1"/>
        <v>#REF!</v>
      </c>
      <c r="AD35" s="68" t="e">
        <f t="shared" si="2"/>
        <v>#REF!</v>
      </c>
      <c r="AE35" s="68" t="e">
        <f t="shared" si="3"/>
        <v>#REF!</v>
      </c>
      <c r="AF35" s="68" t="e">
        <f t="shared" si="4"/>
        <v>#REF!</v>
      </c>
      <c r="AG35" s="68" t="e">
        <f t="shared" si="5"/>
        <v>#REF!</v>
      </c>
      <c r="AH35" s="68" t="e">
        <f t="shared" si="6"/>
        <v>#REF!</v>
      </c>
      <c r="AI35" s="68" t="e">
        <f t="shared" si="7"/>
        <v>#REF!</v>
      </c>
      <c r="AJ35" s="68" t="e">
        <f t="shared" si="8"/>
        <v>#REF!</v>
      </c>
    </row>
    <row r="36" spans="1:36" x14ac:dyDescent="0.25">
      <c r="A36" s="30">
        <v>35</v>
      </c>
      <c r="B36" s="30">
        <v>35</v>
      </c>
      <c r="C36" s="63" t="str">
        <f>Roster!$T38</f>
        <v xml:space="preserve"> </v>
      </c>
      <c r="D36" s="10"/>
      <c r="E36" s="70"/>
      <c r="F36" s="10"/>
      <c r="G36" s="70"/>
      <c r="H36" s="10"/>
      <c r="I36" s="70"/>
      <c r="J36" s="71"/>
      <c r="K36" s="64"/>
      <c r="L36" s="66" t="e">
        <f>#REF!</f>
        <v>#REF!</v>
      </c>
      <c r="M36" s="66" t="e">
        <f>#REF!</f>
        <v>#REF!</v>
      </c>
      <c r="N36" s="66" t="e">
        <f>#REF!</f>
        <v>#REF!</v>
      </c>
      <c r="O36" s="66" t="e">
        <f>#REF!</f>
        <v>#REF!</v>
      </c>
      <c r="P36" s="66" t="e">
        <f>#REF!</f>
        <v>#REF!</v>
      </c>
      <c r="Q36" s="66" t="e">
        <f>#REF!</f>
        <v>#REF!</v>
      </c>
      <c r="R36" s="66" t="e">
        <f>#REF!</f>
        <v>#REF!</v>
      </c>
      <c r="S36" s="66" t="e">
        <f>#REF!</f>
        <v>#REF!</v>
      </c>
      <c r="T36" s="66" t="e">
        <f>#REF!</f>
        <v>#REF!</v>
      </c>
      <c r="U36" s="66" t="e">
        <f>#REF!</f>
        <v>#REF!</v>
      </c>
      <c r="W36" s="88"/>
      <c r="X36" s="88"/>
      <c r="Y36" s="69" t="e">
        <f>'Team Info'!$B$19&amp;": "&amp;O36&amp;""</f>
        <v>#REF!</v>
      </c>
      <c r="Z36" s="69" t="e">
        <f>'Team Info'!$B$19&amp;": "&amp;N36&amp;""</f>
        <v>#REF!</v>
      </c>
      <c r="AB36" s="68" t="e">
        <f t="shared" si="0"/>
        <v>#REF!</v>
      </c>
      <c r="AC36" s="68" t="e">
        <f t="shared" si="1"/>
        <v>#REF!</v>
      </c>
      <c r="AD36" s="68" t="e">
        <f t="shared" si="2"/>
        <v>#REF!</v>
      </c>
      <c r="AE36" s="68" t="e">
        <f t="shared" si="3"/>
        <v>#REF!</v>
      </c>
      <c r="AF36" s="68" t="e">
        <f t="shared" si="4"/>
        <v>#REF!</v>
      </c>
      <c r="AG36" s="68" t="e">
        <f t="shared" si="5"/>
        <v>#REF!</v>
      </c>
      <c r="AH36" s="68" t="e">
        <f t="shared" si="6"/>
        <v>#REF!</v>
      </c>
      <c r="AI36" s="68" t="e">
        <f t="shared" si="7"/>
        <v>#REF!</v>
      </c>
      <c r="AJ36" s="68" t="e">
        <f t="shared" si="8"/>
        <v>#REF!</v>
      </c>
    </row>
    <row r="37" spans="1:36" x14ac:dyDescent="0.25">
      <c r="A37" s="30">
        <v>36</v>
      </c>
      <c r="B37" s="30">
        <v>36</v>
      </c>
      <c r="C37" s="63" t="str">
        <f>Roster!$T39</f>
        <v xml:space="preserve"> </v>
      </c>
      <c r="D37" s="10"/>
      <c r="E37" s="70"/>
      <c r="F37" s="10"/>
      <c r="G37" s="70"/>
      <c r="H37" s="10"/>
      <c r="I37" s="70"/>
      <c r="J37" s="71"/>
      <c r="K37" s="64"/>
      <c r="L37" s="66" t="e">
        <f>#REF!</f>
        <v>#REF!</v>
      </c>
      <c r="M37" s="66" t="e">
        <f>#REF!</f>
        <v>#REF!</v>
      </c>
      <c r="N37" s="66" t="e">
        <f>#REF!</f>
        <v>#REF!</v>
      </c>
      <c r="O37" s="66" t="e">
        <f>#REF!</f>
        <v>#REF!</v>
      </c>
      <c r="P37" s="66" t="e">
        <f>#REF!</f>
        <v>#REF!</v>
      </c>
      <c r="Q37" s="66" t="e">
        <f>#REF!</f>
        <v>#REF!</v>
      </c>
      <c r="R37" s="66" t="e">
        <f>#REF!</f>
        <v>#REF!</v>
      </c>
      <c r="S37" s="66" t="e">
        <f>#REF!</f>
        <v>#REF!</v>
      </c>
      <c r="T37" s="66" t="e">
        <f>#REF!</f>
        <v>#REF!</v>
      </c>
      <c r="U37" s="66" t="e">
        <f>#REF!</f>
        <v>#REF!</v>
      </c>
      <c r="W37" s="88"/>
      <c r="X37" s="88"/>
      <c r="Y37" s="69" t="e">
        <f>'Team Info'!$B$19&amp;": "&amp;O37&amp;""</f>
        <v>#REF!</v>
      </c>
      <c r="Z37" s="69" t="e">
        <f>'Team Info'!$B$19&amp;": "&amp;N37&amp;""</f>
        <v>#REF!</v>
      </c>
      <c r="AB37" s="68" t="e">
        <f t="shared" si="0"/>
        <v>#REF!</v>
      </c>
      <c r="AC37" s="68" t="e">
        <f t="shared" si="1"/>
        <v>#REF!</v>
      </c>
      <c r="AD37" s="68" t="e">
        <f t="shared" si="2"/>
        <v>#REF!</v>
      </c>
      <c r="AE37" s="68" t="e">
        <f t="shared" si="3"/>
        <v>#REF!</v>
      </c>
      <c r="AF37" s="68" t="e">
        <f t="shared" si="4"/>
        <v>#REF!</v>
      </c>
      <c r="AG37" s="68" t="e">
        <f t="shared" si="5"/>
        <v>#REF!</v>
      </c>
      <c r="AH37" s="68" t="e">
        <f t="shared" si="6"/>
        <v>#REF!</v>
      </c>
      <c r="AI37" s="68" t="e">
        <f t="shared" si="7"/>
        <v>#REF!</v>
      </c>
      <c r="AJ37" s="68" t="e">
        <f t="shared" si="8"/>
        <v>#REF!</v>
      </c>
    </row>
    <row r="38" spans="1:36" x14ac:dyDescent="0.25">
      <c r="A38" s="30">
        <v>37</v>
      </c>
      <c r="B38" s="30">
        <v>37</v>
      </c>
      <c r="C38" s="63" t="str">
        <f>Roster!$T40</f>
        <v xml:space="preserve"> </v>
      </c>
      <c r="D38" s="10"/>
      <c r="E38" s="70"/>
      <c r="F38" s="10"/>
      <c r="G38" s="70"/>
      <c r="H38" s="10"/>
      <c r="I38" s="70"/>
      <c r="J38" s="71"/>
      <c r="K38" s="64"/>
      <c r="L38" s="66" t="e">
        <f>#REF!</f>
        <v>#REF!</v>
      </c>
      <c r="M38" s="66" t="e">
        <f>#REF!</f>
        <v>#REF!</v>
      </c>
      <c r="N38" s="66" t="e">
        <f>#REF!</f>
        <v>#REF!</v>
      </c>
      <c r="O38" s="66" t="e">
        <f>#REF!</f>
        <v>#REF!</v>
      </c>
      <c r="P38" s="66" t="e">
        <f>#REF!</f>
        <v>#REF!</v>
      </c>
      <c r="Q38" s="66" t="e">
        <f>#REF!</f>
        <v>#REF!</v>
      </c>
      <c r="R38" s="66" t="e">
        <f>#REF!</f>
        <v>#REF!</v>
      </c>
      <c r="S38" s="66" t="e">
        <f>#REF!</f>
        <v>#REF!</v>
      </c>
      <c r="T38" s="66" t="e">
        <f>#REF!</f>
        <v>#REF!</v>
      </c>
      <c r="U38" s="66" t="e">
        <f>#REF!</f>
        <v>#REF!</v>
      </c>
      <c r="W38" s="88"/>
      <c r="X38" s="88"/>
      <c r="Y38" s="69" t="e">
        <f>'Team Info'!$B$19&amp;": "&amp;O38&amp;""</f>
        <v>#REF!</v>
      </c>
      <c r="Z38" s="69" t="e">
        <f>'Team Info'!$B$19&amp;": "&amp;N38&amp;""</f>
        <v>#REF!</v>
      </c>
      <c r="AB38" s="68" t="e">
        <f t="shared" si="0"/>
        <v>#REF!</v>
      </c>
      <c r="AC38" s="68" t="e">
        <f t="shared" si="1"/>
        <v>#REF!</v>
      </c>
      <c r="AD38" s="68" t="e">
        <f t="shared" si="2"/>
        <v>#REF!</v>
      </c>
      <c r="AE38" s="68" t="e">
        <f t="shared" si="3"/>
        <v>#REF!</v>
      </c>
      <c r="AF38" s="68" t="e">
        <f t="shared" si="4"/>
        <v>#REF!</v>
      </c>
      <c r="AG38" s="68" t="e">
        <f t="shared" si="5"/>
        <v>#REF!</v>
      </c>
      <c r="AH38" s="68" t="e">
        <f t="shared" si="6"/>
        <v>#REF!</v>
      </c>
      <c r="AI38" s="68" t="e">
        <f t="shared" si="7"/>
        <v>#REF!</v>
      </c>
      <c r="AJ38" s="68" t="e">
        <f t="shared" si="8"/>
        <v>#REF!</v>
      </c>
    </row>
    <row r="39" spans="1:36" x14ac:dyDescent="0.25">
      <c r="A39" s="30">
        <v>38</v>
      </c>
      <c r="B39" s="30">
        <v>38</v>
      </c>
      <c r="C39" s="63" t="str">
        <f>Roster!$T41</f>
        <v xml:space="preserve"> </v>
      </c>
      <c r="D39" s="10"/>
      <c r="E39" s="70"/>
      <c r="F39" s="10"/>
      <c r="G39" s="70"/>
      <c r="H39" s="10"/>
      <c r="I39" s="70"/>
      <c r="J39" s="71"/>
      <c r="K39" s="64"/>
      <c r="L39" s="66" t="e">
        <f>#REF!</f>
        <v>#REF!</v>
      </c>
      <c r="M39" s="66" t="e">
        <f>#REF!</f>
        <v>#REF!</v>
      </c>
      <c r="N39" s="66" t="e">
        <f>#REF!</f>
        <v>#REF!</v>
      </c>
      <c r="O39" s="66" t="e">
        <f>#REF!</f>
        <v>#REF!</v>
      </c>
      <c r="P39" s="66" t="e">
        <f>#REF!</f>
        <v>#REF!</v>
      </c>
      <c r="Q39" s="66" t="e">
        <f>#REF!</f>
        <v>#REF!</v>
      </c>
      <c r="R39" s="66" t="e">
        <f>#REF!</f>
        <v>#REF!</v>
      </c>
      <c r="S39" s="66" t="e">
        <f>#REF!</f>
        <v>#REF!</v>
      </c>
      <c r="T39" s="66" t="e">
        <f>#REF!</f>
        <v>#REF!</v>
      </c>
      <c r="U39" s="66" t="e">
        <f>#REF!</f>
        <v>#REF!</v>
      </c>
      <c r="W39" s="88"/>
      <c r="X39" s="88"/>
      <c r="Y39" s="69" t="e">
        <f>'Team Info'!$B$19&amp;": "&amp;O39&amp;""</f>
        <v>#REF!</v>
      </c>
      <c r="Z39" s="69" t="e">
        <f>'Team Info'!$B$19&amp;": "&amp;N39&amp;""</f>
        <v>#REF!</v>
      </c>
      <c r="AB39" s="68" t="e">
        <f t="shared" si="0"/>
        <v>#REF!</v>
      </c>
      <c r="AC39" s="68" t="e">
        <f t="shared" si="1"/>
        <v>#REF!</v>
      </c>
      <c r="AD39" s="68" t="e">
        <f t="shared" si="2"/>
        <v>#REF!</v>
      </c>
      <c r="AE39" s="68" t="e">
        <f t="shared" si="3"/>
        <v>#REF!</v>
      </c>
      <c r="AF39" s="68" t="e">
        <f t="shared" si="4"/>
        <v>#REF!</v>
      </c>
      <c r="AG39" s="68" t="e">
        <f t="shared" si="5"/>
        <v>#REF!</v>
      </c>
      <c r="AH39" s="68" t="e">
        <f t="shared" si="6"/>
        <v>#REF!</v>
      </c>
      <c r="AI39" s="68" t="e">
        <f t="shared" si="7"/>
        <v>#REF!</v>
      </c>
      <c r="AJ39" s="68" t="e">
        <f t="shared" si="8"/>
        <v>#REF!</v>
      </c>
    </row>
    <row r="40" spans="1:36" x14ac:dyDescent="0.25">
      <c r="A40" s="30">
        <v>39</v>
      </c>
      <c r="B40" s="30">
        <v>39</v>
      </c>
      <c r="C40" s="63" t="str">
        <f>Roster!$T42</f>
        <v xml:space="preserve"> </v>
      </c>
      <c r="D40" s="10"/>
      <c r="E40" s="70"/>
      <c r="F40" s="10"/>
      <c r="G40" s="70"/>
      <c r="H40" s="10"/>
      <c r="I40" s="70"/>
      <c r="J40" s="71"/>
      <c r="K40" s="64"/>
      <c r="L40" s="66" t="e">
        <f>#REF!</f>
        <v>#REF!</v>
      </c>
      <c r="M40" s="66" t="e">
        <f>#REF!</f>
        <v>#REF!</v>
      </c>
      <c r="N40" s="66" t="e">
        <f>#REF!</f>
        <v>#REF!</v>
      </c>
      <c r="O40" s="66" t="e">
        <f>#REF!</f>
        <v>#REF!</v>
      </c>
      <c r="P40" s="66" t="e">
        <f>#REF!</f>
        <v>#REF!</v>
      </c>
      <c r="Q40" s="66" t="e">
        <f>#REF!</f>
        <v>#REF!</v>
      </c>
      <c r="R40" s="66" t="e">
        <f>#REF!</f>
        <v>#REF!</v>
      </c>
      <c r="S40" s="66" t="e">
        <f>#REF!</f>
        <v>#REF!</v>
      </c>
      <c r="T40" s="66" t="e">
        <f>#REF!</f>
        <v>#REF!</v>
      </c>
      <c r="U40" s="66" t="e">
        <f>#REF!</f>
        <v>#REF!</v>
      </c>
      <c r="W40" s="88"/>
      <c r="X40" s="88"/>
      <c r="Y40" s="69" t="e">
        <f>'Team Info'!$B$19&amp;": "&amp;O40&amp;""</f>
        <v>#REF!</v>
      </c>
      <c r="Z40" s="69" t="e">
        <f>'Team Info'!$B$19&amp;": "&amp;N40&amp;""</f>
        <v>#REF!</v>
      </c>
      <c r="AB40" s="68" t="e">
        <f t="shared" si="0"/>
        <v>#REF!</v>
      </c>
      <c r="AC40" s="68" t="e">
        <f t="shared" si="1"/>
        <v>#REF!</v>
      </c>
      <c r="AD40" s="68" t="e">
        <f t="shared" si="2"/>
        <v>#REF!</v>
      </c>
      <c r="AE40" s="68" t="e">
        <f t="shared" si="3"/>
        <v>#REF!</v>
      </c>
      <c r="AF40" s="68" t="e">
        <f t="shared" si="4"/>
        <v>#REF!</v>
      </c>
      <c r="AG40" s="68" t="e">
        <f t="shared" si="5"/>
        <v>#REF!</v>
      </c>
      <c r="AH40" s="68" t="e">
        <f t="shared" si="6"/>
        <v>#REF!</v>
      </c>
      <c r="AI40" s="68" t="e">
        <f t="shared" si="7"/>
        <v>#REF!</v>
      </c>
      <c r="AJ40" s="68" t="e">
        <f t="shared" si="8"/>
        <v>#REF!</v>
      </c>
    </row>
    <row r="41" spans="1:36" x14ac:dyDescent="0.25">
      <c r="A41" s="30">
        <v>40</v>
      </c>
      <c r="B41" s="30">
        <v>40</v>
      </c>
      <c r="C41" s="63" t="str">
        <f>Roster!$T43</f>
        <v xml:space="preserve"> </v>
      </c>
      <c r="D41" s="10"/>
      <c r="E41" s="70"/>
      <c r="F41" s="10"/>
      <c r="G41" s="70"/>
      <c r="H41" s="10"/>
      <c r="I41" s="70"/>
      <c r="J41" s="71"/>
      <c r="K41" s="64"/>
      <c r="L41" s="66" t="e">
        <f>#REF!</f>
        <v>#REF!</v>
      </c>
      <c r="M41" s="66" t="e">
        <f>#REF!</f>
        <v>#REF!</v>
      </c>
      <c r="N41" s="66" t="e">
        <f>#REF!</f>
        <v>#REF!</v>
      </c>
      <c r="O41" s="66" t="e">
        <f>#REF!</f>
        <v>#REF!</v>
      </c>
      <c r="P41" s="66" t="e">
        <f>#REF!</f>
        <v>#REF!</v>
      </c>
      <c r="Q41" s="66" t="e">
        <f>#REF!</f>
        <v>#REF!</v>
      </c>
      <c r="R41" s="66" t="e">
        <f>#REF!</f>
        <v>#REF!</v>
      </c>
      <c r="S41" s="66" t="e">
        <f>#REF!</f>
        <v>#REF!</v>
      </c>
      <c r="T41" s="66" t="e">
        <f>#REF!</f>
        <v>#REF!</v>
      </c>
      <c r="U41" s="66" t="e">
        <f>#REF!</f>
        <v>#REF!</v>
      </c>
      <c r="W41" s="88"/>
      <c r="X41" s="88"/>
      <c r="Y41" s="69" t="e">
        <f>'Team Info'!$B$19&amp;": "&amp;O41&amp;""</f>
        <v>#REF!</v>
      </c>
      <c r="Z41" s="69" t="e">
        <f>'Team Info'!$B$19&amp;": "&amp;N41&amp;""</f>
        <v>#REF!</v>
      </c>
      <c r="AB41" s="68" t="e">
        <f t="shared" si="0"/>
        <v>#REF!</v>
      </c>
      <c r="AC41" s="68" t="e">
        <f t="shared" si="1"/>
        <v>#REF!</v>
      </c>
      <c r="AD41" s="68" t="e">
        <f t="shared" si="2"/>
        <v>#REF!</v>
      </c>
      <c r="AE41" s="68" t="e">
        <f t="shared" si="3"/>
        <v>#REF!</v>
      </c>
      <c r="AF41" s="68" t="e">
        <f t="shared" si="4"/>
        <v>#REF!</v>
      </c>
      <c r="AG41" s="68" t="e">
        <f t="shared" si="5"/>
        <v>#REF!</v>
      </c>
      <c r="AH41" s="68" t="e">
        <f t="shared" si="6"/>
        <v>#REF!</v>
      </c>
      <c r="AI41" s="68" t="e">
        <f t="shared" si="7"/>
        <v>#REF!</v>
      </c>
      <c r="AJ41" s="68" t="e">
        <f t="shared" si="8"/>
        <v>#REF!</v>
      </c>
    </row>
    <row r="42" spans="1:36" x14ac:dyDescent="0.25">
      <c r="A42" s="30">
        <v>41</v>
      </c>
      <c r="B42" s="30">
        <v>41</v>
      </c>
      <c r="C42" s="63" t="str">
        <f>Roster!$T44</f>
        <v xml:space="preserve"> </v>
      </c>
      <c r="D42" s="10"/>
      <c r="E42" s="70"/>
      <c r="F42" s="10"/>
      <c r="G42" s="70"/>
      <c r="H42" s="10"/>
      <c r="I42" s="70"/>
      <c r="J42" s="71"/>
      <c r="K42" s="64"/>
      <c r="L42" s="66" t="e">
        <f>#REF!</f>
        <v>#REF!</v>
      </c>
      <c r="M42" s="66" t="e">
        <f>#REF!</f>
        <v>#REF!</v>
      </c>
      <c r="N42" s="66" t="e">
        <f>#REF!</f>
        <v>#REF!</v>
      </c>
      <c r="O42" s="66" t="e">
        <f>#REF!</f>
        <v>#REF!</v>
      </c>
      <c r="P42" s="66" t="e">
        <f>#REF!</f>
        <v>#REF!</v>
      </c>
      <c r="Q42" s="66" t="e">
        <f>#REF!</f>
        <v>#REF!</v>
      </c>
      <c r="R42" s="66" t="e">
        <f>#REF!</f>
        <v>#REF!</v>
      </c>
      <c r="S42" s="66" t="e">
        <f>#REF!</f>
        <v>#REF!</v>
      </c>
      <c r="T42" s="66" t="e">
        <f>#REF!</f>
        <v>#REF!</v>
      </c>
      <c r="U42" s="66" t="e">
        <f>#REF!</f>
        <v>#REF!</v>
      </c>
      <c r="W42" s="88"/>
      <c r="X42" s="88"/>
      <c r="Y42" s="69" t="e">
        <f>'Team Info'!$B$19&amp;": "&amp;O42&amp;""</f>
        <v>#REF!</v>
      </c>
      <c r="Z42" s="69" t="e">
        <f>'Team Info'!$B$19&amp;": "&amp;N42&amp;""</f>
        <v>#REF!</v>
      </c>
      <c r="AB42" s="68" t="e">
        <f t="shared" si="0"/>
        <v>#REF!</v>
      </c>
      <c r="AC42" s="68" t="e">
        <f t="shared" si="1"/>
        <v>#REF!</v>
      </c>
      <c r="AD42" s="68" t="e">
        <f t="shared" si="2"/>
        <v>#REF!</v>
      </c>
      <c r="AE42" s="68" t="e">
        <f t="shared" si="3"/>
        <v>#REF!</v>
      </c>
      <c r="AF42" s="68" t="e">
        <f t="shared" si="4"/>
        <v>#REF!</v>
      </c>
      <c r="AG42" s="68" t="e">
        <f t="shared" si="5"/>
        <v>#REF!</v>
      </c>
      <c r="AH42" s="68" t="e">
        <f t="shared" si="6"/>
        <v>#REF!</v>
      </c>
      <c r="AI42" s="68" t="e">
        <f t="shared" si="7"/>
        <v>#REF!</v>
      </c>
      <c r="AJ42" s="68" t="e">
        <f t="shared" si="8"/>
        <v>#REF!</v>
      </c>
    </row>
    <row r="43" spans="1:36" x14ac:dyDescent="0.25">
      <c r="A43" s="30">
        <v>42</v>
      </c>
      <c r="B43" s="30">
        <v>42</v>
      </c>
      <c r="C43" s="63" t="str">
        <f>Roster!$T45</f>
        <v xml:space="preserve"> </v>
      </c>
      <c r="D43" s="10"/>
      <c r="E43" s="70"/>
      <c r="F43" s="10"/>
      <c r="G43" s="70"/>
      <c r="H43" s="10"/>
      <c r="I43" s="70"/>
      <c r="J43" s="71"/>
      <c r="K43" s="64"/>
      <c r="L43" s="66" t="e">
        <f>#REF!</f>
        <v>#REF!</v>
      </c>
      <c r="M43" s="66" t="e">
        <f>#REF!</f>
        <v>#REF!</v>
      </c>
      <c r="N43" s="66" t="e">
        <f>#REF!</f>
        <v>#REF!</v>
      </c>
      <c r="O43" s="66" t="e">
        <f>#REF!</f>
        <v>#REF!</v>
      </c>
      <c r="P43" s="66" t="e">
        <f>#REF!</f>
        <v>#REF!</v>
      </c>
      <c r="Q43" s="66" t="e">
        <f>#REF!</f>
        <v>#REF!</v>
      </c>
      <c r="R43" s="66" t="e">
        <f>#REF!</f>
        <v>#REF!</v>
      </c>
      <c r="S43" s="66" t="e">
        <f>#REF!</f>
        <v>#REF!</v>
      </c>
      <c r="T43" s="66" t="e">
        <f>#REF!</f>
        <v>#REF!</v>
      </c>
      <c r="U43" s="66" t="e">
        <f>#REF!</f>
        <v>#REF!</v>
      </c>
      <c r="W43" s="88"/>
      <c r="X43" s="88"/>
      <c r="Y43" s="69" t="e">
        <f>'Team Info'!$B$19&amp;": "&amp;O43&amp;""</f>
        <v>#REF!</v>
      </c>
      <c r="Z43" s="69" t="e">
        <f>'Team Info'!$B$19&amp;": "&amp;N43&amp;""</f>
        <v>#REF!</v>
      </c>
      <c r="AB43" s="68" t="e">
        <f t="shared" si="0"/>
        <v>#REF!</v>
      </c>
      <c r="AC43" s="68" t="e">
        <f t="shared" si="1"/>
        <v>#REF!</v>
      </c>
      <c r="AD43" s="68" t="e">
        <f t="shared" si="2"/>
        <v>#REF!</v>
      </c>
      <c r="AE43" s="68" t="e">
        <f t="shared" si="3"/>
        <v>#REF!</v>
      </c>
      <c r="AF43" s="68" t="e">
        <f t="shared" si="4"/>
        <v>#REF!</v>
      </c>
      <c r="AG43" s="68" t="e">
        <f t="shared" si="5"/>
        <v>#REF!</v>
      </c>
      <c r="AH43" s="68" t="e">
        <f t="shared" si="6"/>
        <v>#REF!</v>
      </c>
      <c r="AI43" s="68" t="e">
        <f t="shared" si="7"/>
        <v>#REF!</v>
      </c>
      <c r="AJ43" s="68" t="e">
        <f t="shared" si="8"/>
        <v>#REF!</v>
      </c>
    </row>
    <row r="44" spans="1:36" x14ac:dyDescent="0.25">
      <c r="A44" s="30">
        <v>43</v>
      </c>
      <c r="B44" s="30">
        <v>43</v>
      </c>
      <c r="C44" s="63" t="str">
        <f>Roster!$T46</f>
        <v xml:space="preserve"> </v>
      </c>
      <c r="D44" s="10"/>
      <c r="E44" s="70"/>
      <c r="F44" s="10"/>
      <c r="G44" s="70"/>
      <c r="H44" s="10"/>
      <c r="I44" s="70"/>
      <c r="J44" s="71"/>
      <c r="K44" s="64"/>
      <c r="L44" s="66" t="e">
        <f>#REF!</f>
        <v>#REF!</v>
      </c>
      <c r="M44" s="66" t="e">
        <f>#REF!</f>
        <v>#REF!</v>
      </c>
      <c r="N44" s="66" t="e">
        <f>#REF!</f>
        <v>#REF!</v>
      </c>
      <c r="O44" s="66" t="e">
        <f>#REF!</f>
        <v>#REF!</v>
      </c>
      <c r="P44" s="66" t="e">
        <f>#REF!</f>
        <v>#REF!</v>
      </c>
      <c r="Q44" s="66" t="e">
        <f>#REF!</f>
        <v>#REF!</v>
      </c>
      <c r="R44" s="66" t="e">
        <f>#REF!</f>
        <v>#REF!</v>
      </c>
      <c r="S44" s="66" t="e">
        <f>#REF!</f>
        <v>#REF!</v>
      </c>
      <c r="T44" s="66" t="e">
        <f>#REF!</f>
        <v>#REF!</v>
      </c>
      <c r="U44" s="66" t="e">
        <f>#REF!</f>
        <v>#REF!</v>
      </c>
      <c r="W44" s="88"/>
      <c r="X44" s="88"/>
      <c r="Y44" s="69" t="e">
        <f>'Team Info'!$B$19&amp;": "&amp;O44&amp;""</f>
        <v>#REF!</v>
      </c>
      <c r="Z44" s="69" t="e">
        <f>'Team Info'!$B$19&amp;": "&amp;N44&amp;""</f>
        <v>#REF!</v>
      </c>
      <c r="AB44" s="68" t="e">
        <f t="shared" si="0"/>
        <v>#REF!</v>
      </c>
      <c r="AC44" s="68" t="e">
        <f t="shared" si="1"/>
        <v>#REF!</v>
      </c>
      <c r="AD44" s="68" t="e">
        <f t="shared" si="2"/>
        <v>#REF!</v>
      </c>
      <c r="AE44" s="68" t="e">
        <f t="shared" si="3"/>
        <v>#REF!</v>
      </c>
      <c r="AF44" s="68" t="e">
        <f t="shared" si="4"/>
        <v>#REF!</v>
      </c>
      <c r="AG44" s="68" t="e">
        <f t="shared" si="5"/>
        <v>#REF!</v>
      </c>
      <c r="AH44" s="68" t="e">
        <f t="shared" si="6"/>
        <v>#REF!</v>
      </c>
      <c r="AI44" s="68" t="e">
        <f t="shared" si="7"/>
        <v>#REF!</v>
      </c>
      <c r="AJ44" s="68" t="e">
        <f t="shared" si="8"/>
        <v>#REF!</v>
      </c>
    </row>
    <row r="45" spans="1:36" x14ac:dyDescent="0.25">
      <c r="A45" s="30">
        <v>44</v>
      </c>
      <c r="B45" s="30">
        <v>44</v>
      </c>
      <c r="C45" s="63" t="str">
        <f>Roster!$T47</f>
        <v xml:space="preserve"> </v>
      </c>
      <c r="D45" s="10"/>
      <c r="E45" s="70"/>
      <c r="F45" s="10"/>
      <c r="G45" s="70"/>
      <c r="H45" s="10"/>
      <c r="I45" s="70"/>
      <c r="J45" s="71"/>
      <c r="K45" s="64"/>
      <c r="L45" s="66" t="e">
        <f>#REF!</f>
        <v>#REF!</v>
      </c>
      <c r="M45" s="66" t="e">
        <f>#REF!</f>
        <v>#REF!</v>
      </c>
      <c r="N45" s="66" t="e">
        <f>#REF!</f>
        <v>#REF!</v>
      </c>
      <c r="O45" s="66" t="e">
        <f>#REF!</f>
        <v>#REF!</v>
      </c>
      <c r="P45" s="66" t="e">
        <f>#REF!</f>
        <v>#REF!</v>
      </c>
      <c r="Q45" s="66" t="e">
        <f>#REF!</f>
        <v>#REF!</v>
      </c>
      <c r="R45" s="66" t="e">
        <f>#REF!</f>
        <v>#REF!</v>
      </c>
      <c r="S45" s="66" t="e">
        <f>#REF!</f>
        <v>#REF!</v>
      </c>
      <c r="T45" s="66" t="e">
        <f>#REF!</f>
        <v>#REF!</v>
      </c>
      <c r="U45" s="66" t="e">
        <f>#REF!</f>
        <v>#REF!</v>
      </c>
      <c r="W45" s="88"/>
      <c r="X45" s="88"/>
      <c r="Y45" s="69" t="e">
        <f>'Team Info'!$B$19&amp;": "&amp;O45&amp;""</f>
        <v>#REF!</v>
      </c>
      <c r="Z45" s="69" t="e">
        <f>'Team Info'!$B$19&amp;": "&amp;N45&amp;""</f>
        <v>#REF!</v>
      </c>
      <c r="AB45" s="68" t="e">
        <f t="shared" si="0"/>
        <v>#REF!</v>
      </c>
      <c r="AC45" s="68" t="e">
        <f t="shared" si="1"/>
        <v>#REF!</v>
      </c>
      <c r="AD45" s="68" t="e">
        <f t="shared" si="2"/>
        <v>#REF!</v>
      </c>
      <c r="AE45" s="68" t="e">
        <f t="shared" si="3"/>
        <v>#REF!</v>
      </c>
      <c r="AF45" s="68" t="e">
        <f t="shared" si="4"/>
        <v>#REF!</v>
      </c>
      <c r="AG45" s="68" t="e">
        <f t="shared" si="5"/>
        <v>#REF!</v>
      </c>
      <c r="AH45" s="68" t="e">
        <f t="shared" si="6"/>
        <v>#REF!</v>
      </c>
      <c r="AI45" s="68" t="e">
        <f t="shared" si="7"/>
        <v>#REF!</v>
      </c>
      <c r="AJ45" s="68" t="e">
        <f t="shared" si="8"/>
        <v>#REF!</v>
      </c>
    </row>
    <row r="46" spans="1:36" x14ac:dyDescent="0.25">
      <c r="A46" s="30">
        <v>45</v>
      </c>
      <c r="B46" s="30">
        <v>45</v>
      </c>
      <c r="C46" s="63" t="str">
        <f>Roster!$T48</f>
        <v xml:space="preserve"> </v>
      </c>
      <c r="D46" s="10"/>
      <c r="E46" s="70"/>
      <c r="F46" s="10"/>
      <c r="G46" s="70"/>
      <c r="H46" s="10"/>
      <c r="I46" s="70"/>
      <c r="J46" s="71"/>
      <c r="K46" s="64"/>
      <c r="L46" s="66" t="e">
        <f>#REF!</f>
        <v>#REF!</v>
      </c>
      <c r="M46" s="66" t="e">
        <f>#REF!</f>
        <v>#REF!</v>
      </c>
      <c r="N46" s="66" t="e">
        <f>#REF!</f>
        <v>#REF!</v>
      </c>
      <c r="O46" s="66" t="e">
        <f>#REF!</f>
        <v>#REF!</v>
      </c>
      <c r="P46" s="66" t="e">
        <f>#REF!</f>
        <v>#REF!</v>
      </c>
      <c r="Q46" s="66" t="e">
        <f>#REF!</f>
        <v>#REF!</v>
      </c>
      <c r="R46" s="66" t="e">
        <f>#REF!</f>
        <v>#REF!</v>
      </c>
      <c r="S46" s="66" t="e">
        <f>#REF!</f>
        <v>#REF!</v>
      </c>
      <c r="T46" s="66" t="e">
        <f>#REF!</f>
        <v>#REF!</v>
      </c>
      <c r="U46" s="66" t="e">
        <f>#REF!</f>
        <v>#REF!</v>
      </c>
      <c r="W46" s="88"/>
      <c r="X46" s="88"/>
      <c r="Y46" s="69" t="e">
        <f>'Team Info'!$B$19&amp;": "&amp;O46&amp;""</f>
        <v>#REF!</v>
      </c>
      <c r="Z46" s="69" t="e">
        <f>'Team Info'!$B$19&amp;": "&amp;N46&amp;""</f>
        <v>#REF!</v>
      </c>
      <c r="AB46" s="68" t="e">
        <f t="shared" si="0"/>
        <v>#REF!</v>
      </c>
      <c r="AC46" s="68" t="e">
        <f t="shared" si="1"/>
        <v>#REF!</v>
      </c>
      <c r="AD46" s="68" t="e">
        <f t="shared" si="2"/>
        <v>#REF!</v>
      </c>
      <c r="AE46" s="68" t="e">
        <f t="shared" si="3"/>
        <v>#REF!</v>
      </c>
      <c r="AF46" s="68" t="e">
        <f t="shared" si="4"/>
        <v>#REF!</v>
      </c>
      <c r="AG46" s="68" t="e">
        <f t="shared" si="5"/>
        <v>#REF!</v>
      </c>
      <c r="AH46" s="68" t="e">
        <f t="shared" si="6"/>
        <v>#REF!</v>
      </c>
      <c r="AI46" s="68" t="e">
        <f t="shared" si="7"/>
        <v>#REF!</v>
      </c>
      <c r="AJ46" s="68" t="e">
        <f t="shared" si="8"/>
        <v>#REF!</v>
      </c>
    </row>
    <row r="47" spans="1:36" x14ac:dyDescent="0.25">
      <c r="A47" s="30">
        <v>46</v>
      </c>
      <c r="B47" s="30">
        <v>46</v>
      </c>
      <c r="C47" s="63" t="str">
        <f>Roster!$T49</f>
        <v xml:space="preserve"> </v>
      </c>
      <c r="D47" s="10"/>
      <c r="E47" s="70"/>
      <c r="F47" s="10"/>
      <c r="G47" s="70"/>
      <c r="H47" s="10"/>
      <c r="I47" s="70"/>
      <c r="J47" s="71"/>
      <c r="K47" s="64"/>
      <c r="L47" s="66" t="e">
        <f>#REF!</f>
        <v>#REF!</v>
      </c>
      <c r="M47" s="66" t="e">
        <f>#REF!</f>
        <v>#REF!</v>
      </c>
      <c r="N47" s="66" t="e">
        <f>#REF!</f>
        <v>#REF!</v>
      </c>
      <c r="O47" s="66" t="e">
        <f>#REF!</f>
        <v>#REF!</v>
      </c>
      <c r="P47" s="66" t="e">
        <f>#REF!</f>
        <v>#REF!</v>
      </c>
      <c r="Q47" s="66" t="e">
        <f>#REF!</f>
        <v>#REF!</v>
      </c>
      <c r="R47" s="66" t="e">
        <f>#REF!</f>
        <v>#REF!</v>
      </c>
      <c r="S47" s="66" t="e">
        <f>#REF!</f>
        <v>#REF!</v>
      </c>
      <c r="T47" s="66" t="e">
        <f>#REF!</f>
        <v>#REF!</v>
      </c>
      <c r="U47" s="66" t="e">
        <f>#REF!</f>
        <v>#REF!</v>
      </c>
      <c r="W47" s="88"/>
      <c r="X47" s="88"/>
      <c r="Y47" s="69" t="e">
        <f>'Team Info'!$B$19&amp;": "&amp;O47&amp;""</f>
        <v>#REF!</v>
      </c>
      <c r="Z47" s="69" t="e">
        <f>'Team Info'!$B$19&amp;": "&amp;N47&amp;""</f>
        <v>#REF!</v>
      </c>
      <c r="AB47" s="68" t="e">
        <f t="shared" si="0"/>
        <v>#REF!</v>
      </c>
      <c r="AC47" s="68" t="e">
        <f t="shared" si="1"/>
        <v>#REF!</v>
      </c>
      <c r="AD47" s="68" t="e">
        <f t="shared" si="2"/>
        <v>#REF!</v>
      </c>
      <c r="AE47" s="68" t="e">
        <f t="shared" si="3"/>
        <v>#REF!</v>
      </c>
      <c r="AF47" s="68" t="e">
        <f t="shared" si="4"/>
        <v>#REF!</v>
      </c>
      <c r="AG47" s="68" t="e">
        <f t="shared" si="5"/>
        <v>#REF!</v>
      </c>
      <c r="AH47" s="68" t="e">
        <f t="shared" si="6"/>
        <v>#REF!</v>
      </c>
      <c r="AI47" s="68" t="e">
        <f t="shared" si="7"/>
        <v>#REF!</v>
      </c>
      <c r="AJ47" s="68" t="e">
        <f t="shared" si="8"/>
        <v>#REF!</v>
      </c>
    </row>
    <row r="48" spans="1:36" x14ac:dyDescent="0.25">
      <c r="A48" s="30">
        <v>47</v>
      </c>
      <c r="B48" s="30">
        <v>47</v>
      </c>
      <c r="C48" s="63" t="str">
        <f>Roster!$T50</f>
        <v xml:space="preserve"> </v>
      </c>
      <c r="D48" s="10"/>
      <c r="E48" s="70"/>
      <c r="F48" s="10"/>
      <c r="G48" s="70"/>
      <c r="H48" s="10"/>
      <c r="I48" s="70"/>
      <c r="J48" s="71"/>
      <c r="K48" s="64"/>
      <c r="L48" s="66" t="e">
        <f>#REF!</f>
        <v>#REF!</v>
      </c>
      <c r="M48" s="66" t="e">
        <f>#REF!</f>
        <v>#REF!</v>
      </c>
      <c r="N48" s="66" t="e">
        <f>#REF!</f>
        <v>#REF!</v>
      </c>
      <c r="O48" s="66" t="e">
        <f>#REF!</f>
        <v>#REF!</v>
      </c>
      <c r="P48" s="66" t="e">
        <f>#REF!</f>
        <v>#REF!</v>
      </c>
      <c r="Q48" s="66" t="e">
        <f>#REF!</f>
        <v>#REF!</v>
      </c>
      <c r="R48" s="66" t="e">
        <f>#REF!</f>
        <v>#REF!</v>
      </c>
      <c r="S48" s="66" t="e">
        <f>#REF!</f>
        <v>#REF!</v>
      </c>
      <c r="T48" s="66" t="e">
        <f>#REF!</f>
        <v>#REF!</v>
      </c>
      <c r="U48" s="66" t="e">
        <f>#REF!</f>
        <v>#REF!</v>
      </c>
      <c r="W48" s="88"/>
      <c r="X48" s="88"/>
      <c r="Y48" s="69" t="e">
        <f>'Team Info'!$B$19&amp;": "&amp;O48&amp;""</f>
        <v>#REF!</v>
      </c>
      <c r="Z48" s="69" t="e">
        <f>'Team Info'!$B$19&amp;": "&amp;N48&amp;""</f>
        <v>#REF!</v>
      </c>
      <c r="AB48" s="68" t="e">
        <f t="shared" si="0"/>
        <v>#REF!</v>
      </c>
      <c r="AC48" s="68" t="e">
        <f t="shared" si="1"/>
        <v>#REF!</v>
      </c>
      <c r="AD48" s="68" t="e">
        <f t="shared" si="2"/>
        <v>#REF!</v>
      </c>
      <c r="AE48" s="68" t="e">
        <f t="shared" si="3"/>
        <v>#REF!</v>
      </c>
      <c r="AF48" s="68" t="e">
        <f t="shared" si="4"/>
        <v>#REF!</v>
      </c>
      <c r="AG48" s="68" t="e">
        <f t="shared" si="5"/>
        <v>#REF!</v>
      </c>
      <c r="AH48" s="68" t="e">
        <f t="shared" si="6"/>
        <v>#REF!</v>
      </c>
      <c r="AI48" s="68" t="e">
        <f t="shared" si="7"/>
        <v>#REF!</v>
      </c>
      <c r="AJ48" s="68" t="e">
        <f t="shared" si="8"/>
        <v>#REF!</v>
      </c>
    </row>
    <row r="49" spans="1:36" x14ac:dyDescent="0.25">
      <c r="A49" s="30">
        <v>48</v>
      </c>
      <c r="B49" s="30">
        <v>48</v>
      </c>
      <c r="C49" s="63" t="str">
        <f>Roster!$T51</f>
        <v xml:space="preserve"> </v>
      </c>
      <c r="D49" s="10"/>
      <c r="E49" s="70"/>
      <c r="F49" s="10"/>
      <c r="G49" s="70"/>
      <c r="H49" s="10"/>
      <c r="I49" s="70"/>
      <c r="J49" s="71"/>
      <c r="K49" s="64"/>
      <c r="L49" s="66" t="e">
        <f>#REF!</f>
        <v>#REF!</v>
      </c>
      <c r="M49" s="66" t="e">
        <f>#REF!</f>
        <v>#REF!</v>
      </c>
      <c r="N49" s="66" t="e">
        <f>#REF!</f>
        <v>#REF!</v>
      </c>
      <c r="O49" s="66" t="e">
        <f>#REF!</f>
        <v>#REF!</v>
      </c>
      <c r="P49" s="66" t="e">
        <f>#REF!</f>
        <v>#REF!</v>
      </c>
      <c r="Q49" s="66" t="e">
        <f>#REF!</f>
        <v>#REF!</v>
      </c>
      <c r="R49" s="66" t="e">
        <f>#REF!</f>
        <v>#REF!</v>
      </c>
      <c r="S49" s="66" t="e">
        <f>#REF!</f>
        <v>#REF!</v>
      </c>
      <c r="T49" s="66" t="e">
        <f>#REF!</f>
        <v>#REF!</v>
      </c>
      <c r="U49" s="66" t="e">
        <f>#REF!</f>
        <v>#REF!</v>
      </c>
      <c r="W49" s="88"/>
      <c r="X49" s="88"/>
      <c r="Y49" s="69" t="e">
        <f>'Team Info'!$B$19&amp;": "&amp;O49&amp;""</f>
        <v>#REF!</v>
      </c>
      <c r="Z49" s="69" t="e">
        <f>'Team Info'!$B$19&amp;": "&amp;N49&amp;""</f>
        <v>#REF!</v>
      </c>
      <c r="AB49" s="68" t="e">
        <f t="shared" si="0"/>
        <v>#REF!</v>
      </c>
      <c r="AC49" s="68" t="e">
        <f t="shared" si="1"/>
        <v>#REF!</v>
      </c>
      <c r="AD49" s="68" t="e">
        <f t="shared" si="2"/>
        <v>#REF!</v>
      </c>
      <c r="AE49" s="68" t="e">
        <f t="shared" si="3"/>
        <v>#REF!</v>
      </c>
      <c r="AF49" s="68" t="e">
        <f t="shared" si="4"/>
        <v>#REF!</v>
      </c>
      <c r="AG49" s="68" t="e">
        <f t="shared" si="5"/>
        <v>#REF!</v>
      </c>
      <c r="AH49" s="68" t="e">
        <f t="shared" si="6"/>
        <v>#REF!</v>
      </c>
      <c r="AI49" s="68" t="e">
        <f t="shared" si="7"/>
        <v>#REF!</v>
      </c>
      <c r="AJ49" s="68" t="e">
        <f t="shared" si="8"/>
        <v>#REF!</v>
      </c>
    </row>
    <row r="50" spans="1:36" x14ac:dyDescent="0.25">
      <c r="A50" s="30">
        <v>49</v>
      </c>
      <c r="B50" s="30">
        <v>49</v>
      </c>
      <c r="C50" s="63" t="str">
        <f>Roster!$T52</f>
        <v xml:space="preserve"> </v>
      </c>
      <c r="D50" s="10"/>
      <c r="E50" s="70"/>
      <c r="F50" s="10"/>
      <c r="G50" s="70"/>
      <c r="H50" s="10"/>
      <c r="I50" s="70"/>
      <c r="J50" s="71"/>
      <c r="K50" s="64"/>
      <c r="L50" s="66" t="e">
        <f>#REF!</f>
        <v>#REF!</v>
      </c>
      <c r="M50" s="66" t="e">
        <f>#REF!</f>
        <v>#REF!</v>
      </c>
      <c r="N50" s="66" t="e">
        <f>#REF!</f>
        <v>#REF!</v>
      </c>
      <c r="O50" s="66" t="e">
        <f>#REF!</f>
        <v>#REF!</v>
      </c>
      <c r="P50" s="66" t="e">
        <f>#REF!</f>
        <v>#REF!</v>
      </c>
      <c r="Q50" s="66" t="e">
        <f>#REF!</f>
        <v>#REF!</v>
      </c>
      <c r="R50" s="66" t="e">
        <f>#REF!</f>
        <v>#REF!</v>
      </c>
      <c r="S50" s="66" t="e">
        <f>#REF!</f>
        <v>#REF!</v>
      </c>
      <c r="T50" s="66" t="e">
        <f>#REF!</f>
        <v>#REF!</v>
      </c>
      <c r="U50" s="66" t="e">
        <f>#REF!</f>
        <v>#REF!</v>
      </c>
      <c r="W50" s="88"/>
      <c r="X50" s="88"/>
      <c r="Y50" s="69" t="e">
        <f>'Team Info'!$B$19&amp;": "&amp;O50&amp;""</f>
        <v>#REF!</v>
      </c>
      <c r="Z50" s="69" t="e">
        <f>'Team Info'!$B$19&amp;": "&amp;N50&amp;""</f>
        <v>#REF!</v>
      </c>
      <c r="AB50" s="68" t="e">
        <f t="shared" si="0"/>
        <v>#REF!</v>
      </c>
      <c r="AC50" s="68" t="e">
        <f t="shared" si="1"/>
        <v>#REF!</v>
      </c>
      <c r="AD50" s="68" t="e">
        <f t="shared" si="2"/>
        <v>#REF!</v>
      </c>
      <c r="AE50" s="68" t="e">
        <f t="shared" si="3"/>
        <v>#REF!</v>
      </c>
      <c r="AF50" s="68" t="e">
        <f t="shared" si="4"/>
        <v>#REF!</v>
      </c>
      <c r="AG50" s="68" t="e">
        <f t="shared" si="5"/>
        <v>#REF!</v>
      </c>
      <c r="AH50" s="68" t="e">
        <f t="shared" si="6"/>
        <v>#REF!</v>
      </c>
      <c r="AI50" s="68" t="e">
        <f t="shared" si="7"/>
        <v>#REF!</v>
      </c>
      <c r="AJ50" s="68" t="e">
        <f t="shared" si="8"/>
        <v>#REF!</v>
      </c>
    </row>
    <row r="51" spans="1:36" x14ac:dyDescent="0.25">
      <c r="A51" s="30">
        <v>50</v>
      </c>
      <c r="B51" s="30">
        <v>50</v>
      </c>
      <c r="C51" s="63" t="str">
        <f>Roster!$T53</f>
        <v xml:space="preserve"> </v>
      </c>
      <c r="D51" s="10"/>
      <c r="E51" s="70"/>
      <c r="F51" s="10"/>
      <c r="G51" s="70"/>
      <c r="H51" s="10"/>
      <c r="I51" s="70"/>
      <c r="J51" s="71"/>
      <c r="K51" s="64"/>
      <c r="L51" s="66" t="e">
        <f>#REF!</f>
        <v>#REF!</v>
      </c>
      <c r="M51" s="66" t="e">
        <f>#REF!</f>
        <v>#REF!</v>
      </c>
      <c r="N51" s="66" t="e">
        <f>#REF!</f>
        <v>#REF!</v>
      </c>
      <c r="O51" s="66" t="e">
        <f>#REF!</f>
        <v>#REF!</v>
      </c>
      <c r="P51" s="66" t="e">
        <f>#REF!</f>
        <v>#REF!</v>
      </c>
      <c r="Q51" s="66" t="e">
        <f>#REF!</f>
        <v>#REF!</v>
      </c>
      <c r="R51" s="66" t="e">
        <f>#REF!</f>
        <v>#REF!</v>
      </c>
      <c r="S51" s="66" t="e">
        <f>#REF!</f>
        <v>#REF!</v>
      </c>
      <c r="T51" s="66" t="e">
        <f>#REF!</f>
        <v>#REF!</v>
      </c>
      <c r="U51" s="66" t="e">
        <f>#REF!</f>
        <v>#REF!</v>
      </c>
      <c r="W51" s="88"/>
      <c r="X51" s="88"/>
      <c r="Y51" s="69" t="e">
        <f>'Team Info'!$B$19&amp;": "&amp;O51&amp;""</f>
        <v>#REF!</v>
      </c>
      <c r="Z51" s="69" t="e">
        <f>'Team Info'!$B$19&amp;": "&amp;N51&amp;""</f>
        <v>#REF!</v>
      </c>
      <c r="AB51" s="68" t="e">
        <f t="shared" si="0"/>
        <v>#REF!</v>
      </c>
      <c r="AC51" s="68" t="e">
        <f t="shared" si="1"/>
        <v>#REF!</v>
      </c>
      <c r="AD51" s="68" t="e">
        <f t="shared" si="2"/>
        <v>#REF!</v>
      </c>
      <c r="AE51" s="68" t="e">
        <f t="shared" si="3"/>
        <v>#REF!</v>
      </c>
      <c r="AF51" s="68" t="e">
        <f t="shared" si="4"/>
        <v>#REF!</v>
      </c>
      <c r="AG51" s="68" t="e">
        <f t="shared" si="5"/>
        <v>#REF!</v>
      </c>
      <c r="AH51" s="68" t="e">
        <f t="shared" si="6"/>
        <v>#REF!</v>
      </c>
      <c r="AI51" s="68" t="e">
        <f t="shared" si="7"/>
        <v>#REF!</v>
      </c>
      <c r="AJ51" s="68" t="e">
        <f t="shared" si="8"/>
        <v>#REF!</v>
      </c>
    </row>
    <row r="52" spans="1:36" x14ac:dyDescent="0.25">
      <c r="A52" s="30">
        <v>51</v>
      </c>
      <c r="B52" s="30">
        <v>51</v>
      </c>
      <c r="C52" s="63" t="str">
        <f>Roster!$T54</f>
        <v xml:space="preserve"> </v>
      </c>
      <c r="D52" s="10"/>
      <c r="E52" s="70"/>
      <c r="F52" s="10"/>
      <c r="G52" s="70"/>
      <c r="H52" s="10"/>
      <c r="I52" s="70"/>
      <c r="J52" s="71"/>
      <c r="K52" s="64"/>
      <c r="L52" s="66" t="e">
        <f>#REF!</f>
        <v>#REF!</v>
      </c>
      <c r="M52" s="66" t="e">
        <f>#REF!</f>
        <v>#REF!</v>
      </c>
      <c r="N52" s="66" t="e">
        <f>#REF!</f>
        <v>#REF!</v>
      </c>
      <c r="O52" s="66" t="e">
        <f>#REF!</f>
        <v>#REF!</v>
      </c>
      <c r="P52" s="66" t="e">
        <f>#REF!</f>
        <v>#REF!</v>
      </c>
      <c r="Q52" s="66" t="e">
        <f>#REF!</f>
        <v>#REF!</v>
      </c>
      <c r="R52" s="66" t="e">
        <f>#REF!</f>
        <v>#REF!</v>
      </c>
      <c r="S52" s="66" t="e">
        <f>#REF!</f>
        <v>#REF!</v>
      </c>
      <c r="T52" s="66" t="e">
        <f>#REF!</f>
        <v>#REF!</v>
      </c>
      <c r="U52" s="66" t="e">
        <f>#REF!</f>
        <v>#REF!</v>
      </c>
      <c r="W52" s="88"/>
      <c r="X52" s="88"/>
      <c r="Y52" s="69" t="e">
        <f>'Team Info'!$B$19&amp;": "&amp;O52&amp;""</f>
        <v>#REF!</v>
      </c>
      <c r="Z52" s="69" t="e">
        <f>'Team Info'!$B$19&amp;": "&amp;N52&amp;""</f>
        <v>#REF!</v>
      </c>
      <c r="AB52" s="68" t="e">
        <f t="shared" si="0"/>
        <v>#REF!</v>
      </c>
      <c r="AC52" s="68" t="e">
        <f t="shared" si="1"/>
        <v>#REF!</v>
      </c>
      <c r="AD52" s="68" t="e">
        <f t="shared" si="2"/>
        <v>#REF!</v>
      </c>
      <c r="AE52" s="68" t="e">
        <f t="shared" si="3"/>
        <v>#REF!</v>
      </c>
      <c r="AF52" s="68" t="e">
        <f t="shared" si="4"/>
        <v>#REF!</v>
      </c>
      <c r="AG52" s="68" t="e">
        <f t="shared" si="5"/>
        <v>#REF!</v>
      </c>
      <c r="AH52" s="68" t="e">
        <f t="shared" si="6"/>
        <v>#REF!</v>
      </c>
      <c r="AI52" s="68" t="e">
        <f t="shared" si="7"/>
        <v>#REF!</v>
      </c>
      <c r="AJ52" s="68" t="e">
        <f t="shared" si="8"/>
        <v>#REF!</v>
      </c>
    </row>
    <row r="53" spans="1:36" x14ac:dyDescent="0.25">
      <c r="A53" s="30">
        <v>52</v>
      </c>
      <c r="B53" s="30">
        <v>52</v>
      </c>
      <c r="C53" s="63" t="str">
        <f>Roster!$T55</f>
        <v xml:space="preserve"> </v>
      </c>
      <c r="D53" s="10"/>
      <c r="E53" s="70"/>
      <c r="F53" s="10"/>
      <c r="G53" s="70"/>
      <c r="H53" s="10"/>
      <c r="I53" s="70"/>
      <c r="J53" s="71"/>
      <c r="K53" s="64"/>
      <c r="L53" s="66" t="e">
        <f>#REF!</f>
        <v>#REF!</v>
      </c>
      <c r="M53" s="66" t="e">
        <f>#REF!</f>
        <v>#REF!</v>
      </c>
      <c r="N53" s="66" t="e">
        <f>#REF!</f>
        <v>#REF!</v>
      </c>
      <c r="O53" s="66" t="e">
        <f>#REF!</f>
        <v>#REF!</v>
      </c>
      <c r="P53" s="66" t="e">
        <f>#REF!</f>
        <v>#REF!</v>
      </c>
      <c r="Q53" s="66" t="e">
        <f>#REF!</f>
        <v>#REF!</v>
      </c>
      <c r="R53" s="66" t="e">
        <f>#REF!</f>
        <v>#REF!</v>
      </c>
      <c r="S53" s="66" t="e">
        <f>#REF!</f>
        <v>#REF!</v>
      </c>
      <c r="T53" s="66" t="e">
        <f>#REF!</f>
        <v>#REF!</v>
      </c>
      <c r="U53" s="66" t="e">
        <f>#REF!</f>
        <v>#REF!</v>
      </c>
      <c r="W53" s="88"/>
      <c r="X53" s="88"/>
      <c r="Y53" s="69" t="e">
        <f>'Team Info'!$B$19&amp;": "&amp;O53&amp;""</f>
        <v>#REF!</v>
      </c>
      <c r="Z53" s="69" t="e">
        <f>'Team Info'!$B$19&amp;": "&amp;N53&amp;""</f>
        <v>#REF!</v>
      </c>
      <c r="AB53" s="68" t="e">
        <f t="shared" si="0"/>
        <v>#REF!</v>
      </c>
      <c r="AC53" s="68" t="e">
        <f t="shared" si="1"/>
        <v>#REF!</v>
      </c>
      <c r="AD53" s="68" t="e">
        <f t="shared" si="2"/>
        <v>#REF!</v>
      </c>
      <c r="AE53" s="68" t="e">
        <f t="shared" si="3"/>
        <v>#REF!</v>
      </c>
      <c r="AF53" s="68" t="e">
        <f t="shared" si="4"/>
        <v>#REF!</v>
      </c>
      <c r="AG53" s="68" t="e">
        <f t="shared" si="5"/>
        <v>#REF!</v>
      </c>
      <c r="AH53" s="68" t="e">
        <f t="shared" si="6"/>
        <v>#REF!</v>
      </c>
      <c r="AI53" s="68" t="e">
        <f t="shared" si="7"/>
        <v>#REF!</v>
      </c>
      <c r="AJ53" s="68" t="e">
        <f t="shared" si="8"/>
        <v>#REF!</v>
      </c>
    </row>
    <row r="54" spans="1:36" x14ac:dyDescent="0.25">
      <c r="A54" s="30">
        <v>53</v>
      </c>
      <c r="B54" s="30">
        <v>53</v>
      </c>
      <c r="C54" s="63" t="str">
        <f>Roster!$T56</f>
        <v xml:space="preserve"> </v>
      </c>
      <c r="D54" s="10"/>
      <c r="E54" s="70"/>
      <c r="F54" s="10"/>
      <c r="G54" s="70"/>
      <c r="H54" s="10"/>
      <c r="I54" s="70"/>
      <c r="J54" s="71"/>
      <c r="K54" s="64"/>
      <c r="L54" s="66" t="e">
        <f>#REF!</f>
        <v>#REF!</v>
      </c>
      <c r="M54" s="66" t="e">
        <f>#REF!</f>
        <v>#REF!</v>
      </c>
      <c r="N54" s="66" t="e">
        <f>#REF!</f>
        <v>#REF!</v>
      </c>
      <c r="O54" s="66" t="e">
        <f>#REF!</f>
        <v>#REF!</v>
      </c>
      <c r="P54" s="66" t="e">
        <f>#REF!</f>
        <v>#REF!</v>
      </c>
      <c r="Q54" s="66" t="e">
        <f>#REF!</f>
        <v>#REF!</v>
      </c>
      <c r="R54" s="66" t="e">
        <f>#REF!</f>
        <v>#REF!</v>
      </c>
      <c r="S54" s="66" t="e">
        <f>#REF!</f>
        <v>#REF!</v>
      </c>
      <c r="T54" s="66" t="e">
        <f>#REF!</f>
        <v>#REF!</v>
      </c>
      <c r="U54" s="66" t="e">
        <f>#REF!</f>
        <v>#REF!</v>
      </c>
      <c r="W54" s="88"/>
      <c r="X54" s="88"/>
      <c r="Y54" s="69" t="e">
        <f>'Team Info'!$B$19&amp;": "&amp;O54&amp;""</f>
        <v>#REF!</v>
      </c>
      <c r="Z54" s="69" t="e">
        <f>'Team Info'!$B$19&amp;": "&amp;N54&amp;""</f>
        <v>#REF!</v>
      </c>
      <c r="AB54" s="68" t="e">
        <f t="shared" si="0"/>
        <v>#REF!</v>
      </c>
      <c r="AC54" s="68" t="e">
        <f t="shared" si="1"/>
        <v>#REF!</v>
      </c>
      <c r="AD54" s="68" t="e">
        <f t="shared" si="2"/>
        <v>#REF!</v>
      </c>
      <c r="AE54" s="68" t="e">
        <f t="shared" si="3"/>
        <v>#REF!</v>
      </c>
      <c r="AF54" s="68" t="e">
        <f t="shared" si="4"/>
        <v>#REF!</v>
      </c>
      <c r="AG54" s="68" t="e">
        <f t="shared" si="5"/>
        <v>#REF!</v>
      </c>
      <c r="AH54" s="68" t="e">
        <f t="shared" si="6"/>
        <v>#REF!</v>
      </c>
      <c r="AI54" s="68" t="e">
        <f t="shared" si="7"/>
        <v>#REF!</v>
      </c>
      <c r="AJ54" s="68" t="e">
        <f t="shared" si="8"/>
        <v>#REF!</v>
      </c>
    </row>
    <row r="55" spans="1:36" x14ac:dyDescent="0.25">
      <c r="A55" s="30">
        <v>54</v>
      </c>
      <c r="B55" s="30">
        <v>54</v>
      </c>
      <c r="C55" s="63" t="str">
        <f>Roster!$T57</f>
        <v xml:space="preserve"> </v>
      </c>
      <c r="D55" s="10"/>
      <c r="E55" s="70"/>
      <c r="F55" s="10"/>
      <c r="G55" s="70"/>
      <c r="H55" s="10"/>
      <c r="I55" s="70"/>
      <c r="J55" s="71"/>
      <c r="K55" s="64"/>
      <c r="L55" s="66" t="e">
        <f>#REF!</f>
        <v>#REF!</v>
      </c>
      <c r="M55" s="66" t="e">
        <f>#REF!</f>
        <v>#REF!</v>
      </c>
      <c r="N55" s="66" t="e">
        <f>#REF!</f>
        <v>#REF!</v>
      </c>
      <c r="O55" s="66" t="e">
        <f>#REF!</f>
        <v>#REF!</v>
      </c>
      <c r="P55" s="66" t="e">
        <f>#REF!</f>
        <v>#REF!</v>
      </c>
      <c r="Q55" s="66" t="e">
        <f>#REF!</f>
        <v>#REF!</v>
      </c>
      <c r="R55" s="66" t="e">
        <f>#REF!</f>
        <v>#REF!</v>
      </c>
      <c r="S55" s="66" t="e">
        <f>#REF!</f>
        <v>#REF!</v>
      </c>
      <c r="T55" s="66" t="e">
        <f>#REF!</f>
        <v>#REF!</v>
      </c>
      <c r="U55" s="66" t="e">
        <f>#REF!</f>
        <v>#REF!</v>
      </c>
      <c r="W55" s="88"/>
      <c r="X55" s="88"/>
      <c r="Y55" s="69" t="e">
        <f>'Team Info'!$B$19&amp;": "&amp;O55&amp;""</f>
        <v>#REF!</v>
      </c>
      <c r="Z55" s="69" t="e">
        <f>'Team Info'!$B$19&amp;": "&amp;N55&amp;""</f>
        <v>#REF!</v>
      </c>
      <c r="AB55" s="68" t="e">
        <f t="shared" si="0"/>
        <v>#REF!</v>
      </c>
      <c r="AC55" s="68" t="e">
        <f t="shared" si="1"/>
        <v>#REF!</v>
      </c>
      <c r="AD55" s="68" t="e">
        <f t="shared" si="2"/>
        <v>#REF!</v>
      </c>
      <c r="AE55" s="68" t="e">
        <f t="shared" si="3"/>
        <v>#REF!</v>
      </c>
      <c r="AF55" s="68" t="e">
        <f t="shared" si="4"/>
        <v>#REF!</v>
      </c>
      <c r="AG55" s="68" t="e">
        <f t="shared" si="5"/>
        <v>#REF!</v>
      </c>
      <c r="AH55" s="68" t="e">
        <f t="shared" si="6"/>
        <v>#REF!</v>
      </c>
      <c r="AI55" s="68" t="e">
        <f t="shared" si="7"/>
        <v>#REF!</v>
      </c>
      <c r="AJ55" s="68" t="e">
        <f t="shared" si="8"/>
        <v>#REF!</v>
      </c>
    </row>
    <row r="56" spans="1:36" x14ac:dyDescent="0.25">
      <c r="A56" s="30">
        <v>55</v>
      </c>
      <c r="B56" s="30">
        <v>55</v>
      </c>
      <c r="C56" s="63" t="str">
        <f>Roster!$T58</f>
        <v xml:space="preserve"> </v>
      </c>
      <c r="D56" s="10"/>
      <c r="E56" s="70"/>
      <c r="F56" s="10"/>
      <c r="G56" s="70"/>
      <c r="H56" s="10"/>
      <c r="I56" s="70"/>
      <c r="J56" s="71"/>
      <c r="K56" s="64"/>
      <c r="L56" s="66" t="e">
        <f>#REF!</f>
        <v>#REF!</v>
      </c>
      <c r="M56" s="66" t="e">
        <f>#REF!</f>
        <v>#REF!</v>
      </c>
      <c r="N56" s="66" t="e">
        <f>#REF!</f>
        <v>#REF!</v>
      </c>
      <c r="O56" s="66" t="e">
        <f>#REF!</f>
        <v>#REF!</v>
      </c>
      <c r="P56" s="66" t="e">
        <f>#REF!</f>
        <v>#REF!</v>
      </c>
      <c r="Q56" s="66" t="e">
        <f>#REF!</f>
        <v>#REF!</v>
      </c>
      <c r="R56" s="66" t="e">
        <f>#REF!</f>
        <v>#REF!</v>
      </c>
      <c r="S56" s="66" t="e">
        <f>#REF!</f>
        <v>#REF!</v>
      </c>
      <c r="T56" s="66" t="e">
        <f>#REF!</f>
        <v>#REF!</v>
      </c>
      <c r="U56" s="66" t="e">
        <f>#REF!</f>
        <v>#REF!</v>
      </c>
      <c r="W56" s="88"/>
      <c r="X56" s="88"/>
      <c r="Y56" s="69" t="e">
        <f>'Team Info'!$B$19&amp;": "&amp;O56&amp;""</f>
        <v>#REF!</v>
      </c>
      <c r="Z56" s="69" t="e">
        <f>'Team Info'!$B$19&amp;": "&amp;N56&amp;""</f>
        <v>#REF!</v>
      </c>
      <c r="AB56" s="68" t="e">
        <f t="shared" si="0"/>
        <v>#REF!</v>
      </c>
      <c r="AC56" s="68" t="e">
        <f t="shared" si="1"/>
        <v>#REF!</v>
      </c>
      <c r="AD56" s="68" t="e">
        <f t="shared" si="2"/>
        <v>#REF!</v>
      </c>
      <c r="AE56" s="68" t="e">
        <f t="shared" si="3"/>
        <v>#REF!</v>
      </c>
      <c r="AF56" s="68" t="e">
        <f t="shared" si="4"/>
        <v>#REF!</v>
      </c>
      <c r="AG56" s="68" t="e">
        <f t="shared" si="5"/>
        <v>#REF!</v>
      </c>
      <c r="AH56" s="68" t="e">
        <f t="shared" si="6"/>
        <v>#REF!</v>
      </c>
      <c r="AI56" s="68" t="e">
        <f t="shared" si="7"/>
        <v>#REF!</v>
      </c>
      <c r="AJ56" s="68" t="e">
        <f t="shared" si="8"/>
        <v>#REF!</v>
      </c>
    </row>
    <row r="57" spans="1:36" x14ac:dyDescent="0.25">
      <c r="A57" s="30">
        <v>56</v>
      </c>
      <c r="B57" s="30">
        <v>56</v>
      </c>
      <c r="C57" s="63" t="str">
        <f>Roster!$T59</f>
        <v xml:space="preserve"> </v>
      </c>
      <c r="D57" s="10"/>
      <c r="E57" s="70"/>
      <c r="F57" s="10"/>
      <c r="G57" s="70"/>
      <c r="H57" s="10"/>
      <c r="I57" s="70"/>
      <c r="J57" s="71"/>
      <c r="K57" s="64"/>
      <c r="L57" s="66" t="e">
        <f>#REF!</f>
        <v>#REF!</v>
      </c>
      <c r="M57" s="66" t="e">
        <f>#REF!</f>
        <v>#REF!</v>
      </c>
      <c r="N57" s="66" t="e">
        <f>#REF!</f>
        <v>#REF!</v>
      </c>
      <c r="O57" s="66" t="e">
        <f>#REF!</f>
        <v>#REF!</v>
      </c>
      <c r="P57" s="66" t="e">
        <f>#REF!</f>
        <v>#REF!</v>
      </c>
      <c r="Q57" s="66" t="e">
        <f>#REF!</f>
        <v>#REF!</v>
      </c>
      <c r="R57" s="66" t="e">
        <f>#REF!</f>
        <v>#REF!</v>
      </c>
      <c r="S57" s="66" t="e">
        <f>#REF!</f>
        <v>#REF!</v>
      </c>
      <c r="T57" s="66" t="e">
        <f>#REF!</f>
        <v>#REF!</v>
      </c>
      <c r="U57" s="66" t="e">
        <f>#REF!</f>
        <v>#REF!</v>
      </c>
      <c r="W57" s="88"/>
      <c r="X57" s="88"/>
      <c r="Y57" s="69" t="e">
        <f>'Team Info'!$B$19&amp;": "&amp;O57&amp;""</f>
        <v>#REF!</v>
      </c>
      <c r="Z57" s="69" t="e">
        <f>'Team Info'!$B$19&amp;": "&amp;N57&amp;""</f>
        <v>#REF!</v>
      </c>
      <c r="AB57" s="68" t="e">
        <f t="shared" si="0"/>
        <v>#REF!</v>
      </c>
      <c r="AC57" s="68" t="e">
        <f t="shared" si="1"/>
        <v>#REF!</v>
      </c>
      <c r="AD57" s="68" t="e">
        <f t="shared" si="2"/>
        <v>#REF!</v>
      </c>
      <c r="AE57" s="68" t="e">
        <f t="shared" si="3"/>
        <v>#REF!</v>
      </c>
      <c r="AF57" s="68" t="e">
        <f t="shared" si="4"/>
        <v>#REF!</v>
      </c>
      <c r="AG57" s="68" t="e">
        <f t="shared" si="5"/>
        <v>#REF!</v>
      </c>
      <c r="AH57" s="68" t="e">
        <f t="shared" si="6"/>
        <v>#REF!</v>
      </c>
      <c r="AI57" s="68" t="e">
        <f t="shared" si="7"/>
        <v>#REF!</v>
      </c>
      <c r="AJ57" s="68" t="e">
        <f t="shared" si="8"/>
        <v>#REF!</v>
      </c>
    </row>
    <row r="58" spans="1:36" x14ac:dyDescent="0.25">
      <c r="A58" s="30">
        <v>57</v>
      </c>
      <c r="B58" s="30">
        <v>57</v>
      </c>
      <c r="C58" s="63" t="str">
        <f>Roster!$T60</f>
        <v xml:space="preserve"> </v>
      </c>
      <c r="D58" s="10"/>
      <c r="E58" s="70"/>
      <c r="F58" s="10"/>
      <c r="G58" s="70"/>
      <c r="H58" s="10"/>
      <c r="I58" s="70"/>
      <c r="J58" s="71"/>
      <c r="K58" s="64"/>
      <c r="L58" s="66" t="e">
        <f>#REF!</f>
        <v>#REF!</v>
      </c>
      <c r="M58" s="66" t="e">
        <f>#REF!</f>
        <v>#REF!</v>
      </c>
      <c r="N58" s="66" t="e">
        <f>#REF!</f>
        <v>#REF!</v>
      </c>
      <c r="O58" s="66" t="e">
        <f>#REF!</f>
        <v>#REF!</v>
      </c>
      <c r="P58" s="66" t="e">
        <f>#REF!</f>
        <v>#REF!</v>
      </c>
      <c r="Q58" s="66" t="e">
        <f>#REF!</f>
        <v>#REF!</v>
      </c>
      <c r="R58" s="66" t="e">
        <f>#REF!</f>
        <v>#REF!</v>
      </c>
      <c r="S58" s="66" t="e">
        <f>#REF!</f>
        <v>#REF!</v>
      </c>
      <c r="T58" s="66" t="e">
        <f>#REF!</f>
        <v>#REF!</v>
      </c>
      <c r="U58" s="66" t="e">
        <f>#REF!</f>
        <v>#REF!</v>
      </c>
      <c r="W58" s="88"/>
      <c r="X58" s="88"/>
      <c r="Y58" s="69" t="e">
        <f>'Team Info'!$B$19&amp;": "&amp;O58&amp;""</f>
        <v>#REF!</v>
      </c>
      <c r="Z58" s="69" t="e">
        <f>'Team Info'!$B$19&amp;": "&amp;N58&amp;""</f>
        <v>#REF!</v>
      </c>
      <c r="AB58" s="68" t="e">
        <f t="shared" si="0"/>
        <v>#REF!</v>
      </c>
      <c r="AC58" s="68" t="e">
        <f t="shared" si="1"/>
        <v>#REF!</v>
      </c>
      <c r="AD58" s="68" t="e">
        <f t="shared" si="2"/>
        <v>#REF!</v>
      </c>
      <c r="AE58" s="68" t="e">
        <f t="shared" si="3"/>
        <v>#REF!</v>
      </c>
      <c r="AF58" s="68" t="e">
        <f t="shared" si="4"/>
        <v>#REF!</v>
      </c>
      <c r="AG58" s="68" t="e">
        <f t="shared" si="5"/>
        <v>#REF!</v>
      </c>
      <c r="AH58" s="68" t="e">
        <f t="shared" si="6"/>
        <v>#REF!</v>
      </c>
      <c r="AI58" s="68" t="e">
        <f t="shared" si="7"/>
        <v>#REF!</v>
      </c>
      <c r="AJ58" s="68" t="e">
        <f t="shared" si="8"/>
        <v>#REF!</v>
      </c>
    </row>
    <row r="59" spans="1:36" x14ac:dyDescent="0.25">
      <c r="A59" s="30">
        <v>58</v>
      </c>
      <c r="B59" s="30">
        <v>58</v>
      </c>
      <c r="C59" s="63" t="str">
        <f>Roster!$T61</f>
        <v xml:space="preserve"> </v>
      </c>
      <c r="D59" s="10"/>
      <c r="E59" s="70"/>
      <c r="F59" s="10"/>
      <c r="G59" s="70"/>
      <c r="H59" s="10"/>
      <c r="I59" s="70"/>
      <c r="J59" s="71"/>
      <c r="K59" s="64"/>
      <c r="L59" s="66" t="e">
        <f>#REF!</f>
        <v>#REF!</v>
      </c>
      <c r="M59" s="66" t="e">
        <f>#REF!</f>
        <v>#REF!</v>
      </c>
      <c r="N59" s="66" t="e">
        <f>#REF!</f>
        <v>#REF!</v>
      </c>
      <c r="O59" s="66" t="e">
        <f>#REF!</f>
        <v>#REF!</v>
      </c>
      <c r="P59" s="66" t="e">
        <f>#REF!</f>
        <v>#REF!</v>
      </c>
      <c r="Q59" s="66" t="e">
        <f>#REF!</f>
        <v>#REF!</v>
      </c>
      <c r="R59" s="66" t="e">
        <f>#REF!</f>
        <v>#REF!</v>
      </c>
      <c r="S59" s="66" t="e">
        <f>#REF!</f>
        <v>#REF!</v>
      </c>
      <c r="T59" s="66" t="e">
        <f>#REF!</f>
        <v>#REF!</v>
      </c>
      <c r="U59" s="66" t="e">
        <f>#REF!</f>
        <v>#REF!</v>
      </c>
      <c r="W59" s="88"/>
      <c r="X59" s="88"/>
      <c r="Y59" s="69" t="e">
        <f>'Team Info'!$B$19&amp;": "&amp;O59&amp;""</f>
        <v>#REF!</v>
      </c>
      <c r="Z59" s="69" t="e">
        <f>'Team Info'!$B$19&amp;": "&amp;N59&amp;""</f>
        <v>#REF!</v>
      </c>
      <c r="AB59" s="68" t="e">
        <f t="shared" si="0"/>
        <v>#REF!</v>
      </c>
      <c r="AC59" s="68" t="e">
        <f t="shared" si="1"/>
        <v>#REF!</v>
      </c>
      <c r="AD59" s="68" t="e">
        <f t="shared" si="2"/>
        <v>#REF!</v>
      </c>
      <c r="AE59" s="68" t="e">
        <f t="shared" si="3"/>
        <v>#REF!</v>
      </c>
      <c r="AF59" s="68" t="e">
        <f t="shared" si="4"/>
        <v>#REF!</v>
      </c>
      <c r="AG59" s="68" t="e">
        <f t="shared" si="5"/>
        <v>#REF!</v>
      </c>
      <c r="AH59" s="68" t="e">
        <f t="shared" si="6"/>
        <v>#REF!</v>
      </c>
      <c r="AI59" s="68" t="e">
        <f t="shared" si="7"/>
        <v>#REF!</v>
      </c>
      <c r="AJ59" s="68" t="e">
        <f t="shared" si="8"/>
        <v>#REF!</v>
      </c>
    </row>
    <row r="60" spans="1:36" x14ac:dyDescent="0.25">
      <c r="A60" s="30">
        <v>59</v>
      </c>
      <c r="B60" s="30">
        <v>59</v>
      </c>
      <c r="C60" s="63" t="str">
        <f>Roster!$T62</f>
        <v xml:space="preserve"> </v>
      </c>
      <c r="D60" s="10"/>
      <c r="E60" s="70"/>
      <c r="F60" s="10"/>
      <c r="G60" s="70"/>
      <c r="H60" s="10"/>
      <c r="I60" s="70"/>
      <c r="J60" s="71"/>
      <c r="K60" s="64"/>
      <c r="L60" s="66" t="e">
        <f>#REF!</f>
        <v>#REF!</v>
      </c>
      <c r="M60" s="66" t="e">
        <f>#REF!</f>
        <v>#REF!</v>
      </c>
      <c r="N60" s="66" t="e">
        <f>#REF!</f>
        <v>#REF!</v>
      </c>
      <c r="O60" s="66" t="e">
        <f>#REF!</f>
        <v>#REF!</v>
      </c>
      <c r="P60" s="66" t="e">
        <f>#REF!</f>
        <v>#REF!</v>
      </c>
      <c r="Q60" s="66" t="e">
        <f>#REF!</f>
        <v>#REF!</v>
      </c>
      <c r="R60" s="66" t="e">
        <f>#REF!</f>
        <v>#REF!</v>
      </c>
      <c r="S60" s="66" t="e">
        <f>#REF!</f>
        <v>#REF!</v>
      </c>
      <c r="T60" s="66" t="e">
        <f>#REF!</f>
        <v>#REF!</v>
      </c>
      <c r="U60" s="66" t="e">
        <f>#REF!</f>
        <v>#REF!</v>
      </c>
      <c r="W60" s="88"/>
      <c r="X60" s="88"/>
      <c r="Y60" s="69" t="e">
        <f>'Team Info'!$B$19&amp;": "&amp;O60&amp;""</f>
        <v>#REF!</v>
      </c>
      <c r="Z60" s="69" t="e">
        <f>'Team Info'!$B$19&amp;": "&amp;N60&amp;""</f>
        <v>#REF!</v>
      </c>
      <c r="AB60" s="68" t="e">
        <f t="shared" si="0"/>
        <v>#REF!</v>
      </c>
      <c r="AC60" s="68" t="e">
        <f t="shared" si="1"/>
        <v>#REF!</v>
      </c>
      <c r="AD60" s="68" t="e">
        <f t="shared" si="2"/>
        <v>#REF!</v>
      </c>
      <c r="AE60" s="68" t="e">
        <f t="shared" si="3"/>
        <v>#REF!</v>
      </c>
      <c r="AF60" s="68" t="e">
        <f t="shared" si="4"/>
        <v>#REF!</v>
      </c>
      <c r="AG60" s="68" t="e">
        <f t="shared" si="5"/>
        <v>#REF!</v>
      </c>
      <c r="AH60" s="68" t="e">
        <f t="shared" si="6"/>
        <v>#REF!</v>
      </c>
      <c r="AI60" s="68" t="e">
        <f t="shared" si="7"/>
        <v>#REF!</v>
      </c>
      <c r="AJ60" s="68" t="e">
        <f t="shared" si="8"/>
        <v>#REF!</v>
      </c>
    </row>
    <row r="61" spans="1:36" x14ac:dyDescent="0.25">
      <c r="A61" s="30">
        <v>60</v>
      </c>
      <c r="B61" s="30">
        <v>60</v>
      </c>
      <c r="C61" s="63" t="str">
        <f>Roster!$T63</f>
        <v xml:space="preserve"> </v>
      </c>
      <c r="D61" s="10"/>
      <c r="E61" s="70"/>
      <c r="F61" s="10"/>
      <c r="G61" s="70"/>
      <c r="H61" s="10"/>
      <c r="I61" s="70"/>
      <c r="J61" s="71"/>
      <c r="K61" s="64"/>
      <c r="L61" s="66" t="e">
        <f>#REF!</f>
        <v>#REF!</v>
      </c>
      <c r="M61" s="66" t="e">
        <f>#REF!</f>
        <v>#REF!</v>
      </c>
      <c r="N61" s="66" t="e">
        <f>#REF!</f>
        <v>#REF!</v>
      </c>
      <c r="O61" s="66" t="e">
        <f>#REF!</f>
        <v>#REF!</v>
      </c>
      <c r="P61" s="66" t="e">
        <f>#REF!</f>
        <v>#REF!</v>
      </c>
      <c r="Q61" s="66" t="e">
        <f>#REF!</f>
        <v>#REF!</v>
      </c>
      <c r="R61" s="66" t="e">
        <f>#REF!</f>
        <v>#REF!</v>
      </c>
      <c r="S61" s="66" t="e">
        <f>#REF!</f>
        <v>#REF!</v>
      </c>
      <c r="T61" s="66" t="e">
        <f>#REF!</f>
        <v>#REF!</v>
      </c>
      <c r="U61" s="66" t="e">
        <f>#REF!</f>
        <v>#REF!</v>
      </c>
      <c r="W61" s="88"/>
      <c r="X61" s="88"/>
      <c r="Y61" s="69" t="e">
        <f>'Team Info'!$B$19&amp;": "&amp;O61&amp;""</f>
        <v>#REF!</v>
      </c>
      <c r="Z61" s="69" t="e">
        <f>'Team Info'!$B$19&amp;": "&amp;N61&amp;""</f>
        <v>#REF!</v>
      </c>
      <c r="AB61" s="68" t="e">
        <f t="shared" si="0"/>
        <v>#REF!</v>
      </c>
      <c r="AC61" s="68" t="e">
        <f t="shared" si="1"/>
        <v>#REF!</v>
      </c>
      <c r="AD61" s="68" t="e">
        <f t="shared" si="2"/>
        <v>#REF!</v>
      </c>
      <c r="AE61" s="68" t="e">
        <f t="shared" si="3"/>
        <v>#REF!</v>
      </c>
      <c r="AF61" s="68" t="e">
        <f t="shared" si="4"/>
        <v>#REF!</v>
      </c>
      <c r="AG61" s="68" t="e">
        <f t="shared" si="5"/>
        <v>#REF!</v>
      </c>
      <c r="AH61" s="68" t="e">
        <f t="shared" si="6"/>
        <v>#REF!</v>
      </c>
      <c r="AI61" s="68" t="e">
        <f t="shared" si="7"/>
        <v>#REF!</v>
      </c>
      <c r="AJ61" s="68" t="e">
        <f t="shared" si="8"/>
        <v>#REF!</v>
      </c>
    </row>
    <row r="62" spans="1:36" x14ac:dyDescent="0.25">
      <c r="A62" s="30">
        <v>61</v>
      </c>
      <c r="B62" s="30">
        <v>61</v>
      </c>
      <c r="C62" s="63" t="str">
        <f>Roster!$T64</f>
        <v xml:space="preserve"> </v>
      </c>
      <c r="D62" s="10"/>
      <c r="E62" s="70"/>
      <c r="F62" s="10"/>
      <c r="G62" s="70"/>
      <c r="H62" s="10"/>
      <c r="I62" s="70"/>
      <c r="J62" s="71"/>
      <c r="K62" s="64"/>
      <c r="L62" s="66" t="e">
        <f>#REF!</f>
        <v>#REF!</v>
      </c>
      <c r="M62" s="66" t="e">
        <f>#REF!</f>
        <v>#REF!</v>
      </c>
      <c r="N62" s="66" t="e">
        <f>#REF!</f>
        <v>#REF!</v>
      </c>
      <c r="O62" s="66" t="e">
        <f>#REF!</f>
        <v>#REF!</v>
      </c>
      <c r="P62" s="66" t="e">
        <f>#REF!</f>
        <v>#REF!</v>
      </c>
      <c r="Q62" s="66" t="e">
        <f>#REF!</f>
        <v>#REF!</v>
      </c>
      <c r="R62" s="66" t="e">
        <f>#REF!</f>
        <v>#REF!</v>
      </c>
      <c r="S62" s="66" t="e">
        <f>#REF!</f>
        <v>#REF!</v>
      </c>
      <c r="T62" s="66" t="e">
        <f>#REF!</f>
        <v>#REF!</v>
      </c>
      <c r="U62" s="66" t="e">
        <f>#REF!</f>
        <v>#REF!</v>
      </c>
      <c r="W62" s="88"/>
      <c r="X62" s="88"/>
      <c r="Y62" s="69" t="e">
        <f>'Team Info'!$B$19&amp;": "&amp;O62&amp;""</f>
        <v>#REF!</v>
      </c>
      <c r="Z62" s="69" t="e">
        <f>'Team Info'!$B$19&amp;": "&amp;N62&amp;""</f>
        <v>#REF!</v>
      </c>
      <c r="AB62" s="68" t="e">
        <f t="shared" si="0"/>
        <v>#REF!</v>
      </c>
      <c r="AC62" s="68" t="e">
        <f t="shared" si="1"/>
        <v>#REF!</v>
      </c>
      <c r="AD62" s="68" t="e">
        <f t="shared" si="2"/>
        <v>#REF!</v>
      </c>
      <c r="AE62" s="68" t="e">
        <f t="shared" si="3"/>
        <v>#REF!</v>
      </c>
      <c r="AF62" s="68" t="e">
        <f t="shared" si="4"/>
        <v>#REF!</v>
      </c>
      <c r="AG62" s="68" t="e">
        <f t="shared" si="5"/>
        <v>#REF!</v>
      </c>
      <c r="AH62" s="68" t="e">
        <f t="shared" si="6"/>
        <v>#REF!</v>
      </c>
      <c r="AI62" s="68" t="e">
        <f t="shared" si="7"/>
        <v>#REF!</v>
      </c>
      <c r="AJ62" s="68" t="e">
        <f t="shared" si="8"/>
        <v>#REF!</v>
      </c>
    </row>
    <row r="63" spans="1:36" x14ac:dyDescent="0.25">
      <c r="A63" s="30">
        <v>62</v>
      </c>
      <c r="B63" s="30">
        <v>62</v>
      </c>
      <c r="C63" s="63" t="str">
        <f>Roster!$T65</f>
        <v xml:space="preserve"> </v>
      </c>
      <c r="D63" s="10"/>
      <c r="E63" s="70"/>
      <c r="F63" s="10"/>
      <c r="G63" s="70"/>
      <c r="H63" s="10"/>
      <c r="I63" s="70"/>
      <c r="J63" s="71"/>
      <c r="K63" s="64"/>
      <c r="L63" s="66" t="e">
        <f>#REF!</f>
        <v>#REF!</v>
      </c>
      <c r="M63" s="66" t="e">
        <f>#REF!</f>
        <v>#REF!</v>
      </c>
      <c r="N63" s="66" t="e">
        <f>#REF!</f>
        <v>#REF!</v>
      </c>
      <c r="O63" s="66" t="e">
        <f>#REF!</f>
        <v>#REF!</v>
      </c>
      <c r="P63" s="66" t="e">
        <f>#REF!</f>
        <v>#REF!</v>
      </c>
      <c r="Q63" s="66" t="e">
        <f>#REF!</f>
        <v>#REF!</v>
      </c>
      <c r="R63" s="66" t="e">
        <f>#REF!</f>
        <v>#REF!</v>
      </c>
      <c r="S63" s="66" t="e">
        <f>#REF!</f>
        <v>#REF!</v>
      </c>
      <c r="T63" s="66" t="e">
        <f>#REF!</f>
        <v>#REF!</v>
      </c>
      <c r="U63" s="66" t="e">
        <f>#REF!</f>
        <v>#REF!</v>
      </c>
      <c r="W63" s="88"/>
      <c r="X63" s="88"/>
      <c r="Y63" s="69" t="e">
        <f>'Team Info'!$B$19&amp;": "&amp;O63&amp;""</f>
        <v>#REF!</v>
      </c>
      <c r="Z63" s="69" t="e">
        <f>'Team Info'!$B$19&amp;": "&amp;N63&amp;""</f>
        <v>#REF!</v>
      </c>
      <c r="AB63" s="68" t="e">
        <f t="shared" si="0"/>
        <v>#REF!</v>
      </c>
      <c r="AC63" s="68" t="e">
        <f t="shared" si="1"/>
        <v>#REF!</v>
      </c>
      <c r="AD63" s="68" t="e">
        <f t="shared" si="2"/>
        <v>#REF!</v>
      </c>
      <c r="AE63" s="68" t="e">
        <f t="shared" si="3"/>
        <v>#REF!</v>
      </c>
      <c r="AF63" s="68" t="e">
        <f t="shared" si="4"/>
        <v>#REF!</v>
      </c>
      <c r="AG63" s="68" t="e">
        <f t="shared" si="5"/>
        <v>#REF!</v>
      </c>
      <c r="AH63" s="68" t="e">
        <f t="shared" si="6"/>
        <v>#REF!</v>
      </c>
      <c r="AI63" s="68" t="e">
        <f t="shared" si="7"/>
        <v>#REF!</v>
      </c>
      <c r="AJ63" s="68" t="e">
        <f t="shared" si="8"/>
        <v>#REF!</v>
      </c>
    </row>
    <row r="64" spans="1:36" x14ac:dyDescent="0.25">
      <c r="A64" s="30">
        <v>63</v>
      </c>
      <c r="B64" s="30">
        <v>63</v>
      </c>
      <c r="C64" s="63" t="str">
        <f>Roster!$T66</f>
        <v xml:space="preserve"> </v>
      </c>
      <c r="D64" s="10"/>
      <c r="E64" s="70"/>
      <c r="F64" s="10"/>
      <c r="G64" s="70"/>
      <c r="H64" s="10"/>
      <c r="I64" s="70"/>
      <c r="J64" s="71"/>
      <c r="K64" s="64"/>
      <c r="L64" s="66" t="e">
        <f>#REF!</f>
        <v>#REF!</v>
      </c>
      <c r="M64" s="66" t="e">
        <f>#REF!</f>
        <v>#REF!</v>
      </c>
      <c r="N64" s="66" t="e">
        <f>#REF!</f>
        <v>#REF!</v>
      </c>
      <c r="O64" s="66" t="e">
        <f>#REF!</f>
        <v>#REF!</v>
      </c>
      <c r="P64" s="66" t="e">
        <f>#REF!</f>
        <v>#REF!</v>
      </c>
      <c r="Q64" s="66" t="e">
        <f>#REF!</f>
        <v>#REF!</v>
      </c>
      <c r="R64" s="66" t="e">
        <f>#REF!</f>
        <v>#REF!</v>
      </c>
      <c r="S64" s="66" t="e">
        <f>#REF!</f>
        <v>#REF!</v>
      </c>
      <c r="T64" s="66" t="e">
        <f>#REF!</f>
        <v>#REF!</v>
      </c>
      <c r="U64" s="66" t="e">
        <f>#REF!</f>
        <v>#REF!</v>
      </c>
      <c r="W64" s="88"/>
      <c r="X64" s="88"/>
      <c r="Y64" s="69" t="e">
        <f>'Team Info'!$B$19&amp;": "&amp;O64&amp;""</f>
        <v>#REF!</v>
      </c>
      <c r="Z64" s="69" t="e">
        <f>'Team Info'!$B$19&amp;": "&amp;N64&amp;""</f>
        <v>#REF!</v>
      </c>
      <c r="AB64" s="68" t="e">
        <f t="shared" si="0"/>
        <v>#REF!</v>
      </c>
      <c r="AC64" s="68" t="e">
        <f t="shared" si="1"/>
        <v>#REF!</v>
      </c>
      <c r="AD64" s="68" t="e">
        <f t="shared" si="2"/>
        <v>#REF!</v>
      </c>
      <c r="AE64" s="68" t="e">
        <f t="shared" si="3"/>
        <v>#REF!</v>
      </c>
      <c r="AF64" s="68" t="e">
        <f t="shared" si="4"/>
        <v>#REF!</v>
      </c>
      <c r="AG64" s="68" t="e">
        <f t="shared" si="5"/>
        <v>#REF!</v>
      </c>
      <c r="AH64" s="68" t="e">
        <f t="shared" si="6"/>
        <v>#REF!</v>
      </c>
      <c r="AI64" s="68" t="e">
        <f t="shared" si="7"/>
        <v>#REF!</v>
      </c>
      <c r="AJ64" s="68" t="e">
        <f t="shared" si="8"/>
        <v>#REF!</v>
      </c>
    </row>
    <row r="65" spans="1:36" x14ac:dyDescent="0.25">
      <c r="A65" s="30">
        <v>64</v>
      </c>
      <c r="B65" s="30">
        <v>64</v>
      </c>
      <c r="C65" s="63" t="str">
        <f>Roster!$T67</f>
        <v xml:space="preserve"> </v>
      </c>
      <c r="D65" s="10"/>
      <c r="E65" s="70"/>
      <c r="F65" s="10"/>
      <c r="G65" s="70"/>
      <c r="H65" s="10"/>
      <c r="I65" s="70"/>
      <c r="J65" s="71"/>
      <c r="K65" s="64"/>
      <c r="L65" s="66" t="e">
        <f>#REF!</f>
        <v>#REF!</v>
      </c>
      <c r="M65" s="66" t="e">
        <f>#REF!</f>
        <v>#REF!</v>
      </c>
      <c r="N65" s="66" t="e">
        <f>#REF!</f>
        <v>#REF!</v>
      </c>
      <c r="O65" s="66" t="e">
        <f>#REF!</f>
        <v>#REF!</v>
      </c>
      <c r="P65" s="66" t="e">
        <f>#REF!</f>
        <v>#REF!</v>
      </c>
      <c r="Q65" s="66" t="e">
        <f>#REF!</f>
        <v>#REF!</v>
      </c>
      <c r="R65" s="66" t="e">
        <f>#REF!</f>
        <v>#REF!</v>
      </c>
      <c r="S65" s="66" t="e">
        <f>#REF!</f>
        <v>#REF!</v>
      </c>
      <c r="T65" s="66" t="e">
        <f>#REF!</f>
        <v>#REF!</v>
      </c>
      <c r="U65" s="66" t="e">
        <f>#REF!</f>
        <v>#REF!</v>
      </c>
      <c r="W65" s="88"/>
      <c r="X65" s="88"/>
      <c r="Y65" s="69" t="e">
        <f>'Team Info'!$B$19&amp;": "&amp;O65&amp;""</f>
        <v>#REF!</v>
      </c>
      <c r="Z65" s="69" t="e">
        <f>'Team Info'!$B$19&amp;": "&amp;N65&amp;""</f>
        <v>#REF!</v>
      </c>
      <c r="AB65" s="68" t="e">
        <f t="shared" si="0"/>
        <v>#REF!</v>
      </c>
      <c r="AC65" s="68" t="e">
        <f t="shared" si="1"/>
        <v>#REF!</v>
      </c>
      <c r="AD65" s="68" t="e">
        <f t="shared" si="2"/>
        <v>#REF!</v>
      </c>
      <c r="AE65" s="68" t="e">
        <f t="shared" si="3"/>
        <v>#REF!</v>
      </c>
      <c r="AF65" s="68" t="e">
        <f t="shared" si="4"/>
        <v>#REF!</v>
      </c>
      <c r="AG65" s="68" t="e">
        <f t="shared" si="5"/>
        <v>#REF!</v>
      </c>
      <c r="AH65" s="68" t="e">
        <f t="shared" si="6"/>
        <v>#REF!</v>
      </c>
      <c r="AI65" s="68" t="e">
        <f t="shared" si="7"/>
        <v>#REF!</v>
      </c>
      <c r="AJ65" s="68" t="e">
        <f t="shared" si="8"/>
        <v>#REF!</v>
      </c>
    </row>
    <row r="66" spans="1:36" x14ac:dyDescent="0.25">
      <c r="A66" s="30">
        <v>65</v>
      </c>
      <c r="B66" s="30">
        <v>65</v>
      </c>
      <c r="C66" s="63" t="str">
        <f>Roster!$T68</f>
        <v xml:space="preserve"> </v>
      </c>
      <c r="D66" s="10"/>
      <c r="E66" s="70"/>
      <c r="F66" s="10"/>
      <c r="G66" s="70"/>
      <c r="H66" s="10"/>
      <c r="I66" s="70"/>
      <c r="J66" s="71"/>
      <c r="K66" s="64"/>
      <c r="L66" s="66" t="e">
        <f>#REF!</f>
        <v>#REF!</v>
      </c>
      <c r="M66" s="66" t="e">
        <f>#REF!</f>
        <v>#REF!</v>
      </c>
      <c r="N66" s="66" t="e">
        <f>#REF!</f>
        <v>#REF!</v>
      </c>
      <c r="O66" s="66" t="e">
        <f>#REF!</f>
        <v>#REF!</v>
      </c>
      <c r="P66" s="66" t="e">
        <f>#REF!</f>
        <v>#REF!</v>
      </c>
      <c r="Q66" s="66" t="e">
        <f>#REF!</f>
        <v>#REF!</v>
      </c>
      <c r="R66" s="66" t="e">
        <f>#REF!</f>
        <v>#REF!</v>
      </c>
      <c r="S66" s="66" t="e">
        <f>#REF!</f>
        <v>#REF!</v>
      </c>
      <c r="T66" s="66" t="e">
        <f>#REF!</f>
        <v>#REF!</v>
      </c>
      <c r="U66" s="66" t="e">
        <f>#REF!</f>
        <v>#REF!</v>
      </c>
      <c r="W66" s="88"/>
      <c r="X66" s="88"/>
      <c r="Y66" s="69" t="e">
        <f>'Team Info'!$B$19&amp;": "&amp;O66&amp;""</f>
        <v>#REF!</v>
      </c>
      <c r="Z66" s="69" t="e">
        <f>'Team Info'!$B$19&amp;": "&amp;N66&amp;""</f>
        <v>#REF!</v>
      </c>
      <c r="AB66" s="68" t="e">
        <f t="shared" si="0"/>
        <v>#REF!</v>
      </c>
      <c r="AC66" s="68" t="e">
        <f t="shared" si="1"/>
        <v>#REF!</v>
      </c>
      <c r="AD66" s="68" t="e">
        <f t="shared" si="2"/>
        <v>#REF!</v>
      </c>
      <c r="AE66" s="68" t="e">
        <f t="shared" si="3"/>
        <v>#REF!</v>
      </c>
      <c r="AF66" s="68" t="e">
        <f t="shared" si="4"/>
        <v>#REF!</v>
      </c>
      <c r="AG66" s="68" t="e">
        <f t="shared" si="5"/>
        <v>#REF!</v>
      </c>
      <c r="AH66" s="68" t="e">
        <f t="shared" si="6"/>
        <v>#REF!</v>
      </c>
      <c r="AI66" s="68" t="e">
        <f t="shared" si="7"/>
        <v>#REF!</v>
      </c>
      <c r="AJ66" s="68" t="e">
        <f t="shared" si="8"/>
        <v>#REF!</v>
      </c>
    </row>
    <row r="67" spans="1:36" x14ac:dyDescent="0.25">
      <c r="A67" s="30">
        <v>66</v>
      </c>
      <c r="B67" s="30">
        <v>66</v>
      </c>
      <c r="C67" s="63" t="str">
        <f>Roster!$T69</f>
        <v xml:space="preserve"> </v>
      </c>
      <c r="D67" s="10"/>
      <c r="E67" s="70"/>
      <c r="F67" s="10"/>
      <c r="G67" s="70"/>
      <c r="H67" s="10"/>
      <c r="I67" s="70"/>
      <c r="J67" s="71"/>
      <c r="K67" s="64"/>
      <c r="L67" s="66" t="e">
        <f>#REF!</f>
        <v>#REF!</v>
      </c>
      <c r="M67" s="66" t="e">
        <f>#REF!</f>
        <v>#REF!</v>
      </c>
      <c r="N67" s="66" t="e">
        <f>#REF!</f>
        <v>#REF!</v>
      </c>
      <c r="O67" s="66" t="e">
        <f>#REF!</f>
        <v>#REF!</v>
      </c>
      <c r="P67" s="66" t="e">
        <f>#REF!</f>
        <v>#REF!</v>
      </c>
      <c r="Q67" s="66" t="e">
        <f>#REF!</f>
        <v>#REF!</v>
      </c>
      <c r="R67" s="66" t="e">
        <f>#REF!</f>
        <v>#REF!</v>
      </c>
      <c r="S67" s="66" t="e">
        <f>#REF!</f>
        <v>#REF!</v>
      </c>
      <c r="T67" s="66" t="e">
        <f>#REF!</f>
        <v>#REF!</v>
      </c>
      <c r="U67" s="66" t="e">
        <f>#REF!</f>
        <v>#REF!</v>
      </c>
      <c r="W67" s="88"/>
      <c r="X67" s="88"/>
      <c r="Y67" s="69" t="e">
        <f>'Team Info'!$B$19&amp;": "&amp;O67&amp;""</f>
        <v>#REF!</v>
      </c>
      <c r="Z67" s="69" t="e">
        <f>'Team Info'!$B$19&amp;": "&amp;N67&amp;""</f>
        <v>#REF!</v>
      </c>
      <c r="AB67" s="68" t="e">
        <f t="shared" ref="AB67:AB99" si="9">L67&amp;" PPG"</f>
        <v>#REF!</v>
      </c>
      <c r="AC67" s="68" t="e">
        <f t="shared" ref="AC67:AC99" si="10">M67&amp;" FG"</f>
        <v>#REF!</v>
      </c>
      <c r="AD67" s="68" t="e">
        <f t="shared" ref="AD67:AD99" si="11">N67&amp;" 3-PT"</f>
        <v>#REF!</v>
      </c>
      <c r="AE67" s="68" t="e">
        <f t="shared" ref="AE67:AE99" si="12">O67&amp;" FT"</f>
        <v>#REF!</v>
      </c>
      <c r="AF67" s="68" t="e">
        <f t="shared" ref="AF67:AF99" si="13">P67&amp;" RPG"</f>
        <v>#REF!</v>
      </c>
      <c r="AG67" s="68" t="e">
        <f t="shared" ref="AG67:AG99" si="14">Q67&amp;" APG"</f>
        <v>#REF!</v>
      </c>
      <c r="AH67" s="68" t="e">
        <f t="shared" ref="AH67:AH99" si="15">R67&amp;" BPG"</f>
        <v>#REF!</v>
      </c>
      <c r="AI67" s="68" t="e">
        <f t="shared" ref="AI67:AI99" si="16">S67&amp;" SPG"</f>
        <v>#REF!</v>
      </c>
      <c r="AJ67" s="68" t="e">
        <f t="shared" ref="AJ67:AJ99" si="17">T67&amp;" MPG"</f>
        <v>#REF!</v>
      </c>
    </row>
    <row r="68" spans="1:36" x14ac:dyDescent="0.25">
      <c r="A68" s="30">
        <v>67</v>
      </c>
      <c r="B68" s="30">
        <v>67</v>
      </c>
      <c r="C68" s="63" t="str">
        <f>Roster!$T70</f>
        <v xml:space="preserve"> </v>
      </c>
      <c r="D68" s="10"/>
      <c r="E68" s="70"/>
      <c r="F68" s="10"/>
      <c r="G68" s="70"/>
      <c r="H68" s="10"/>
      <c r="I68" s="70"/>
      <c r="J68" s="71"/>
      <c r="K68" s="64"/>
      <c r="L68" s="66" t="e">
        <f>#REF!</f>
        <v>#REF!</v>
      </c>
      <c r="M68" s="66" t="e">
        <f>#REF!</f>
        <v>#REF!</v>
      </c>
      <c r="N68" s="66" t="e">
        <f>#REF!</f>
        <v>#REF!</v>
      </c>
      <c r="O68" s="66" t="e">
        <f>#REF!</f>
        <v>#REF!</v>
      </c>
      <c r="P68" s="66" t="e">
        <f>#REF!</f>
        <v>#REF!</v>
      </c>
      <c r="Q68" s="66" t="e">
        <f>#REF!</f>
        <v>#REF!</v>
      </c>
      <c r="R68" s="66" t="e">
        <f>#REF!</f>
        <v>#REF!</v>
      </c>
      <c r="S68" s="66" t="e">
        <f>#REF!</f>
        <v>#REF!</v>
      </c>
      <c r="T68" s="66" t="e">
        <f>#REF!</f>
        <v>#REF!</v>
      </c>
      <c r="U68" s="66" t="e">
        <f>#REF!</f>
        <v>#REF!</v>
      </c>
      <c r="W68" s="88"/>
      <c r="X68" s="88"/>
      <c r="Y68" s="69" t="e">
        <f>'Team Info'!$B$19&amp;": "&amp;O68&amp;""</f>
        <v>#REF!</v>
      </c>
      <c r="Z68" s="69" t="e">
        <f>'Team Info'!$B$19&amp;": "&amp;N68&amp;""</f>
        <v>#REF!</v>
      </c>
      <c r="AB68" s="68" t="e">
        <f t="shared" si="9"/>
        <v>#REF!</v>
      </c>
      <c r="AC68" s="68" t="e">
        <f t="shared" si="10"/>
        <v>#REF!</v>
      </c>
      <c r="AD68" s="68" t="e">
        <f t="shared" si="11"/>
        <v>#REF!</v>
      </c>
      <c r="AE68" s="68" t="e">
        <f t="shared" si="12"/>
        <v>#REF!</v>
      </c>
      <c r="AF68" s="68" t="e">
        <f t="shared" si="13"/>
        <v>#REF!</v>
      </c>
      <c r="AG68" s="68" t="e">
        <f t="shared" si="14"/>
        <v>#REF!</v>
      </c>
      <c r="AH68" s="68" t="e">
        <f t="shared" si="15"/>
        <v>#REF!</v>
      </c>
      <c r="AI68" s="68" t="e">
        <f t="shared" si="16"/>
        <v>#REF!</v>
      </c>
      <c r="AJ68" s="68" t="e">
        <f t="shared" si="17"/>
        <v>#REF!</v>
      </c>
    </row>
    <row r="69" spans="1:36" x14ac:dyDescent="0.25">
      <c r="A69" s="30">
        <v>68</v>
      </c>
      <c r="B69" s="30">
        <v>68</v>
      </c>
      <c r="C69" s="63" t="str">
        <f>Roster!$T71</f>
        <v xml:space="preserve"> </v>
      </c>
      <c r="D69" s="10"/>
      <c r="E69" s="70"/>
      <c r="F69" s="10"/>
      <c r="G69" s="70"/>
      <c r="H69" s="10"/>
      <c r="I69" s="70"/>
      <c r="J69" s="71"/>
      <c r="K69" s="64"/>
      <c r="L69" s="66" t="e">
        <f>#REF!</f>
        <v>#REF!</v>
      </c>
      <c r="M69" s="66" t="e">
        <f>#REF!</f>
        <v>#REF!</v>
      </c>
      <c r="N69" s="66" t="e">
        <f>#REF!</f>
        <v>#REF!</v>
      </c>
      <c r="O69" s="66" t="e">
        <f>#REF!</f>
        <v>#REF!</v>
      </c>
      <c r="P69" s="66" t="e">
        <f>#REF!</f>
        <v>#REF!</v>
      </c>
      <c r="Q69" s="66" t="e">
        <f>#REF!</f>
        <v>#REF!</v>
      </c>
      <c r="R69" s="66" t="e">
        <f>#REF!</f>
        <v>#REF!</v>
      </c>
      <c r="S69" s="66" t="e">
        <f>#REF!</f>
        <v>#REF!</v>
      </c>
      <c r="T69" s="66" t="e">
        <f>#REF!</f>
        <v>#REF!</v>
      </c>
      <c r="U69" s="66" t="e">
        <f>#REF!</f>
        <v>#REF!</v>
      </c>
      <c r="W69" s="88"/>
      <c r="X69" s="88"/>
      <c r="Y69" s="69" t="e">
        <f>'Team Info'!$B$19&amp;": "&amp;O69&amp;""</f>
        <v>#REF!</v>
      </c>
      <c r="Z69" s="69" t="e">
        <f>'Team Info'!$B$19&amp;": "&amp;N69&amp;""</f>
        <v>#REF!</v>
      </c>
      <c r="AB69" s="68" t="e">
        <f t="shared" si="9"/>
        <v>#REF!</v>
      </c>
      <c r="AC69" s="68" t="e">
        <f t="shared" si="10"/>
        <v>#REF!</v>
      </c>
      <c r="AD69" s="68" t="e">
        <f t="shared" si="11"/>
        <v>#REF!</v>
      </c>
      <c r="AE69" s="68" t="e">
        <f t="shared" si="12"/>
        <v>#REF!</v>
      </c>
      <c r="AF69" s="68" t="e">
        <f t="shared" si="13"/>
        <v>#REF!</v>
      </c>
      <c r="AG69" s="68" t="e">
        <f t="shared" si="14"/>
        <v>#REF!</v>
      </c>
      <c r="AH69" s="68" t="e">
        <f t="shared" si="15"/>
        <v>#REF!</v>
      </c>
      <c r="AI69" s="68" t="e">
        <f t="shared" si="16"/>
        <v>#REF!</v>
      </c>
      <c r="AJ69" s="68" t="e">
        <f t="shared" si="17"/>
        <v>#REF!</v>
      </c>
    </row>
    <row r="70" spans="1:36" x14ac:dyDescent="0.25">
      <c r="A70" s="30">
        <v>69</v>
      </c>
      <c r="B70" s="30">
        <v>69</v>
      </c>
      <c r="C70" s="63" t="str">
        <f>Roster!$T72</f>
        <v xml:space="preserve"> </v>
      </c>
      <c r="D70" s="10"/>
      <c r="E70" s="70"/>
      <c r="F70" s="10"/>
      <c r="G70" s="70"/>
      <c r="H70" s="10"/>
      <c r="I70" s="70"/>
      <c r="J70" s="71"/>
      <c r="K70" s="64"/>
      <c r="L70" s="66" t="e">
        <f>#REF!</f>
        <v>#REF!</v>
      </c>
      <c r="M70" s="66" t="e">
        <f>#REF!</f>
        <v>#REF!</v>
      </c>
      <c r="N70" s="66" t="e">
        <f>#REF!</f>
        <v>#REF!</v>
      </c>
      <c r="O70" s="66" t="e">
        <f>#REF!</f>
        <v>#REF!</v>
      </c>
      <c r="P70" s="66" t="e">
        <f>#REF!</f>
        <v>#REF!</v>
      </c>
      <c r="Q70" s="66" t="e">
        <f>#REF!</f>
        <v>#REF!</v>
      </c>
      <c r="R70" s="66" t="e">
        <f>#REF!</f>
        <v>#REF!</v>
      </c>
      <c r="S70" s="66" t="e">
        <f>#REF!</f>
        <v>#REF!</v>
      </c>
      <c r="T70" s="66" t="e">
        <f>#REF!</f>
        <v>#REF!</v>
      </c>
      <c r="U70" s="66" t="e">
        <f>#REF!</f>
        <v>#REF!</v>
      </c>
      <c r="W70" s="88"/>
      <c r="X70" s="88"/>
      <c r="Y70" s="69" t="e">
        <f>'Team Info'!$B$19&amp;": "&amp;O70&amp;""</f>
        <v>#REF!</v>
      </c>
      <c r="Z70" s="69" t="e">
        <f>'Team Info'!$B$19&amp;": "&amp;N70&amp;""</f>
        <v>#REF!</v>
      </c>
      <c r="AB70" s="68" t="e">
        <f t="shared" si="9"/>
        <v>#REF!</v>
      </c>
      <c r="AC70" s="68" t="e">
        <f t="shared" si="10"/>
        <v>#REF!</v>
      </c>
      <c r="AD70" s="68" t="e">
        <f t="shared" si="11"/>
        <v>#REF!</v>
      </c>
      <c r="AE70" s="68" t="e">
        <f t="shared" si="12"/>
        <v>#REF!</v>
      </c>
      <c r="AF70" s="68" t="e">
        <f t="shared" si="13"/>
        <v>#REF!</v>
      </c>
      <c r="AG70" s="68" t="e">
        <f t="shared" si="14"/>
        <v>#REF!</v>
      </c>
      <c r="AH70" s="68" t="e">
        <f t="shared" si="15"/>
        <v>#REF!</v>
      </c>
      <c r="AI70" s="68" t="e">
        <f t="shared" si="16"/>
        <v>#REF!</v>
      </c>
      <c r="AJ70" s="68" t="e">
        <f t="shared" si="17"/>
        <v>#REF!</v>
      </c>
    </row>
    <row r="71" spans="1:36" x14ac:dyDescent="0.25">
      <c r="A71" s="30">
        <v>70</v>
      </c>
      <c r="B71" s="30">
        <v>70</v>
      </c>
      <c r="C71" s="63" t="str">
        <f>Roster!$T73</f>
        <v xml:space="preserve"> </v>
      </c>
      <c r="D71" s="10"/>
      <c r="E71" s="70"/>
      <c r="F71" s="10"/>
      <c r="G71" s="70"/>
      <c r="H71" s="10"/>
      <c r="I71" s="70"/>
      <c r="J71" s="71"/>
      <c r="K71" s="64"/>
      <c r="L71" s="66" t="e">
        <f>#REF!</f>
        <v>#REF!</v>
      </c>
      <c r="M71" s="66" t="e">
        <f>#REF!</f>
        <v>#REF!</v>
      </c>
      <c r="N71" s="66" t="e">
        <f>#REF!</f>
        <v>#REF!</v>
      </c>
      <c r="O71" s="66" t="e">
        <f>#REF!</f>
        <v>#REF!</v>
      </c>
      <c r="P71" s="66" t="e">
        <f>#REF!</f>
        <v>#REF!</v>
      </c>
      <c r="Q71" s="66" t="e">
        <f>#REF!</f>
        <v>#REF!</v>
      </c>
      <c r="R71" s="66" t="e">
        <f>#REF!</f>
        <v>#REF!</v>
      </c>
      <c r="S71" s="66" t="e">
        <f>#REF!</f>
        <v>#REF!</v>
      </c>
      <c r="T71" s="66" t="e">
        <f>#REF!</f>
        <v>#REF!</v>
      </c>
      <c r="U71" s="66" t="e">
        <f>#REF!</f>
        <v>#REF!</v>
      </c>
      <c r="W71" s="88"/>
      <c r="X71" s="88"/>
      <c r="Y71" s="69" t="e">
        <f>'Team Info'!$B$19&amp;": "&amp;O71&amp;""</f>
        <v>#REF!</v>
      </c>
      <c r="Z71" s="69" t="e">
        <f>'Team Info'!$B$19&amp;": "&amp;N71&amp;""</f>
        <v>#REF!</v>
      </c>
      <c r="AB71" s="68" t="e">
        <f t="shared" si="9"/>
        <v>#REF!</v>
      </c>
      <c r="AC71" s="68" t="e">
        <f t="shared" si="10"/>
        <v>#REF!</v>
      </c>
      <c r="AD71" s="68" t="e">
        <f t="shared" si="11"/>
        <v>#REF!</v>
      </c>
      <c r="AE71" s="68" t="e">
        <f t="shared" si="12"/>
        <v>#REF!</v>
      </c>
      <c r="AF71" s="68" t="e">
        <f t="shared" si="13"/>
        <v>#REF!</v>
      </c>
      <c r="AG71" s="68" t="e">
        <f t="shared" si="14"/>
        <v>#REF!</v>
      </c>
      <c r="AH71" s="68" t="e">
        <f t="shared" si="15"/>
        <v>#REF!</v>
      </c>
      <c r="AI71" s="68" t="e">
        <f t="shared" si="16"/>
        <v>#REF!</v>
      </c>
      <c r="AJ71" s="68" t="e">
        <f t="shared" si="17"/>
        <v>#REF!</v>
      </c>
    </row>
    <row r="72" spans="1:36" x14ac:dyDescent="0.25">
      <c r="A72" s="30">
        <v>71</v>
      </c>
      <c r="B72" s="30">
        <v>71</v>
      </c>
      <c r="C72" s="63" t="str">
        <f>Roster!$T74</f>
        <v xml:space="preserve"> </v>
      </c>
      <c r="D72" s="10"/>
      <c r="E72" s="70"/>
      <c r="F72" s="10"/>
      <c r="G72" s="70"/>
      <c r="H72" s="10"/>
      <c r="I72" s="70"/>
      <c r="J72" s="71"/>
      <c r="K72" s="64"/>
      <c r="L72" s="66" t="e">
        <f>#REF!</f>
        <v>#REF!</v>
      </c>
      <c r="M72" s="66" t="e">
        <f>#REF!</f>
        <v>#REF!</v>
      </c>
      <c r="N72" s="66" t="e">
        <f>#REF!</f>
        <v>#REF!</v>
      </c>
      <c r="O72" s="66" t="e">
        <f>#REF!</f>
        <v>#REF!</v>
      </c>
      <c r="P72" s="66" t="e">
        <f>#REF!</f>
        <v>#REF!</v>
      </c>
      <c r="Q72" s="66" t="e">
        <f>#REF!</f>
        <v>#REF!</v>
      </c>
      <c r="R72" s="66" t="e">
        <f>#REF!</f>
        <v>#REF!</v>
      </c>
      <c r="S72" s="66" t="e">
        <f>#REF!</f>
        <v>#REF!</v>
      </c>
      <c r="T72" s="66" t="e">
        <f>#REF!</f>
        <v>#REF!</v>
      </c>
      <c r="U72" s="66" t="e">
        <f>#REF!</f>
        <v>#REF!</v>
      </c>
      <c r="W72" s="88"/>
      <c r="X72" s="88"/>
      <c r="Y72" s="69" t="e">
        <f>'Team Info'!$B$19&amp;": "&amp;O72&amp;""</f>
        <v>#REF!</v>
      </c>
      <c r="Z72" s="69" t="e">
        <f>'Team Info'!$B$19&amp;": "&amp;N72&amp;""</f>
        <v>#REF!</v>
      </c>
      <c r="AB72" s="68" t="e">
        <f t="shared" si="9"/>
        <v>#REF!</v>
      </c>
      <c r="AC72" s="68" t="e">
        <f t="shared" si="10"/>
        <v>#REF!</v>
      </c>
      <c r="AD72" s="68" t="e">
        <f t="shared" si="11"/>
        <v>#REF!</v>
      </c>
      <c r="AE72" s="68" t="e">
        <f t="shared" si="12"/>
        <v>#REF!</v>
      </c>
      <c r="AF72" s="68" t="e">
        <f t="shared" si="13"/>
        <v>#REF!</v>
      </c>
      <c r="AG72" s="68" t="e">
        <f t="shared" si="14"/>
        <v>#REF!</v>
      </c>
      <c r="AH72" s="68" t="e">
        <f t="shared" si="15"/>
        <v>#REF!</v>
      </c>
      <c r="AI72" s="68" t="e">
        <f t="shared" si="16"/>
        <v>#REF!</v>
      </c>
      <c r="AJ72" s="68" t="e">
        <f t="shared" si="17"/>
        <v>#REF!</v>
      </c>
    </row>
    <row r="73" spans="1:36" x14ac:dyDescent="0.25">
      <c r="A73" s="30">
        <v>72</v>
      </c>
      <c r="B73" s="30">
        <v>72</v>
      </c>
      <c r="C73" s="63" t="str">
        <f>Roster!$T75</f>
        <v xml:space="preserve"> </v>
      </c>
      <c r="D73" s="10"/>
      <c r="E73" s="70"/>
      <c r="F73" s="10"/>
      <c r="G73" s="70"/>
      <c r="H73" s="10"/>
      <c r="I73" s="70"/>
      <c r="J73" s="71"/>
      <c r="K73" s="64"/>
      <c r="L73" s="66" t="e">
        <f>#REF!</f>
        <v>#REF!</v>
      </c>
      <c r="M73" s="66" t="e">
        <f>#REF!</f>
        <v>#REF!</v>
      </c>
      <c r="N73" s="66" t="e">
        <f>#REF!</f>
        <v>#REF!</v>
      </c>
      <c r="O73" s="66" t="e">
        <f>#REF!</f>
        <v>#REF!</v>
      </c>
      <c r="P73" s="66" t="e">
        <f>#REF!</f>
        <v>#REF!</v>
      </c>
      <c r="Q73" s="66" t="e">
        <f>#REF!</f>
        <v>#REF!</v>
      </c>
      <c r="R73" s="66" t="e">
        <f>#REF!</f>
        <v>#REF!</v>
      </c>
      <c r="S73" s="66" t="e">
        <f>#REF!</f>
        <v>#REF!</v>
      </c>
      <c r="T73" s="66" t="e">
        <f>#REF!</f>
        <v>#REF!</v>
      </c>
      <c r="U73" s="66" t="e">
        <f>#REF!</f>
        <v>#REF!</v>
      </c>
      <c r="W73" s="88"/>
      <c r="X73" s="88"/>
      <c r="Y73" s="69" t="e">
        <f>'Team Info'!$B$19&amp;": "&amp;O73&amp;""</f>
        <v>#REF!</v>
      </c>
      <c r="Z73" s="69" t="e">
        <f>'Team Info'!$B$19&amp;": "&amp;N73&amp;""</f>
        <v>#REF!</v>
      </c>
      <c r="AB73" s="68" t="e">
        <f t="shared" si="9"/>
        <v>#REF!</v>
      </c>
      <c r="AC73" s="68" t="e">
        <f t="shared" si="10"/>
        <v>#REF!</v>
      </c>
      <c r="AD73" s="68" t="e">
        <f t="shared" si="11"/>
        <v>#REF!</v>
      </c>
      <c r="AE73" s="68" t="e">
        <f t="shared" si="12"/>
        <v>#REF!</v>
      </c>
      <c r="AF73" s="68" t="e">
        <f t="shared" si="13"/>
        <v>#REF!</v>
      </c>
      <c r="AG73" s="68" t="e">
        <f t="shared" si="14"/>
        <v>#REF!</v>
      </c>
      <c r="AH73" s="68" t="e">
        <f t="shared" si="15"/>
        <v>#REF!</v>
      </c>
      <c r="AI73" s="68" t="e">
        <f t="shared" si="16"/>
        <v>#REF!</v>
      </c>
      <c r="AJ73" s="68" t="e">
        <f t="shared" si="17"/>
        <v>#REF!</v>
      </c>
    </row>
    <row r="74" spans="1:36" x14ac:dyDescent="0.25">
      <c r="A74" s="30">
        <v>73</v>
      </c>
      <c r="B74" s="30">
        <v>73</v>
      </c>
      <c r="C74" s="63" t="str">
        <f>Roster!$T76</f>
        <v xml:space="preserve"> </v>
      </c>
      <c r="D74" s="10"/>
      <c r="E74" s="70"/>
      <c r="F74" s="10"/>
      <c r="G74" s="70"/>
      <c r="H74" s="10"/>
      <c r="I74" s="70"/>
      <c r="J74" s="71"/>
      <c r="K74" s="64"/>
      <c r="L74" s="66" t="e">
        <f>#REF!</f>
        <v>#REF!</v>
      </c>
      <c r="M74" s="66" t="e">
        <f>#REF!</f>
        <v>#REF!</v>
      </c>
      <c r="N74" s="66" t="e">
        <f>#REF!</f>
        <v>#REF!</v>
      </c>
      <c r="O74" s="66" t="e">
        <f>#REF!</f>
        <v>#REF!</v>
      </c>
      <c r="P74" s="66" t="e">
        <f>#REF!</f>
        <v>#REF!</v>
      </c>
      <c r="Q74" s="66" t="e">
        <f>#REF!</f>
        <v>#REF!</v>
      </c>
      <c r="R74" s="66" t="e">
        <f>#REF!</f>
        <v>#REF!</v>
      </c>
      <c r="S74" s="66" t="e">
        <f>#REF!</f>
        <v>#REF!</v>
      </c>
      <c r="T74" s="66" t="e">
        <f>#REF!</f>
        <v>#REF!</v>
      </c>
      <c r="U74" s="66" t="e">
        <f>#REF!</f>
        <v>#REF!</v>
      </c>
      <c r="W74" s="88"/>
      <c r="X74" s="88"/>
      <c r="Y74" s="69" t="e">
        <f>'Team Info'!$B$19&amp;": "&amp;O74&amp;""</f>
        <v>#REF!</v>
      </c>
      <c r="Z74" s="69" t="e">
        <f>'Team Info'!$B$19&amp;": "&amp;N74&amp;""</f>
        <v>#REF!</v>
      </c>
      <c r="AB74" s="68" t="e">
        <f t="shared" si="9"/>
        <v>#REF!</v>
      </c>
      <c r="AC74" s="68" t="e">
        <f t="shared" si="10"/>
        <v>#REF!</v>
      </c>
      <c r="AD74" s="68" t="e">
        <f t="shared" si="11"/>
        <v>#REF!</v>
      </c>
      <c r="AE74" s="68" t="e">
        <f t="shared" si="12"/>
        <v>#REF!</v>
      </c>
      <c r="AF74" s="68" t="e">
        <f t="shared" si="13"/>
        <v>#REF!</v>
      </c>
      <c r="AG74" s="68" t="e">
        <f t="shared" si="14"/>
        <v>#REF!</v>
      </c>
      <c r="AH74" s="68" t="e">
        <f t="shared" si="15"/>
        <v>#REF!</v>
      </c>
      <c r="AI74" s="68" t="e">
        <f t="shared" si="16"/>
        <v>#REF!</v>
      </c>
      <c r="AJ74" s="68" t="e">
        <f t="shared" si="17"/>
        <v>#REF!</v>
      </c>
    </row>
    <row r="75" spans="1:36" x14ac:dyDescent="0.25">
      <c r="A75" s="30">
        <v>74</v>
      </c>
      <c r="B75" s="30">
        <v>74</v>
      </c>
      <c r="C75" s="63" t="str">
        <f>Roster!$T77</f>
        <v xml:space="preserve"> </v>
      </c>
      <c r="D75" s="10"/>
      <c r="E75" s="70"/>
      <c r="F75" s="10"/>
      <c r="G75" s="70"/>
      <c r="H75" s="10"/>
      <c r="I75" s="70"/>
      <c r="J75" s="71"/>
      <c r="K75" s="64"/>
      <c r="L75" s="66" t="e">
        <f>#REF!</f>
        <v>#REF!</v>
      </c>
      <c r="M75" s="66" t="e">
        <f>#REF!</f>
        <v>#REF!</v>
      </c>
      <c r="N75" s="66" t="e">
        <f>#REF!</f>
        <v>#REF!</v>
      </c>
      <c r="O75" s="66" t="e">
        <f>#REF!</f>
        <v>#REF!</v>
      </c>
      <c r="P75" s="66" t="e">
        <f>#REF!</f>
        <v>#REF!</v>
      </c>
      <c r="Q75" s="66" t="e">
        <f>#REF!</f>
        <v>#REF!</v>
      </c>
      <c r="R75" s="66" t="e">
        <f>#REF!</f>
        <v>#REF!</v>
      </c>
      <c r="S75" s="66" t="e">
        <f>#REF!</f>
        <v>#REF!</v>
      </c>
      <c r="T75" s="66" t="e">
        <f>#REF!</f>
        <v>#REF!</v>
      </c>
      <c r="U75" s="66" t="e">
        <f>#REF!</f>
        <v>#REF!</v>
      </c>
      <c r="W75" s="88"/>
      <c r="X75" s="88"/>
      <c r="Y75" s="69" t="e">
        <f>'Team Info'!$B$19&amp;": "&amp;O75&amp;""</f>
        <v>#REF!</v>
      </c>
      <c r="Z75" s="69" t="e">
        <f>'Team Info'!$B$19&amp;": "&amp;N75&amp;""</f>
        <v>#REF!</v>
      </c>
      <c r="AB75" s="68" t="e">
        <f t="shared" si="9"/>
        <v>#REF!</v>
      </c>
      <c r="AC75" s="68" t="e">
        <f t="shared" si="10"/>
        <v>#REF!</v>
      </c>
      <c r="AD75" s="68" t="e">
        <f t="shared" si="11"/>
        <v>#REF!</v>
      </c>
      <c r="AE75" s="68" t="e">
        <f t="shared" si="12"/>
        <v>#REF!</v>
      </c>
      <c r="AF75" s="68" t="e">
        <f t="shared" si="13"/>
        <v>#REF!</v>
      </c>
      <c r="AG75" s="68" t="e">
        <f t="shared" si="14"/>
        <v>#REF!</v>
      </c>
      <c r="AH75" s="68" t="e">
        <f t="shared" si="15"/>
        <v>#REF!</v>
      </c>
      <c r="AI75" s="68" t="e">
        <f t="shared" si="16"/>
        <v>#REF!</v>
      </c>
      <c r="AJ75" s="68" t="e">
        <f t="shared" si="17"/>
        <v>#REF!</v>
      </c>
    </row>
    <row r="76" spans="1:36" x14ac:dyDescent="0.25">
      <c r="A76" s="30">
        <v>75</v>
      </c>
      <c r="B76" s="30">
        <v>75</v>
      </c>
      <c r="C76" s="63" t="str">
        <f>Roster!$T78</f>
        <v xml:space="preserve"> </v>
      </c>
      <c r="D76" s="10"/>
      <c r="E76" s="70"/>
      <c r="F76" s="10"/>
      <c r="G76" s="70"/>
      <c r="H76" s="10"/>
      <c r="I76" s="70"/>
      <c r="J76" s="71"/>
      <c r="K76" s="64"/>
      <c r="L76" s="66" t="s">
        <v>58</v>
      </c>
      <c r="M76" s="66" t="s">
        <v>58</v>
      </c>
      <c r="N76" s="66" t="e">
        <f>#REF!</f>
        <v>#REF!</v>
      </c>
      <c r="O76" s="66" t="s">
        <v>58</v>
      </c>
      <c r="P76" s="66" t="e">
        <f>#REF!</f>
        <v>#REF!</v>
      </c>
      <c r="Q76" s="66" t="s">
        <v>58</v>
      </c>
      <c r="R76" s="66" t="e">
        <f>#REF!</f>
        <v>#REF!</v>
      </c>
      <c r="S76" s="66" t="s">
        <v>58</v>
      </c>
      <c r="T76" s="66" t="e">
        <f>#REF!</f>
        <v>#REF!</v>
      </c>
      <c r="U76" s="66" t="e">
        <f>#REF!</f>
        <v>#REF!</v>
      </c>
      <c r="W76" s="88"/>
      <c r="X76" s="88"/>
      <c r="Y76" s="69" t="str">
        <f>'Team Info'!$B$19&amp;": "&amp;O76&amp;""</f>
        <v>Last Season: 0</v>
      </c>
      <c r="Z76" s="69" t="e">
        <f>'Team Info'!$B$19&amp;": "&amp;N76&amp;""</f>
        <v>#REF!</v>
      </c>
      <c r="AB76" s="68" t="str">
        <f t="shared" si="9"/>
        <v>0 PPG</v>
      </c>
      <c r="AC76" s="68" t="str">
        <f t="shared" si="10"/>
        <v>0 FG</v>
      </c>
      <c r="AD76" s="68" t="e">
        <f t="shared" si="11"/>
        <v>#REF!</v>
      </c>
      <c r="AE76" s="68" t="str">
        <f t="shared" si="12"/>
        <v>0 FT</v>
      </c>
      <c r="AF76" s="68" t="e">
        <f t="shared" si="13"/>
        <v>#REF!</v>
      </c>
      <c r="AG76" s="68" t="str">
        <f t="shared" si="14"/>
        <v>0 APG</v>
      </c>
      <c r="AH76" s="68" t="e">
        <f t="shared" si="15"/>
        <v>#REF!</v>
      </c>
      <c r="AI76" s="68" t="str">
        <f t="shared" si="16"/>
        <v>0 SPG</v>
      </c>
      <c r="AJ76" s="68" t="e">
        <f t="shared" si="17"/>
        <v>#REF!</v>
      </c>
    </row>
    <row r="77" spans="1:36" x14ac:dyDescent="0.25">
      <c r="A77" s="30">
        <v>76</v>
      </c>
      <c r="B77" s="30">
        <v>76</v>
      </c>
      <c r="C77" s="63" t="str">
        <f>Roster!$T79</f>
        <v xml:space="preserve"> </v>
      </c>
      <c r="D77" s="10"/>
      <c r="E77" s="70"/>
      <c r="F77" s="10"/>
      <c r="G77" s="70"/>
      <c r="H77" s="10"/>
      <c r="I77" s="70"/>
      <c r="J77" s="71"/>
      <c r="K77" s="64"/>
      <c r="L77" s="66" t="e">
        <f>#REF!</f>
        <v>#REF!</v>
      </c>
      <c r="M77" s="66" t="e">
        <f>#REF!</f>
        <v>#REF!</v>
      </c>
      <c r="N77" s="66" t="e">
        <f>#REF!</f>
        <v>#REF!</v>
      </c>
      <c r="O77" s="66" t="e">
        <f>#REF!</f>
        <v>#REF!</v>
      </c>
      <c r="P77" s="66" t="e">
        <f>#REF!</f>
        <v>#REF!</v>
      </c>
      <c r="Q77" s="66" t="e">
        <f>#REF!</f>
        <v>#REF!</v>
      </c>
      <c r="R77" s="66" t="e">
        <f>#REF!</f>
        <v>#REF!</v>
      </c>
      <c r="S77" s="66" t="e">
        <f>#REF!</f>
        <v>#REF!</v>
      </c>
      <c r="T77" s="66" t="e">
        <f>#REF!</f>
        <v>#REF!</v>
      </c>
      <c r="U77" s="66" t="e">
        <f>#REF!</f>
        <v>#REF!</v>
      </c>
      <c r="W77" s="88"/>
      <c r="X77" s="88"/>
      <c r="Y77" s="69" t="e">
        <f>'Team Info'!$B$19&amp;": "&amp;O77&amp;""</f>
        <v>#REF!</v>
      </c>
      <c r="Z77" s="69" t="e">
        <f>'Team Info'!$B$19&amp;": "&amp;N77&amp;""</f>
        <v>#REF!</v>
      </c>
      <c r="AB77" s="68" t="e">
        <f t="shared" si="9"/>
        <v>#REF!</v>
      </c>
      <c r="AC77" s="68" t="e">
        <f t="shared" si="10"/>
        <v>#REF!</v>
      </c>
      <c r="AD77" s="68" t="e">
        <f t="shared" si="11"/>
        <v>#REF!</v>
      </c>
      <c r="AE77" s="68" t="e">
        <f t="shared" si="12"/>
        <v>#REF!</v>
      </c>
      <c r="AF77" s="68" t="e">
        <f t="shared" si="13"/>
        <v>#REF!</v>
      </c>
      <c r="AG77" s="68" t="e">
        <f t="shared" si="14"/>
        <v>#REF!</v>
      </c>
      <c r="AH77" s="68" t="e">
        <f t="shared" si="15"/>
        <v>#REF!</v>
      </c>
      <c r="AI77" s="68" t="e">
        <f t="shared" si="16"/>
        <v>#REF!</v>
      </c>
      <c r="AJ77" s="68" t="e">
        <f t="shared" si="17"/>
        <v>#REF!</v>
      </c>
    </row>
    <row r="78" spans="1:36" x14ac:dyDescent="0.25">
      <c r="A78" s="30">
        <v>77</v>
      </c>
      <c r="B78" s="30">
        <v>77</v>
      </c>
      <c r="C78" s="63" t="str">
        <f>Roster!$T80</f>
        <v xml:space="preserve"> </v>
      </c>
      <c r="D78" s="10"/>
      <c r="E78" s="70"/>
      <c r="F78" s="10"/>
      <c r="G78" s="70"/>
      <c r="H78" s="10"/>
      <c r="I78" s="70"/>
      <c r="J78" s="71"/>
      <c r="K78" s="64"/>
      <c r="L78" s="66" t="e">
        <f>#REF!</f>
        <v>#REF!</v>
      </c>
      <c r="M78" s="66" t="e">
        <f>#REF!</f>
        <v>#REF!</v>
      </c>
      <c r="N78" s="66" t="e">
        <f>#REF!</f>
        <v>#REF!</v>
      </c>
      <c r="O78" s="66" t="e">
        <f>#REF!</f>
        <v>#REF!</v>
      </c>
      <c r="P78" s="66" t="e">
        <f>#REF!</f>
        <v>#REF!</v>
      </c>
      <c r="Q78" s="66" t="e">
        <f>#REF!</f>
        <v>#REF!</v>
      </c>
      <c r="R78" s="66" t="e">
        <f>#REF!</f>
        <v>#REF!</v>
      </c>
      <c r="S78" s="66" t="e">
        <f>#REF!</f>
        <v>#REF!</v>
      </c>
      <c r="T78" s="66" t="e">
        <f>#REF!</f>
        <v>#REF!</v>
      </c>
      <c r="U78" s="66" t="e">
        <f>#REF!</f>
        <v>#REF!</v>
      </c>
      <c r="W78" s="88"/>
      <c r="X78" s="88"/>
      <c r="Y78" s="69" t="e">
        <f>'Team Info'!$B$19&amp;": "&amp;O78&amp;""</f>
        <v>#REF!</v>
      </c>
      <c r="Z78" s="69" t="e">
        <f>'Team Info'!$B$19&amp;": "&amp;N78&amp;""</f>
        <v>#REF!</v>
      </c>
      <c r="AB78" s="68" t="e">
        <f t="shared" si="9"/>
        <v>#REF!</v>
      </c>
      <c r="AC78" s="68" t="e">
        <f t="shared" si="10"/>
        <v>#REF!</v>
      </c>
      <c r="AD78" s="68" t="e">
        <f t="shared" si="11"/>
        <v>#REF!</v>
      </c>
      <c r="AE78" s="68" t="e">
        <f t="shared" si="12"/>
        <v>#REF!</v>
      </c>
      <c r="AF78" s="68" t="e">
        <f t="shared" si="13"/>
        <v>#REF!</v>
      </c>
      <c r="AG78" s="68" t="e">
        <f t="shared" si="14"/>
        <v>#REF!</v>
      </c>
      <c r="AH78" s="68" t="e">
        <f t="shared" si="15"/>
        <v>#REF!</v>
      </c>
      <c r="AI78" s="68" t="e">
        <f t="shared" si="16"/>
        <v>#REF!</v>
      </c>
      <c r="AJ78" s="68" t="e">
        <f t="shared" si="17"/>
        <v>#REF!</v>
      </c>
    </row>
    <row r="79" spans="1:36" x14ac:dyDescent="0.25">
      <c r="A79" s="30">
        <v>78</v>
      </c>
      <c r="B79" s="30">
        <v>78</v>
      </c>
      <c r="C79" s="63" t="str">
        <f>Roster!$T81</f>
        <v xml:space="preserve"> </v>
      </c>
      <c r="D79" s="10"/>
      <c r="E79" s="70"/>
      <c r="F79" s="10"/>
      <c r="G79" s="70"/>
      <c r="H79" s="10"/>
      <c r="I79" s="70"/>
      <c r="J79" s="71"/>
      <c r="K79" s="64"/>
      <c r="L79" s="66" t="e">
        <f>#REF!</f>
        <v>#REF!</v>
      </c>
      <c r="M79" s="66" t="e">
        <f>#REF!</f>
        <v>#REF!</v>
      </c>
      <c r="N79" s="66" t="e">
        <f>#REF!</f>
        <v>#REF!</v>
      </c>
      <c r="O79" s="66" t="e">
        <f>#REF!</f>
        <v>#REF!</v>
      </c>
      <c r="P79" s="66" t="e">
        <f>#REF!</f>
        <v>#REF!</v>
      </c>
      <c r="Q79" s="66" t="e">
        <f>#REF!</f>
        <v>#REF!</v>
      </c>
      <c r="R79" s="66" t="e">
        <f>#REF!</f>
        <v>#REF!</v>
      </c>
      <c r="S79" s="66" t="e">
        <f>#REF!</f>
        <v>#REF!</v>
      </c>
      <c r="T79" s="66" t="e">
        <f>#REF!</f>
        <v>#REF!</v>
      </c>
      <c r="U79" s="66" t="e">
        <f>#REF!</f>
        <v>#REF!</v>
      </c>
      <c r="W79" s="88"/>
      <c r="X79" s="88"/>
      <c r="Y79" s="69" t="e">
        <f>'Team Info'!$B$19&amp;": "&amp;O79&amp;""</f>
        <v>#REF!</v>
      </c>
      <c r="Z79" s="69" t="e">
        <f>'Team Info'!$B$19&amp;": "&amp;N79&amp;""</f>
        <v>#REF!</v>
      </c>
      <c r="AB79" s="68" t="e">
        <f t="shared" si="9"/>
        <v>#REF!</v>
      </c>
      <c r="AC79" s="68" t="e">
        <f t="shared" si="10"/>
        <v>#REF!</v>
      </c>
      <c r="AD79" s="68" t="e">
        <f t="shared" si="11"/>
        <v>#REF!</v>
      </c>
      <c r="AE79" s="68" t="e">
        <f t="shared" si="12"/>
        <v>#REF!</v>
      </c>
      <c r="AF79" s="68" t="e">
        <f t="shared" si="13"/>
        <v>#REF!</v>
      </c>
      <c r="AG79" s="68" t="e">
        <f t="shared" si="14"/>
        <v>#REF!</v>
      </c>
      <c r="AH79" s="68" t="e">
        <f t="shared" si="15"/>
        <v>#REF!</v>
      </c>
      <c r="AI79" s="68" t="e">
        <f t="shared" si="16"/>
        <v>#REF!</v>
      </c>
      <c r="AJ79" s="68" t="e">
        <f t="shared" si="17"/>
        <v>#REF!</v>
      </c>
    </row>
    <row r="80" spans="1:36" x14ac:dyDescent="0.25">
      <c r="A80" s="30">
        <v>79</v>
      </c>
      <c r="B80" s="30">
        <v>79</v>
      </c>
      <c r="C80" s="63" t="str">
        <f>Roster!$T82</f>
        <v xml:space="preserve"> </v>
      </c>
      <c r="D80" s="10"/>
      <c r="E80" s="70"/>
      <c r="F80" s="10"/>
      <c r="G80" s="70"/>
      <c r="H80" s="10"/>
      <c r="I80" s="70"/>
      <c r="J80" s="71"/>
      <c r="K80" s="64"/>
      <c r="L80" s="66" t="e">
        <f>#REF!</f>
        <v>#REF!</v>
      </c>
      <c r="M80" s="66" t="e">
        <f>#REF!</f>
        <v>#REF!</v>
      </c>
      <c r="N80" s="66" t="e">
        <f>#REF!</f>
        <v>#REF!</v>
      </c>
      <c r="O80" s="66" t="e">
        <f>#REF!</f>
        <v>#REF!</v>
      </c>
      <c r="P80" s="66" t="e">
        <f>#REF!</f>
        <v>#REF!</v>
      </c>
      <c r="Q80" s="66" t="e">
        <f>#REF!</f>
        <v>#REF!</v>
      </c>
      <c r="R80" s="66" t="e">
        <f>#REF!</f>
        <v>#REF!</v>
      </c>
      <c r="S80" s="66" t="e">
        <f>#REF!</f>
        <v>#REF!</v>
      </c>
      <c r="T80" s="66" t="e">
        <f>#REF!</f>
        <v>#REF!</v>
      </c>
      <c r="U80" s="66" t="e">
        <f>#REF!</f>
        <v>#REF!</v>
      </c>
      <c r="W80" s="88"/>
      <c r="X80" s="88"/>
      <c r="Y80" s="69" t="e">
        <f>'Team Info'!$B$19&amp;": "&amp;O80&amp;""</f>
        <v>#REF!</v>
      </c>
      <c r="Z80" s="69" t="e">
        <f>'Team Info'!$B$19&amp;": "&amp;N80&amp;""</f>
        <v>#REF!</v>
      </c>
      <c r="AB80" s="68" t="e">
        <f t="shared" si="9"/>
        <v>#REF!</v>
      </c>
      <c r="AC80" s="68" t="e">
        <f t="shared" si="10"/>
        <v>#REF!</v>
      </c>
      <c r="AD80" s="68" t="e">
        <f t="shared" si="11"/>
        <v>#REF!</v>
      </c>
      <c r="AE80" s="68" t="e">
        <f t="shared" si="12"/>
        <v>#REF!</v>
      </c>
      <c r="AF80" s="68" t="e">
        <f t="shared" si="13"/>
        <v>#REF!</v>
      </c>
      <c r="AG80" s="68" t="e">
        <f t="shared" si="14"/>
        <v>#REF!</v>
      </c>
      <c r="AH80" s="68" t="e">
        <f t="shared" si="15"/>
        <v>#REF!</v>
      </c>
      <c r="AI80" s="68" t="e">
        <f t="shared" si="16"/>
        <v>#REF!</v>
      </c>
      <c r="AJ80" s="68" t="e">
        <f t="shared" si="17"/>
        <v>#REF!</v>
      </c>
    </row>
    <row r="81" spans="1:36" x14ac:dyDescent="0.25">
      <c r="A81" s="30">
        <v>80</v>
      </c>
      <c r="B81" s="30">
        <v>80</v>
      </c>
      <c r="C81" s="63" t="str">
        <f>Roster!$T83</f>
        <v xml:space="preserve"> </v>
      </c>
      <c r="D81" s="10"/>
      <c r="E81" s="70"/>
      <c r="F81" s="10"/>
      <c r="G81" s="70"/>
      <c r="H81" s="10"/>
      <c r="I81" s="70"/>
      <c r="J81" s="71"/>
      <c r="K81" s="64"/>
      <c r="L81" s="66" t="e">
        <f>#REF!</f>
        <v>#REF!</v>
      </c>
      <c r="M81" s="66" t="e">
        <f>#REF!</f>
        <v>#REF!</v>
      </c>
      <c r="N81" s="66" t="e">
        <f>#REF!</f>
        <v>#REF!</v>
      </c>
      <c r="O81" s="66" t="e">
        <f>#REF!</f>
        <v>#REF!</v>
      </c>
      <c r="P81" s="66" t="e">
        <f>#REF!</f>
        <v>#REF!</v>
      </c>
      <c r="Q81" s="66" t="e">
        <f>#REF!</f>
        <v>#REF!</v>
      </c>
      <c r="R81" s="66" t="e">
        <f>#REF!</f>
        <v>#REF!</v>
      </c>
      <c r="S81" s="66" t="e">
        <f>#REF!</f>
        <v>#REF!</v>
      </c>
      <c r="T81" s="66" t="e">
        <f>#REF!</f>
        <v>#REF!</v>
      </c>
      <c r="U81" s="66" t="e">
        <f>#REF!</f>
        <v>#REF!</v>
      </c>
      <c r="W81" s="88"/>
      <c r="X81" s="88"/>
      <c r="Y81" s="69" t="e">
        <f>'Team Info'!$B$19&amp;": "&amp;O81&amp;""</f>
        <v>#REF!</v>
      </c>
      <c r="Z81" s="69" t="e">
        <f>'Team Info'!$B$19&amp;": "&amp;N81&amp;""</f>
        <v>#REF!</v>
      </c>
      <c r="AB81" s="68" t="e">
        <f t="shared" si="9"/>
        <v>#REF!</v>
      </c>
      <c r="AC81" s="68" t="e">
        <f t="shared" si="10"/>
        <v>#REF!</v>
      </c>
      <c r="AD81" s="68" t="e">
        <f t="shared" si="11"/>
        <v>#REF!</v>
      </c>
      <c r="AE81" s="68" t="e">
        <f t="shared" si="12"/>
        <v>#REF!</v>
      </c>
      <c r="AF81" s="68" t="e">
        <f t="shared" si="13"/>
        <v>#REF!</v>
      </c>
      <c r="AG81" s="68" t="e">
        <f t="shared" si="14"/>
        <v>#REF!</v>
      </c>
      <c r="AH81" s="68" t="e">
        <f t="shared" si="15"/>
        <v>#REF!</v>
      </c>
      <c r="AI81" s="68" t="e">
        <f t="shared" si="16"/>
        <v>#REF!</v>
      </c>
      <c r="AJ81" s="68" t="e">
        <f t="shared" si="17"/>
        <v>#REF!</v>
      </c>
    </row>
    <row r="82" spans="1:36" x14ac:dyDescent="0.25">
      <c r="A82" s="30">
        <v>81</v>
      </c>
      <c r="B82" s="30">
        <v>81</v>
      </c>
      <c r="C82" s="63" t="str">
        <f>Roster!$T84</f>
        <v xml:space="preserve"> </v>
      </c>
      <c r="D82" s="10"/>
      <c r="E82" s="70"/>
      <c r="F82" s="10"/>
      <c r="G82" s="70"/>
      <c r="H82" s="10"/>
      <c r="I82" s="70"/>
      <c r="J82" s="71"/>
      <c r="K82" s="64"/>
      <c r="L82" s="66" t="e">
        <f>#REF!</f>
        <v>#REF!</v>
      </c>
      <c r="M82" s="66" t="e">
        <f>#REF!</f>
        <v>#REF!</v>
      </c>
      <c r="N82" s="66" t="e">
        <f>#REF!</f>
        <v>#REF!</v>
      </c>
      <c r="O82" s="66" t="e">
        <f>#REF!</f>
        <v>#REF!</v>
      </c>
      <c r="P82" s="66" t="e">
        <f>#REF!</f>
        <v>#REF!</v>
      </c>
      <c r="Q82" s="66" t="e">
        <f>#REF!</f>
        <v>#REF!</v>
      </c>
      <c r="R82" s="66" t="e">
        <f>#REF!</f>
        <v>#REF!</v>
      </c>
      <c r="S82" s="66" t="e">
        <f>#REF!</f>
        <v>#REF!</v>
      </c>
      <c r="T82" s="66" t="e">
        <f>#REF!</f>
        <v>#REF!</v>
      </c>
      <c r="U82" s="66" t="e">
        <f>#REF!</f>
        <v>#REF!</v>
      </c>
      <c r="W82" s="88"/>
      <c r="X82" s="88"/>
      <c r="Y82" s="69" t="e">
        <f>'Team Info'!$B$19&amp;": "&amp;O82&amp;""</f>
        <v>#REF!</v>
      </c>
      <c r="Z82" s="69" t="e">
        <f>'Team Info'!$B$19&amp;": "&amp;N82&amp;""</f>
        <v>#REF!</v>
      </c>
      <c r="AB82" s="68" t="e">
        <f t="shared" si="9"/>
        <v>#REF!</v>
      </c>
      <c r="AC82" s="68" t="e">
        <f t="shared" si="10"/>
        <v>#REF!</v>
      </c>
      <c r="AD82" s="68" t="e">
        <f t="shared" si="11"/>
        <v>#REF!</v>
      </c>
      <c r="AE82" s="68" t="e">
        <f t="shared" si="12"/>
        <v>#REF!</v>
      </c>
      <c r="AF82" s="68" t="e">
        <f t="shared" si="13"/>
        <v>#REF!</v>
      </c>
      <c r="AG82" s="68" t="e">
        <f t="shared" si="14"/>
        <v>#REF!</v>
      </c>
      <c r="AH82" s="68" t="e">
        <f t="shared" si="15"/>
        <v>#REF!</v>
      </c>
      <c r="AI82" s="68" t="e">
        <f t="shared" si="16"/>
        <v>#REF!</v>
      </c>
      <c r="AJ82" s="68" t="e">
        <f t="shared" si="17"/>
        <v>#REF!</v>
      </c>
    </row>
    <row r="83" spans="1:36" x14ac:dyDescent="0.25">
      <c r="A83" s="30">
        <v>82</v>
      </c>
      <c r="B83" s="30">
        <v>82</v>
      </c>
      <c r="C83" s="63" t="str">
        <f>Roster!$T85</f>
        <v xml:space="preserve"> </v>
      </c>
      <c r="D83" s="10"/>
      <c r="E83" s="70"/>
      <c r="F83" s="10"/>
      <c r="G83" s="70"/>
      <c r="H83" s="10"/>
      <c r="I83" s="70"/>
      <c r="J83" s="71"/>
      <c r="K83" s="64"/>
      <c r="L83" s="66" t="e">
        <f>#REF!</f>
        <v>#REF!</v>
      </c>
      <c r="M83" s="66" t="e">
        <f>#REF!</f>
        <v>#REF!</v>
      </c>
      <c r="N83" s="66" t="e">
        <f>#REF!</f>
        <v>#REF!</v>
      </c>
      <c r="O83" s="66" t="e">
        <f>#REF!</f>
        <v>#REF!</v>
      </c>
      <c r="P83" s="66" t="e">
        <f>#REF!</f>
        <v>#REF!</v>
      </c>
      <c r="Q83" s="66" t="e">
        <f>#REF!</f>
        <v>#REF!</v>
      </c>
      <c r="R83" s="66" t="e">
        <f>#REF!</f>
        <v>#REF!</v>
      </c>
      <c r="S83" s="66" t="e">
        <f>#REF!</f>
        <v>#REF!</v>
      </c>
      <c r="T83" s="66" t="e">
        <f>#REF!</f>
        <v>#REF!</v>
      </c>
      <c r="U83" s="66" t="e">
        <f>#REF!</f>
        <v>#REF!</v>
      </c>
      <c r="W83" s="88"/>
      <c r="X83" s="88"/>
      <c r="Y83" s="69" t="e">
        <f>'Team Info'!$B$19&amp;": "&amp;O83&amp;""</f>
        <v>#REF!</v>
      </c>
      <c r="Z83" s="69" t="e">
        <f>'Team Info'!$B$19&amp;": "&amp;N83&amp;""</f>
        <v>#REF!</v>
      </c>
      <c r="AB83" s="68" t="e">
        <f t="shared" si="9"/>
        <v>#REF!</v>
      </c>
      <c r="AC83" s="68" t="e">
        <f t="shared" si="10"/>
        <v>#REF!</v>
      </c>
      <c r="AD83" s="68" t="e">
        <f t="shared" si="11"/>
        <v>#REF!</v>
      </c>
      <c r="AE83" s="68" t="e">
        <f t="shared" si="12"/>
        <v>#REF!</v>
      </c>
      <c r="AF83" s="68" t="e">
        <f t="shared" si="13"/>
        <v>#REF!</v>
      </c>
      <c r="AG83" s="68" t="e">
        <f t="shared" si="14"/>
        <v>#REF!</v>
      </c>
      <c r="AH83" s="68" t="e">
        <f t="shared" si="15"/>
        <v>#REF!</v>
      </c>
      <c r="AI83" s="68" t="e">
        <f t="shared" si="16"/>
        <v>#REF!</v>
      </c>
      <c r="AJ83" s="68" t="e">
        <f t="shared" si="17"/>
        <v>#REF!</v>
      </c>
    </row>
    <row r="84" spans="1:36" x14ac:dyDescent="0.25">
      <c r="A84" s="30">
        <v>83</v>
      </c>
      <c r="B84" s="30">
        <v>83</v>
      </c>
      <c r="C84" s="63" t="str">
        <f>Roster!$T86</f>
        <v xml:space="preserve"> </v>
      </c>
      <c r="D84" s="10"/>
      <c r="E84" s="70"/>
      <c r="F84" s="10"/>
      <c r="G84" s="70"/>
      <c r="H84" s="10"/>
      <c r="I84" s="70"/>
      <c r="J84" s="71"/>
      <c r="K84" s="64"/>
      <c r="L84" s="66" t="e">
        <f>#REF!</f>
        <v>#REF!</v>
      </c>
      <c r="M84" s="66" t="e">
        <f>#REF!</f>
        <v>#REF!</v>
      </c>
      <c r="N84" s="66" t="e">
        <f>#REF!</f>
        <v>#REF!</v>
      </c>
      <c r="O84" s="66" t="e">
        <f>#REF!</f>
        <v>#REF!</v>
      </c>
      <c r="P84" s="66" t="e">
        <f>#REF!</f>
        <v>#REF!</v>
      </c>
      <c r="Q84" s="66" t="e">
        <f>#REF!</f>
        <v>#REF!</v>
      </c>
      <c r="R84" s="66" t="e">
        <f>#REF!</f>
        <v>#REF!</v>
      </c>
      <c r="S84" s="66" t="e">
        <f>#REF!</f>
        <v>#REF!</v>
      </c>
      <c r="T84" s="66" t="e">
        <f>#REF!</f>
        <v>#REF!</v>
      </c>
      <c r="U84" s="66" t="e">
        <f>#REF!</f>
        <v>#REF!</v>
      </c>
      <c r="W84" s="88"/>
      <c r="X84" s="88"/>
      <c r="Y84" s="69" t="e">
        <f>'Team Info'!$B$19&amp;": "&amp;O84&amp;""</f>
        <v>#REF!</v>
      </c>
      <c r="Z84" s="69" t="e">
        <f>'Team Info'!$B$19&amp;": "&amp;N84&amp;""</f>
        <v>#REF!</v>
      </c>
      <c r="AB84" s="68" t="e">
        <f t="shared" si="9"/>
        <v>#REF!</v>
      </c>
      <c r="AC84" s="68" t="e">
        <f t="shared" si="10"/>
        <v>#REF!</v>
      </c>
      <c r="AD84" s="68" t="e">
        <f t="shared" si="11"/>
        <v>#REF!</v>
      </c>
      <c r="AE84" s="68" t="e">
        <f t="shared" si="12"/>
        <v>#REF!</v>
      </c>
      <c r="AF84" s="68" t="e">
        <f t="shared" si="13"/>
        <v>#REF!</v>
      </c>
      <c r="AG84" s="68" t="e">
        <f t="shared" si="14"/>
        <v>#REF!</v>
      </c>
      <c r="AH84" s="68" t="e">
        <f t="shared" si="15"/>
        <v>#REF!</v>
      </c>
      <c r="AI84" s="68" t="e">
        <f t="shared" si="16"/>
        <v>#REF!</v>
      </c>
      <c r="AJ84" s="68" t="e">
        <f t="shared" si="17"/>
        <v>#REF!</v>
      </c>
    </row>
    <row r="85" spans="1:36" x14ac:dyDescent="0.25">
      <c r="A85" s="30">
        <v>84</v>
      </c>
      <c r="B85" s="30">
        <v>84</v>
      </c>
      <c r="C85" s="63" t="str">
        <f>Roster!$T87</f>
        <v xml:space="preserve"> </v>
      </c>
      <c r="D85" s="10"/>
      <c r="E85" s="70"/>
      <c r="F85" s="10"/>
      <c r="G85" s="70"/>
      <c r="H85" s="10"/>
      <c r="I85" s="70"/>
      <c r="J85" s="71"/>
      <c r="K85" s="64"/>
      <c r="L85" s="66" t="e">
        <f>#REF!</f>
        <v>#REF!</v>
      </c>
      <c r="M85" s="66" t="e">
        <f>#REF!</f>
        <v>#REF!</v>
      </c>
      <c r="N85" s="66" t="e">
        <f>#REF!</f>
        <v>#REF!</v>
      </c>
      <c r="O85" s="66" t="e">
        <f>#REF!</f>
        <v>#REF!</v>
      </c>
      <c r="P85" s="66" t="e">
        <f>#REF!</f>
        <v>#REF!</v>
      </c>
      <c r="Q85" s="66" t="e">
        <f>#REF!</f>
        <v>#REF!</v>
      </c>
      <c r="R85" s="66" t="e">
        <f>#REF!</f>
        <v>#REF!</v>
      </c>
      <c r="S85" s="66" t="e">
        <f>#REF!</f>
        <v>#REF!</v>
      </c>
      <c r="T85" s="66" t="e">
        <f>#REF!</f>
        <v>#REF!</v>
      </c>
      <c r="U85" s="66" t="e">
        <f>#REF!</f>
        <v>#REF!</v>
      </c>
      <c r="W85" s="88"/>
      <c r="X85" s="88"/>
      <c r="Y85" s="69" t="e">
        <f>'Team Info'!$B$19&amp;": "&amp;O85&amp;""</f>
        <v>#REF!</v>
      </c>
      <c r="Z85" s="69" t="e">
        <f>'Team Info'!$B$19&amp;": "&amp;N85&amp;""</f>
        <v>#REF!</v>
      </c>
      <c r="AB85" s="68" t="e">
        <f t="shared" si="9"/>
        <v>#REF!</v>
      </c>
      <c r="AC85" s="68" t="e">
        <f t="shared" si="10"/>
        <v>#REF!</v>
      </c>
      <c r="AD85" s="68" t="e">
        <f t="shared" si="11"/>
        <v>#REF!</v>
      </c>
      <c r="AE85" s="68" t="e">
        <f t="shared" si="12"/>
        <v>#REF!</v>
      </c>
      <c r="AF85" s="68" t="e">
        <f t="shared" si="13"/>
        <v>#REF!</v>
      </c>
      <c r="AG85" s="68" t="e">
        <f t="shared" si="14"/>
        <v>#REF!</v>
      </c>
      <c r="AH85" s="68" t="e">
        <f t="shared" si="15"/>
        <v>#REF!</v>
      </c>
      <c r="AI85" s="68" t="e">
        <f t="shared" si="16"/>
        <v>#REF!</v>
      </c>
      <c r="AJ85" s="68" t="e">
        <f t="shared" si="17"/>
        <v>#REF!</v>
      </c>
    </row>
    <row r="86" spans="1:36" x14ac:dyDescent="0.25">
      <c r="A86" s="30">
        <v>85</v>
      </c>
      <c r="B86" s="30">
        <v>85</v>
      </c>
      <c r="C86" s="63" t="str">
        <f>Roster!$T88</f>
        <v xml:space="preserve"> </v>
      </c>
      <c r="D86" s="10"/>
      <c r="E86" s="70"/>
      <c r="F86" s="10"/>
      <c r="G86" s="70"/>
      <c r="H86" s="10"/>
      <c r="I86" s="70"/>
      <c r="J86" s="71"/>
      <c r="K86" s="64"/>
      <c r="L86" s="66" t="e">
        <f>#REF!</f>
        <v>#REF!</v>
      </c>
      <c r="M86" s="66" t="e">
        <f>#REF!</f>
        <v>#REF!</v>
      </c>
      <c r="N86" s="66" t="e">
        <f>#REF!</f>
        <v>#REF!</v>
      </c>
      <c r="O86" s="66" t="e">
        <f>#REF!</f>
        <v>#REF!</v>
      </c>
      <c r="P86" s="66" t="e">
        <f>#REF!</f>
        <v>#REF!</v>
      </c>
      <c r="Q86" s="66" t="e">
        <f>#REF!</f>
        <v>#REF!</v>
      </c>
      <c r="R86" s="66" t="e">
        <f>#REF!</f>
        <v>#REF!</v>
      </c>
      <c r="S86" s="66" t="e">
        <f>#REF!</f>
        <v>#REF!</v>
      </c>
      <c r="T86" s="66" t="e">
        <f>#REF!</f>
        <v>#REF!</v>
      </c>
      <c r="U86" s="66" t="e">
        <f>#REF!</f>
        <v>#REF!</v>
      </c>
      <c r="W86" s="88"/>
      <c r="X86" s="88"/>
      <c r="Y86" s="69" t="e">
        <f>'Team Info'!$B$19&amp;": "&amp;O86&amp;""</f>
        <v>#REF!</v>
      </c>
      <c r="Z86" s="69" t="e">
        <f>'Team Info'!$B$19&amp;": "&amp;N86&amp;""</f>
        <v>#REF!</v>
      </c>
      <c r="AB86" s="68" t="e">
        <f t="shared" si="9"/>
        <v>#REF!</v>
      </c>
      <c r="AC86" s="68" t="e">
        <f t="shared" si="10"/>
        <v>#REF!</v>
      </c>
      <c r="AD86" s="68" t="e">
        <f t="shared" si="11"/>
        <v>#REF!</v>
      </c>
      <c r="AE86" s="68" t="e">
        <f t="shared" si="12"/>
        <v>#REF!</v>
      </c>
      <c r="AF86" s="68" t="e">
        <f t="shared" si="13"/>
        <v>#REF!</v>
      </c>
      <c r="AG86" s="68" t="e">
        <f t="shared" si="14"/>
        <v>#REF!</v>
      </c>
      <c r="AH86" s="68" t="e">
        <f t="shared" si="15"/>
        <v>#REF!</v>
      </c>
      <c r="AI86" s="68" t="e">
        <f t="shared" si="16"/>
        <v>#REF!</v>
      </c>
      <c r="AJ86" s="68" t="e">
        <f t="shared" si="17"/>
        <v>#REF!</v>
      </c>
    </row>
    <row r="87" spans="1:36" x14ac:dyDescent="0.25">
      <c r="A87" s="30">
        <v>86</v>
      </c>
      <c r="B87" s="30">
        <v>86</v>
      </c>
      <c r="C87" s="63" t="str">
        <f>Roster!$T89</f>
        <v xml:space="preserve"> </v>
      </c>
      <c r="D87" s="10"/>
      <c r="E87" s="70"/>
      <c r="F87" s="10"/>
      <c r="G87" s="70"/>
      <c r="H87" s="10"/>
      <c r="I87" s="70"/>
      <c r="J87" s="71"/>
      <c r="K87" s="64"/>
      <c r="L87" s="66" t="e">
        <f>#REF!</f>
        <v>#REF!</v>
      </c>
      <c r="M87" s="66" t="e">
        <f>#REF!</f>
        <v>#REF!</v>
      </c>
      <c r="N87" s="66" t="e">
        <f>#REF!</f>
        <v>#REF!</v>
      </c>
      <c r="O87" s="66" t="e">
        <f>#REF!</f>
        <v>#REF!</v>
      </c>
      <c r="P87" s="66" t="e">
        <f>#REF!</f>
        <v>#REF!</v>
      </c>
      <c r="Q87" s="66" t="e">
        <f>#REF!</f>
        <v>#REF!</v>
      </c>
      <c r="R87" s="66" t="e">
        <f>#REF!</f>
        <v>#REF!</v>
      </c>
      <c r="S87" s="66" t="e">
        <f>#REF!</f>
        <v>#REF!</v>
      </c>
      <c r="T87" s="66" t="e">
        <f>#REF!</f>
        <v>#REF!</v>
      </c>
      <c r="U87" s="66" t="e">
        <f>#REF!</f>
        <v>#REF!</v>
      </c>
      <c r="W87" s="88"/>
      <c r="X87" s="88"/>
      <c r="Y87" s="69" t="e">
        <f>'Team Info'!$B$19&amp;": "&amp;O87&amp;""</f>
        <v>#REF!</v>
      </c>
      <c r="Z87" s="69" t="e">
        <f>'Team Info'!$B$19&amp;": "&amp;N87&amp;""</f>
        <v>#REF!</v>
      </c>
      <c r="AB87" s="68" t="e">
        <f t="shared" si="9"/>
        <v>#REF!</v>
      </c>
      <c r="AC87" s="68" t="e">
        <f t="shared" si="10"/>
        <v>#REF!</v>
      </c>
      <c r="AD87" s="68" t="e">
        <f t="shared" si="11"/>
        <v>#REF!</v>
      </c>
      <c r="AE87" s="68" t="e">
        <f t="shared" si="12"/>
        <v>#REF!</v>
      </c>
      <c r="AF87" s="68" t="e">
        <f t="shared" si="13"/>
        <v>#REF!</v>
      </c>
      <c r="AG87" s="68" t="e">
        <f t="shared" si="14"/>
        <v>#REF!</v>
      </c>
      <c r="AH87" s="68" t="e">
        <f t="shared" si="15"/>
        <v>#REF!</v>
      </c>
      <c r="AI87" s="68" t="e">
        <f t="shared" si="16"/>
        <v>#REF!</v>
      </c>
      <c r="AJ87" s="68" t="e">
        <f t="shared" si="17"/>
        <v>#REF!</v>
      </c>
    </row>
    <row r="88" spans="1:36" x14ac:dyDescent="0.25">
      <c r="A88" s="30">
        <v>87</v>
      </c>
      <c r="B88" s="30">
        <v>87</v>
      </c>
      <c r="C88" s="63" t="str">
        <f>Roster!$T90</f>
        <v xml:space="preserve"> </v>
      </c>
      <c r="D88" s="10"/>
      <c r="E88" s="70"/>
      <c r="F88" s="10"/>
      <c r="G88" s="70"/>
      <c r="H88" s="10"/>
      <c r="I88" s="70"/>
      <c r="J88" s="71"/>
      <c r="K88" s="64"/>
      <c r="L88" s="66" t="e">
        <f>#REF!</f>
        <v>#REF!</v>
      </c>
      <c r="M88" s="66" t="e">
        <f>#REF!</f>
        <v>#REF!</v>
      </c>
      <c r="N88" s="66" t="e">
        <f>#REF!</f>
        <v>#REF!</v>
      </c>
      <c r="O88" s="66" t="e">
        <f>#REF!</f>
        <v>#REF!</v>
      </c>
      <c r="P88" s="66" t="e">
        <f>#REF!</f>
        <v>#REF!</v>
      </c>
      <c r="Q88" s="66" t="e">
        <f>#REF!</f>
        <v>#REF!</v>
      </c>
      <c r="R88" s="66" t="e">
        <f>#REF!</f>
        <v>#REF!</v>
      </c>
      <c r="S88" s="66" t="e">
        <f>#REF!</f>
        <v>#REF!</v>
      </c>
      <c r="T88" s="66" t="e">
        <f>#REF!</f>
        <v>#REF!</v>
      </c>
      <c r="U88" s="66" t="e">
        <f>#REF!</f>
        <v>#REF!</v>
      </c>
      <c r="W88" s="88"/>
      <c r="X88" s="88"/>
      <c r="Y88" s="69" t="e">
        <f>'Team Info'!$B$19&amp;": "&amp;O88&amp;""</f>
        <v>#REF!</v>
      </c>
      <c r="Z88" s="69" t="e">
        <f>'Team Info'!$B$19&amp;": "&amp;N88&amp;""</f>
        <v>#REF!</v>
      </c>
      <c r="AB88" s="68" t="e">
        <f t="shared" si="9"/>
        <v>#REF!</v>
      </c>
      <c r="AC88" s="68" t="e">
        <f t="shared" si="10"/>
        <v>#REF!</v>
      </c>
      <c r="AD88" s="68" t="e">
        <f t="shared" si="11"/>
        <v>#REF!</v>
      </c>
      <c r="AE88" s="68" t="e">
        <f t="shared" si="12"/>
        <v>#REF!</v>
      </c>
      <c r="AF88" s="68" t="e">
        <f t="shared" si="13"/>
        <v>#REF!</v>
      </c>
      <c r="AG88" s="68" t="e">
        <f t="shared" si="14"/>
        <v>#REF!</v>
      </c>
      <c r="AH88" s="68" t="e">
        <f t="shared" si="15"/>
        <v>#REF!</v>
      </c>
      <c r="AI88" s="68" t="e">
        <f t="shared" si="16"/>
        <v>#REF!</v>
      </c>
      <c r="AJ88" s="68" t="e">
        <f t="shared" si="17"/>
        <v>#REF!</v>
      </c>
    </row>
    <row r="89" spans="1:36" x14ac:dyDescent="0.25">
      <c r="A89" s="30">
        <v>88</v>
      </c>
      <c r="B89" s="30">
        <v>88</v>
      </c>
      <c r="C89" s="63" t="str">
        <f>Roster!$T91</f>
        <v xml:space="preserve"> </v>
      </c>
      <c r="D89" s="10"/>
      <c r="E89" s="70"/>
      <c r="F89" s="10"/>
      <c r="G89" s="70"/>
      <c r="H89" s="10"/>
      <c r="I89" s="70"/>
      <c r="J89" s="71"/>
      <c r="K89" s="64"/>
      <c r="L89" s="66" t="e">
        <f>#REF!</f>
        <v>#REF!</v>
      </c>
      <c r="M89" s="66" t="e">
        <f>#REF!</f>
        <v>#REF!</v>
      </c>
      <c r="N89" s="66" t="e">
        <f>#REF!</f>
        <v>#REF!</v>
      </c>
      <c r="O89" s="66" t="e">
        <f>#REF!</f>
        <v>#REF!</v>
      </c>
      <c r="P89" s="66" t="e">
        <f>#REF!</f>
        <v>#REF!</v>
      </c>
      <c r="Q89" s="66" t="e">
        <f>#REF!</f>
        <v>#REF!</v>
      </c>
      <c r="R89" s="66" t="e">
        <f>#REF!</f>
        <v>#REF!</v>
      </c>
      <c r="S89" s="66" t="e">
        <f>#REF!</f>
        <v>#REF!</v>
      </c>
      <c r="T89" s="66" t="e">
        <f>#REF!</f>
        <v>#REF!</v>
      </c>
      <c r="U89" s="66" t="e">
        <f>#REF!</f>
        <v>#REF!</v>
      </c>
      <c r="W89" s="88"/>
      <c r="X89" s="88"/>
      <c r="Y89" s="69" t="e">
        <f>'Team Info'!$B$19&amp;": "&amp;O89&amp;""</f>
        <v>#REF!</v>
      </c>
      <c r="Z89" s="69" t="e">
        <f>'Team Info'!$B$19&amp;": "&amp;N89&amp;""</f>
        <v>#REF!</v>
      </c>
      <c r="AB89" s="68" t="e">
        <f t="shared" si="9"/>
        <v>#REF!</v>
      </c>
      <c r="AC89" s="68" t="e">
        <f t="shared" si="10"/>
        <v>#REF!</v>
      </c>
      <c r="AD89" s="68" t="e">
        <f t="shared" si="11"/>
        <v>#REF!</v>
      </c>
      <c r="AE89" s="68" t="e">
        <f t="shared" si="12"/>
        <v>#REF!</v>
      </c>
      <c r="AF89" s="68" t="e">
        <f t="shared" si="13"/>
        <v>#REF!</v>
      </c>
      <c r="AG89" s="68" t="e">
        <f t="shared" si="14"/>
        <v>#REF!</v>
      </c>
      <c r="AH89" s="68" t="e">
        <f t="shared" si="15"/>
        <v>#REF!</v>
      </c>
      <c r="AI89" s="68" t="e">
        <f t="shared" si="16"/>
        <v>#REF!</v>
      </c>
      <c r="AJ89" s="68" t="e">
        <f t="shared" si="17"/>
        <v>#REF!</v>
      </c>
    </row>
    <row r="90" spans="1:36" x14ac:dyDescent="0.25">
      <c r="A90" s="30">
        <v>89</v>
      </c>
      <c r="B90" s="30">
        <v>89</v>
      </c>
      <c r="C90" s="63" t="str">
        <f>Roster!$T92</f>
        <v xml:space="preserve"> </v>
      </c>
      <c r="D90" s="10"/>
      <c r="E90" s="70"/>
      <c r="F90" s="10"/>
      <c r="G90" s="70"/>
      <c r="H90" s="10"/>
      <c r="I90" s="70"/>
      <c r="J90" s="71"/>
      <c r="K90" s="64"/>
      <c r="L90" s="66" t="e">
        <f>#REF!</f>
        <v>#REF!</v>
      </c>
      <c r="M90" s="66" t="e">
        <f>#REF!</f>
        <v>#REF!</v>
      </c>
      <c r="N90" s="66" t="e">
        <f>#REF!</f>
        <v>#REF!</v>
      </c>
      <c r="O90" s="66" t="e">
        <f>#REF!</f>
        <v>#REF!</v>
      </c>
      <c r="P90" s="66" t="e">
        <f>#REF!</f>
        <v>#REF!</v>
      </c>
      <c r="Q90" s="66" t="e">
        <f>#REF!</f>
        <v>#REF!</v>
      </c>
      <c r="R90" s="66" t="e">
        <f>#REF!</f>
        <v>#REF!</v>
      </c>
      <c r="S90" s="66" t="e">
        <f>#REF!</f>
        <v>#REF!</v>
      </c>
      <c r="T90" s="66" t="e">
        <f>#REF!</f>
        <v>#REF!</v>
      </c>
      <c r="U90" s="66" t="e">
        <f>#REF!</f>
        <v>#REF!</v>
      </c>
      <c r="W90" s="88"/>
      <c r="X90" s="88"/>
      <c r="Y90" s="69" t="e">
        <f>'Team Info'!$B$19&amp;": "&amp;O90&amp;""</f>
        <v>#REF!</v>
      </c>
      <c r="Z90" s="69" t="e">
        <f>'Team Info'!$B$19&amp;": "&amp;N90&amp;""</f>
        <v>#REF!</v>
      </c>
      <c r="AB90" s="68" t="e">
        <f t="shared" si="9"/>
        <v>#REF!</v>
      </c>
      <c r="AC90" s="68" t="e">
        <f t="shared" si="10"/>
        <v>#REF!</v>
      </c>
      <c r="AD90" s="68" t="e">
        <f t="shared" si="11"/>
        <v>#REF!</v>
      </c>
      <c r="AE90" s="68" t="e">
        <f t="shared" si="12"/>
        <v>#REF!</v>
      </c>
      <c r="AF90" s="68" t="e">
        <f t="shared" si="13"/>
        <v>#REF!</v>
      </c>
      <c r="AG90" s="68" t="e">
        <f t="shared" si="14"/>
        <v>#REF!</v>
      </c>
      <c r="AH90" s="68" t="e">
        <f t="shared" si="15"/>
        <v>#REF!</v>
      </c>
      <c r="AI90" s="68" t="e">
        <f t="shared" si="16"/>
        <v>#REF!</v>
      </c>
      <c r="AJ90" s="68" t="e">
        <f t="shared" si="17"/>
        <v>#REF!</v>
      </c>
    </row>
    <row r="91" spans="1:36" x14ac:dyDescent="0.25">
      <c r="A91" s="30">
        <v>90</v>
      </c>
      <c r="B91" s="30">
        <v>0</v>
      </c>
      <c r="C91" s="63" t="str">
        <f>C104</f>
        <v xml:space="preserve"> </v>
      </c>
      <c r="D91" s="204" t="str">
        <f>D$104</f>
        <v>0 PPG</v>
      </c>
      <c r="E91" s="204">
        <f t="shared" ref="E91:J91" si="18">E$104</f>
        <v>0</v>
      </c>
      <c r="F91" s="204" t="str">
        <f t="shared" si="18"/>
        <v>0 FG</v>
      </c>
      <c r="G91" s="204">
        <f t="shared" si="18"/>
        <v>0</v>
      </c>
      <c r="H91" s="204" t="str">
        <f t="shared" si="18"/>
        <v>0 3-PT</v>
      </c>
      <c r="I91" s="204">
        <f t="shared" si="18"/>
        <v>0</v>
      </c>
      <c r="J91" s="205">
        <f t="shared" si="18"/>
        <v>0</v>
      </c>
      <c r="K91" s="64"/>
      <c r="L91" s="66" t="e">
        <f>L$104</f>
        <v>#REF!</v>
      </c>
      <c r="M91" s="66" t="e">
        <f t="shared" ref="M91:U91" si="19">M$104</f>
        <v>#REF!</v>
      </c>
      <c r="N91" s="66" t="e">
        <f t="shared" si="19"/>
        <v>#REF!</v>
      </c>
      <c r="O91" s="66" t="e">
        <f t="shared" si="19"/>
        <v>#REF!</v>
      </c>
      <c r="P91" s="66" t="e">
        <f t="shared" si="19"/>
        <v>#REF!</v>
      </c>
      <c r="Q91" s="66" t="e">
        <f t="shared" si="19"/>
        <v>#REF!</v>
      </c>
      <c r="R91" s="66" t="e">
        <f t="shared" si="19"/>
        <v>#REF!</v>
      </c>
      <c r="S91" s="66" t="e">
        <f t="shared" si="19"/>
        <v>#REF!</v>
      </c>
      <c r="T91" s="66" t="e">
        <f t="shared" si="19"/>
        <v>#REF!</v>
      </c>
      <c r="U91" s="66" t="e">
        <f t="shared" si="19"/>
        <v>#REF!</v>
      </c>
      <c r="W91" s="88" t="str">
        <f>W$104</f>
        <v>0 PPG</v>
      </c>
      <c r="X91" s="88" t="str">
        <f>X$104</f>
        <v>0 FG</v>
      </c>
      <c r="Y91" s="69" t="e">
        <f>'Team Info'!$B$19&amp;": "&amp;O91&amp;""</f>
        <v>#REF!</v>
      </c>
      <c r="Z91" s="69" t="e">
        <f>'Team Info'!$B$19&amp;": "&amp;N91&amp;""</f>
        <v>#REF!</v>
      </c>
      <c r="AB91" s="68" t="e">
        <f>AB$104</f>
        <v>#REF!</v>
      </c>
      <c r="AC91" s="68" t="e">
        <f t="shared" ref="AC91:AJ91" si="20">AC$104</f>
        <v>#REF!</v>
      </c>
      <c r="AD91" s="68" t="e">
        <f t="shared" si="20"/>
        <v>#REF!</v>
      </c>
      <c r="AE91" s="68" t="e">
        <f t="shared" si="20"/>
        <v>#REF!</v>
      </c>
      <c r="AF91" s="68" t="e">
        <f t="shared" si="20"/>
        <v>#REF!</v>
      </c>
      <c r="AG91" s="68" t="e">
        <f t="shared" si="20"/>
        <v>#REF!</v>
      </c>
      <c r="AH91" s="68" t="e">
        <f t="shared" si="20"/>
        <v>#REF!</v>
      </c>
      <c r="AI91" s="68" t="e">
        <f t="shared" si="20"/>
        <v>#REF!</v>
      </c>
      <c r="AJ91" s="68" t="e">
        <f t="shared" si="20"/>
        <v>#REF!</v>
      </c>
    </row>
    <row r="92" spans="1:36" x14ac:dyDescent="0.25">
      <c r="A92" s="30">
        <v>91</v>
      </c>
      <c r="B92" s="30">
        <v>91</v>
      </c>
      <c r="C92" s="63" t="str">
        <f>Roster!$T94</f>
        <v xml:space="preserve"> </v>
      </c>
      <c r="D92" s="10"/>
      <c r="E92" s="70"/>
      <c r="F92" s="10"/>
      <c r="G92" s="70"/>
      <c r="H92" s="10"/>
      <c r="I92" s="70"/>
      <c r="J92" s="71"/>
      <c r="K92" s="64"/>
      <c r="L92" s="66" t="e">
        <f>#REF!</f>
        <v>#REF!</v>
      </c>
      <c r="M92" s="66" t="e">
        <f>#REF!</f>
        <v>#REF!</v>
      </c>
      <c r="N92" s="66" t="e">
        <f>#REF!</f>
        <v>#REF!</v>
      </c>
      <c r="O92" s="66" t="e">
        <f>#REF!</f>
        <v>#REF!</v>
      </c>
      <c r="P92" s="66" t="e">
        <f>#REF!</f>
        <v>#REF!</v>
      </c>
      <c r="Q92" s="66" t="e">
        <f>#REF!</f>
        <v>#REF!</v>
      </c>
      <c r="R92" s="66" t="e">
        <f>#REF!</f>
        <v>#REF!</v>
      </c>
      <c r="S92" s="66" t="e">
        <f>#REF!</f>
        <v>#REF!</v>
      </c>
      <c r="T92" s="66" t="e">
        <f>#REF!</f>
        <v>#REF!</v>
      </c>
      <c r="U92" s="66" t="e">
        <f>#REF!</f>
        <v>#REF!</v>
      </c>
      <c r="W92" s="88"/>
      <c r="X92" s="88"/>
      <c r="Y92" s="69" t="e">
        <f>'Team Info'!$B$19&amp;": "&amp;O92&amp;""</f>
        <v>#REF!</v>
      </c>
      <c r="Z92" s="69" t="e">
        <f>'Team Info'!$B$19&amp;": "&amp;N92&amp;""</f>
        <v>#REF!</v>
      </c>
      <c r="AB92" s="68" t="e">
        <f t="shared" si="9"/>
        <v>#REF!</v>
      </c>
      <c r="AC92" s="68" t="e">
        <f t="shared" si="10"/>
        <v>#REF!</v>
      </c>
      <c r="AD92" s="68" t="e">
        <f t="shared" si="11"/>
        <v>#REF!</v>
      </c>
      <c r="AE92" s="68" t="e">
        <f t="shared" si="12"/>
        <v>#REF!</v>
      </c>
      <c r="AF92" s="68" t="e">
        <f t="shared" si="13"/>
        <v>#REF!</v>
      </c>
      <c r="AG92" s="68" t="e">
        <f t="shared" si="14"/>
        <v>#REF!</v>
      </c>
      <c r="AH92" s="68" t="e">
        <f t="shared" si="15"/>
        <v>#REF!</v>
      </c>
      <c r="AI92" s="68" t="e">
        <f t="shared" si="16"/>
        <v>#REF!</v>
      </c>
      <c r="AJ92" s="68" t="e">
        <f t="shared" si="17"/>
        <v>#REF!</v>
      </c>
    </row>
    <row r="93" spans="1:36" x14ac:dyDescent="0.25">
      <c r="A93" s="30">
        <v>92</v>
      </c>
      <c r="B93" s="30">
        <v>92</v>
      </c>
      <c r="C93" s="63" t="str">
        <f>Roster!$T95</f>
        <v xml:space="preserve"> </v>
      </c>
      <c r="D93" s="10"/>
      <c r="E93" s="70"/>
      <c r="F93" s="10"/>
      <c r="G93" s="70"/>
      <c r="H93" s="10"/>
      <c r="I93" s="70"/>
      <c r="J93" s="71"/>
      <c r="K93" s="64"/>
      <c r="L93" s="66" t="e">
        <f>#REF!</f>
        <v>#REF!</v>
      </c>
      <c r="M93" s="66" t="e">
        <f>#REF!</f>
        <v>#REF!</v>
      </c>
      <c r="N93" s="66" t="e">
        <f>#REF!</f>
        <v>#REF!</v>
      </c>
      <c r="O93" s="66" t="e">
        <f>#REF!</f>
        <v>#REF!</v>
      </c>
      <c r="P93" s="66" t="e">
        <f>#REF!</f>
        <v>#REF!</v>
      </c>
      <c r="Q93" s="66" t="e">
        <f>#REF!</f>
        <v>#REF!</v>
      </c>
      <c r="R93" s="66" t="e">
        <f>#REF!</f>
        <v>#REF!</v>
      </c>
      <c r="S93" s="66" t="e">
        <f>#REF!</f>
        <v>#REF!</v>
      </c>
      <c r="T93" s="66" t="e">
        <f>#REF!</f>
        <v>#REF!</v>
      </c>
      <c r="U93" s="66" t="e">
        <f>#REF!</f>
        <v>#REF!</v>
      </c>
      <c r="W93" s="88"/>
      <c r="X93" s="88"/>
      <c r="Y93" s="69" t="e">
        <f>'Team Info'!$B$19&amp;": "&amp;O93&amp;""</f>
        <v>#REF!</v>
      </c>
      <c r="Z93" s="69" t="e">
        <f>'Team Info'!$B$19&amp;": "&amp;N93&amp;""</f>
        <v>#REF!</v>
      </c>
      <c r="AB93" s="68" t="e">
        <f t="shared" si="9"/>
        <v>#REF!</v>
      </c>
      <c r="AC93" s="68" t="e">
        <f t="shared" si="10"/>
        <v>#REF!</v>
      </c>
      <c r="AD93" s="68" t="e">
        <f t="shared" si="11"/>
        <v>#REF!</v>
      </c>
      <c r="AE93" s="68" t="e">
        <f t="shared" si="12"/>
        <v>#REF!</v>
      </c>
      <c r="AF93" s="68" t="e">
        <f t="shared" si="13"/>
        <v>#REF!</v>
      </c>
      <c r="AG93" s="68" t="e">
        <f t="shared" si="14"/>
        <v>#REF!</v>
      </c>
      <c r="AH93" s="68" t="e">
        <f t="shared" si="15"/>
        <v>#REF!</v>
      </c>
      <c r="AI93" s="68" t="e">
        <f t="shared" si="16"/>
        <v>#REF!</v>
      </c>
      <c r="AJ93" s="68" t="e">
        <f t="shared" si="17"/>
        <v>#REF!</v>
      </c>
    </row>
    <row r="94" spans="1:36" x14ac:dyDescent="0.25">
      <c r="A94" s="30">
        <v>93</v>
      </c>
      <c r="B94" s="30">
        <v>93</v>
      </c>
      <c r="C94" s="63" t="str">
        <f>Roster!$T96</f>
        <v xml:space="preserve"> </v>
      </c>
      <c r="D94" s="10"/>
      <c r="E94" s="70"/>
      <c r="F94" s="10"/>
      <c r="G94" s="70"/>
      <c r="H94" s="10"/>
      <c r="I94" s="70"/>
      <c r="J94" s="71"/>
      <c r="K94" s="64"/>
      <c r="L94" s="66" t="e">
        <f>#REF!</f>
        <v>#REF!</v>
      </c>
      <c r="M94" s="66" t="e">
        <f>#REF!</f>
        <v>#REF!</v>
      </c>
      <c r="N94" s="66" t="e">
        <f>#REF!</f>
        <v>#REF!</v>
      </c>
      <c r="O94" s="66" t="e">
        <f>#REF!</f>
        <v>#REF!</v>
      </c>
      <c r="P94" s="66" t="e">
        <f>#REF!</f>
        <v>#REF!</v>
      </c>
      <c r="Q94" s="66" t="e">
        <f>#REF!</f>
        <v>#REF!</v>
      </c>
      <c r="R94" s="66" t="e">
        <f>#REF!</f>
        <v>#REF!</v>
      </c>
      <c r="S94" s="66" t="e">
        <f>#REF!</f>
        <v>#REF!</v>
      </c>
      <c r="T94" s="66" t="e">
        <f>#REF!</f>
        <v>#REF!</v>
      </c>
      <c r="U94" s="66" t="e">
        <f>#REF!</f>
        <v>#REF!</v>
      </c>
      <c r="W94" s="88"/>
      <c r="X94" s="88"/>
      <c r="Y94" s="69" t="e">
        <f>'Team Info'!$B$19&amp;": "&amp;O94&amp;""</f>
        <v>#REF!</v>
      </c>
      <c r="Z94" s="69" t="e">
        <f>'Team Info'!$B$19&amp;": "&amp;N94&amp;""</f>
        <v>#REF!</v>
      </c>
      <c r="AB94" s="68" t="e">
        <f t="shared" si="9"/>
        <v>#REF!</v>
      </c>
      <c r="AC94" s="68" t="e">
        <f t="shared" si="10"/>
        <v>#REF!</v>
      </c>
      <c r="AD94" s="68" t="e">
        <f t="shared" si="11"/>
        <v>#REF!</v>
      </c>
      <c r="AE94" s="68" t="e">
        <f t="shared" si="12"/>
        <v>#REF!</v>
      </c>
      <c r="AF94" s="68" t="e">
        <f t="shared" si="13"/>
        <v>#REF!</v>
      </c>
      <c r="AG94" s="68" t="e">
        <f t="shared" si="14"/>
        <v>#REF!</v>
      </c>
      <c r="AH94" s="68" t="e">
        <f t="shared" si="15"/>
        <v>#REF!</v>
      </c>
      <c r="AI94" s="68" t="e">
        <f t="shared" si="16"/>
        <v>#REF!</v>
      </c>
      <c r="AJ94" s="68" t="e">
        <f t="shared" si="17"/>
        <v>#REF!</v>
      </c>
    </row>
    <row r="95" spans="1:36" x14ac:dyDescent="0.25">
      <c r="A95" s="30">
        <v>94</v>
      </c>
      <c r="B95" s="30">
        <v>94</v>
      </c>
      <c r="C95" s="63" t="str">
        <f>Roster!$T97</f>
        <v xml:space="preserve"> </v>
      </c>
      <c r="D95" s="10"/>
      <c r="E95" s="70"/>
      <c r="F95" s="10"/>
      <c r="G95" s="70"/>
      <c r="H95" s="10"/>
      <c r="I95" s="70"/>
      <c r="J95" s="71"/>
      <c r="K95" s="64"/>
      <c r="L95" s="66" t="e">
        <f>#REF!</f>
        <v>#REF!</v>
      </c>
      <c r="M95" s="66" t="e">
        <f>#REF!</f>
        <v>#REF!</v>
      </c>
      <c r="N95" s="66" t="e">
        <f>#REF!</f>
        <v>#REF!</v>
      </c>
      <c r="O95" s="66" t="e">
        <f>#REF!</f>
        <v>#REF!</v>
      </c>
      <c r="P95" s="66" t="e">
        <f>#REF!</f>
        <v>#REF!</v>
      </c>
      <c r="Q95" s="66" t="e">
        <f>#REF!</f>
        <v>#REF!</v>
      </c>
      <c r="R95" s="66" t="e">
        <f>#REF!</f>
        <v>#REF!</v>
      </c>
      <c r="S95" s="66" t="e">
        <f>#REF!</f>
        <v>#REF!</v>
      </c>
      <c r="T95" s="66" t="e">
        <f>#REF!</f>
        <v>#REF!</v>
      </c>
      <c r="U95" s="66" t="e">
        <f>#REF!</f>
        <v>#REF!</v>
      </c>
      <c r="W95" s="88"/>
      <c r="X95" s="88"/>
      <c r="Y95" s="69" t="e">
        <f>'Team Info'!$B$19&amp;": "&amp;O95&amp;""</f>
        <v>#REF!</v>
      </c>
      <c r="Z95" s="69" t="e">
        <f>'Team Info'!$B$19&amp;": "&amp;N95&amp;""</f>
        <v>#REF!</v>
      </c>
      <c r="AB95" s="68" t="e">
        <f t="shared" si="9"/>
        <v>#REF!</v>
      </c>
      <c r="AC95" s="68" t="e">
        <f t="shared" si="10"/>
        <v>#REF!</v>
      </c>
      <c r="AD95" s="68" t="e">
        <f t="shared" si="11"/>
        <v>#REF!</v>
      </c>
      <c r="AE95" s="68" t="e">
        <f t="shared" si="12"/>
        <v>#REF!</v>
      </c>
      <c r="AF95" s="68" t="e">
        <f t="shared" si="13"/>
        <v>#REF!</v>
      </c>
      <c r="AG95" s="68" t="e">
        <f t="shared" si="14"/>
        <v>#REF!</v>
      </c>
      <c r="AH95" s="68" t="e">
        <f t="shared" si="15"/>
        <v>#REF!</v>
      </c>
      <c r="AI95" s="68" t="e">
        <f t="shared" si="16"/>
        <v>#REF!</v>
      </c>
      <c r="AJ95" s="68" t="e">
        <f t="shared" si="17"/>
        <v>#REF!</v>
      </c>
    </row>
    <row r="96" spans="1:36" x14ac:dyDescent="0.25">
      <c r="A96" s="30">
        <v>95</v>
      </c>
      <c r="B96" s="30">
        <v>95</v>
      </c>
      <c r="C96" s="63" t="str">
        <f>Roster!$T98</f>
        <v xml:space="preserve"> </v>
      </c>
      <c r="D96" s="10"/>
      <c r="E96" s="70"/>
      <c r="F96" s="10"/>
      <c r="G96" s="70"/>
      <c r="H96" s="10"/>
      <c r="I96" s="70"/>
      <c r="J96" s="71"/>
      <c r="K96" s="64"/>
      <c r="L96" s="66" t="e">
        <f>#REF!</f>
        <v>#REF!</v>
      </c>
      <c r="M96" s="66" t="e">
        <f>#REF!</f>
        <v>#REF!</v>
      </c>
      <c r="N96" s="66" t="e">
        <f>#REF!</f>
        <v>#REF!</v>
      </c>
      <c r="O96" s="66" t="e">
        <f>#REF!</f>
        <v>#REF!</v>
      </c>
      <c r="P96" s="66" t="e">
        <f>#REF!</f>
        <v>#REF!</v>
      </c>
      <c r="Q96" s="66" t="e">
        <f>#REF!</f>
        <v>#REF!</v>
      </c>
      <c r="R96" s="66" t="e">
        <f>#REF!</f>
        <v>#REF!</v>
      </c>
      <c r="S96" s="66" t="e">
        <f>#REF!</f>
        <v>#REF!</v>
      </c>
      <c r="T96" s="66" t="e">
        <f>#REF!</f>
        <v>#REF!</v>
      </c>
      <c r="U96" s="66" t="e">
        <f>#REF!</f>
        <v>#REF!</v>
      </c>
      <c r="W96" s="88"/>
      <c r="X96" s="88"/>
      <c r="Y96" s="69" t="e">
        <f>'Team Info'!$B$19&amp;": "&amp;O96&amp;""</f>
        <v>#REF!</v>
      </c>
      <c r="Z96" s="69" t="e">
        <f>'Team Info'!$B$19&amp;": "&amp;N96&amp;""</f>
        <v>#REF!</v>
      </c>
      <c r="AB96" s="68" t="e">
        <f t="shared" si="9"/>
        <v>#REF!</v>
      </c>
      <c r="AC96" s="68" t="e">
        <f t="shared" si="10"/>
        <v>#REF!</v>
      </c>
      <c r="AD96" s="68" t="e">
        <f t="shared" si="11"/>
        <v>#REF!</v>
      </c>
      <c r="AE96" s="68" t="e">
        <f t="shared" si="12"/>
        <v>#REF!</v>
      </c>
      <c r="AF96" s="68" t="e">
        <f t="shared" si="13"/>
        <v>#REF!</v>
      </c>
      <c r="AG96" s="68" t="e">
        <f t="shared" si="14"/>
        <v>#REF!</v>
      </c>
      <c r="AH96" s="68" t="e">
        <f t="shared" si="15"/>
        <v>#REF!</v>
      </c>
      <c r="AI96" s="68" t="e">
        <f t="shared" si="16"/>
        <v>#REF!</v>
      </c>
      <c r="AJ96" s="68" t="e">
        <f t="shared" si="17"/>
        <v>#REF!</v>
      </c>
    </row>
    <row r="97" spans="1:36" x14ac:dyDescent="0.25">
      <c r="A97" s="30">
        <v>96</v>
      </c>
      <c r="B97" s="30">
        <v>96</v>
      </c>
      <c r="C97" s="63" t="str">
        <f>Roster!$T99</f>
        <v xml:space="preserve"> </v>
      </c>
      <c r="D97" s="10"/>
      <c r="E97" s="70"/>
      <c r="F97" s="10"/>
      <c r="G97" s="70"/>
      <c r="H97" s="10"/>
      <c r="I97" s="70"/>
      <c r="J97" s="71"/>
      <c r="K97" s="64"/>
      <c r="L97" s="66" t="e">
        <f>#REF!</f>
        <v>#REF!</v>
      </c>
      <c r="M97" s="66" t="e">
        <f>#REF!</f>
        <v>#REF!</v>
      </c>
      <c r="N97" s="66" t="e">
        <f>#REF!</f>
        <v>#REF!</v>
      </c>
      <c r="O97" s="66" t="e">
        <f>#REF!</f>
        <v>#REF!</v>
      </c>
      <c r="P97" s="66" t="e">
        <f>#REF!</f>
        <v>#REF!</v>
      </c>
      <c r="Q97" s="66" t="e">
        <f>#REF!</f>
        <v>#REF!</v>
      </c>
      <c r="R97" s="66" t="e">
        <f>#REF!</f>
        <v>#REF!</v>
      </c>
      <c r="S97" s="66" t="e">
        <f>#REF!</f>
        <v>#REF!</v>
      </c>
      <c r="T97" s="66" t="e">
        <f>#REF!</f>
        <v>#REF!</v>
      </c>
      <c r="U97" s="66" t="e">
        <f>#REF!</f>
        <v>#REF!</v>
      </c>
      <c r="W97" s="88"/>
      <c r="X97" s="88"/>
      <c r="Y97" s="69" t="e">
        <f>'Team Info'!$B$19&amp;": "&amp;O97&amp;""</f>
        <v>#REF!</v>
      </c>
      <c r="Z97" s="69" t="e">
        <f>'Team Info'!$B$19&amp;": "&amp;N97&amp;""</f>
        <v>#REF!</v>
      </c>
      <c r="AB97" s="68" t="e">
        <f t="shared" si="9"/>
        <v>#REF!</v>
      </c>
      <c r="AC97" s="68" t="e">
        <f t="shared" si="10"/>
        <v>#REF!</v>
      </c>
      <c r="AD97" s="68" t="e">
        <f t="shared" si="11"/>
        <v>#REF!</v>
      </c>
      <c r="AE97" s="68" t="e">
        <f t="shared" si="12"/>
        <v>#REF!</v>
      </c>
      <c r="AF97" s="68" t="e">
        <f t="shared" si="13"/>
        <v>#REF!</v>
      </c>
      <c r="AG97" s="68" t="e">
        <f t="shared" si="14"/>
        <v>#REF!</v>
      </c>
      <c r="AH97" s="68" t="e">
        <f t="shared" si="15"/>
        <v>#REF!</v>
      </c>
      <c r="AI97" s="68" t="e">
        <f t="shared" si="16"/>
        <v>#REF!</v>
      </c>
      <c r="AJ97" s="68" t="e">
        <f t="shared" si="17"/>
        <v>#REF!</v>
      </c>
    </row>
    <row r="98" spans="1:36" x14ac:dyDescent="0.25">
      <c r="A98" s="30">
        <v>97</v>
      </c>
      <c r="B98" s="30">
        <v>97</v>
      </c>
      <c r="C98" s="63" t="str">
        <f>Roster!$T100</f>
        <v xml:space="preserve"> </v>
      </c>
      <c r="D98" s="10"/>
      <c r="E98" s="70"/>
      <c r="F98" s="10"/>
      <c r="G98" s="70"/>
      <c r="H98" s="10"/>
      <c r="I98" s="70"/>
      <c r="J98" s="71"/>
      <c r="K98" s="64"/>
      <c r="L98" s="66" t="e">
        <f>#REF!</f>
        <v>#REF!</v>
      </c>
      <c r="M98" s="66" t="e">
        <f>#REF!</f>
        <v>#REF!</v>
      </c>
      <c r="N98" s="66" t="e">
        <f>#REF!</f>
        <v>#REF!</v>
      </c>
      <c r="O98" s="66" t="e">
        <f>#REF!</f>
        <v>#REF!</v>
      </c>
      <c r="P98" s="66" t="e">
        <f>#REF!</f>
        <v>#REF!</v>
      </c>
      <c r="Q98" s="66" t="e">
        <f>#REF!</f>
        <v>#REF!</v>
      </c>
      <c r="R98" s="66" t="e">
        <f>#REF!</f>
        <v>#REF!</v>
      </c>
      <c r="S98" s="66" t="e">
        <f>#REF!</f>
        <v>#REF!</v>
      </c>
      <c r="T98" s="66" t="e">
        <f>#REF!</f>
        <v>#REF!</v>
      </c>
      <c r="U98" s="66" t="e">
        <f>#REF!</f>
        <v>#REF!</v>
      </c>
      <c r="W98" s="88"/>
      <c r="X98" s="88"/>
      <c r="Y98" s="69" t="e">
        <f>'Team Info'!$B$19&amp;": "&amp;O98&amp;""</f>
        <v>#REF!</v>
      </c>
      <c r="Z98" s="69" t="e">
        <f>'Team Info'!$B$19&amp;": "&amp;N98&amp;""</f>
        <v>#REF!</v>
      </c>
      <c r="AB98" s="68" t="e">
        <f t="shared" si="9"/>
        <v>#REF!</v>
      </c>
      <c r="AC98" s="68" t="e">
        <f t="shared" si="10"/>
        <v>#REF!</v>
      </c>
      <c r="AD98" s="68" t="e">
        <f t="shared" si="11"/>
        <v>#REF!</v>
      </c>
      <c r="AE98" s="68" t="e">
        <f t="shared" si="12"/>
        <v>#REF!</v>
      </c>
      <c r="AF98" s="68" t="e">
        <f t="shared" si="13"/>
        <v>#REF!</v>
      </c>
      <c r="AG98" s="68" t="e">
        <f t="shared" si="14"/>
        <v>#REF!</v>
      </c>
      <c r="AH98" s="68" t="e">
        <f t="shared" si="15"/>
        <v>#REF!</v>
      </c>
      <c r="AI98" s="68" t="e">
        <f t="shared" si="16"/>
        <v>#REF!</v>
      </c>
      <c r="AJ98" s="68" t="e">
        <f t="shared" si="17"/>
        <v>#REF!</v>
      </c>
    </row>
    <row r="99" spans="1:36" x14ac:dyDescent="0.25">
      <c r="A99" s="30">
        <v>98</v>
      </c>
      <c r="B99" s="30">
        <v>98</v>
      </c>
      <c r="C99" s="63" t="str">
        <f>Roster!$T101</f>
        <v xml:space="preserve"> </v>
      </c>
      <c r="D99" s="10"/>
      <c r="E99" s="70"/>
      <c r="F99" s="10"/>
      <c r="G99" s="70"/>
      <c r="H99" s="10"/>
      <c r="I99" s="70"/>
      <c r="J99" s="71"/>
      <c r="K99" s="64"/>
      <c r="L99" s="66" t="e">
        <f>#REF!</f>
        <v>#REF!</v>
      </c>
      <c r="M99" s="66" t="e">
        <f>#REF!</f>
        <v>#REF!</v>
      </c>
      <c r="N99" s="66" t="e">
        <f>#REF!</f>
        <v>#REF!</v>
      </c>
      <c r="O99" s="66" t="e">
        <f>#REF!</f>
        <v>#REF!</v>
      </c>
      <c r="P99" s="66" t="e">
        <f>#REF!</f>
        <v>#REF!</v>
      </c>
      <c r="Q99" s="66" t="e">
        <f>#REF!</f>
        <v>#REF!</v>
      </c>
      <c r="R99" s="66" t="e">
        <f>#REF!</f>
        <v>#REF!</v>
      </c>
      <c r="S99" s="66" t="e">
        <f>#REF!</f>
        <v>#REF!</v>
      </c>
      <c r="T99" s="66" t="e">
        <f>#REF!</f>
        <v>#REF!</v>
      </c>
      <c r="U99" s="66" t="e">
        <f>#REF!</f>
        <v>#REF!</v>
      </c>
      <c r="W99" s="88"/>
      <c r="X99" s="88"/>
      <c r="Y99" s="69" t="e">
        <f>'Team Info'!$B$19&amp;": "&amp;O99&amp;""</f>
        <v>#REF!</v>
      </c>
      <c r="Z99" s="69" t="e">
        <f>'Team Info'!$B$19&amp;": "&amp;N99&amp;""</f>
        <v>#REF!</v>
      </c>
      <c r="AB99" s="68" t="e">
        <f t="shared" si="9"/>
        <v>#REF!</v>
      </c>
      <c r="AC99" s="68" t="e">
        <f t="shared" si="10"/>
        <v>#REF!</v>
      </c>
      <c r="AD99" s="68" t="e">
        <f t="shared" si="11"/>
        <v>#REF!</v>
      </c>
      <c r="AE99" s="68" t="e">
        <f t="shared" si="12"/>
        <v>#REF!</v>
      </c>
      <c r="AF99" s="68" t="e">
        <f t="shared" si="13"/>
        <v>#REF!</v>
      </c>
      <c r="AG99" s="68" t="e">
        <f t="shared" si="14"/>
        <v>#REF!</v>
      </c>
      <c r="AH99" s="68" t="e">
        <f t="shared" si="15"/>
        <v>#REF!</v>
      </c>
      <c r="AI99" s="68" t="e">
        <f t="shared" si="16"/>
        <v>#REF!</v>
      </c>
      <c r="AJ99" s="68" t="e">
        <f t="shared" si="17"/>
        <v>#REF!</v>
      </c>
    </row>
    <row r="100" spans="1:36" x14ac:dyDescent="0.25">
      <c r="A100" s="30">
        <v>99</v>
      </c>
      <c r="B100" s="152" t="s">
        <v>927</v>
      </c>
      <c r="C100" s="63" t="str">
        <f>C104</f>
        <v xml:space="preserve"> </v>
      </c>
      <c r="D100" s="204" t="str">
        <f>D$104</f>
        <v>0 PPG</v>
      </c>
      <c r="E100" s="204">
        <f t="shared" ref="E100:J100" si="21">E$104</f>
        <v>0</v>
      </c>
      <c r="F100" s="204" t="str">
        <f t="shared" si="21"/>
        <v>0 FG</v>
      </c>
      <c r="G100" s="204">
        <f t="shared" si="21"/>
        <v>0</v>
      </c>
      <c r="H100" s="204" t="str">
        <f t="shared" si="21"/>
        <v>0 3-PT</v>
      </c>
      <c r="I100" s="204">
        <f t="shared" si="21"/>
        <v>0</v>
      </c>
      <c r="J100" s="205">
        <f t="shared" si="21"/>
        <v>0</v>
      </c>
      <c r="K100" s="64"/>
      <c r="L100" s="66" t="e">
        <f>L$104</f>
        <v>#REF!</v>
      </c>
      <c r="M100" s="66" t="e">
        <f t="shared" ref="M100:U100" si="22">M$104</f>
        <v>#REF!</v>
      </c>
      <c r="N100" s="66" t="e">
        <f t="shared" si="22"/>
        <v>#REF!</v>
      </c>
      <c r="O100" s="66" t="e">
        <f t="shared" si="22"/>
        <v>#REF!</v>
      </c>
      <c r="P100" s="66" t="e">
        <f t="shared" si="22"/>
        <v>#REF!</v>
      </c>
      <c r="Q100" s="66" t="e">
        <f t="shared" si="22"/>
        <v>#REF!</v>
      </c>
      <c r="R100" s="66" t="e">
        <f t="shared" si="22"/>
        <v>#REF!</v>
      </c>
      <c r="S100" s="66" t="e">
        <f t="shared" si="22"/>
        <v>#REF!</v>
      </c>
      <c r="T100" s="66" t="e">
        <f t="shared" si="22"/>
        <v>#REF!</v>
      </c>
      <c r="U100" s="66" t="e">
        <f t="shared" si="22"/>
        <v>#REF!</v>
      </c>
      <c r="W100" s="88" t="str">
        <f>W$104</f>
        <v>0 PPG</v>
      </c>
      <c r="X100" s="88" t="str">
        <f>X$104</f>
        <v>0 FG</v>
      </c>
      <c r="Y100" s="69" t="e">
        <f>'Team Info'!$B$19&amp;": "&amp;O100&amp;""</f>
        <v>#REF!</v>
      </c>
      <c r="Z100" s="69" t="e">
        <f>'Team Info'!$B$19&amp;": "&amp;N100&amp;""</f>
        <v>#REF!</v>
      </c>
      <c r="AB100" s="68" t="e">
        <f>AB$104</f>
        <v>#REF!</v>
      </c>
      <c r="AC100" s="68" t="e">
        <f t="shared" ref="AC100:AJ100" si="23">AC$104</f>
        <v>#REF!</v>
      </c>
      <c r="AD100" s="68" t="e">
        <f t="shared" si="23"/>
        <v>#REF!</v>
      </c>
      <c r="AE100" s="68" t="e">
        <f t="shared" si="23"/>
        <v>#REF!</v>
      </c>
      <c r="AF100" s="68" t="e">
        <f t="shared" si="23"/>
        <v>#REF!</v>
      </c>
      <c r="AG100" s="68" t="e">
        <f t="shared" si="23"/>
        <v>#REF!</v>
      </c>
      <c r="AH100" s="68" t="e">
        <f t="shared" si="23"/>
        <v>#REF!</v>
      </c>
      <c r="AI100" s="68" t="e">
        <f t="shared" si="23"/>
        <v>#REF!</v>
      </c>
      <c r="AJ100" s="68" t="e">
        <f t="shared" si="23"/>
        <v>#REF!</v>
      </c>
    </row>
    <row r="102" spans="1:36" ht="15.75" thickBot="1" x14ac:dyDescent="0.3"/>
    <row r="103" spans="1:36" ht="15.75" thickBot="1" x14ac:dyDescent="0.3">
      <c r="A103" s="197" t="s">
        <v>979</v>
      </c>
      <c r="B103" s="198"/>
      <c r="C103" s="198"/>
      <c r="D103" s="198"/>
      <c r="E103" s="198"/>
      <c r="F103" s="198"/>
      <c r="G103" s="198"/>
      <c r="H103" s="198"/>
      <c r="I103" s="198"/>
      <c r="J103" s="198"/>
      <c r="K103" s="198"/>
      <c r="L103" s="199"/>
      <c r="M103" s="209"/>
      <c r="N103" s="209"/>
      <c r="O103" s="209"/>
      <c r="P103" s="209"/>
      <c r="Q103" s="209"/>
      <c r="R103" s="209"/>
      <c r="S103" s="209"/>
      <c r="T103" s="209"/>
      <c r="U103" s="209"/>
      <c r="V103" s="209"/>
      <c r="W103" s="210"/>
      <c r="X103" s="123"/>
    </row>
    <row r="104" spans="1:36" x14ac:dyDescent="0.25">
      <c r="A104" s="72">
        <v>99</v>
      </c>
      <c r="B104" s="206" t="s">
        <v>927</v>
      </c>
      <c r="C104" s="73" t="str">
        <f>Roster!$T102</f>
        <v xml:space="preserve"> </v>
      </c>
      <c r="D104" s="74" t="s">
        <v>988</v>
      </c>
      <c r="E104" s="75"/>
      <c r="F104" s="74" t="s">
        <v>989</v>
      </c>
      <c r="G104" s="75"/>
      <c r="H104" s="74" t="s">
        <v>990</v>
      </c>
      <c r="I104" s="75"/>
      <c r="J104" s="76"/>
      <c r="K104" s="207"/>
      <c r="L104" s="208" t="e">
        <f>#REF!</f>
        <v>#REF!</v>
      </c>
      <c r="M104" s="208" t="e">
        <f>#REF!</f>
        <v>#REF!</v>
      </c>
      <c r="N104" s="208" t="e">
        <f>#REF!</f>
        <v>#REF!</v>
      </c>
      <c r="O104" s="208" t="e">
        <f>#REF!</f>
        <v>#REF!</v>
      </c>
      <c r="P104" s="208" t="e">
        <f>#REF!</f>
        <v>#REF!</v>
      </c>
      <c r="Q104" s="208" t="e">
        <f>#REF!</f>
        <v>#REF!</v>
      </c>
      <c r="R104" s="208" t="e">
        <f>#REF!</f>
        <v>#REF!</v>
      </c>
      <c r="S104" s="208" t="e">
        <f>#REF!</f>
        <v>#REF!</v>
      </c>
      <c r="T104" s="208" t="e">
        <f>#REF!</f>
        <v>#REF!</v>
      </c>
      <c r="U104" s="208" t="e">
        <f>#REF!</f>
        <v>#REF!</v>
      </c>
      <c r="W104" s="87" t="s">
        <v>988</v>
      </c>
      <c r="X104" s="87" t="s">
        <v>989</v>
      </c>
      <c r="Y104" s="69" t="e">
        <f>'Team Info'!$B$19&amp;": "&amp;O100&amp;""</f>
        <v>#REF!</v>
      </c>
      <c r="Z104" s="69" t="e">
        <f>'Team Info'!$B$19&amp;": "&amp;N100&amp;""</f>
        <v>#REF!</v>
      </c>
      <c r="AB104" s="68" t="e">
        <f>L100&amp;" PPG"</f>
        <v>#REF!</v>
      </c>
      <c r="AC104" s="68" t="e">
        <f>M100&amp;" FG"</f>
        <v>#REF!</v>
      </c>
      <c r="AD104" s="68" t="e">
        <f>N100&amp;" 3-PT"</f>
        <v>#REF!</v>
      </c>
      <c r="AE104" s="68" t="e">
        <f>O100&amp;" FT"</f>
        <v>#REF!</v>
      </c>
      <c r="AF104" s="68" t="e">
        <f>P100&amp;" RPG"</f>
        <v>#REF!</v>
      </c>
      <c r="AG104" s="68" t="e">
        <f>Q100&amp;" APG"</f>
        <v>#REF!</v>
      </c>
      <c r="AH104" s="68" t="e">
        <f>R100&amp;" BPG"</f>
        <v>#REF!</v>
      </c>
      <c r="AI104" s="68" t="e">
        <f>S100&amp;" SPG"</f>
        <v>#REF!</v>
      </c>
      <c r="AJ104" s="68" t="e">
        <f>T100&amp;" MPG"</f>
        <v>#REF!</v>
      </c>
    </row>
  </sheetData>
  <customSheetViews>
    <customSheetView guid="{792F7DB4-F0C7-4F6F-9D44-1CA398E3F0DC}" showPageBreaks="1" hiddenColumns="1" view="pageBreakPreview">
      <pane ySplit="1" topLeftCell="A2" activePane="bottomLeft" state="frozen"/>
      <selection pane="bottomLeft" activeCell="AK5" sqref="AK5"/>
      <pageMargins left="0.7" right="0.7" top="0.75" bottom="0.75" header="0.3" footer="0.3"/>
      <pageSetup orientation="portrait" r:id="rId1"/>
    </customSheetView>
    <customSheetView guid="{BE266B8E-38B0-4631-9C30-67CA48A8BD7F}" showPageBreaks="1" hiddenColumns="1" view="pageBreakPreview">
      <pane ySplit="1" topLeftCell="A2" activePane="bottomLeft" state="frozen"/>
      <selection pane="bottomLeft" activeCell="A2" sqref="A2"/>
      <pageMargins left="0.7" right="0.7" top="0.75" bottom="0.75" header="0.3" footer="0.3"/>
      <pageSetup orientation="portrait" r:id="rId2"/>
    </customSheetView>
    <customSheetView guid="{BD1DF852-269B-4C2F-AF89-1FA576EA4603}" showPageBreaks="1" hiddenColumns="1" view="pageBreakPreview">
      <pane ySplit="1" topLeftCell="A2" activePane="bottomLeft" state="frozen"/>
      <selection pane="bottomLeft" activeCell="Y1" sqref="Y1:AJ1048576"/>
      <pageMargins left="0.7" right="0.7" top="0.75" bottom="0.75" header="0.3" footer="0.3"/>
      <pageSetup orientation="portrait" r:id="rId3"/>
    </customSheetView>
    <customSheetView guid="{6A3B2C41-2DBC-4B17-AB58-12C85E3A6B8A}" showPageBreaks="1" printArea="1" hiddenColumns="1">
      <pane ySplit="1" topLeftCell="A2" activePane="bottomLeft" state="frozen"/>
      <selection pane="bottomLeft" activeCell="A2" sqref="A2"/>
      <pageMargins left="0.7" right="0.7" top="0.75" bottom="0.75" header="0.3" footer="0.3"/>
      <pageSetup orientation="portrait" r:id="rId4"/>
    </customSheetView>
    <customSheetView guid="{46B088B4-7F51-4D35-9F00-2268626FA819}" showPageBreaks="1" hiddenRows="1" hiddenColumns="1" view="pageBreakPreview">
      <pane ySplit="1" topLeftCell="A2" activePane="bottomLeft" state="frozen"/>
      <selection pane="bottomLeft" activeCell="B101" sqref="B101"/>
      <pageMargins left="0.7" right="0.7" top="0.75" bottom="0.75" header="0.3" footer="0.3"/>
      <pageSetup orientation="portrait" r:id="rId5"/>
    </customSheetView>
    <customSheetView guid="{42F19D52-E208-414F-9E2E-506DF902926F}" showPageBreaks="1" printArea="1" hiddenColumns="1">
      <pane ySplit="1" topLeftCell="A2" activePane="bottomLeft" state="frozen"/>
      <selection pane="bottomLeft" activeCell="A2" sqref="A2"/>
      <pageMargins left="0.7" right="0.7" top="0.75" bottom="0.75" header="0.3" footer="0.3"/>
      <pageSetup orientation="portrait" r:id="rId6"/>
    </customSheetView>
    <customSheetView guid="{AC8CA20A-2130-4ED2-A745-85677B08F97C}" showPageBreaks="1" hiddenColumns="1" view="pageBreakPreview">
      <pane ySplit="1" topLeftCell="A2" activePane="bottomLeft" state="frozen"/>
      <selection pane="bottomLeft" activeCell="Y1" sqref="Y1:AJ1048576"/>
      <pageMargins left="0.7" right="0.7" top="0.75" bottom="0.75" header="0.3" footer="0.3"/>
      <pageSetup orientation="portrait" r:id="rId7"/>
    </customSheetView>
    <customSheetView guid="{2F318324-B2A5-4EFB-BB30-8D1AF11C1A9F}" showPageBreaks="1" hiddenColumns="1" view="pageBreakPreview">
      <pane ySplit="1" topLeftCell="A2" activePane="bottomLeft" state="frozen"/>
      <selection pane="bottomLeft" activeCell="A2" sqref="A2"/>
      <pageMargins left="0.7" right="0.7" top="0.75" bottom="0.75" header="0.3" footer="0.3"/>
      <pageSetup orientation="portrait" r:id="rId8"/>
    </customSheetView>
  </customSheetViews>
  <dataValidations count="1">
    <dataValidation type="list" allowBlank="1" showInputMessage="1" showErrorMessage="1" sqref="W104:X104 E104 G104" xr:uid="{00000000-0002-0000-0300-000000000000}">
      <formula1>ZZZ_PLAYER99</formula1>
    </dataValidation>
  </dataValidations>
  <pageMargins left="0.7" right="0.7" top="0.75" bottom="0.75" header="0.3" footer="0.3"/>
  <pageSetup orientation="portrait" r:id="rId9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21"/>
  <sheetViews>
    <sheetView workbookViewId="0">
      <selection activeCell="A16" sqref="A11:XFD16"/>
    </sheetView>
  </sheetViews>
  <sheetFormatPr defaultRowHeight="15" x14ac:dyDescent="0.25"/>
  <cols>
    <col min="1" max="1" width="20.7109375" customWidth="1"/>
    <col min="2" max="2" width="12.7109375" customWidth="1"/>
    <col min="3" max="4" width="20.7109375" customWidth="1"/>
    <col min="5" max="5" width="12.7109375" customWidth="1"/>
    <col min="6" max="6" width="29.140625" bestFit="1" customWidth="1"/>
    <col min="8" max="8" width="9.140625" hidden="1" customWidth="1"/>
    <col min="9" max="9" width="29.5703125" hidden="1" customWidth="1"/>
    <col min="10" max="10" width="9.140625" hidden="1" customWidth="1"/>
    <col min="11" max="11" width="60.42578125" hidden="1" customWidth="1"/>
    <col min="12" max="12" width="2.7109375" customWidth="1"/>
  </cols>
  <sheetData>
    <row r="1" spans="1:11" x14ac:dyDescent="0.25">
      <c r="A1" s="185" t="s">
        <v>79</v>
      </c>
      <c r="B1" s="186"/>
      <c r="I1" t="s">
        <v>80</v>
      </c>
    </row>
    <row r="2" spans="1:11" x14ac:dyDescent="0.25">
      <c r="A2" s="187" t="s">
        <v>32</v>
      </c>
      <c r="B2" s="250" t="s">
        <v>947</v>
      </c>
      <c r="C2" s="251"/>
    </row>
    <row r="3" spans="1:11" x14ac:dyDescent="0.25">
      <c r="A3" s="187" t="s">
        <v>944</v>
      </c>
      <c r="B3" s="249" t="s">
        <v>946</v>
      </c>
      <c r="C3" s="249"/>
    </row>
    <row r="4" spans="1:11" x14ac:dyDescent="0.25">
      <c r="A4" s="19" t="s">
        <v>82</v>
      </c>
      <c r="B4" s="23" t="s">
        <v>843</v>
      </c>
      <c r="C4" s="32" t="s">
        <v>83</v>
      </c>
      <c r="D4" s="32" t="s">
        <v>84</v>
      </c>
      <c r="E4" s="32" t="s">
        <v>85</v>
      </c>
      <c r="F4" s="32" t="s">
        <v>86</v>
      </c>
      <c r="I4" t="str">
        <f>"D:\IMS Images\Network\Primary\"</f>
        <v>D:\IMS Images\Network\Primary\</v>
      </c>
      <c r="K4" t="s">
        <v>81</v>
      </c>
    </row>
    <row r="5" spans="1:11" x14ac:dyDescent="0.25">
      <c r="A5" s="30">
        <v>1</v>
      </c>
      <c r="B5" s="33"/>
      <c r="C5" s="33" t="s">
        <v>87</v>
      </c>
      <c r="D5" s="33" t="s">
        <v>88</v>
      </c>
      <c r="E5" s="33"/>
      <c r="F5" s="34" t="s">
        <v>89</v>
      </c>
      <c r="K5" t="str">
        <f>$I$4&amp;F5&amp;".png"</f>
        <v>D:\IMS Images\Network\Primary\ABC.png</v>
      </c>
    </row>
    <row r="6" spans="1:11" x14ac:dyDescent="0.25">
      <c r="A6" s="30">
        <v>2</v>
      </c>
      <c r="B6" s="33"/>
      <c r="C6" s="33" t="s">
        <v>90</v>
      </c>
      <c r="D6" s="33" t="s">
        <v>91</v>
      </c>
      <c r="E6" s="33"/>
      <c r="F6" s="34" t="s">
        <v>299</v>
      </c>
      <c r="K6" t="str">
        <f t="shared" ref="K6:K16" si="0">$I$4&amp;F6&amp;".png"</f>
        <v>D:\IMS Images\Network\Primary\ESPN.png</v>
      </c>
    </row>
    <row r="7" spans="1:11" x14ac:dyDescent="0.25">
      <c r="A7" s="30">
        <v>3</v>
      </c>
      <c r="B7" s="33"/>
      <c r="C7" s="33" t="s">
        <v>93</v>
      </c>
      <c r="D7" s="33" t="s">
        <v>94</v>
      </c>
      <c r="E7" s="33"/>
      <c r="F7" s="34" t="s">
        <v>301</v>
      </c>
      <c r="I7" t="s">
        <v>32</v>
      </c>
      <c r="K7" t="str">
        <f t="shared" si="0"/>
        <v>D:\IMS Images\Network\Primary\ESPN2.png</v>
      </c>
    </row>
    <row r="8" spans="1:11" x14ac:dyDescent="0.25">
      <c r="A8" s="30">
        <v>4</v>
      </c>
      <c r="B8" s="33"/>
      <c r="C8" s="33" t="s">
        <v>96</v>
      </c>
      <c r="D8" s="33" t="s">
        <v>97</v>
      </c>
      <c r="E8" s="33"/>
      <c r="F8" s="34" t="s">
        <v>326</v>
      </c>
      <c r="I8" t="str">
        <f>B2</f>
        <v>(Hardcoded in Scene)</v>
      </c>
      <c r="K8" t="str">
        <f t="shared" si="0"/>
        <v>D:\IMS Images\Network\Primary\ESPN3.png</v>
      </c>
    </row>
    <row r="9" spans="1:11" x14ac:dyDescent="0.25">
      <c r="A9" s="30">
        <v>5</v>
      </c>
      <c r="B9" s="33"/>
      <c r="C9" s="33" t="s">
        <v>99</v>
      </c>
      <c r="D9" s="33" t="s">
        <v>100</v>
      </c>
      <c r="E9" s="33"/>
      <c r="F9" s="34" t="s">
        <v>570</v>
      </c>
      <c r="I9" t="s">
        <v>944</v>
      </c>
      <c r="K9" t="str">
        <f t="shared" si="0"/>
        <v>D:\IMS Images\Network\Primary\ESPN_APP.png</v>
      </c>
    </row>
    <row r="10" spans="1:11" x14ac:dyDescent="0.25">
      <c r="A10" s="30">
        <v>6</v>
      </c>
      <c r="B10" s="33"/>
      <c r="C10" s="33"/>
      <c r="D10" s="33"/>
      <c r="E10" s="33"/>
      <c r="F10" s="34"/>
      <c r="I10" t="str">
        <f>B3</f>
        <v>Upcoming Schedule</v>
      </c>
      <c r="K10" t="str">
        <f t="shared" si="0"/>
        <v>D:\IMS Images\Network\Primary\.png</v>
      </c>
    </row>
    <row r="11" spans="1:11" hidden="1" x14ac:dyDescent="0.25">
      <c r="A11" s="30">
        <v>7</v>
      </c>
      <c r="B11" s="33"/>
      <c r="C11" s="33"/>
      <c r="D11" s="33"/>
      <c r="E11" s="33"/>
      <c r="F11" s="34"/>
      <c r="K11" t="str">
        <f t="shared" si="0"/>
        <v>D:\IMS Images\Network\Primary\.png</v>
      </c>
    </row>
    <row r="12" spans="1:11" hidden="1" x14ac:dyDescent="0.25">
      <c r="A12" s="39">
        <v>8</v>
      </c>
      <c r="B12" s="40"/>
      <c r="C12" s="40"/>
      <c r="D12" s="40"/>
      <c r="E12" s="33"/>
      <c r="F12" s="34"/>
      <c r="K12" t="str">
        <f t="shared" si="0"/>
        <v>D:\IMS Images\Network\Primary\.png</v>
      </c>
    </row>
    <row r="13" spans="1:11" hidden="1" x14ac:dyDescent="0.25">
      <c r="A13" s="39">
        <v>9</v>
      </c>
      <c r="B13" s="40"/>
      <c r="C13" s="40"/>
      <c r="D13" s="40"/>
      <c r="E13" s="33"/>
      <c r="F13" s="34"/>
      <c r="K13" t="str">
        <f t="shared" si="0"/>
        <v>D:\IMS Images\Network\Primary\.png</v>
      </c>
    </row>
    <row r="14" spans="1:11" hidden="1" x14ac:dyDescent="0.25">
      <c r="A14" s="39">
        <v>10</v>
      </c>
      <c r="B14" s="40"/>
      <c r="C14" s="40"/>
      <c r="D14" s="40"/>
      <c r="E14" s="33"/>
      <c r="F14" s="34"/>
      <c r="K14" t="str">
        <f t="shared" si="0"/>
        <v>D:\IMS Images\Network\Primary\.png</v>
      </c>
    </row>
    <row r="15" spans="1:11" hidden="1" x14ac:dyDescent="0.25">
      <c r="A15" s="39">
        <v>11</v>
      </c>
      <c r="B15" s="40"/>
      <c r="C15" s="40"/>
      <c r="D15" s="40"/>
      <c r="E15" s="33"/>
      <c r="F15" s="34"/>
      <c r="K15" t="str">
        <f t="shared" si="0"/>
        <v>D:\IMS Images\Network\Primary\.png</v>
      </c>
    </row>
    <row r="16" spans="1:11" hidden="1" x14ac:dyDescent="0.25">
      <c r="A16" s="39">
        <v>12</v>
      </c>
      <c r="B16" s="40"/>
      <c r="C16" s="40"/>
      <c r="D16" s="40"/>
      <c r="E16" s="33"/>
      <c r="F16" s="34"/>
      <c r="K16" t="str">
        <f t="shared" si="0"/>
        <v>D:\IMS Images\Network\Primary\.png</v>
      </c>
    </row>
    <row r="17" spans="1:3" x14ac:dyDescent="0.25">
      <c r="C17" s="1"/>
    </row>
    <row r="18" spans="1:3" x14ac:dyDescent="0.25">
      <c r="C18" s="1"/>
    </row>
    <row r="19" spans="1:3" x14ac:dyDescent="0.25">
      <c r="C19" s="1"/>
    </row>
    <row r="20" spans="1:3" x14ac:dyDescent="0.25">
      <c r="A20" s="58" t="s">
        <v>943</v>
      </c>
      <c r="B20" s="58" t="s">
        <v>945</v>
      </c>
      <c r="C20" s="59"/>
    </row>
    <row r="21" spans="1:3" x14ac:dyDescent="0.25">
      <c r="A21" s="58" t="s">
        <v>1023</v>
      </c>
      <c r="B21" s="58" t="s">
        <v>1024</v>
      </c>
      <c r="C21" s="60"/>
    </row>
  </sheetData>
  <customSheetViews>
    <customSheetView guid="{792F7DB4-F0C7-4F6F-9D44-1CA398E3F0DC}" hiddenRows="1" hiddenColumns="1">
      <selection activeCell="A16" sqref="A11:XFD16"/>
      <pageMargins left="0.7" right="0.7" top="0.75" bottom="0.75" header="0.3" footer="0.3"/>
      <pageSetup orientation="portrait" r:id="rId1"/>
    </customSheetView>
    <customSheetView guid="{BE266B8E-38B0-4631-9C30-67CA48A8BD7F}" hiddenColumns="1">
      <selection activeCell="F18" sqref="F18"/>
      <pageMargins left="0.7" right="0.7" top="0.75" bottom="0.75" header="0.3" footer="0.3"/>
      <pageSetup orientation="portrait" r:id="rId2"/>
    </customSheetView>
    <customSheetView guid="{BD1DF852-269B-4C2F-AF89-1FA576EA4603}" hiddenRows="1" hiddenColumns="1">
      <selection activeCell="A18" sqref="A18"/>
      <pageMargins left="0.7" right="0.7" top="0.75" bottom="0.75" header="0.3" footer="0.3"/>
      <pageSetup orientation="portrait" r:id="rId3"/>
    </customSheetView>
    <customSheetView guid="{6A3B2C41-2DBC-4B17-AB58-12C85E3A6B8A}" hiddenColumns="1">
      <selection activeCell="K1" sqref="K1:K1048576"/>
      <pageMargins left="0.7" right="0.7" top="0.75" bottom="0.75" header="0.3" footer="0.3"/>
      <pageSetup orientation="portrait" r:id="rId4"/>
    </customSheetView>
    <customSheetView guid="{9DC468DE-D883-45B4-B188-265B9DA68425}" hiddenColumns="1">
      <selection activeCell="B3" sqref="B3"/>
      <pageMargins left="0.7" right="0.7" top="0.75" bottom="0.75" header="0.3" footer="0.3"/>
      <pageSetup orientation="portrait" r:id="rId5"/>
    </customSheetView>
    <customSheetView guid="{6960175A-17E1-4BDD-98F7-6E9A590B8B7F}" hiddenColumns="1">
      <selection activeCell="M22" sqref="M22"/>
      <pageMargins left="0.7" right="0.7" top="0.75" bottom="0.75" header="0.3" footer="0.3"/>
      <pageSetup orientation="portrait" r:id="rId6"/>
    </customSheetView>
    <customSheetView guid="{DB365F32-166D-4348-BCE9-F0F1DB0B73A9}" hiddenColumns="1">
      <selection activeCell="B3" sqref="B3"/>
      <pageMargins left="0.7" right="0.7" top="0.75" bottom="0.75" header="0.3" footer="0.3"/>
      <pageSetup orientation="portrait" r:id="rId7"/>
    </customSheetView>
    <customSheetView guid="{6EDF2E63-E51E-449A-B1C5-EFB1FD6A259C}" hiddenColumns="1">
      <selection activeCell="B3" sqref="B3"/>
      <pageMargins left="0.7" right="0.7" top="0.75" bottom="0.75" header="0.3" footer="0.3"/>
      <pageSetup orientation="portrait" r:id="rId8"/>
    </customSheetView>
    <customSheetView guid="{46B088B4-7F51-4D35-9F00-2268626FA819}" hiddenColumns="1">
      <selection activeCell="F18" sqref="F18"/>
      <pageMargins left="0.7" right="0.7" top="0.75" bottom="0.75" header="0.3" footer="0.3"/>
      <pageSetup orientation="portrait" r:id="rId9"/>
    </customSheetView>
    <customSheetView guid="{42F19D52-E208-414F-9E2E-506DF902926F}" hiddenColumns="1">
      <selection activeCell="K1" sqref="K1:K1048576"/>
      <pageMargins left="0.7" right="0.7" top="0.75" bottom="0.75" header="0.3" footer="0.3"/>
      <pageSetup orientation="portrait" r:id="rId10"/>
    </customSheetView>
    <customSheetView guid="{AC8CA20A-2130-4ED2-A745-85677B08F97C}" hiddenRows="1" hiddenColumns="1">
      <selection activeCell="A18" sqref="A18"/>
      <pageMargins left="0.7" right="0.7" top="0.75" bottom="0.75" header="0.3" footer="0.3"/>
      <pageSetup orientation="portrait" r:id="rId11"/>
    </customSheetView>
    <customSheetView guid="{2F318324-B2A5-4EFB-BB30-8D1AF11C1A9F}" hiddenColumns="1">
      <selection activeCell="F18" sqref="F18"/>
      <pageMargins left="0.7" right="0.7" top="0.75" bottom="0.75" header="0.3" footer="0.3"/>
      <pageSetup orientation="portrait" r:id="rId12"/>
    </customSheetView>
  </customSheetViews>
  <mergeCells count="2">
    <mergeCell ref="B3:C3"/>
    <mergeCell ref="B2:C2"/>
  </mergeCells>
  <dataValidations count="1">
    <dataValidation type="list" allowBlank="1" showInputMessage="1" showErrorMessage="1" sqref="F5:F16" xr:uid="{00000000-0002-0000-0400-000000000000}">
      <formula1>NETWORK_LOGOS</formula1>
    </dataValidation>
  </dataValidations>
  <pageMargins left="0.7" right="0.7" top="0.75" bottom="0.75" header="0.3" footer="0.3"/>
  <pageSetup orientation="portrait" r:id="rId1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99"/>
  <sheetViews>
    <sheetView workbookViewId="0">
      <selection activeCell="A2" sqref="A2"/>
    </sheetView>
  </sheetViews>
  <sheetFormatPr defaultRowHeight="15" x14ac:dyDescent="0.25"/>
  <cols>
    <col min="1" max="4" width="30.7109375" customWidth="1"/>
    <col min="5" max="5" width="2.42578125" customWidth="1"/>
    <col min="6" max="9" width="30.7109375" hidden="1" customWidth="1"/>
  </cols>
  <sheetData>
    <row r="1" spans="1:9" ht="15.75" thickBot="1" x14ac:dyDescent="0.3">
      <c r="A1" s="11" t="s">
        <v>935</v>
      </c>
      <c r="B1" s="32" t="s">
        <v>59</v>
      </c>
      <c r="C1" s="32" t="s">
        <v>60</v>
      </c>
      <c r="D1" s="32" t="s">
        <v>61</v>
      </c>
      <c r="E1" s="37"/>
      <c r="F1" s="32" t="s">
        <v>62</v>
      </c>
      <c r="G1" s="32" t="s">
        <v>63</v>
      </c>
      <c r="H1" s="32" t="s">
        <v>64</v>
      </c>
      <c r="I1" s="32" t="s">
        <v>65</v>
      </c>
    </row>
    <row r="2" spans="1:9" ht="15" customHeight="1" thickBot="1" x14ac:dyDescent="0.3">
      <c r="A2" s="158">
        <f>IF('Team Info'!$B$2 = "Away",5130,5230)</f>
        <v>5230</v>
      </c>
      <c r="B2" s="33" t="s">
        <v>69</v>
      </c>
      <c r="C2" s="33" t="s">
        <v>66</v>
      </c>
      <c r="D2" s="33" t="s">
        <v>934</v>
      </c>
      <c r="E2" s="38"/>
      <c r="F2" s="33" t="s">
        <v>62</v>
      </c>
      <c r="G2" s="33" t="s">
        <v>67</v>
      </c>
      <c r="H2" s="33" t="s">
        <v>68</v>
      </c>
      <c r="I2" s="33"/>
    </row>
    <row r="3" spans="1:9" ht="15.75" thickBot="1" x14ac:dyDescent="0.3">
      <c r="A3" s="158">
        <f>A2+1</f>
        <v>5231</v>
      </c>
      <c r="B3" s="33"/>
      <c r="C3" s="33"/>
      <c r="D3" s="33"/>
      <c r="E3" s="38"/>
      <c r="F3" s="33" t="s">
        <v>69</v>
      </c>
      <c r="G3" s="33" t="s">
        <v>70</v>
      </c>
      <c r="H3" s="33" t="s">
        <v>70</v>
      </c>
      <c r="I3" s="33"/>
    </row>
    <row r="4" spans="1:9" ht="15.75" thickBot="1" x14ac:dyDescent="0.3">
      <c r="A4" s="158">
        <f t="shared" ref="A4:A52" si="0">A3+1</f>
        <v>5232</v>
      </c>
      <c r="B4" s="33"/>
      <c r="C4" s="33"/>
      <c r="D4" s="33"/>
      <c r="E4" s="38"/>
      <c r="F4" s="33" t="s">
        <v>69</v>
      </c>
      <c r="G4" s="33" t="s">
        <v>71</v>
      </c>
      <c r="H4" s="33" t="s">
        <v>71</v>
      </c>
      <c r="I4" s="33"/>
    </row>
    <row r="5" spans="1:9" ht="15.75" thickBot="1" x14ac:dyDescent="0.3">
      <c r="A5" s="158">
        <f t="shared" si="0"/>
        <v>5233</v>
      </c>
      <c r="B5" s="33"/>
      <c r="C5" s="33"/>
      <c r="D5" s="33"/>
      <c r="E5" s="38"/>
      <c r="F5" s="33" t="s">
        <v>69</v>
      </c>
      <c r="G5" s="33" t="s">
        <v>72</v>
      </c>
      <c r="H5" s="33" t="s">
        <v>72</v>
      </c>
      <c r="I5" s="33"/>
    </row>
    <row r="6" spans="1:9" ht="15" customHeight="1" thickBot="1" x14ac:dyDescent="0.3">
      <c r="A6" s="158">
        <f t="shared" si="0"/>
        <v>5234</v>
      </c>
      <c r="B6" s="33"/>
      <c r="C6" s="33"/>
      <c r="D6" s="33"/>
      <c r="E6" s="38"/>
      <c r="F6" s="33" t="s">
        <v>69</v>
      </c>
      <c r="G6" s="33" t="s">
        <v>73</v>
      </c>
      <c r="H6" s="33" t="s">
        <v>73</v>
      </c>
      <c r="I6" s="33"/>
    </row>
    <row r="7" spans="1:9" ht="15.75" thickBot="1" x14ac:dyDescent="0.3">
      <c r="A7" s="158">
        <f t="shared" si="0"/>
        <v>5235</v>
      </c>
      <c r="B7" s="33"/>
      <c r="C7" s="33"/>
      <c r="D7" s="33"/>
      <c r="E7" s="38"/>
      <c r="F7" s="33" t="s">
        <v>69</v>
      </c>
      <c r="G7" s="33" t="s">
        <v>74</v>
      </c>
      <c r="H7" s="33" t="s">
        <v>74</v>
      </c>
      <c r="I7" s="33"/>
    </row>
    <row r="8" spans="1:9" ht="15.75" thickBot="1" x14ac:dyDescent="0.3">
      <c r="A8" s="158">
        <f t="shared" si="0"/>
        <v>5236</v>
      </c>
      <c r="B8" s="33"/>
      <c r="C8" s="33"/>
      <c r="D8" s="33"/>
      <c r="E8" s="38"/>
      <c r="F8" s="33" t="s">
        <v>69</v>
      </c>
      <c r="G8" s="33" t="s">
        <v>75</v>
      </c>
      <c r="H8" s="33" t="s">
        <v>75</v>
      </c>
      <c r="I8" s="33"/>
    </row>
    <row r="9" spans="1:9" ht="15.75" thickBot="1" x14ac:dyDescent="0.3">
      <c r="A9" s="158">
        <f t="shared" si="0"/>
        <v>5237</v>
      </c>
      <c r="B9" s="33"/>
      <c r="C9" s="33"/>
      <c r="D9" s="33"/>
      <c r="E9" s="38"/>
      <c r="F9" s="33" t="s">
        <v>69</v>
      </c>
      <c r="G9" s="33" t="s">
        <v>76</v>
      </c>
      <c r="H9" s="33" t="s">
        <v>76</v>
      </c>
      <c r="I9" s="33"/>
    </row>
    <row r="10" spans="1:9" ht="15.75" thickBot="1" x14ac:dyDescent="0.3">
      <c r="A10" s="158">
        <f t="shared" si="0"/>
        <v>5238</v>
      </c>
      <c r="B10" s="33"/>
      <c r="C10" s="33"/>
      <c r="D10" s="33"/>
      <c r="E10" s="38"/>
      <c r="F10" s="33" t="s">
        <v>69</v>
      </c>
      <c r="G10" s="33" t="s">
        <v>77</v>
      </c>
      <c r="H10" s="33" t="s">
        <v>77</v>
      </c>
      <c r="I10" s="33"/>
    </row>
    <row r="11" spans="1:9" ht="15.75" thickBot="1" x14ac:dyDescent="0.3">
      <c r="A11" s="188">
        <f t="shared" si="0"/>
        <v>5239</v>
      </c>
      <c r="B11" s="33"/>
      <c r="C11" s="33"/>
      <c r="D11" s="33"/>
      <c r="E11" s="38"/>
      <c r="F11" s="33" t="s">
        <v>69</v>
      </c>
      <c r="G11" s="33" t="s">
        <v>78</v>
      </c>
      <c r="H11" s="33" t="s">
        <v>78</v>
      </c>
      <c r="I11" s="33"/>
    </row>
    <row r="12" spans="1:9" ht="15.75" thickBot="1" x14ac:dyDescent="0.3">
      <c r="A12" s="158">
        <f t="shared" si="0"/>
        <v>5240</v>
      </c>
      <c r="B12" s="33"/>
      <c r="C12" s="33"/>
      <c r="D12" s="33"/>
      <c r="E12" s="38"/>
      <c r="F12" s="33" t="s">
        <v>69</v>
      </c>
      <c r="G12" s="33" t="s">
        <v>78</v>
      </c>
      <c r="H12" s="33" t="s">
        <v>78</v>
      </c>
      <c r="I12" s="33"/>
    </row>
    <row r="13" spans="1:9" ht="15.75" thickBot="1" x14ac:dyDescent="0.3">
      <c r="A13" s="158">
        <f t="shared" si="0"/>
        <v>5241</v>
      </c>
      <c r="B13" s="33"/>
      <c r="C13" s="33"/>
      <c r="D13" s="33"/>
      <c r="E13" s="38"/>
      <c r="F13" s="33" t="s">
        <v>69</v>
      </c>
      <c r="G13" s="33" t="s">
        <v>78</v>
      </c>
      <c r="H13" s="33" t="s">
        <v>78</v>
      </c>
      <c r="I13" s="33"/>
    </row>
    <row r="14" spans="1:9" ht="15.75" thickBot="1" x14ac:dyDescent="0.3">
      <c r="A14" s="158">
        <f t="shared" si="0"/>
        <v>5242</v>
      </c>
      <c r="B14" s="33"/>
      <c r="C14" s="33"/>
      <c r="D14" s="33"/>
      <c r="E14" s="38"/>
      <c r="F14" s="33" t="s">
        <v>69</v>
      </c>
      <c r="G14" s="33" t="s">
        <v>78</v>
      </c>
      <c r="H14" s="33" t="s">
        <v>78</v>
      </c>
      <c r="I14" s="33"/>
    </row>
    <row r="15" spans="1:9" ht="15.75" thickBot="1" x14ac:dyDescent="0.3">
      <c r="A15" s="158">
        <f t="shared" si="0"/>
        <v>5243</v>
      </c>
      <c r="B15" s="33"/>
      <c r="C15" s="33"/>
      <c r="D15" s="33"/>
      <c r="E15" s="38"/>
      <c r="F15" s="33" t="s">
        <v>69</v>
      </c>
      <c r="G15" s="33" t="s">
        <v>78</v>
      </c>
      <c r="H15" s="33" t="s">
        <v>78</v>
      </c>
      <c r="I15" s="33"/>
    </row>
    <row r="16" spans="1:9" ht="15.75" thickBot="1" x14ac:dyDescent="0.3">
      <c r="A16" s="158">
        <f t="shared" si="0"/>
        <v>5244</v>
      </c>
      <c r="B16" s="33"/>
      <c r="C16" s="33"/>
      <c r="D16" s="33"/>
      <c r="E16" s="38"/>
      <c r="F16" s="33" t="s">
        <v>69</v>
      </c>
      <c r="G16" s="33" t="s">
        <v>78</v>
      </c>
      <c r="H16" s="33" t="s">
        <v>78</v>
      </c>
      <c r="I16" s="33"/>
    </row>
    <row r="17" spans="1:9" ht="15.75" thickBot="1" x14ac:dyDescent="0.3">
      <c r="A17" s="158">
        <f t="shared" si="0"/>
        <v>5245</v>
      </c>
      <c r="B17" s="33"/>
      <c r="C17" s="33"/>
      <c r="D17" s="33"/>
      <c r="E17" s="38"/>
      <c r="F17" s="33" t="s">
        <v>69</v>
      </c>
      <c r="G17" s="33" t="s">
        <v>78</v>
      </c>
      <c r="H17" s="33" t="s">
        <v>78</v>
      </c>
      <c r="I17" s="33"/>
    </row>
    <row r="18" spans="1:9" ht="15.75" thickBot="1" x14ac:dyDescent="0.3">
      <c r="A18" s="158">
        <f t="shared" si="0"/>
        <v>5246</v>
      </c>
      <c r="B18" s="33"/>
      <c r="C18" s="33"/>
      <c r="D18" s="33"/>
      <c r="E18" s="38"/>
      <c r="F18" s="33" t="s">
        <v>69</v>
      </c>
      <c r="G18" s="33" t="s">
        <v>78</v>
      </c>
      <c r="H18" s="33" t="s">
        <v>78</v>
      </c>
      <c r="I18" s="33"/>
    </row>
    <row r="19" spans="1:9" ht="15.75" thickBot="1" x14ac:dyDescent="0.3">
      <c r="A19" s="158">
        <f t="shared" si="0"/>
        <v>5247</v>
      </c>
      <c r="B19" s="33"/>
      <c r="C19" s="33"/>
      <c r="D19" s="33"/>
      <c r="E19" s="38"/>
      <c r="F19" s="33" t="s">
        <v>69</v>
      </c>
      <c r="G19" s="33" t="s">
        <v>78</v>
      </c>
      <c r="H19" s="33" t="s">
        <v>78</v>
      </c>
      <c r="I19" s="33"/>
    </row>
    <row r="20" spans="1:9" ht="15.75" thickBot="1" x14ac:dyDescent="0.3">
      <c r="A20" s="158">
        <f t="shared" si="0"/>
        <v>5248</v>
      </c>
      <c r="B20" s="33"/>
      <c r="C20" s="33"/>
      <c r="D20" s="33"/>
      <c r="E20" s="38"/>
      <c r="F20" s="33" t="s">
        <v>69</v>
      </c>
      <c r="G20" s="33" t="s">
        <v>78</v>
      </c>
      <c r="H20" s="33" t="s">
        <v>78</v>
      </c>
      <c r="I20" s="33"/>
    </row>
    <row r="21" spans="1:9" ht="15.75" thickBot="1" x14ac:dyDescent="0.3">
      <c r="A21" s="158">
        <f t="shared" si="0"/>
        <v>5249</v>
      </c>
      <c r="B21" s="33"/>
      <c r="C21" s="33"/>
      <c r="D21" s="33"/>
      <c r="E21" s="38"/>
      <c r="F21" s="33" t="s">
        <v>69</v>
      </c>
      <c r="G21" s="33" t="s">
        <v>78</v>
      </c>
      <c r="H21" s="33" t="s">
        <v>78</v>
      </c>
      <c r="I21" s="33"/>
    </row>
    <row r="22" spans="1:9" ht="15.75" thickBot="1" x14ac:dyDescent="0.3">
      <c r="A22" s="158">
        <f t="shared" si="0"/>
        <v>5250</v>
      </c>
      <c r="B22" s="33" t="s">
        <v>69</v>
      </c>
      <c r="C22" s="33" t="s">
        <v>78</v>
      </c>
      <c r="D22" s="33"/>
      <c r="E22" s="38"/>
      <c r="F22" s="33" t="s">
        <v>69</v>
      </c>
      <c r="G22" s="33" t="s">
        <v>78</v>
      </c>
      <c r="H22" s="33" t="s">
        <v>78</v>
      </c>
      <c r="I22" s="33"/>
    </row>
    <row r="23" spans="1:9" ht="15.75" thickBot="1" x14ac:dyDescent="0.3">
      <c r="A23" s="158">
        <f t="shared" si="0"/>
        <v>5251</v>
      </c>
      <c r="B23" s="33" t="s">
        <v>69</v>
      </c>
      <c r="C23" s="33" t="s">
        <v>78</v>
      </c>
      <c r="D23" s="33"/>
      <c r="E23" s="38"/>
      <c r="F23" s="33" t="s">
        <v>69</v>
      </c>
      <c r="G23" s="33" t="s">
        <v>78</v>
      </c>
      <c r="H23" s="33" t="s">
        <v>78</v>
      </c>
      <c r="I23" s="33"/>
    </row>
    <row r="24" spans="1:9" ht="15.75" thickBot="1" x14ac:dyDescent="0.3">
      <c r="A24" s="158">
        <f t="shared" si="0"/>
        <v>5252</v>
      </c>
      <c r="B24" s="33" t="s">
        <v>69</v>
      </c>
      <c r="C24" s="33" t="s">
        <v>78</v>
      </c>
      <c r="D24" s="33"/>
      <c r="E24" s="38"/>
      <c r="F24" s="33" t="s">
        <v>69</v>
      </c>
      <c r="G24" s="33" t="s">
        <v>78</v>
      </c>
      <c r="H24" s="33" t="s">
        <v>78</v>
      </c>
      <c r="I24" s="33"/>
    </row>
    <row r="25" spans="1:9" ht="15.75" thickBot="1" x14ac:dyDescent="0.3">
      <c r="A25" s="158">
        <f t="shared" si="0"/>
        <v>5253</v>
      </c>
      <c r="B25" s="33" t="s">
        <v>69</v>
      </c>
      <c r="C25" s="33" t="s">
        <v>78</v>
      </c>
      <c r="D25" s="33"/>
      <c r="E25" s="38"/>
      <c r="F25" s="33" t="s">
        <v>69</v>
      </c>
      <c r="G25" s="33" t="s">
        <v>78</v>
      </c>
      <c r="H25" s="33" t="s">
        <v>78</v>
      </c>
      <c r="I25" s="33"/>
    </row>
    <row r="26" spans="1:9" ht="15.75" thickBot="1" x14ac:dyDescent="0.3">
      <c r="A26" s="158">
        <f t="shared" si="0"/>
        <v>5254</v>
      </c>
      <c r="B26" s="33" t="s">
        <v>69</v>
      </c>
      <c r="C26" s="33" t="s">
        <v>78</v>
      </c>
      <c r="D26" s="33"/>
      <c r="E26" s="38"/>
      <c r="F26" s="33" t="s">
        <v>69</v>
      </c>
      <c r="G26" s="33" t="s">
        <v>78</v>
      </c>
      <c r="H26" s="33" t="s">
        <v>78</v>
      </c>
      <c r="I26" s="33"/>
    </row>
    <row r="27" spans="1:9" ht="15.75" thickBot="1" x14ac:dyDescent="0.3">
      <c r="A27" s="158">
        <f t="shared" si="0"/>
        <v>5255</v>
      </c>
      <c r="B27" s="33" t="s">
        <v>69</v>
      </c>
      <c r="C27" s="33" t="s">
        <v>78</v>
      </c>
      <c r="D27" s="33"/>
      <c r="E27" s="38"/>
      <c r="F27" s="33" t="s">
        <v>69</v>
      </c>
      <c r="G27" s="33" t="s">
        <v>78</v>
      </c>
      <c r="H27" s="33" t="s">
        <v>78</v>
      </c>
      <c r="I27" s="33"/>
    </row>
    <row r="28" spans="1:9" ht="15.75" thickBot="1" x14ac:dyDescent="0.3">
      <c r="A28" s="158">
        <f t="shared" si="0"/>
        <v>5256</v>
      </c>
      <c r="B28" s="33" t="s">
        <v>69</v>
      </c>
      <c r="C28" s="33" t="s">
        <v>78</v>
      </c>
      <c r="D28" s="33"/>
      <c r="E28" s="38"/>
      <c r="F28" s="33" t="s">
        <v>69</v>
      </c>
      <c r="G28" s="33" t="s">
        <v>78</v>
      </c>
      <c r="H28" s="33" t="s">
        <v>78</v>
      </c>
      <c r="I28" s="33"/>
    </row>
    <row r="29" spans="1:9" ht="15.75" thickBot="1" x14ac:dyDescent="0.3">
      <c r="A29" s="158">
        <f t="shared" si="0"/>
        <v>5257</v>
      </c>
      <c r="B29" s="33" t="s">
        <v>69</v>
      </c>
      <c r="C29" s="33" t="s">
        <v>78</v>
      </c>
      <c r="D29" s="33"/>
      <c r="E29" s="38"/>
      <c r="F29" s="33" t="s">
        <v>69</v>
      </c>
      <c r="G29" s="33" t="s">
        <v>78</v>
      </c>
      <c r="H29" s="33" t="s">
        <v>78</v>
      </c>
      <c r="I29" s="33"/>
    </row>
    <row r="30" spans="1:9" ht="15.75" thickBot="1" x14ac:dyDescent="0.3">
      <c r="A30" s="158">
        <f t="shared" si="0"/>
        <v>5258</v>
      </c>
      <c r="B30" s="33" t="s">
        <v>69</v>
      </c>
      <c r="C30" s="33" t="s">
        <v>78</v>
      </c>
      <c r="D30" s="33"/>
      <c r="E30" s="38"/>
      <c r="F30" s="33" t="s">
        <v>69</v>
      </c>
      <c r="G30" s="33" t="s">
        <v>78</v>
      </c>
      <c r="H30" s="33" t="s">
        <v>78</v>
      </c>
      <c r="I30" s="33"/>
    </row>
    <row r="31" spans="1:9" ht="15.75" thickBot="1" x14ac:dyDescent="0.3">
      <c r="A31" s="158">
        <f t="shared" si="0"/>
        <v>5259</v>
      </c>
      <c r="B31" s="33" t="s">
        <v>69</v>
      </c>
      <c r="C31" s="33" t="s">
        <v>78</v>
      </c>
      <c r="D31" s="33"/>
      <c r="E31" s="38"/>
      <c r="F31" s="33" t="s">
        <v>69</v>
      </c>
      <c r="G31" s="33" t="s">
        <v>78</v>
      </c>
      <c r="H31" s="33" t="s">
        <v>78</v>
      </c>
      <c r="I31" s="33"/>
    </row>
    <row r="32" spans="1:9" ht="15.75" thickBot="1" x14ac:dyDescent="0.3">
      <c r="A32" s="158">
        <f t="shared" si="0"/>
        <v>5260</v>
      </c>
      <c r="B32" s="33" t="s">
        <v>69</v>
      </c>
      <c r="C32" s="33" t="s">
        <v>78</v>
      </c>
      <c r="D32" s="33"/>
      <c r="E32" s="38"/>
      <c r="F32" s="33" t="s">
        <v>69</v>
      </c>
      <c r="G32" s="33" t="s">
        <v>78</v>
      </c>
      <c r="H32" s="33" t="s">
        <v>78</v>
      </c>
      <c r="I32" s="33"/>
    </row>
    <row r="33" spans="1:9" ht="15.75" thickBot="1" x14ac:dyDescent="0.3">
      <c r="A33" s="158">
        <f t="shared" si="0"/>
        <v>5261</v>
      </c>
      <c r="B33" s="33" t="s">
        <v>69</v>
      </c>
      <c r="C33" s="33" t="s">
        <v>78</v>
      </c>
      <c r="D33" s="33"/>
      <c r="E33" s="38"/>
      <c r="F33" s="33" t="s">
        <v>69</v>
      </c>
      <c r="G33" s="33" t="s">
        <v>78</v>
      </c>
      <c r="H33" s="33" t="s">
        <v>78</v>
      </c>
      <c r="I33" s="33"/>
    </row>
    <row r="34" spans="1:9" ht="15.75" thickBot="1" x14ac:dyDescent="0.3">
      <c r="A34" s="158">
        <f t="shared" si="0"/>
        <v>5262</v>
      </c>
      <c r="B34" s="33" t="s">
        <v>69</v>
      </c>
      <c r="C34" s="33" t="s">
        <v>78</v>
      </c>
      <c r="D34" s="33"/>
      <c r="E34" s="38"/>
      <c r="F34" s="33" t="s">
        <v>69</v>
      </c>
      <c r="G34" s="33" t="s">
        <v>78</v>
      </c>
      <c r="H34" s="33" t="s">
        <v>78</v>
      </c>
      <c r="I34" s="33"/>
    </row>
    <row r="35" spans="1:9" ht="15.75" thickBot="1" x14ac:dyDescent="0.3">
      <c r="A35" s="158">
        <f t="shared" si="0"/>
        <v>5263</v>
      </c>
      <c r="B35" s="33" t="s">
        <v>69</v>
      </c>
      <c r="C35" s="33" t="s">
        <v>78</v>
      </c>
      <c r="D35" s="33"/>
      <c r="E35" s="38"/>
      <c r="F35" s="33" t="s">
        <v>69</v>
      </c>
      <c r="G35" s="33" t="s">
        <v>78</v>
      </c>
      <c r="H35" s="33" t="s">
        <v>78</v>
      </c>
      <c r="I35" s="33"/>
    </row>
    <row r="36" spans="1:9" ht="15.75" thickBot="1" x14ac:dyDescent="0.3">
      <c r="A36" s="158">
        <f t="shared" si="0"/>
        <v>5264</v>
      </c>
      <c r="B36" s="33" t="s">
        <v>69</v>
      </c>
      <c r="C36" s="33" t="s">
        <v>78</v>
      </c>
      <c r="D36" s="33"/>
      <c r="E36" s="38"/>
      <c r="F36" s="33" t="s">
        <v>69</v>
      </c>
      <c r="G36" s="33" t="s">
        <v>78</v>
      </c>
      <c r="H36" s="33" t="s">
        <v>78</v>
      </c>
      <c r="I36" s="33"/>
    </row>
    <row r="37" spans="1:9" ht="15.75" thickBot="1" x14ac:dyDescent="0.3">
      <c r="A37" s="158">
        <f t="shared" si="0"/>
        <v>5265</v>
      </c>
      <c r="B37" s="33" t="s">
        <v>69</v>
      </c>
      <c r="C37" s="33" t="s">
        <v>78</v>
      </c>
      <c r="D37" s="33"/>
      <c r="E37" s="38"/>
      <c r="F37" s="33" t="s">
        <v>69</v>
      </c>
      <c r="G37" s="33" t="s">
        <v>78</v>
      </c>
      <c r="H37" s="33" t="s">
        <v>78</v>
      </c>
      <c r="I37" s="33"/>
    </row>
    <row r="38" spans="1:9" ht="15.75" thickBot="1" x14ac:dyDescent="0.3">
      <c r="A38" s="158">
        <f t="shared" si="0"/>
        <v>5266</v>
      </c>
      <c r="B38" s="33" t="s">
        <v>69</v>
      </c>
      <c r="C38" s="33" t="s">
        <v>78</v>
      </c>
      <c r="D38" s="33"/>
      <c r="E38" s="38"/>
      <c r="F38" s="33" t="s">
        <v>69</v>
      </c>
      <c r="G38" s="33" t="s">
        <v>78</v>
      </c>
      <c r="H38" s="33" t="s">
        <v>78</v>
      </c>
      <c r="I38" s="33"/>
    </row>
    <row r="39" spans="1:9" ht="15.75" thickBot="1" x14ac:dyDescent="0.3">
      <c r="A39" s="158">
        <f t="shared" si="0"/>
        <v>5267</v>
      </c>
      <c r="B39" s="33" t="s">
        <v>69</v>
      </c>
      <c r="C39" s="33" t="s">
        <v>78</v>
      </c>
      <c r="D39" s="33"/>
      <c r="E39" s="38"/>
      <c r="F39" s="33" t="s">
        <v>69</v>
      </c>
      <c r="G39" s="33" t="s">
        <v>78</v>
      </c>
      <c r="H39" s="33" t="s">
        <v>78</v>
      </c>
      <c r="I39" s="33"/>
    </row>
    <row r="40" spans="1:9" ht="15.75" thickBot="1" x14ac:dyDescent="0.3">
      <c r="A40" s="158">
        <f t="shared" si="0"/>
        <v>5268</v>
      </c>
      <c r="B40" s="33" t="s">
        <v>69</v>
      </c>
      <c r="C40" s="33" t="s">
        <v>78</v>
      </c>
      <c r="D40" s="33"/>
      <c r="E40" s="38"/>
      <c r="F40" s="33" t="s">
        <v>69</v>
      </c>
      <c r="G40" s="33" t="s">
        <v>78</v>
      </c>
      <c r="H40" s="33" t="s">
        <v>78</v>
      </c>
      <c r="I40" s="33"/>
    </row>
    <row r="41" spans="1:9" ht="15.75" thickBot="1" x14ac:dyDescent="0.3">
      <c r="A41" s="158">
        <f t="shared" si="0"/>
        <v>5269</v>
      </c>
      <c r="B41" s="33" t="s">
        <v>69</v>
      </c>
      <c r="C41" s="33" t="s">
        <v>78</v>
      </c>
      <c r="D41" s="33"/>
      <c r="E41" s="38"/>
      <c r="F41" s="33" t="s">
        <v>69</v>
      </c>
      <c r="G41" s="33" t="s">
        <v>78</v>
      </c>
      <c r="H41" s="33" t="s">
        <v>78</v>
      </c>
      <c r="I41" s="33"/>
    </row>
    <row r="42" spans="1:9" ht="15.75" thickBot="1" x14ac:dyDescent="0.3">
      <c r="A42" s="158">
        <f t="shared" si="0"/>
        <v>5270</v>
      </c>
      <c r="B42" s="33" t="s">
        <v>69</v>
      </c>
      <c r="C42" s="33" t="s">
        <v>78</v>
      </c>
      <c r="D42" s="33"/>
      <c r="E42" s="38"/>
      <c r="F42" s="33" t="s">
        <v>69</v>
      </c>
      <c r="G42" s="33" t="s">
        <v>78</v>
      </c>
      <c r="H42" s="33" t="s">
        <v>78</v>
      </c>
      <c r="I42" s="33"/>
    </row>
    <row r="43" spans="1:9" ht="15.75" thickBot="1" x14ac:dyDescent="0.3">
      <c r="A43" s="158">
        <f t="shared" si="0"/>
        <v>5271</v>
      </c>
      <c r="B43" s="33" t="s">
        <v>69</v>
      </c>
      <c r="C43" s="33" t="s">
        <v>78</v>
      </c>
      <c r="D43" s="33"/>
      <c r="E43" s="38"/>
      <c r="F43" s="33" t="s">
        <v>69</v>
      </c>
      <c r="G43" s="33" t="s">
        <v>78</v>
      </c>
      <c r="H43" s="33" t="s">
        <v>78</v>
      </c>
      <c r="I43" s="33"/>
    </row>
    <row r="44" spans="1:9" ht="15.75" thickBot="1" x14ac:dyDescent="0.3">
      <c r="A44" s="158">
        <f t="shared" si="0"/>
        <v>5272</v>
      </c>
      <c r="B44" s="33" t="s">
        <v>69</v>
      </c>
      <c r="C44" s="33" t="s">
        <v>78</v>
      </c>
      <c r="D44" s="33"/>
      <c r="E44" s="38"/>
      <c r="F44" s="33" t="s">
        <v>69</v>
      </c>
      <c r="G44" s="33" t="s">
        <v>78</v>
      </c>
      <c r="H44" s="33" t="s">
        <v>78</v>
      </c>
      <c r="I44" s="33"/>
    </row>
    <row r="45" spans="1:9" ht="15.75" thickBot="1" x14ac:dyDescent="0.3">
      <c r="A45" s="158">
        <f t="shared" si="0"/>
        <v>5273</v>
      </c>
      <c r="B45" s="33" t="s">
        <v>69</v>
      </c>
      <c r="C45" s="33" t="s">
        <v>78</v>
      </c>
      <c r="D45" s="33"/>
      <c r="E45" s="38"/>
      <c r="F45" s="33" t="s">
        <v>69</v>
      </c>
      <c r="G45" s="33" t="s">
        <v>78</v>
      </c>
      <c r="H45" s="33" t="s">
        <v>78</v>
      </c>
      <c r="I45" s="33"/>
    </row>
    <row r="46" spans="1:9" ht="15.75" thickBot="1" x14ac:dyDescent="0.3">
      <c r="A46" s="158">
        <f t="shared" si="0"/>
        <v>5274</v>
      </c>
      <c r="B46" s="33" t="s">
        <v>69</v>
      </c>
      <c r="C46" s="33" t="s">
        <v>78</v>
      </c>
      <c r="D46" s="33"/>
      <c r="E46" s="38"/>
      <c r="F46" s="33" t="s">
        <v>69</v>
      </c>
      <c r="G46" s="33" t="s">
        <v>78</v>
      </c>
      <c r="H46" s="33" t="s">
        <v>78</v>
      </c>
      <c r="I46" s="33"/>
    </row>
    <row r="47" spans="1:9" ht="15.75" thickBot="1" x14ac:dyDescent="0.3">
      <c r="A47" s="158">
        <f t="shared" si="0"/>
        <v>5275</v>
      </c>
      <c r="B47" s="33" t="s">
        <v>69</v>
      </c>
      <c r="C47" s="33" t="s">
        <v>78</v>
      </c>
      <c r="D47" s="33"/>
      <c r="E47" s="38"/>
      <c r="F47" s="33" t="s">
        <v>69</v>
      </c>
      <c r="G47" s="33" t="s">
        <v>78</v>
      </c>
      <c r="H47" s="33" t="s">
        <v>78</v>
      </c>
      <c r="I47" s="33"/>
    </row>
    <row r="48" spans="1:9" ht="15.75" thickBot="1" x14ac:dyDescent="0.3">
      <c r="A48" s="158">
        <f t="shared" si="0"/>
        <v>5276</v>
      </c>
      <c r="B48" s="33" t="s">
        <v>69</v>
      </c>
      <c r="C48" s="33" t="s">
        <v>78</v>
      </c>
      <c r="D48" s="33"/>
      <c r="E48" s="38"/>
      <c r="F48" s="33" t="s">
        <v>69</v>
      </c>
      <c r="G48" s="33" t="s">
        <v>78</v>
      </c>
      <c r="H48" s="33" t="s">
        <v>78</v>
      </c>
      <c r="I48" s="33"/>
    </row>
    <row r="49" spans="1:9" ht="15.75" thickBot="1" x14ac:dyDescent="0.3">
      <c r="A49" s="158">
        <f t="shared" si="0"/>
        <v>5277</v>
      </c>
      <c r="B49" s="33" t="s">
        <v>69</v>
      </c>
      <c r="C49" s="33" t="s">
        <v>78</v>
      </c>
      <c r="D49" s="33"/>
      <c r="E49" s="38"/>
      <c r="F49" s="33" t="s">
        <v>69</v>
      </c>
      <c r="G49" s="33" t="s">
        <v>78</v>
      </c>
      <c r="H49" s="33" t="s">
        <v>78</v>
      </c>
      <c r="I49" s="33"/>
    </row>
    <row r="50" spans="1:9" ht="15.75" thickBot="1" x14ac:dyDescent="0.3">
      <c r="A50" s="158">
        <f t="shared" si="0"/>
        <v>5278</v>
      </c>
      <c r="B50" s="33" t="s">
        <v>69</v>
      </c>
      <c r="C50" s="33" t="s">
        <v>78</v>
      </c>
      <c r="D50" s="33"/>
      <c r="E50" s="38"/>
      <c r="F50" s="33" t="s">
        <v>69</v>
      </c>
      <c r="G50" s="33" t="s">
        <v>78</v>
      </c>
      <c r="H50" s="33" t="s">
        <v>78</v>
      </c>
      <c r="I50" s="33"/>
    </row>
    <row r="51" spans="1:9" x14ac:dyDescent="0.25">
      <c r="A51" s="158">
        <f t="shared" si="0"/>
        <v>5279</v>
      </c>
      <c r="B51" s="40" t="s">
        <v>69</v>
      </c>
      <c r="C51" s="40" t="s">
        <v>78</v>
      </c>
      <c r="D51" s="40"/>
      <c r="E51" s="38"/>
      <c r="F51" s="33" t="s">
        <v>69</v>
      </c>
      <c r="G51" s="33" t="s">
        <v>78</v>
      </c>
      <c r="H51" s="33" t="s">
        <v>78</v>
      </c>
      <c r="I51" s="33"/>
    </row>
    <row r="52" spans="1:9" x14ac:dyDescent="0.25">
      <c r="A52" s="163">
        <f t="shared" si="0"/>
        <v>5280</v>
      </c>
      <c r="B52" s="33" t="s">
        <v>69</v>
      </c>
      <c r="C52" s="33" t="s">
        <v>78</v>
      </c>
      <c r="D52" s="33"/>
      <c r="E52" s="119"/>
      <c r="F52" s="33" t="s">
        <v>69</v>
      </c>
      <c r="G52" s="33" t="s">
        <v>78</v>
      </c>
      <c r="H52" s="33" t="s">
        <v>78</v>
      </c>
      <c r="I52" s="33"/>
    </row>
    <row r="53" spans="1:9" x14ac:dyDescent="0.25">
      <c r="B53" s="161"/>
      <c r="C53" s="161"/>
      <c r="D53" s="161"/>
      <c r="E53" s="161"/>
      <c r="F53" s="162" t="s">
        <v>69</v>
      </c>
      <c r="G53" s="33" t="s">
        <v>78</v>
      </c>
      <c r="H53" s="33" t="s">
        <v>78</v>
      </c>
      <c r="I53" s="33"/>
    </row>
    <row r="54" spans="1:9" x14ac:dyDescent="0.25">
      <c r="B54" s="161"/>
      <c r="C54" s="161"/>
      <c r="D54" s="161"/>
      <c r="E54" s="161"/>
      <c r="F54" s="162" t="s">
        <v>69</v>
      </c>
      <c r="G54" s="33" t="s">
        <v>78</v>
      </c>
      <c r="H54" s="33" t="s">
        <v>78</v>
      </c>
      <c r="I54" s="33"/>
    </row>
    <row r="55" spans="1:9" x14ac:dyDescent="0.25">
      <c r="B55" s="161"/>
      <c r="C55" s="161"/>
      <c r="D55" s="161"/>
      <c r="E55" s="161"/>
      <c r="F55" s="162" t="s">
        <v>69</v>
      </c>
      <c r="G55" s="33" t="s">
        <v>78</v>
      </c>
      <c r="H55" s="33" t="s">
        <v>78</v>
      </c>
      <c r="I55" s="33"/>
    </row>
    <row r="56" spans="1:9" x14ac:dyDescent="0.25">
      <c r="B56" s="161"/>
      <c r="C56" s="161"/>
      <c r="D56" s="161"/>
      <c r="E56" s="161"/>
      <c r="F56" s="162" t="s">
        <v>69</v>
      </c>
      <c r="G56" s="33" t="s">
        <v>78</v>
      </c>
      <c r="H56" s="33" t="s">
        <v>78</v>
      </c>
      <c r="I56" s="33"/>
    </row>
    <row r="57" spans="1:9" x14ac:dyDescent="0.25">
      <c r="B57" s="161"/>
      <c r="C57" s="161"/>
      <c r="D57" s="161"/>
      <c r="E57" s="161"/>
      <c r="F57" s="162" t="s">
        <v>69</v>
      </c>
      <c r="G57" s="33" t="s">
        <v>78</v>
      </c>
      <c r="H57" s="33" t="s">
        <v>78</v>
      </c>
      <c r="I57" s="33"/>
    </row>
    <row r="58" spans="1:9" x14ac:dyDescent="0.25">
      <c r="B58" s="161"/>
      <c r="C58" s="161"/>
      <c r="D58" s="161"/>
      <c r="E58" s="161"/>
      <c r="F58" s="162" t="s">
        <v>69</v>
      </c>
      <c r="G58" s="33" t="s">
        <v>78</v>
      </c>
      <c r="H58" s="33" t="s">
        <v>78</v>
      </c>
      <c r="I58" s="33"/>
    </row>
    <row r="59" spans="1:9" x14ac:dyDescent="0.25">
      <c r="B59" s="161"/>
      <c r="C59" s="161"/>
      <c r="D59" s="161"/>
      <c r="E59" s="161"/>
      <c r="F59" s="162" t="s">
        <v>69</v>
      </c>
      <c r="G59" s="33" t="s">
        <v>78</v>
      </c>
      <c r="H59" s="33" t="s">
        <v>78</v>
      </c>
      <c r="I59" s="33"/>
    </row>
    <row r="60" spans="1:9" x14ac:dyDescent="0.25">
      <c r="B60" s="161"/>
      <c r="C60" s="161"/>
      <c r="D60" s="161"/>
      <c r="E60" s="161"/>
      <c r="F60" s="162" t="s">
        <v>69</v>
      </c>
      <c r="G60" s="33" t="s">
        <v>78</v>
      </c>
      <c r="H60" s="33" t="s">
        <v>78</v>
      </c>
      <c r="I60" s="33"/>
    </row>
    <row r="61" spans="1:9" x14ac:dyDescent="0.25">
      <c r="B61" s="161"/>
      <c r="C61" s="161"/>
      <c r="D61" s="161"/>
      <c r="E61" s="161"/>
      <c r="F61" s="162" t="s">
        <v>69</v>
      </c>
      <c r="G61" s="33" t="s">
        <v>78</v>
      </c>
      <c r="H61" s="33" t="s">
        <v>78</v>
      </c>
      <c r="I61" s="33"/>
    </row>
    <row r="62" spans="1:9" x14ac:dyDescent="0.25">
      <c r="B62" s="161"/>
      <c r="C62" s="161"/>
      <c r="D62" s="161"/>
      <c r="E62" s="161"/>
      <c r="F62" s="162" t="s">
        <v>69</v>
      </c>
      <c r="G62" s="33" t="s">
        <v>78</v>
      </c>
      <c r="H62" s="33" t="s">
        <v>78</v>
      </c>
      <c r="I62" s="33"/>
    </row>
    <row r="63" spans="1:9" x14ac:dyDescent="0.25">
      <c r="B63" s="161"/>
      <c r="C63" s="161"/>
      <c r="D63" s="161"/>
      <c r="E63" s="161"/>
      <c r="F63" s="162" t="s">
        <v>69</v>
      </c>
      <c r="G63" s="33" t="s">
        <v>78</v>
      </c>
      <c r="H63" s="33" t="s">
        <v>78</v>
      </c>
      <c r="I63" s="33"/>
    </row>
    <row r="64" spans="1:9" x14ac:dyDescent="0.25">
      <c r="B64" s="161"/>
      <c r="C64" s="161"/>
      <c r="D64" s="161"/>
      <c r="E64" s="161"/>
      <c r="F64" s="162" t="s">
        <v>69</v>
      </c>
      <c r="G64" s="33" t="s">
        <v>78</v>
      </c>
      <c r="H64" s="33" t="s">
        <v>78</v>
      </c>
      <c r="I64" s="33"/>
    </row>
    <row r="65" spans="2:9" x14ac:dyDescent="0.25">
      <c r="B65" s="161"/>
      <c r="C65" s="161"/>
      <c r="D65" s="161"/>
      <c r="E65" s="161"/>
      <c r="F65" s="162" t="s">
        <v>69</v>
      </c>
      <c r="G65" s="33" t="s">
        <v>78</v>
      </c>
      <c r="H65" s="33" t="s">
        <v>78</v>
      </c>
      <c r="I65" s="33"/>
    </row>
    <row r="66" spans="2:9" x14ac:dyDescent="0.25">
      <c r="B66" s="161"/>
      <c r="C66" s="161"/>
      <c r="D66" s="161"/>
      <c r="E66" s="161"/>
      <c r="F66" s="162" t="s">
        <v>69</v>
      </c>
      <c r="G66" s="33" t="s">
        <v>78</v>
      </c>
      <c r="H66" s="33" t="s">
        <v>78</v>
      </c>
      <c r="I66" s="33"/>
    </row>
    <row r="67" spans="2:9" x14ac:dyDescent="0.25">
      <c r="B67" s="161"/>
      <c r="C67" s="161"/>
      <c r="D67" s="161"/>
      <c r="E67" s="161"/>
      <c r="F67" s="162" t="s">
        <v>69</v>
      </c>
      <c r="G67" s="33" t="s">
        <v>78</v>
      </c>
      <c r="H67" s="33" t="s">
        <v>78</v>
      </c>
      <c r="I67" s="33"/>
    </row>
    <row r="68" spans="2:9" x14ac:dyDescent="0.25">
      <c r="B68" s="161"/>
      <c r="C68" s="161"/>
      <c r="D68" s="161"/>
      <c r="E68" s="161"/>
      <c r="F68" s="162" t="s">
        <v>69</v>
      </c>
      <c r="G68" s="33" t="s">
        <v>78</v>
      </c>
      <c r="H68" s="33" t="s">
        <v>78</v>
      </c>
      <c r="I68" s="33"/>
    </row>
    <row r="69" spans="2:9" x14ac:dyDescent="0.25">
      <c r="B69" s="161"/>
      <c r="C69" s="161"/>
      <c r="D69" s="161"/>
      <c r="E69" s="161"/>
      <c r="F69" s="162" t="s">
        <v>69</v>
      </c>
      <c r="G69" s="33" t="s">
        <v>78</v>
      </c>
      <c r="H69" s="33" t="s">
        <v>78</v>
      </c>
      <c r="I69" s="33"/>
    </row>
    <row r="70" spans="2:9" x14ac:dyDescent="0.25">
      <c r="B70" s="161"/>
      <c r="C70" s="161"/>
      <c r="D70" s="161"/>
      <c r="E70" s="161"/>
      <c r="F70" s="162" t="s">
        <v>69</v>
      </c>
      <c r="G70" s="33" t="s">
        <v>78</v>
      </c>
      <c r="H70" s="33" t="s">
        <v>78</v>
      </c>
      <c r="I70" s="33"/>
    </row>
    <row r="71" spans="2:9" x14ac:dyDescent="0.25">
      <c r="B71" s="161"/>
      <c r="C71" s="161"/>
      <c r="D71" s="161"/>
      <c r="E71" s="161"/>
      <c r="F71" s="162" t="s">
        <v>69</v>
      </c>
      <c r="G71" s="33" t="s">
        <v>78</v>
      </c>
      <c r="H71" s="33" t="s">
        <v>78</v>
      </c>
      <c r="I71" s="33"/>
    </row>
    <row r="72" spans="2:9" x14ac:dyDescent="0.25">
      <c r="B72" s="161"/>
      <c r="C72" s="161"/>
      <c r="D72" s="161"/>
      <c r="E72" s="161"/>
      <c r="F72" s="162" t="s">
        <v>69</v>
      </c>
      <c r="G72" s="33" t="s">
        <v>78</v>
      </c>
      <c r="H72" s="33" t="s">
        <v>78</v>
      </c>
      <c r="I72" s="33"/>
    </row>
    <row r="73" spans="2:9" x14ac:dyDescent="0.25">
      <c r="B73" s="161"/>
      <c r="C73" s="161"/>
      <c r="D73" s="161"/>
      <c r="E73" s="161"/>
      <c r="F73" s="162" t="s">
        <v>69</v>
      </c>
      <c r="G73" s="33" t="s">
        <v>78</v>
      </c>
      <c r="H73" s="33" t="s">
        <v>78</v>
      </c>
      <c r="I73" s="33"/>
    </row>
    <row r="74" spans="2:9" x14ac:dyDescent="0.25">
      <c r="B74" s="161"/>
      <c r="C74" s="161"/>
      <c r="D74" s="161"/>
      <c r="E74" s="161"/>
      <c r="F74" s="162" t="s">
        <v>69</v>
      </c>
      <c r="G74" s="33" t="s">
        <v>78</v>
      </c>
      <c r="H74" s="33" t="s">
        <v>78</v>
      </c>
      <c r="I74" s="33"/>
    </row>
    <row r="75" spans="2:9" x14ac:dyDescent="0.25">
      <c r="B75" s="161"/>
      <c r="C75" s="161"/>
      <c r="D75" s="161"/>
      <c r="E75" s="161"/>
      <c r="F75" s="162" t="s">
        <v>69</v>
      </c>
      <c r="G75" s="33" t="s">
        <v>78</v>
      </c>
      <c r="H75" s="33" t="s">
        <v>78</v>
      </c>
      <c r="I75" s="33"/>
    </row>
    <row r="76" spans="2:9" x14ac:dyDescent="0.25">
      <c r="B76" s="161"/>
      <c r="C76" s="161"/>
      <c r="D76" s="161"/>
      <c r="E76" s="161"/>
      <c r="F76" s="162" t="s">
        <v>69</v>
      </c>
      <c r="G76" s="33" t="s">
        <v>78</v>
      </c>
      <c r="H76" s="33" t="s">
        <v>78</v>
      </c>
      <c r="I76" s="33"/>
    </row>
    <row r="77" spans="2:9" x14ac:dyDescent="0.25">
      <c r="B77" s="161"/>
      <c r="C77" s="161"/>
      <c r="D77" s="161"/>
      <c r="E77" s="161"/>
      <c r="F77" s="162" t="s">
        <v>69</v>
      </c>
      <c r="G77" s="33" t="s">
        <v>78</v>
      </c>
      <c r="H77" s="33" t="s">
        <v>78</v>
      </c>
      <c r="I77" s="33"/>
    </row>
    <row r="78" spans="2:9" x14ac:dyDescent="0.25">
      <c r="B78" s="161"/>
      <c r="C78" s="161"/>
      <c r="D78" s="161"/>
      <c r="E78" s="161"/>
      <c r="F78" s="162" t="s">
        <v>69</v>
      </c>
      <c r="G78" s="33" t="s">
        <v>78</v>
      </c>
      <c r="H78" s="33" t="s">
        <v>78</v>
      </c>
      <c r="I78" s="33"/>
    </row>
    <row r="79" spans="2:9" x14ac:dyDescent="0.25">
      <c r="B79" s="161"/>
      <c r="C79" s="161"/>
      <c r="D79" s="161"/>
      <c r="E79" s="161"/>
      <c r="F79" s="162" t="s">
        <v>69</v>
      </c>
      <c r="G79" s="33" t="s">
        <v>78</v>
      </c>
      <c r="H79" s="33" t="s">
        <v>78</v>
      </c>
      <c r="I79" s="33"/>
    </row>
    <row r="80" spans="2:9" x14ac:dyDescent="0.25">
      <c r="B80" s="161"/>
      <c r="C80" s="161"/>
      <c r="D80" s="161"/>
      <c r="E80" s="161"/>
      <c r="F80" s="162" t="s">
        <v>69</v>
      </c>
      <c r="G80" s="33" t="s">
        <v>78</v>
      </c>
      <c r="H80" s="33" t="s">
        <v>78</v>
      </c>
      <c r="I80" s="33"/>
    </row>
    <row r="81" spans="2:9" x14ac:dyDescent="0.25">
      <c r="B81" s="161"/>
      <c r="C81" s="161"/>
      <c r="D81" s="161"/>
      <c r="E81" s="161"/>
      <c r="F81" s="162" t="s">
        <v>69</v>
      </c>
      <c r="G81" s="33" t="s">
        <v>78</v>
      </c>
      <c r="H81" s="33" t="s">
        <v>78</v>
      </c>
      <c r="I81" s="33"/>
    </row>
    <row r="82" spans="2:9" x14ac:dyDescent="0.25">
      <c r="B82" s="161"/>
      <c r="C82" s="161"/>
      <c r="D82" s="161"/>
      <c r="E82" s="161"/>
      <c r="F82" s="162" t="s">
        <v>69</v>
      </c>
      <c r="G82" s="33" t="s">
        <v>78</v>
      </c>
      <c r="H82" s="33" t="s">
        <v>78</v>
      </c>
      <c r="I82" s="33"/>
    </row>
    <row r="83" spans="2:9" x14ac:dyDescent="0.25">
      <c r="B83" s="161"/>
      <c r="C83" s="161"/>
      <c r="D83" s="161"/>
      <c r="E83" s="161"/>
      <c r="F83" s="162" t="s">
        <v>69</v>
      </c>
      <c r="G83" s="33" t="s">
        <v>78</v>
      </c>
      <c r="H83" s="33" t="s">
        <v>78</v>
      </c>
      <c r="I83" s="33"/>
    </row>
    <row r="84" spans="2:9" x14ac:dyDescent="0.25">
      <c r="B84" s="161"/>
      <c r="C84" s="161"/>
      <c r="D84" s="161"/>
      <c r="E84" s="161"/>
      <c r="F84" s="162" t="s">
        <v>69</v>
      </c>
      <c r="G84" s="33" t="s">
        <v>78</v>
      </c>
      <c r="H84" s="33" t="s">
        <v>78</v>
      </c>
      <c r="I84" s="33"/>
    </row>
    <row r="85" spans="2:9" x14ac:dyDescent="0.25">
      <c r="B85" s="161"/>
      <c r="C85" s="161"/>
      <c r="D85" s="161"/>
      <c r="E85" s="161"/>
      <c r="F85" s="162" t="s">
        <v>69</v>
      </c>
      <c r="G85" s="33" t="s">
        <v>78</v>
      </c>
      <c r="H85" s="33" t="s">
        <v>78</v>
      </c>
      <c r="I85" s="33"/>
    </row>
    <row r="86" spans="2:9" x14ac:dyDescent="0.25">
      <c r="B86" s="161"/>
      <c r="C86" s="161"/>
      <c r="D86" s="161"/>
      <c r="E86" s="161"/>
      <c r="F86" s="162" t="s">
        <v>69</v>
      </c>
      <c r="G86" s="33" t="s">
        <v>78</v>
      </c>
      <c r="H86" s="33" t="s">
        <v>78</v>
      </c>
      <c r="I86" s="33"/>
    </row>
    <row r="87" spans="2:9" x14ac:dyDescent="0.25">
      <c r="B87" s="161"/>
      <c r="C87" s="161"/>
      <c r="D87" s="161"/>
      <c r="E87" s="161"/>
      <c r="F87" s="162" t="s">
        <v>69</v>
      </c>
      <c r="G87" s="33" t="s">
        <v>78</v>
      </c>
      <c r="H87" s="33" t="s">
        <v>78</v>
      </c>
      <c r="I87" s="33"/>
    </row>
    <row r="88" spans="2:9" x14ac:dyDescent="0.25">
      <c r="B88" s="161"/>
      <c r="C88" s="161"/>
      <c r="D88" s="161"/>
      <c r="E88" s="161"/>
      <c r="F88" s="162" t="s">
        <v>69</v>
      </c>
      <c r="G88" s="33" t="s">
        <v>78</v>
      </c>
      <c r="H88" s="33" t="s">
        <v>78</v>
      </c>
      <c r="I88" s="33"/>
    </row>
    <row r="89" spans="2:9" x14ac:dyDescent="0.25">
      <c r="B89" s="161"/>
      <c r="C89" s="161"/>
      <c r="D89" s="161"/>
      <c r="E89" s="161"/>
      <c r="F89" s="162" t="s">
        <v>69</v>
      </c>
      <c r="G89" s="33" t="s">
        <v>78</v>
      </c>
      <c r="H89" s="33" t="s">
        <v>78</v>
      </c>
      <c r="I89" s="33"/>
    </row>
    <row r="90" spans="2:9" x14ac:dyDescent="0.25">
      <c r="B90" s="161"/>
      <c r="C90" s="161"/>
      <c r="D90" s="161"/>
      <c r="E90" s="161"/>
      <c r="F90" s="162" t="s">
        <v>69</v>
      </c>
      <c r="G90" s="33" t="s">
        <v>78</v>
      </c>
      <c r="H90" s="33" t="s">
        <v>78</v>
      </c>
      <c r="I90" s="33"/>
    </row>
    <row r="91" spans="2:9" x14ac:dyDescent="0.25">
      <c r="B91" s="161"/>
      <c r="C91" s="161"/>
      <c r="D91" s="161"/>
      <c r="E91" s="161"/>
      <c r="F91" s="162" t="s">
        <v>69</v>
      </c>
      <c r="G91" s="33" t="s">
        <v>78</v>
      </c>
      <c r="H91" s="33" t="s">
        <v>78</v>
      </c>
      <c r="I91" s="33"/>
    </row>
    <row r="92" spans="2:9" x14ac:dyDescent="0.25">
      <c r="B92" s="161"/>
      <c r="C92" s="161"/>
      <c r="D92" s="161"/>
      <c r="E92" s="161"/>
      <c r="F92" s="162" t="s">
        <v>69</v>
      </c>
      <c r="G92" s="33" t="s">
        <v>78</v>
      </c>
      <c r="H92" s="33" t="s">
        <v>78</v>
      </c>
      <c r="I92" s="33"/>
    </row>
    <row r="93" spans="2:9" x14ac:dyDescent="0.25">
      <c r="B93" s="161"/>
      <c r="C93" s="161"/>
      <c r="D93" s="161"/>
      <c r="E93" s="161"/>
      <c r="F93" s="162" t="s">
        <v>69</v>
      </c>
      <c r="G93" s="33" t="s">
        <v>78</v>
      </c>
      <c r="H93" s="33" t="s">
        <v>78</v>
      </c>
      <c r="I93" s="33"/>
    </row>
    <row r="94" spans="2:9" x14ac:dyDescent="0.25">
      <c r="B94" s="161"/>
      <c r="C94" s="161"/>
      <c r="D94" s="161"/>
      <c r="E94" s="161"/>
      <c r="F94" s="162" t="s">
        <v>69</v>
      </c>
      <c r="G94" s="33" t="s">
        <v>78</v>
      </c>
      <c r="H94" s="33" t="s">
        <v>78</v>
      </c>
      <c r="I94" s="33"/>
    </row>
    <row r="95" spans="2:9" x14ac:dyDescent="0.25">
      <c r="B95" s="161"/>
      <c r="C95" s="161"/>
      <c r="D95" s="161"/>
      <c r="E95" s="161"/>
      <c r="F95" s="162" t="s">
        <v>69</v>
      </c>
      <c r="G95" s="33" t="s">
        <v>78</v>
      </c>
      <c r="H95" s="33" t="s">
        <v>78</v>
      </c>
      <c r="I95" s="33"/>
    </row>
    <row r="96" spans="2:9" x14ac:dyDescent="0.25">
      <c r="B96" s="161"/>
      <c r="C96" s="161"/>
      <c r="D96" s="161"/>
      <c r="E96" s="161"/>
      <c r="F96" s="162" t="s">
        <v>69</v>
      </c>
      <c r="G96" s="33" t="s">
        <v>78</v>
      </c>
      <c r="H96" s="33" t="s">
        <v>78</v>
      </c>
      <c r="I96" s="33"/>
    </row>
    <row r="97" spans="2:9" x14ac:dyDescent="0.25">
      <c r="B97" s="161"/>
      <c r="C97" s="161"/>
      <c r="D97" s="161"/>
      <c r="E97" s="161"/>
      <c r="F97" s="162" t="s">
        <v>69</v>
      </c>
      <c r="G97" s="33" t="s">
        <v>78</v>
      </c>
      <c r="H97" s="33" t="s">
        <v>78</v>
      </c>
      <c r="I97" s="33"/>
    </row>
    <row r="98" spans="2:9" x14ac:dyDescent="0.25">
      <c r="B98" s="161"/>
      <c r="C98" s="161"/>
      <c r="D98" s="161"/>
      <c r="E98" s="161"/>
      <c r="F98" s="162" t="s">
        <v>69</v>
      </c>
      <c r="G98" s="33" t="s">
        <v>78</v>
      </c>
      <c r="H98" s="33" t="s">
        <v>78</v>
      </c>
      <c r="I98" s="33"/>
    </row>
    <row r="99" spans="2:9" x14ac:dyDescent="0.25">
      <c r="B99" s="161"/>
      <c r="C99" s="161"/>
      <c r="D99" s="161"/>
      <c r="E99" s="161"/>
      <c r="F99" s="162" t="s">
        <v>69</v>
      </c>
      <c r="G99" s="33" t="s">
        <v>78</v>
      </c>
      <c r="H99" s="33" t="s">
        <v>78</v>
      </c>
      <c r="I99" s="33"/>
    </row>
  </sheetData>
  <customSheetViews>
    <customSheetView guid="{792F7DB4-F0C7-4F6F-9D44-1CA398E3F0DC}" hiddenColumns="1">
      <selection activeCell="A2" sqref="A2"/>
      <pageMargins left="0.7" right="0.7" top="0.75" bottom="0.75" header="0.3" footer="0.3"/>
    </customSheetView>
    <customSheetView guid="{BE266B8E-38B0-4631-9C30-67CA48A8BD7F}" hiddenColumns="1">
      <selection activeCell="A2" sqref="A2"/>
      <pageMargins left="0.7" right="0.7" top="0.75" bottom="0.75" header="0.3" footer="0.3"/>
    </customSheetView>
    <customSheetView guid="{BD1DF852-269B-4C2F-AF89-1FA576EA4603}" hiddenRows="1" hiddenColumns="1">
      <selection activeCell="B1" sqref="B1:B99"/>
      <pageMargins left="0.7" right="0.7" top="0.75" bottom="0.75" header="0.3" footer="0.3"/>
    </customSheetView>
    <customSheetView guid="{6A3B2C41-2DBC-4B17-AB58-12C85E3A6B8A}" hiddenRows="1" hiddenColumns="1">
      <pageMargins left="0.7" right="0.7" top="0.75" bottom="0.75" header="0.3" footer="0.3"/>
    </customSheetView>
    <customSheetView guid="{9DC468DE-D883-45B4-B188-265B9DA68425}" topLeftCell="C1">
      <selection activeCell="E34" sqref="E34"/>
      <pageMargins left="0.7" right="0.7" top="0.75" bottom="0.75" header="0.3" footer="0.3"/>
    </customSheetView>
    <customSheetView guid="{6960175A-17E1-4BDD-98F7-6E9A590B8B7F}" topLeftCell="C1">
      <selection activeCell="E34" sqref="E34"/>
      <pageMargins left="0.7" right="0.7" top="0.75" bottom="0.75" header="0.3" footer="0.3"/>
    </customSheetView>
    <customSheetView guid="{DB365F32-166D-4348-BCE9-F0F1DB0B73A9}" topLeftCell="C1">
      <selection activeCell="E34" sqref="E34"/>
      <pageMargins left="0.7" right="0.7" top="0.75" bottom="0.75" header="0.3" footer="0.3"/>
    </customSheetView>
    <customSheetView guid="{6EDF2E63-E51E-449A-B1C5-EFB1FD6A259C}" topLeftCell="C1">
      <selection activeCell="E34" sqref="E34"/>
      <pageMargins left="0.7" right="0.7" top="0.75" bottom="0.75" header="0.3" footer="0.3"/>
    </customSheetView>
    <customSheetView guid="{46B088B4-7F51-4D35-9F00-2268626FA819}" hiddenColumns="1">
      <selection activeCell="A2" sqref="A2"/>
      <pageMargins left="0.7" right="0.7" top="0.75" bottom="0.75" header="0.3" footer="0.3"/>
    </customSheetView>
    <customSheetView guid="{42F19D52-E208-414F-9E2E-506DF902926F}" hiddenRows="1" hiddenColumns="1">
      <pageMargins left="0.7" right="0.7" top="0.75" bottom="0.75" header="0.3" footer="0.3"/>
    </customSheetView>
    <customSheetView guid="{AC8CA20A-2130-4ED2-A745-85677B08F97C}" hiddenRows="1" hiddenColumns="1">
      <selection activeCell="B1" sqref="B1:B99"/>
      <pageMargins left="0.7" right="0.7" top="0.75" bottom="0.75" header="0.3" footer="0.3"/>
    </customSheetView>
    <customSheetView guid="{2F318324-B2A5-4EFB-BB30-8D1AF11C1A9F}" hiddenColumns="1">
      <selection activeCell="A2" sqref="A2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45"/>
  <sheetViews>
    <sheetView topLeftCell="A24" workbookViewId="0">
      <selection activeCell="A24" sqref="A24:C44"/>
    </sheetView>
  </sheetViews>
  <sheetFormatPr defaultRowHeight="15" x14ac:dyDescent="0.25"/>
  <cols>
    <col min="1" max="1" width="25.7109375" customWidth="1"/>
    <col min="2" max="2" width="15.7109375" customWidth="1"/>
    <col min="3" max="3" width="30.7109375" customWidth="1"/>
  </cols>
  <sheetData>
    <row r="1" spans="1:3" ht="16.5" thickBot="1" x14ac:dyDescent="0.3">
      <c r="A1" s="156" t="s">
        <v>933</v>
      </c>
      <c r="B1" s="156" t="s">
        <v>1030</v>
      </c>
      <c r="C1" s="157"/>
    </row>
    <row r="2" spans="1:3" ht="15.75" thickBot="1" x14ac:dyDescent="0.3">
      <c r="A2" s="82" t="s">
        <v>829</v>
      </c>
      <c r="B2" s="83"/>
      <c r="C2" s="81" t="s">
        <v>1031</v>
      </c>
    </row>
    <row r="3" spans="1:3" x14ac:dyDescent="0.25">
      <c r="A3" s="252">
        <f>IF('Team Info'!$B$2 = "Away",5150,5250)</f>
        <v>5250</v>
      </c>
      <c r="B3" s="159" t="s">
        <v>942</v>
      </c>
      <c r="C3" s="84"/>
    </row>
    <row r="4" spans="1:3" ht="15.75" thickBot="1" x14ac:dyDescent="0.3">
      <c r="A4" s="253"/>
      <c r="B4" s="86" t="s">
        <v>1033</v>
      </c>
      <c r="C4" s="85"/>
    </row>
    <row r="5" spans="1:3" x14ac:dyDescent="0.25">
      <c r="A5" s="252">
        <f>A3+1</f>
        <v>5251</v>
      </c>
      <c r="B5" s="159" t="s">
        <v>942</v>
      </c>
      <c r="C5" s="84"/>
    </row>
    <row r="6" spans="1:3" ht="15.75" thickBot="1" x14ac:dyDescent="0.3">
      <c r="A6" s="253"/>
      <c r="B6" s="86" t="s">
        <v>1033</v>
      </c>
      <c r="C6" s="85"/>
    </row>
    <row r="7" spans="1:3" x14ac:dyDescent="0.25">
      <c r="A7" s="252">
        <f>A3+2</f>
        <v>5252</v>
      </c>
      <c r="B7" s="159" t="s">
        <v>942</v>
      </c>
      <c r="C7" s="84"/>
    </row>
    <row r="8" spans="1:3" ht="15.75" thickBot="1" x14ac:dyDescent="0.3">
      <c r="A8" s="253"/>
      <c r="B8" s="86" t="s">
        <v>1033</v>
      </c>
      <c r="C8" s="85"/>
    </row>
    <row r="9" spans="1:3" x14ac:dyDescent="0.25">
      <c r="A9" s="252">
        <f>A3+3</f>
        <v>5253</v>
      </c>
      <c r="B9" s="159" t="s">
        <v>942</v>
      </c>
      <c r="C9" s="84"/>
    </row>
    <row r="10" spans="1:3" ht="15.75" thickBot="1" x14ac:dyDescent="0.3">
      <c r="A10" s="253"/>
      <c r="B10" s="86" t="s">
        <v>1033</v>
      </c>
      <c r="C10" s="85"/>
    </row>
    <row r="11" spans="1:3" x14ac:dyDescent="0.25">
      <c r="A11" s="252">
        <f>A3+4</f>
        <v>5254</v>
      </c>
      <c r="B11" s="159" t="s">
        <v>942</v>
      </c>
      <c r="C11" s="84"/>
    </row>
    <row r="12" spans="1:3" ht="15.75" thickBot="1" x14ac:dyDescent="0.3">
      <c r="A12" s="253"/>
      <c r="B12" s="86" t="s">
        <v>1033</v>
      </c>
      <c r="C12" s="85"/>
    </row>
    <row r="13" spans="1:3" x14ac:dyDescent="0.25">
      <c r="A13" s="252">
        <f>A3+5</f>
        <v>5255</v>
      </c>
      <c r="B13" s="159" t="s">
        <v>942</v>
      </c>
      <c r="C13" s="84"/>
    </row>
    <row r="14" spans="1:3" ht="15.75" thickBot="1" x14ac:dyDescent="0.3">
      <c r="A14" s="253"/>
      <c r="B14" s="86" t="s">
        <v>1033</v>
      </c>
      <c r="C14" s="85"/>
    </row>
    <row r="15" spans="1:3" x14ac:dyDescent="0.25">
      <c r="A15" s="252">
        <f>A3+6</f>
        <v>5256</v>
      </c>
      <c r="B15" s="159" t="s">
        <v>942</v>
      </c>
      <c r="C15" s="84"/>
    </row>
    <row r="16" spans="1:3" ht="15.75" thickBot="1" x14ac:dyDescent="0.3">
      <c r="A16" s="253"/>
      <c r="B16" s="86" t="s">
        <v>1033</v>
      </c>
      <c r="C16" s="85"/>
    </row>
    <row r="17" spans="1:3" x14ac:dyDescent="0.25">
      <c r="A17" s="252">
        <f>A3+7</f>
        <v>5257</v>
      </c>
      <c r="B17" s="159" t="s">
        <v>942</v>
      </c>
      <c r="C17" s="84"/>
    </row>
    <row r="18" spans="1:3" ht="15.75" thickBot="1" x14ac:dyDescent="0.3">
      <c r="A18" s="253"/>
      <c r="B18" s="86" t="s">
        <v>1033</v>
      </c>
      <c r="C18" s="85"/>
    </row>
    <row r="19" spans="1:3" x14ac:dyDescent="0.25">
      <c r="A19" s="252">
        <f>A3+8</f>
        <v>5258</v>
      </c>
      <c r="B19" s="159" t="s">
        <v>942</v>
      </c>
      <c r="C19" s="84"/>
    </row>
    <row r="20" spans="1:3" ht="15.75" thickBot="1" x14ac:dyDescent="0.3">
      <c r="A20" s="253"/>
      <c r="B20" s="86" t="s">
        <v>1033</v>
      </c>
      <c r="C20" s="85"/>
    </row>
    <row r="21" spans="1:3" x14ac:dyDescent="0.25">
      <c r="A21" s="252">
        <f>A3+9</f>
        <v>5259</v>
      </c>
      <c r="B21" s="159" t="s">
        <v>942</v>
      </c>
      <c r="C21" s="84"/>
    </row>
    <row r="22" spans="1:3" ht="15.75" thickBot="1" x14ac:dyDescent="0.3">
      <c r="A22" s="253"/>
      <c r="B22" s="86" t="s">
        <v>1033</v>
      </c>
      <c r="C22" s="85"/>
    </row>
    <row r="23" spans="1:3" ht="15.75" thickBot="1" x14ac:dyDescent="0.3">
      <c r="A23" s="160"/>
    </row>
    <row r="24" spans="1:3" ht="15.75" thickBot="1" x14ac:dyDescent="0.3">
      <c r="A24" s="82" t="s">
        <v>829</v>
      </c>
      <c r="B24" s="83"/>
      <c r="C24" s="81" t="s">
        <v>1031</v>
      </c>
    </row>
    <row r="25" spans="1:3" x14ac:dyDescent="0.25">
      <c r="A25" s="254">
        <f>IF('Team Info'!$B$2 = "Away",5160,5260)</f>
        <v>5260</v>
      </c>
      <c r="B25" s="159" t="s">
        <v>942</v>
      </c>
      <c r="C25" s="84"/>
    </row>
    <row r="26" spans="1:3" ht="15.75" thickBot="1" x14ac:dyDescent="0.3">
      <c r="A26" s="255"/>
      <c r="B26" s="86" t="s">
        <v>1033</v>
      </c>
      <c r="C26" s="85"/>
    </row>
    <row r="27" spans="1:3" x14ac:dyDescent="0.25">
      <c r="A27" s="252">
        <f>A25+1</f>
        <v>5261</v>
      </c>
      <c r="B27" s="159" t="s">
        <v>942</v>
      </c>
      <c r="C27" s="84"/>
    </row>
    <row r="28" spans="1:3" ht="15.75" thickBot="1" x14ac:dyDescent="0.3">
      <c r="A28" s="253"/>
      <c r="B28" s="86" t="s">
        <v>1033</v>
      </c>
      <c r="C28" s="85"/>
    </row>
    <row r="29" spans="1:3" x14ac:dyDescent="0.25">
      <c r="A29" s="252">
        <f>A25+2</f>
        <v>5262</v>
      </c>
      <c r="B29" s="159" t="s">
        <v>942</v>
      </c>
      <c r="C29" s="84"/>
    </row>
    <row r="30" spans="1:3" ht="15.75" thickBot="1" x14ac:dyDescent="0.3">
      <c r="A30" s="253"/>
      <c r="B30" s="86" t="s">
        <v>1033</v>
      </c>
      <c r="C30" s="85"/>
    </row>
    <row r="31" spans="1:3" x14ac:dyDescent="0.25">
      <c r="A31" s="252">
        <f>A25+3</f>
        <v>5263</v>
      </c>
      <c r="B31" s="159" t="s">
        <v>942</v>
      </c>
      <c r="C31" s="84"/>
    </row>
    <row r="32" spans="1:3" ht="15.75" thickBot="1" x14ac:dyDescent="0.3">
      <c r="A32" s="253"/>
      <c r="B32" s="86" t="s">
        <v>1033</v>
      </c>
      <c r="C32" s="85"/>
    </row>
    <row r="33" spans="1:3" x14ac:dyDescent="0.25">
      <c r="A33" s="252">
        <f>A25+4</f>
        <v>5264</v>
      </c>
      <c r="B33" s="159" t="s">
        <v>942</v>
      </c>
      <c r="C33" s="84"/>
    </row>
    <row r="34" spans="1:3" ht="15.75" thickBot="1" x14ac:dyDescent="0.3">
      <c r="A34" s="253"/>
      <c r="B34" s="86" t="s">
        <v>1033</v>
      </c>
      <c r="C34" s="85"/>
    </row>
    <row r="35" spans="1:3" x14ac:dyDescent="0.25">
      <c r="A35" s="252">
        <f>A25+5</f>
        <v>5265</v>
      </c>
      <c r="B35" s="159" t="s">
        <v>942</v>
      </c>
      <c r="C35" s="84"/>
    </row>
    <row r="36" spans="1:3" ht="15.75" thickBot="1" x14ac:dyDescent="0.3">
      <c r="A36" s="253"/>
      <c r="B36" s="86" t="s">
        <v>1033</v>
      </c>
      <c r="C36" s="85"/>
    </row>
    <row r="37" spans="1:3" x14ac:dyDescent="0.25">
      <c r="A37" s="252">
        <f>A25+6</f>
        <v>5266</v>
      </c>
      <c r="B37" s="159" t="s">
        <v>942</v>
      </c>
      <c r="C37" s="84"/>
    </row>
    <row r="38" spans="1:3" ht="15.75" thickBot="1" x14ac:dyDescent="0.3">
      <c r="A38" s="253"/>
      <c r="B38" s="86" t="s">
        <v>1033</v>
      </c>
      <c r="C38" s="85"/>
    </row>
    <row r="39" spans="1:3" x14ac:dyDescent="0.25">
      <c r="A39" s="252">
        <f>A25+7</f>
        <v>5267</v>
      </c>
      <c r="B39" s="159" t="s">
        <v>942</v>
      </c>
      <c r="C39" s="84"/>
    </row>
    <row r="40" spans="1:3" ht="15.75" thickBot="1" x14ac:dyDescent="0.3">
      <c r="A40" s="253"/>
      <c r="B40" s="86" t="s">
        <v>1033</v>
      </c>
      <c r="C40" s="85"/>
    </row>
    <row r="41" spans="1:3" x14ac:dyDescent="0.25">
      <c r="A41" s="252">
        <f>A25+8</f>
        <v>5268</v>
      </c>
      <c r="B41" s="159" t="s">
        <v>942</v>
      </c>
      <c r="C41" s="84"/>
    </row>
    <row r="42" spans="1:3" ht="15.75" thickBot="1" x14ac:dyDescent="0.3">
      <c r="A42" s="253"/>
      <c r="B42" s="86" t="s">
        <v>1033</v>
      </c>
      <c r="C42" s="85"/>
    </row>
    <row r="43" spans="1:3" x14ac:dyDescent="0.25">
      <c r="A43" s="252">
        <f>A25+9</f>
        <v>5269</v>
      </c>
      <c r="B43" s="159" t="s">
        <v>942</v>
      </c>
      <c r="C43" s="84"/>
    </row>
    <row r="44" spans="1:3" ht="15.75" thickBot="1" x14ac:dyDescent="0.3">
      <c r="A44" s="253"/>
      <c r="B44" s="86" t="s">
        <v>1033</v>
      </c>
      <c r="C44" s="85"/>
    </row>
    <row r="45" spans="1:3" ht="15.75" thickBot="1" x14ac:dyDescent="0.3">
      <c r="A45" s="93" t="s">
        <v>903</v>
      </c>
      <c r="B45" s="94"/>
      <c r="C45" s="95"/>
    </row>
  </sheetData>
  <customSheetViews>
    <customSheetView guid="{792F7DB4-F0C7-4F6F-9D44-1CA398E3F0DC}" topLeftCell="A24">
      <selection activeCell="A24" sqref="A24:C44"/>
      <pageMargins left="0.7" right="0.7" top="0.75" bottom="0.75" header="0.3" footer="0.3"/>
    </customSheetView>
    <customSheetView guid="{BE266B8E-38B0-4631-9C30-67CA48A8BD7F}" topLeftCell="A24">
      <selection activeCell="A24" sqref="A24:C44"/>
      <pageMargins left="0.7" right="0.7" top="0.75" bottom="0.75" header="0.3" footer="0.3"/>
    </customSheetView>
    <customSheetView guid="{BD1DF852-269B-4C2F-AF89-1FA576EA4603}">
      <selection activeCell="B3" sqref="B3"/>
      <pageMargins left="0.7" right="0.7" top="0.75" bottom="0.75" header="0.3" footer="0.3"/>
    </customSheetView>
    <customSheetView guid="{6A3B2C41-2DBC-4B17-AB58-12C85E3A6B8A}">
      <pageMargins left="0.7" right="0.7" top="0.75" bottom="0.75" header="0.3" footer="0.3"/>
    </customSheetView>
    <customSheetView guid="{46B088B4-7F51-4D35-9F00-2268626FA819}" topLeftCell="A7">
      <selection activeCell="A3" sqref="A3:A4"/>
      <pageMargins left="0.7" right="0.7" top="0.75" bottom="0.75" header="0.3" footer="0.3"/>
    </customSheetView>
    <customSheetView guid="{42F19D52-E208-414F-9E2E-506DF902926F}">
      <pageMargins left="0.7" right="0.7" top="0.75" bottom="0.75" header="0.3" footer="0.3"/>
    </customSheetView>
    <customSheetView guid="{AC8CA20A-2130-4ED2-A745-85677B08F97C}">
      <selection activeCell="B3" sqref="B3"/>
      <pageMargins left="0.7" right="0.7" top="0.75" bottom="0.75" header="0.3" footer="0.3"/>
    </customSheetView>
    <customSheetView guid="{2F318324-B2A5-4EFB-BB30-8D1AF11C1A9F}" topLeftCell="A24">
      <selection activeCell="A24" sqref="A24:C44"/>
      <pageMargins left="0.7" right="0.7" top="0.75" bottom="0.75" header="0.3" footer="0.3"/>
    </customSheetView>
  </customSheetViews>
  <mergeCells count="20">
    <mergeCell ref="A13:A14"/>
    <mergeCell ref="A15:A16"/>
    <mergeCell ref="A17:A18"/>
    <mergeCell ref="A19:A20"/>
    <mergeCell ref="A21:A22"/>
    <mergeCell ref="A3:A4"/>
    <mergeCell ref="A5:A6"/>
    <mergeCell ref="A7:A8"/>
    <mergeCell ref="A9:A10"/>
    <mergeCell ref="A11:A12"/>
    <mergeCell ref="A37:A38"/>
    <mergeCell ref="A39:A40"/>
    <mergeCell ref="A41:A42"/>
    <mergeCell ref="A43:A44"/>
    <mergeCell ref="A25:A26"/>
    <mergeCell ref="A27:A28"/>
    <mergeCell ref="A29:A30"/>
    <mergeCell ref="A31:A32"/>
    <mergeCell ref="A33:A34"/>
    <mergeCell ref="A35:A3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110"/>
  <sheetViews>
    <sheetView topLeftCell="A92" workbookViewId="0">
      <selection activeCell="G2" sqref="G2:G101"/>
    </sheetView>
  </sheetViews>
  <sheetFormatPr defaultRowHeight="15" x14ac:dyDescent="0.25"/>
  <cols>
    <col min="1" max="1" width="4.7109375" style="9" customWidth="1"/>
    <col min="2" max="2" width="9.140625" style="9"/>
    <col min="3" max="4" width="12.7109375" customWidth="1"/>
    <col min="5" max="5" width="10.7109375" style="9" customWidth="1"/>
    <col min="6" max="6" width="5.7109375" customWidth="1"/>
    <col min="7" max="7" width="30.7109375" customWidth="1"/>
    <col min="8" max="8" width="2.7109375" customWidth="1"/>
    <col min="9" max="10" width="40.7109375" customWidth="1"/>
    <col min="11" max="11" width="4.7109375" customWidth="1"/>
    <col min="12" max="12" width="30.7109375" customWidth="1"/>
    <col min="13" max="13" width="2.7109375" customWidth="1"/>
    <col min="14" max="15" width="40.7109375" customWidth="1"/>
  </cols>
  <sheetData>
    <row r="1" spans="1:15" x14ac:dyDescent="0.25">
      <c r="B1" s="183" t="s">
        <v>1032</v>
      </c>
      <c r="C1" s="59"/>
      <c r="D1" s="59"/>
      <c r="E1" s="182"/>
      <c r="F1" s="59"/>
      <c r="G1" s="182" t="s">
        <v>1017</v>
      </c>
      <c r="H1" s="59"/>
      <c r="I1" s="59" t="s">
        <v>953</v>
      </c>
      <c r="J1" s="59" t="s">
        <v>953</v>
      </c>
      <c r="L1" s="182" t="s">
        <v>1018</v>
      </c>
      <c r="M1" s="59"/>
      <c r="N1" s="59" t="s">
        <v>953</v>
      </c>
      <c r="O1" s="59" t="s">
        <v>953</v>
      </c>
    </row>
    <row r="2" spans="1:15" x14ac:dyDescent="0.25">
      <c r="B2" s="181" t="s">
        <v>44</v>
      </c>
      <c r="C2" s="180" t="s">
        <v>45</v>
      </c>
      <c r="D2" s="180" t="s">
        <v>46</v>
      </c>
      <c r="E2" s="179" t="s">
        <v>47</v>
      </c>
      <c r="G2" s="179" t="s">
        <v>942</v>
      </c>
      <c r="I2" s="179" t="s">
        <v>941</v>
      </c>
      <c r="J2" s="179" t="s">
        <v>940</v>
      </c>
      <c r="L2" s="179" t="s">
        <v>942</v>
      </c>
      <c r="N2" s="179" t="s">
        <v>941</v>
      </c>
      <c r="O2" s="179" t="s">
        <v>940</v>
      </c>
    </row>
    <row r="3" spans="1:15" x14ac:dyDescent="0.25">
      <c r="A3" s="47">
        <v>1</v>
      </c>
      <c r="B3" s="178">
        <f>Roster!B4</f>
        <v>1</v>
      </c>
      <c r="C3" s="177" t="str">
        <f>Roster!C4</f>
        <v>Grace</v>
      </c>
      <c r="D3" s="177" t="str">
        <f>Roster!D4</f>
        <v>Penn</v>
      </c>
      <c r="E3" s="31" t="str">
        <f>Roster!E4</f>
        <v>S</v>
      </c>
      <c r="G3" s="176"/>
      <c r="I3" s="176"/>
      <c r="J3" s="176"/>
      <c r="L3" s="176"/>
      <c r="N3" s="176"/>
      <c r="O3" s="176"/>
    </row>
    <row r="4" spans="1:15" x14ac:dyDescent="0.25">
      <c r="A4" s="47">
        <v>2</v>
      </c>
      <c r="B4" s="178">
        <f>Roster!B5</f>
        <v>2</v>
      </c>
      <c r="C4" s="177" t="str">
        <f>Roster!C5</f>
        <v>Silvia</v>
      </c>
      <c r="D4" s="177" t="str">
        <f>Roster!D5</f>
        <v>Ianeselli</v>
      </c>
      <c r="E4" s="31" t="str">
        <f>Roster!E5</f>
        <v>OH</v>
      </c>
      <c r="G4" s="176"/>
      <c r="I4" s="176"/>
      <c r="J4" s="176"/>
      <c r="L4" s="176"/>
      <c r="N4" s="176"/>
      <c r="O4" s="176"/>
    </row>
    <row r="5" spans="1:15" x14ac:dyDescent="0.25">
      <c r="A5" s="47">
        <v>3</v>
      </c>
      <c r="B5" s="178">
        <f>Roster!B6</f>
        <v>3</v>
      </c>
      <c r="C5" s="177">
        <f>Roster!C6</f>
        <v>0</v>
      </c>
      <c r="D5" s="177">
        <f>Roster!D6</f>
        <v>0</v>
      </c>
      <c r="E5" s="31">
        <f>Roster!E6</f>
        <v>0</v>
      </c>
      <c r="G5" s="176"/>
      <c r="I5" s="176"/>
      <c r="J5" s="176"/>
      <c r="L5" s="176"/>
      <c r="N5" s="176"/>
      <c r="O5" s="176"/>
    </row>
    <row r="6" spans="1:15" x14ac:dyDescent="0.25">
      <c r="A6" s="47">
        <v>4</v>
      </c>
      <c r="B6" s="178">
        <f>Roster!B7</f>
        <v>4</v>
      </c>
      <c r="C6" s="177" t="str">
        <f>Roster!C7</f>
        <v>Anna</v>
      </c>
      <c r="D6" s="177" t="str">
        <f>Roster!D7</f>
        <v>Murphy</v>
      </c>
      <c r="E6" s="31" t="str">
        <f>Roster!E7</f>
        <v>L</v>
      </c>
      <c r="G6" s="176"/>
      <c r="I6" s="176"/>
      <c r="J6" s="176"/>
      <c r="L6" s="176"/>
      <c r="N6" s="176"/>
      <c r="O6" s="176"/>
    </row>
    <row r="7" spans="1:15" x14ac:dyDescent="0.25">
      <c r="A7" s="47">
        <v>5</v>
      </c>
      <c r="B7" s="178">
        <f>Roster!B8</f>
        <v>5</v>
      </c>
      <c r="C7" s="177" t="str">
        <f>Roster!C8</f>
        <v>Sophia</v>
      </c>
      <c r="D7" s="177" t="str">
        <f>Roster!D8</f>
        <v>Lambros</v>
      </c>
      <c r="E7" s="31" t="str">
        <f>Roster!E8</f>
        <v>S</v>
      </c>
      <c r="G7" s="176"/>
      <c r="I7" s="176"/>
      <c r="J7" s="176"/>
      <c r="L7" s="176"/>
      <c r="N7" s="176"/>
      <c r="O7" s="176"/>
    </row>
    <row r="8" spans="1:15" x14ac:dyDescent="0.25">
      <c r="A8" s="47">
        <v>6</v>
      </c>
      <c r="B8" s="178">
        <f>Roster!B9</f>
        <v>6</v>
      </c>
      <c r="C8" s="177" t="str">
        <f>Roster!C9</f>
        <v>Jenna</v>
      </c>
      <c r="D8" s="177" t="str">
        <f>Roster!D9</f>
        <v>Pollock</v>
      </c>
      <c r="E8" s="31" t="str">
        <f>Roster!E9</f>
        <v>MB/OPP</v>
      </c>
      <c r="G8" s="176"/>
      <c r="I8" s="176"/>
      <c r="J8" s="176"/>
      <c r="L8" s="176"/>
      <c r="N8" s="176"/>
      <c r="O8" s="176"/>
    </row>
    <row r="9" spans="1:15" x14ac:dyDescent="0.25">
      <c r="A9" s="47">
        <v>7</v>
      </c>
      <c r="B9" s="178">
        <f>Roster!B10</f>
        <v>7</v>
      </c>
      <c r="C9" s="177">
        <f>Roster!C10</f>
        <v>0</v>
      </c>
      <c r="D9" s="177">
        <f>Roster!D10</f>
        <v>0</v>
      </c>
      <c r="E9" s="31">
        <f>Roster!E10</f>
        <v>0</v>
      </c>
      <c r="G9" s="176"/>
      <c r="I9" s="176"/>
      <c r="J9" s="176"/>
      <c r="L9" s="176"/>
      <c r="N9" s="176"/>
      <c r="O9" s="176"/>
    </row>
    <row r="10" spans="1:15" x14ac:dyDescent="0.25">
      <c r="A10" s="47">
        <v>8</v>
      </c>
      <c r="B10" s="178">
        <f>Roster!B11</f>
        <v>8</v>
      </c>
      <c r="C10" s="177">
        <f>Roster!C11</f>
        <v>0</v>
      </c>
      <c r="D10" s="177">
        <f>Roster!D11</f>
        <v>0</v>
      </c>
      <c r="E10" s="31">
        <f>Roster!E11</f>
        <v>0</v>
      </c>
      <c r="G10" s="176"/>
      <c r="I10" s="176"/>
      <c r="J10" s="176"/>
      <c r="L10" s="176"/>
      <c r="N10" s="176"/>
      <c r="O10" s="176"/>
    </row>
    <row r="11" spans="1:15" x14ac:dyDescent="0.25">
      <c r="A11" s="47">
        <v>9</v>
      </c>
      <c r="B11" s="178">
        <f>Roster!B12</f>
        <v>9</v>
      </c>
      <c r="C11" s="177" t="str">
        <f>Roster!C12</f>
        <v>Katrina</v>
      </c>
      <c r="D11" s="177" t="str">
        <f>Roster!D12</f>
        <v>Jensen</v>
      </c>
      <c r="E11" s="31" t="str">
        <f>Roster!E12</f>
        <v>OH</v>
      </c>
      <c r="G11" s="176"/>
      <c r="I11" s="176"/>
      <c r="J11" s="176"/>
      <c r="L11" s="176"/>
      <c r="N11" s="176"/>
      <c r="O11" s="176"/>
    </row>
    <row r="12" spans="1:15" x14ac:dyDescent="0.25">
      <c r="A12" s="47">
        <v>10</v>
      </c>
      <c r="B12" s="178">
        <f>Roster!B13</f>
        <v>10</v>
      </c>
      <c r="C12" s="177" t="str">
        <f>Roster!C13</f>
        <v>Peyton</v>
      </c>
      <c r="D12" s="177" t="str">
        <f>Roster!D13</f>
        <v>Minyard</v>
      </c>
      <c r="E12" s="31" t="str">
        <f>Roster!E13</f>
        <v>MB</v>
      </c>
      <c r="G12" s="176"/>
      <c r="I12" s="176"/>
      <c r="J12" s="176"/>
      <c r="L12" s="176"/>
      <c r="N12" s="176"/>
      <c r="O12" s="176"/>
    </row>
    <row r="13" spans="1:15" x14ac:dyDescent="0.25">
      <c r="A13" s="47">
        <v>11</v>
      </c>
      <c r="B13" s="178">
        <f>Roster!B14</f>
        <v>11</v>
      </c>
      <c r="C13" s="177" t="str">
        <f>Roster!C14</f>
        <v>Alayna</v>
      </c>
      <c r="D13" s="177" t="str">
        <f>Roster!D14</f>
        <v>Crabtree</v>
      </c>
      <c r="E13" s="31" t="str">
        <f>Roster!E14</f>
        <v>OH</v>
      </c>
      <c r="G13" s="176"/>
      <c r="I13" s="176"/>
      <c r="J13" s="176"/>
      <c r="L13" s="176"/>
      <c r="N13" s="176"/>
      <c r="O13" s="176"/>
    </row>
    <row r="14" spans="1:15" x14ac:dyDescent="0.25">
      <c r="A14" s="47">
        <v>12</v>
      </c>
      <c r="B14" s="178">
        <f>Roster!B15</f>
        <v>12</v>
      </c>
      <c r="C14" s="177" t="str">
        <f>Roster!C15</f>
        <v>Izzy</v>
      </c>
      <c r="D14" s="177" t="str">
        <f>Roster!D15</f>
        <v>Clavenna</v>
      </c>
      <c r="E14" s="31" t="str">
        <f>Roster!E15</f>
        <v>S</v>
      </c>
      <c r="G14" s="176"/>
      <c r="I14" s="176"/>
      <c r="J14" s="176"/>
      <c r="L14" s="176"/>
      <c r="N14" s="176"/>
      <c r="O14" s="176"/>
    </row>
    <row r="15" spans="1:15" x14ac:dyDescent="0.25">
      <c r="A15" s="47">
        <v>13</v>
      </c>
      <c r="B15" s="178">
        <f>Roster!B16</f>
        <v>13</v>
      </c>
      <c r="C15" s="177">
        <f>Roster!C16</f>
        <v>0</v>
      </c>
      <c r="D15" s="177">
        <f>Roster!D16</f>
        <v>0</v>
      </c>
      <c r="E15" s="31">
        <f>Roster!E16</f>
        <v>0</v>
      </c>
      <c r="G15" s="176"/>
      <c r="I15" s="176"/>
      <c r="J15" s="176"/>
      <c r="L15" s="176"/>
      <c r="N15" s="176"/>
      <c r="O15" s="176"/>
    </row>
    <row r="16" spans="1:15" x14ac:dyDescent="0.25">
      <c r="A16" s="47">
        <v>14</v>
      </c>
      <c r="B16" s="178">
        <f>Roster!B17</f>
        <v>14</v>
      </c>
      <c r="C16" s="177">
        <f>Roster!C17</f>
        <v>0</v>
      </c>
      <c r="D16" s="177">
        <f>Roster!D17</f>
        <v>0</v>
      </c>
      <c r="E16" s="31">
        <f>Roster!E17</f>
        <v>0</v>
      </c>
      <c r="G16" s="176"/>
      <c r="I16" s="176"/>
      <c r="J16" s="176"/>
      <c r="L16" s="176"/>
      <c r="N16" s="176"/>
      <c r="O16" s="176"/>
    </row>
    <row r="17" spans="1:15" x14ac:dyDescent="0.25">
      <c r="A17" s="47">
        <v>15</v>
      </c>
      <c r="B17" s="178">
        <f>Roster!B18</f>
        <v>15</v>
      </c>
      <c r="C17" s="177">
        <f>Roster!C18</f>
        <v>0</v>
      </c>
      <c r="D17" s="177">
        <f>Roster!D18</f>
        <v>0</v>
      </c>
      <c r="E17" s="31">
        <f>Roster!E18</f>
        <v>0</v>
      </c>
      <c r="G17" s="176"/>
      <c r="I17" s="176"/>
      <c r="J17" s="176"/>
      <c r="L17" s="176"/>
      <c r="N17" s="176"/>
      <c r="O17" s="176"/>
    </row>
    <row r="18" spans="1:15" x14ac:dyDescent="0.25">
      <c r="A18" s="47">
        <v>16</v>
      </c>
      <c r="B18" s="178">
        <f>Roster!B19</f>
        <v>16</v>
      </c>
      <c r="C18" s="177">
        <f>Roster!C19</f>
        <v>0</v>
      </c>
      <c r="D18" s="177">
        <f>Roster!D19</f>
        <v>0</v>
      </c>
      <c r="E18" s="31">
        <f>Roster!E19</f>
        <v>0</v>
      </c>
      <c r="G18" s="176"/>
      <c r="I18" s="176"/>
      <c r="J18" s="176"/>
      <c r="L18" s="176"/>
      <c r="N18" s="176"/>
      <c r="O18" s="176"/>
    </row>
    <row r="19" spans="1:15" x14ac:dyDescent="0.25">
      <c r="A19" s="47">
        <v>17</v>
      </c>
      <c r="B19" s="178">
        <f>Roster!B20</f>
        <v>17</v>
      </c>
      <c r="C19" s="177" t="str">
        <f>Roster!C20</f>
        <v>Cornelia</v>
      </c>
      <c r="D19" s="177" t="str">
        <f>Roster!D20</f>
        <v>Roach</v>
      </c>
      <c r="E19" s="31" t="str">
        <f>Roster!E20</f>
        <v>MB</v>
      </c>
      <c r="G19" s="176"/>
      <c r="I19" s="176"/>
      <c r="J19" s="176"/>
      <c r="L19" s="176"/>
      <c r="N19" s="176"/>
      <c r="O19" s="176"/>
    </row>
    <row r="20" spans="1:15" x14ac:dyDescent="0.25">
      <c r="A20" s="47">
        <v>18</v>
      </c>
      <c r="B20" s="178">
        <f>Roster!B21</f>
        <v>18</v>
      </c>
      <c r="C20" s="177" t="str">
        <f>Roster!C21</f>
        <v>Bridget</v>
      </c>
      <c r="D20" s="177" t="str">
        <f>Roster!D21</f>
        <v>Green</v>
      </c>
      <c r="E20" s="31" t="str">
        <f>Roster!E21</f>
        <v>L</v>
      </c>
      <c r="G20" s="176"/>
      <c r="I20" s="176"/>
      <c r="J20" s="176"/>
      <c r="L20" s="176"/>
      <c r="N20" s="176"/>
      <c r="O20" s="176"/>
    </row>
    <row r="21" spans="1:15" x14ac:dyDescent="0.25">
      <c r="A21" s="47">
        <v>19</v>
      </c>
      <c r="B21" s="178">
        <f>Roster!B22</f>
        <v>19</v>
      </c>
      <c r="C21" s="177" t="str">
        <f>Roster!C22</f>
        <v>Jane</v>
      </c>
      <c r="D21" s="177" t="str">
        <f>Roster!D22</f>
        <v>Petrie</v>
      </c>
      <c r="E21" s="31" t="str">
        <f>Roster!E22</f>
        <v>S</v>
      </c>
      <c r="G21" s="176"/>
      <c r="I21" s="176"/>
      <c r="J21" s="176"/>
      <c r="L21" s="176"/>
      <c r="N21" s="176"/>
      <c r="O21" s="176"/>
    </row>
    <row r="22" spans="1:15" x14ac:dyDescent="0.25">
      <c r="A22" s="47">
        <v>20</v>
      </c>
      <c r="B22" s="178">
        <f>Roster!B23</f>
        <v>20</v>
      </c>
      <c r="C22" s="177">
        <f>Roster!C23</f>
        <v>0</v>
      </c>
      <c r="D22" s="177">
        <f>Roster!D23</f>
        <v>0</v>
      </c>
      <c r="E22" s="31">
        <f>Roster!E23</f>
        <v>0</v>
      </c>
      <c r="G22" s="176"/>
      <c r="I22" s="176"/>
      <c r="J22" s="176"/>
      <c r="L22" s="176"/>
      <c r="N22" s="176"/>
      <c r="O22" s="176"/>
    </row>
    <row r="23" spans="1:15" x14ac:dyDescent="0.25">
      <c r="A23" s="47">
        <v>21</v>
      </c>
      <c r="B23" s="178">
        <f>Roster!B24</f>
        <v>21</v>
      </c>
      <c r="C23" s="177" t="str">
        <f>Roster!C24</f>
        <v>Nikki</v>
      </c>
      <c r="D23" s="177" t="str">
        <f>Roster!D24</f>
        <v>Steinheiser</v>
      </c>
      <c r="E23" s="31" t="str">
        <f>Roster!E24</f>
        <v>OH</v>
      </c>
      <c r="G23" s="176"/>
      <c r="I23" s="176"/>
      <c r="J23" s="176"/>
      <c r="L23" s="176"/>
      <c r="N23" s="176"/>
      <c r="O23" s="176"/>
    </row>
    <row r="24" spans="1:15" x14ac:dyDescent="0.25">
      <c r="A24" s="47">
        <v>22</v>
      </c>
      <c r="B24" s="178">
        <f>Roster!B25</f>
        <v>22</v>
      </c>
      <c r="C24" s="177">
        <f>Roster!C25</f>
        <v>0</v>
      </c>
      <c r="D24" s="177">
        <f>Roster!D25</f>
        <v>0</v>
      </c>
      <c r="E24" s="31">
        <f>Roster!E25</f>
        <v>0</v>
      </c>
      <c r="G24" s="176"/>
      <c r="I24" s="176"/>
      <c r="J24" s="176"/>
      <c r="L24" s="176"/>
      <c r="N24" s="176"/>
      <c r="O24" s="176"/>
    </row>
    <row r="25" spans="1:15" x14ac:dyDescent="0.25">
      <c r="A25" s="47">
        <v>23</v>
      </c>
      <c r="B25" s="178">
        <f>Roster!B26</f>
        <v>23</v>
      </c>
      <c r="C25" s="177" t="str">
        <f>Roster!C26</f>
        <v>Julia</v>
      </c>
      <c r="D25" s="177" t="str">
        <f>Roster!D26</f>
        <v>Haggerty</v>
      </c>
      <c r="E25" s="31" t="str">
        <f>Roster!E26</f>
        <v>MB/OPP</v>
      </c>
      <c r="G25" s="176"/>
      <c r="I25" s="176"/>
      <c r="J25" s="176"/>
      <c r="L25" s="176"/>
      <c r="N25" s="176"/>
      <c r="O25" s="176"/>
    </row>
    <row r="26" spans="1:15" x14ac:dyDescent="0.25">
      <c r="A26" s="47">
        <v>24</v>
      </c>
      <c r="B26" s="178">
        <f>Roster!B27</f>
        <v>24</v>
      </c>
      <c r="C26" s="177">
        <f>Roster!C27</f>
        <v>0</v>
      </c>
      <c r="D26" s="177">
        <f>Roster!D27</f>
        <v>0</v>
      </c>
      <c r="E26" s="31">
        <f>Roster!E27</f>
        <v>0</v>
      </c>
      <c r="G26" s="176"/>
      <c r="I26" s="176"/>
      <c r="J26" s="176"/>
      <c r="L26" s="176"/>
      <c r="N26" s="176"/>
      <c r="O26" s="176"/>
    </row>
    <row r="27" spans="1:15" x14ac:dyDescent="0.25">
      <c r="A27" s="47">
        <v>25</v>
      </c>
      <c r="B27" s="178">
        <f>Roster!B28</f>
        <v>25</v>
      </c>
      <c r="C27" s="177">
        <f>Roster!C28</f>
        <v>0</v>
      </c>
      <c r="D27" s="177">
        <f>Roster!D28</f>
        <v>0</v>
      </c>
      <c r="E27" s="31">
        <f>Roster!E28</f>
        <v>0</v>
      </c>
      <c r="G27" s="176"/>
      <c r="I27" s="176"/>
      <c r="J27" s="176"/>
      <c r="L27" s="176"/>
      <c r="N27" s="176"/>
      <c r="O27" s="176"/>
    </row>
    <row r="28" spans="1:15" x14ac:dyDescent="0.25">
      <c r="A28" s="47">
        <v>26</v>
      </c>
      <c r="B28" s="178">
        <f>Roster!B29</f>
        <v>26</v>
      </c>
      <c r="C28" s="177">
        <f>Roster!C29</f>
        <v>0</v>
      </c>
      <c r="D28" s="177">
        <f>Roster!D29</f>
        <v>0</v>
      </c>
      <c r="E28" s="31">
        <f>Roster!E29</f>
        <v>0</v>
      </c>
      <c r="G28" s="176"/>
      <c r="I28" s="176"/>
      <c r="J28" s="176"/>
      <c r="L28" s="176"/>
      <c r="N28" s="176"/>
      <c r="O28" s="176"/>
    </row>
    <row r="29" spans="1:15" x14ac:dyDescent="0.25">
      <c r="A29" s="47">
        <v>27</v>
      </c>
      <c r="B29" s="178">
        <f>Roster!B30</f>
        <v>27</v>
      </c>
      <c r="C29" s="177">
        <f>Roster!C30</f>
        <v>0</v>
      </c>
      <c r="D29" s="177">
        <f>Roster!D30</f>
        <v>0</v>
      </c>
      <c r="E29" s="31">
        <f>Roster!E30</f>
        <v>0</v>
      </c>
      <c r="G29" s="176"/>
      <c r="I29" s="176"/>
      <c r="J29" s="176"/>
      <c r="L29" s="176"/>
      <c r="N29" s="176"/>
      <c r="O29" s="176"/>
    </row>
    <row r="30" spans="1:15" x14ac:dyDescent="0.25">
      <c r="A30" s="47">
        <v>28</v>
      </c>
      <c r="B30" s="178">
        <f>Roster!B31</f>
        <v>28</v>
      </c>
      <c r="C30" s="177">
        <f>Roster!C31</f>
        <v>0</v>
      </c>
      <c r="D30" s="177">
        <f>Roster!D31</f>
        <v>0</v>
      </c>
      <c r="E30" s="31">
        <f>Roster!E31</f>
        <v>0</v>
      </c>
      <c r="G30" s="176"/>
      <c r="I30" s="176"/>
      <c r="J30" s="176"/>
      <c r="L30" s="176"/>
      <c r="N30" s="176"/>
      <c r="O30" s="176"/>
    </row>
    <row r="31" spans="1:15" x14ac:dyDescent="0.25">
      <c r="A31" s="47">
        <v>29</v>
      </c>
      <c r="B31" s="178">
        <f>Roster!B32</f>
        <v>29</v>
      </c>
      <c r="C31" s="177">
        <f>Roster!C32</f>
        <v>0</v>
      </c>
      <c r="D31" s="177">
        <f>Roster!D32</f>
        <v>0</v>
      </c>
      <c r="E31" s="31">
        <f>Roster!E32</f>
        <v>0</v>
      </c>
      <c r="G31" s="176"/>
      <c r="I31" s="176"/>
      <c r="J31" s="176"/>
      <c r="L31" s="176"/>
      <c r="N31" s="176"/>
      <c r="O31" s="176"/>
    </row>
    <row r="32" spans="1:15" x14ac:dyDescent="0.25">
      <c r="A32" s="47">
        <v>30</v>
      </c>
      <c r="B32" s="178">
        <f>Roster!B33</f>
        <v>30</v>
      </c>
      <c r="C32" s="177">
        <f>Roster!C33</f>
        <v>0</v>
      </c>
      <c r="D32" s="177">
        <f>Roster!D33</f>
        <v>0</v>
      </c>
      <c r="E32" s="31">
        <f>Roster!E33</f>
        <v>0</v>
      </c>
      <c r="G32" s="176"/>
      <c r="I32" s="176"/>
      <c r="J32" s="176"/>
      <c r="L32" s="176"/>
      <c r="N32" s="176"/>
      <c r="O32" s="176"/>
    </row>
    <row r="33" spans="1:15" x14ac:dyDescent="0.25">
      <c r="A33" s="47">
        <v>31</v>
      </c>
      <c r="B33" s="178">
        <f>Roster!B34</f>
        <v>31</v>
      </c>
      <c r="C33" s="177">
        <f>Roster!C34</f>
        <v>0</v>
      </c>
      <c r="D33" s="177">
        <f>Roster!D34</f>
        <v>0</v>
      </c>
      <c r="E33" s="31">
        <f>Roster!E34</f>
        <v>0</v>
      </c>
      <c r="G33" s="176"/>
      <c r="I33" s="176"/>
      <c r="J33" s="176"/>
      <c r="L33" s="176"/>
      <c r="N33" s="176"/>
      <c r="O33" s="176"/>
    </row>
    <row r="34" spans="1:15" x14ac:dyDescent="0.25">
      <c r="A34" s="47">
        <v>32</v>
      </c>
      <c r="B34" s="178">
        <f>Roster!B35</f>
        <v>32</v>
      </c>
      <c r="C34" s="177">
        <f>Roster!C35</f>
        <v>0</v>
      </c>
      <c r="D34" s="177">
        <f>Roster!D35</f>
        <v>0</v>
      </c>
      <c r="E34" s="31">
        <f>Roster!E35</f>
        <v>0</v>
      </c>
      <c r="G34" s="176"/>
      <c r="I34" s="176"/>
      <c r="J34" s="176"/>
      <c r="L34" s="176"/>
      <c r="N34" s="176"/>
      <c r="O34" s="176"/>
    </row>
    <row r="35" spans="1:15" x14ac:dyDescent="0.25">
      <c r="A35" s="47">
        <v>33</v>
      </c>
      <c r="B35" s="178">
        <f>Roster!B36</f>
        <v>33</v>
      </c>
      <c r="C35" s="177">
        <f>Roster!C36</f>
        <v>0</v>
      </c>
      <c r="D35" s="177">
        <f>Roster!D36</f>
        <v>0</v>
      </c>
      <c r="E35" s="31">
        <f>Roster!E36</f>
        <v>0</v>
      </c>
      <c r="G35" s="176"/>
      <c r="I35" s="176"/>
      <c r="J35" s="176"/>
      <c r="L35" s="176"/>
      <c r="N35" s="176"/>
      <c r="O35" s="176"/>
    </row>
    <row r="36" spans="1:15" x14ac:dyDescent="0.25">
      <c r="A36" s="47">
        <v>34</v>
      </c>
      <c r="B36" s="178">
        <f>Roster!B37</f>
        <v>34</v>
      </c>
      <c r="C36" s="177">
        <f>Roster!C37</f>
        <v>0</v>
      </c>
      <c r="D36" s="177">
        <f>Roster!D37</f>
        <v>0</v>
      </c>
      <c r="E36" s="31">
        <f>Roster!E37</f>
        <v>0</v>
      </c>
      <c r="G36" s="176"/>
      <c r="I36" s="176"/>
      <c r="J36" s="176"/>
      <c r="L36" s="176"/>
      <c r="N36" s="176"/>
      <c r="O36" s="176"/>
    </row>
    <row r="37" spans="1:15" x14ac:dyDescent="0.25">
      <c r="A37" s="47">
        <v>35</v>
      </c>
      <c r="B37" s="178">
        <f>Roster!B38</f>
        <v>35</v>
      </c>
      <c r="C37" s="177">
        <f>Roster!C38</f>
        <v>0</v>
      </c>
      <c r="D37" s="177">
        <f>Roster!D38</f>
        <v>0</v>
      </c>
      <c r="E37" s="31">
        <f>Roster!E38</f>
        <v>0</v>
      </c>
      <c r="G37" s="176"/>
      <c r="I37" s="176"/>
      <c r="J37" s="176"/>
      <c r="L37" s="176"/>
      <c r="N37" s="176"/>
      <c r="O37" s="176"/>
    </row>
    <row r="38" spans="1:15" x14ac:dyDescent="0.25">
      <c r="A38" s="47">
        <v>36</v>
      </c>
      <c r="B38" s="178">
        <f>Roster!B39</f>
        <v>36</v>
      </c>
      <c r="C38" s="177">
        <f>Roster!C39</f>
        <v>0</v>
      </c>
      <c r="D38" s="177">
        <f>Roster!D39</f>
        <v>0</v>
      </c>
      <c r="E38" s="31">
        <f>Roster!E39</f>
        <v>0</v>
      </c>
      <c r="G38" s="176"/>
      <c r="I38" s="176"/>
      <c r="J38" s="176"/>
      <c r="L38" s="176"/>
      <c r="N38" s="176"/>
      <c r="O38" s="176"/>
    </row>
    <row r="39" spans="1:15" x14ac:dyDescent="0.25">
      <c r="A39" s="47">
        <v>37</v>
      </c>
      <c r="B39" s="178">
        <f>Roster!B40</f>
        <v>37</v>
      </c>
      <c r="C39" s="177">
        <f>Roster!C40</f>
        <v>0</v>
      </c>
      <c r="D39" s="177">
        <f>Roster!D40</f>
        <v>0</v>
      </c>
      <c r="E39" s="31">
        <f>Roster!E40</f>
        <v>0</v>
      </c>
      <c r="G39" s="176"/>
      <c r="I39" s="176"/>
      <c r="J39" s="176"/>
      <c r="L39" s="176"/>
      <c r="N39" s="176"/>
      <c r="O39" s="176"/>
    </row>
    <row r="40" spans="1:15" x14ac:dyDescent="0.25">
      <c r="A40" s="47">
        <v>38</v>
      </c>
      <c r="B40" s="178">
        <f>Roster!B41</f>
        <v>38</v>
      </c>
      <c r="C40" s="177">
        <f>Roster!C41</f>
        <v>0</v>
      </c>
      <c r="D40" s="177">
        <f>Roster!D41</f>
        <v>0</v>
      </c>
      <c r="E40" s="31">
        <f>Roster!E41</f>
        <v>0</v>
      </c>
      <c r="G40" s="176"/>
      <c r="I40" s="176"/>
      <c r="J40" s="176"/>
      <c r="L40" s="176"/>
      <c r="N40" s="176"/>
      <c r="O40" s="176"/>
    </row>
    <row r="41" spans="1:15" x14ac:dyDescent="0.25">
      <c r="A41" s="47">
        <v>39</v>
      </c>
      <c r="B41" s="178">
        <f>Roster!B42</f>
        <v>39</v>
      </c>
      <c r="C41" s="177">
        <f>Roster!C42</f>
        <v>0</v>
      </c>
      <c r="D41" s="177">
        <f>Roster!D42</f>
        <v>0</v>
      </c>
      <c r="E41" s="31">
        <f>Roster!E42</f>
        <v>0</v>
      </c>
      <c r="G41" s="176"/>
      <c r="I41" s="176"/>
      <c r="J41" s="176"/>
      <c r="L41" s="176"/>
      <c r="N41" s="176"/>
      <c r="O41" s="176"/>
    </row>
    <row r="42" spans="1:15" x14ac:dyDescent="0.25">
      <c r="A42" s="47">
        <v>40</v>
      </c>
      <c r="B42" s="178">
        <f>Roster!B43</f>
        <v>40</v>
      </c>
      <c r="C42" s="177">
        <f>Roster!C43</f>
        <v>0</v>
      </c>
      <c r="D42" s="177">
        <f>Roster!D43</f>
        <v>0</v>
      </c>
      <c r="E42" s="31">
        <f>Roster!E43</f>
        <v>0</v>
      </c>
      <c r="G42" s="176"/>
      <c r="I42" s="176"/>
      <c r="J42" s="176"/>
      <c r="L42" s="176"/>
      <c r="N42" s="176"/>
      <c r="O42" s="176"/>
    </row>
    <row r="43" spans="1:15" x14ac:dyDescent="0.25">
      <c r="A43" s="47">
        <v>41</v>
      </c>
      <c r="B43" s="178">
        <f>Roster!B44</f>
        <v>41</v>
      </c>
      <c r="C43" s="177">
        <f>Roster!C44</f>
        <v>0</v>
      </c>
      <c r="D43" s="177">
        <f>Roster!D44</f>
        <v>0</v>
      </c>
      <c r="E43" s="31">
        <f>Roster!E44</f>
        <v>0</v>
      </c>
      <c r="G43" s="176"/>
      <c r="I43" s="176"/>
      <c r="J43" s="176"/>
      <c r="L43" s="176"/>
      <c r="N43" s="176"/>
      <c r="O43" s="176"/>
    </row>
    <row r="44" spans="1:15" x14ac:dyDescent="0.25">
      <c r="A44" s="47">
        <v>42</v>
      </c>
      <c r="B44" s="178">
        <f>Roster!B45</f>
        <v>42</v>
      </c>
      <c r="C44" s="177">
        <f>Roster!C45</f>
        <v>0</v>
      </c>
      <c r="D44" s="177">
        <f>Roster!D45</f>
        <v>0</v>
      </c>
      <c r="E44" s="31">
        <f>Roster!E45</f>
        <v>0</v>
      </c>
      <c r="G44" s="176"/>
      <c r="I44" s="176"/>
      <c r="J44" s="176"/>
      <c r="L44" s="176"/>
      <c r="N44" s="176"/>
      <c r="O44" s="176"/>
    </row>
    <row r="45" spans="1:15" x14ac:dyDescent="0.25">
      <c r="A45" s="47">
        <v>43</v>
      </c>
      <c r="B45" s="178">
        <f>Roster!B46</f>
        <v>43</v>
      </c>
      <c r="C45" s="177">
        <f>Roster!C46</f>
        <v>0</v>
      </c>
      <c r="D45" s="177">
        <f>Roster!D46</f>
        <v>0</v>
      </c>
      <c r="E45" s="31">
        <f>Roster!E46</f>
        <v>0</v>
      </c>
      <c r="G45" s="176"/>
      <c r="I45" s="176"/>
      <c r="J45" s="176"/>
      <c r="L45" s="176"/>
      <c r="N45" s="176"/>
      <c r="O45" s="176"/>
    </row>
    <row r="46" spans="1:15" x14ac:dyDescent="0.25">
      <c r="A46" s="47">
        <v>44</v>
      </c>
      <c r="B46" s="178">
        <f>Roster!B47</f>
        <v>44</v>
      </c>
      <c r="C46" s="177">
        <f>Roster!C47</f>
        <v>0</v>
      </c>
      <c r="D46" s="177">
        <f>Roster!D47</f>
        <v>0</v>
      </c>
      <c r="E46" s="31">
        <f>Roster!E47</f>
        <v>0</v>
      </c>
      <c r="G46" s="176"/>
      <c r="I46" s="176"/>
      <c r="J46" s="176"/>
      <c r="L46" s="176"/>
      <c r="N46" s="176"/>
      <c r="O46" s="176"/>
    </row>
    <row r="47" spans="1:15" x14ac:dyDescent="0.25">
      <c r="A47" s="47">
        <v>45</v>
      </c>
      <c r="B47" s="178">
        <f>Roster!B48</f>
        <v>45</v>
      </c>
      <c r="C47" s="177">
        <f>Roster!C48</f>
        <v>0</v>
      </c>
      <c r="D47" s="177">
        <f>Roster!D48</f>
        <v>0</v>
      </c>
      <c r="E47" s="31">
        <f>Roster!E48</f>
        <v>0</v>
      </c>
      <c r="G47" s="176"/>
      <c r="I47" s="176"/>
      <c r="J47" s="176"/>
      <c r="L47" s="176"/>
      <c r="N47" s="176"/>
      <c r="O47" s="176"/>
    </row>
    <row r="48" spans="1:15" x14ac:dyDescent="0.25">
      <c r="A48" s="47">
        <v>46</v>
      </c>
      <c r="B48" s="178">
        <f>Roster!B49</f>
        <v>46</v>
      </c>
      <c r="C48" s="177">
        <f>Roster!C49</f>
        <v>0</v>
      </c>
      <c r="D48" s="177">
        <f>Roster!D49</f>
        <v>0</v>
      </c>
      <c r="E48" s="31">
        <f>Roster!E49</f>
        <v>0</v>
      </c>
      <c r="G48" s="176"/>
      <c r="I48" s="176"/>
      <c r="J48" s="176"/>
      <c r="L48" s="176"/>
      <c r="N48" s="176"/>
      <c r="O48" s="176"/>
    </row>
    <row r="49" spans="1:15" x14ac:dyDescent="0.25">
      <c r="A49" s="47">
        <v>47</v>
      </c>
      <c r="B49" s="178">
        <f>Roster!B50</f>
        <v>47</v>
      </c>
      <c r="C49" s="177">
        <f>Roster!C50</f>
        <v>0</v>
      </c>
      <c r="D49" s="177">
        <f>Roster!D50</f>
        <v>0</v>
      </c>
      <c r="E49" s="31">
        <f>Roster!E50</f>
        <v>0</v>
      </c>
      <c r="G49" s="176"/>
      <c r="I49" s="176"/>
      <c r="J49" s="176"/>
      <c r="L49" s="176"/>
      <c r="N49" s="176"/>
      <c r="O49" s="176"/>
    </row>
    <row r="50" spans="1:15" x14ac:dyDescent="0.25">
      <c r="A50" s="47">
        <v>48</v>
      </c>
      <c r="B50" s="178">
        <f>Roster!B51</f>
        <v>48</v>
      </c>
      <c r="C50" s="177">
        <f>Roster!C51</f>
        <v>0</v>
      </c>
      <c r="D50" s="177">
        <f>Roster!D51</f>
        <v>0</v>
      </c>
      <c r="E50" s="31">
        <f>Roster!E51</f>
        <v>0</v>
      </c>
      <c r="G50" s="176"/>
      <c r="I50" s="176"/>
      <c r="J50" s="176"/>
      <c r="L50" s="176"/>
      <c r="N50" s="176"/>
      <c r="O50" s="176"/>
    </row>
    <row r="51" spans="1:15" x14ac:dyDescent="0.25">
      <c r="A51" s="47">
        <v>49</v>
      </c>
      <c r="B51" s="178">
        <f>Roster!B52</f>
        <v>49</v>
      </c>
      <c r="C51" s="177">
        <f>Roster!C52</f>
        <v>0</v>
      </c>
      <c r="D51" s="177">
        <f>Roster!D52</f>
        <v>0</v>
      </c>
      <c r="E51" s="31">
        <f>Roster!E52</f>
        <v>0</v>
      </c>
      <c r="G51" s="176"/>
      <c r="I51" s="176"/>
      <c r="J51" s="176"/>
      <c r="L51" s="176"/>
      <c r="N51" s="176"/>
      <c r="O51" s="176"/>
    </row>
    <row r="52" spans="1:15" x14ac:dyDescent="0.25">
      <c r="A52" s="47">
        <v>50</v>
      </c>
      <c r="B52" s="178">
        <f>Roster!B53</f>
        <v>50</v>
      </c>
      <c r="C52" s="177">
        <f>Roster!C53</f>
        <v>0</v>
      </c>
      <c r="D52" s="177">
        <f>Roster!D53</f>
        <v>0</v>
      </c>
      <c r="E52" s="31">
        <f>Roster!E53</f>
        <v>0</v>
      </c>
      <c r="G52" s="176"/>
      <c r="I52" s="176"/>
      <c r="J52" s="176"/>
      <c r="L52" s="176"/>
      <c r="N52" s="176"/>
      <c r="O52" s="176"/>
    </row>
    <row r="53" spans="1:15" x14ac:dyDescent="0.25">
      <c r="A53" s="47">
        <v>51</v>
      </c>
      <c r="B53" s="178">
        <f>Roster!B54</f>
        <v>51</v>
      </c>
      <c r="C53" s="177">
        <f>Roster!C54</f>
        <v>0</v>
      </c>
      <c r="D53" s="177">
        <f>Roster!D54</f>
        <v>0</v>
      </c>
      <c r="E53" s="31">
        <f>Roster!E54</f>
        <v>0</v>
      </c>
      <c r="G53" s="176"/>
      <c r="I53" s="176"/>
      <c r="J53" s="176"/>
      <c r="L53" s="176"/>
      <c r="N53" s="176"/>
      <c r="O53" s="176"/>
    </row>
    <row r="54" spans="1:15" x14ac:dyDescent="0.25">
      <c r="A54" s="47">
        <v>52</v>
      </c>
      <c r="B54" s="178">
        <f>Roster!B55</f>
        <v>52</v>
      </c>
      <c r="C54" s="177">
        <f>Roster!C55</f>
        <v>0</v>
      </c>
      <c r="D54" s="177">
        <f>Roster!D55</f>
        <v>0</v>
      </c>
      <c r="E54" s="31">
        <f>Roster!E55</f>
        <v>0</v>
      </c>
      <c r="G54" s="176"/>
      <c r="I54" s="176"/>
      <c r="J54" s="176"/>
      <c r="L54" s="176"/>
      <c r="N54" s="176"/>
      <c r="O54" s="176"/>
    </row>
    <row r="55" spans="1:15" x14ac:dyDescent="0.25">
      <c r="A55" s="47">
        <v>53</v>
      </c>
      <c r="B55" s="178">
        <f>Roster!B56</f>
        <v>53</v>
      </c>
      <c r="C55" s="177">
        <f>Roster!C56</f>
        <v>0</v>
      </c>
      <c r="D55" s="177">
        <f>Roster!D56</f>
        <v>0</v>
      </c>
      <c r="E55" s="31">
        <f>Roster!E56</f>
        <v>0</v>
      </c>
      <c r="G55" s="176"/>
      <c r="I55" s="176"/>
      <c r="J55" s="176"/>
      <c r="L55" s="176"/>
      <c r="N55" s="176"/>
      <c r="O55" s="176"/>
    </row>
    <row r="56" spans="1:15" x14ac:dyDescent="0.25">
      <c r="A56" s="47">
        <v>54</v>
      </c>
      <c r="B56" s="178">
        <f>Roster!B57</f>
        <v>54</v>
      </c>
      <c r="C56" s="177">
        <f>Roster!C57</f>
        <v>0</v>
      </c>
      <c r="D56" s="177">
        <f>Roster!D57</f>
        <v>0</v>
      </c>
      <c r="E56" s="31">
        <f>Roster!E57</f>
        <v>0</v>
      </c>
      <c r="G56" s="176"/>
      <c r="I56" s="176"/>
      <c r="J56" s="176"/>
      <c r="L56" s="176"/>
      <c r="N56" s="176"/>
      <c r="O56" s="176"/>
    </row>
    <row r="57" spans="1:15" x14ac:dyDescent="0.25">
      <c r="A57" s="47">
        <v>55</v>
      </c>
      <c r="B57" s="178">
        <f>Roster!B58</f>
        <v>55</v>
      </c>
      <c r="C57" s="177">
        <f>Roster!C58</f>
        <v>0</v>
      </c>
      <c r="D57" s="177">
        <f>Roster!D58</f>
        <v>0</v>
      </c>
      <c r="E57" s="31">
        <f>Roster!E58</f>
        <v>0</v>
      </c>
      <c r="G57" s="176"/>
      <c r="I57" s="176"/>
      <c r="J57" s="176"/>
      <c r="L57" s="176"/>
      <c r="N57" s="176"/>
      <c r="O57" s="176"/>
    </row>
    <row r="58" spans="1:15" x14ac:dyDescent="0.25">
      <c r="A58" s="47">
        <v>56</v>
      </c>
      <c r="B58" s="178">
        <f>Roster!B59</f>
        <v>56</v>
      </c>
      <c r="C58" s="177">
        <f>Roster!C59</f>
        <v>0</v>
      </c>
      <c r="D58" s="177">
        <f>Roster!D59</f>
        <v>0</v>
      </c>
      <c r="E58" s="31">
        <f>Roster!E59</f>
        <v>0</v>
      </c>
      <c r="G58" s="176"/>
      <c r="I58" s="176"/>
      <c r="J58" s="176"/>
      <c r="L58" s="176"/>
      <c r="N58" s="176"/>
      <c r="O58" s="176"/>
    </row>
    <row r="59" spans="1:15" x14ac:dyDescent="0.25">
      <c r="A59" s="47">
        <v>57</v>
      </c>
      <c r="B59" s="178">
        <f>Roster!B60</f>
        <v>57</v>
      </c>
      <c r="C59" s="177">
        <f>Roster!C60</f>
        <v>0</v>
      </c>
      <c r="D59" s="177">
        <f>Roster!D60</f>
        <v>0</v>
      </c>
      <c r="E59" s="31">
        <f>Roster!E60</f>
        <v>0</v>
      </c>
      <c r="G59" s="176"/>
      <c r="I59" s="176"/>
      <c r="J59" s="176"/>
      <c r="L59" s="176"/>
      <c r="N59" s="176"/>
      <c r="O59" s="176"/>
    </row>
    <row r="60" spans="1:15" x14ac:dyDescent="0.25">
      <c r="A60" s="47">
        <v>58</v>
      </c>
      <c r="B60" s="178">
        <f>Roster!B61</f>
        <v>58</v>
      </c>
      <c r="C60" s="177">
        <f>Roster!C61</f>
        <v>0</v>
      </c>
      <c r="D60" s="177">
        <f>Roster!D61</f>
        <v>0</v>
      </c>
      <c r="E60" s="31">
        <f>Roster!E61</f>
        <v>0</v>
      </c>
      <c r="G60" s="176"/>
      <c r="I60" s="176"/>
      <c r="J60" s="176"/>
      <c r="L60" s="176"/>
      <c r="N60" s="176"/>
      <c r="O60" s="176"/>
    </row>
    <row r="61" spans="1:15" x14ac:dyDescent="0.25">
      <c r="A61" s="47">
        <v>59</v>
      </c>
      <c r="B61" s="178">
        <f>Roster!B62</f>
        <v>59</v>
      </c>
      <c r="C61" s="177">
        <f>Roster!C62</f>
        <v>0</v>
      </c>
      <c r="D61" s="177">
        <f>Roster!D62</f>
        <v>0</v>
      </c>
      <c r="E61" s="31">
        <f>Roster!E62</f>
        <v>0</v>
      </c>
      <c r="G61" s="176"/>
      <c r="I61" s="176"/>
      <c r="J61" s="176"/>
      <c r="L61" s="176"/>
      <c r="N61" s="176"/>
      <c r="O61" s="176"/>
    </row>
    <row r="62" spans="1:15" x14ac:dyDescent="0.25">
      <c r="A62" s="47">
        <v>60</v>
      </c>
      <c r="B62" s="178">
        <f>Roster!B63</f>
        <v>60</v>
      </c>
      <c r="C62" s="177">
        <f>Roster!C63</f>
        <v>0</v>
      </c>
      <c r="D62" s="177">
        <f>Roster!D63</f>
        <v>0</v>
      </c>
      <c r="E62" s="31">
        <f>Roster!E63</f>
        <v>0</v>
      </c>
      <c r="G62" s="176"/>
      <c r="I62" s="176"/>
      <c r="J62" s="176"/>
      <c r="L62" s="176"/>
      <c r="N62" s="176"/>
      <c r="O62" s="176"/>
    </row>
    <row r="63" spans="1:15" x14ac:dyDescent="0.25">
      <c r="A63" s="47">
        <v>61</v>
      </c>
      <c r="B63" s="178">
        <f>Roster!B64</f>
        <v>61</v>
      </c>
      <c r="C63" s="177">
        <f>Roster!C64</f>
        <v>0</v>
      </c>
      <c r="D63" s="177">
        <f>Roster!D64</f>
        <v>0</v>
      </c>
      <c r="E63" s="31">
        <f>Roster!E64</f>
        <v>0</v>
      </c>
      <c r="G63" s="176"/>
      <c r="I63" s="176"/>
      <c r="J63" s="176"/>
      <c r="L63" s="176"/>
      <c r="N63" s="176"/>
      <c r="O63" s="176"/>
    </row>
    <row r="64" spans="1:15" x14ac:dyDescent="0.25">
      <c r="A64" s="47">
        <v>62</v>
      </c>
      <c r="B64" s="178">
        <f>Roster!B65</f>
        <v>62</v>
      </c>
      <c r="C64" s="177">
        <f>Roster!C65</f>
        <v>0</v>
      </c>
      <c r="D64" s="177">
        <f>Roster!D65</f>
        <v>0</v>
      </c>
      <c r="E64" s="31">
        <f>Roster!E65</f>
        <v>0</v>
      </c>
      <c r="G64" s="176"/>
      <c r="I64" s="176"/>
      <c r="J64" s="176"/>
      <c r="L64" s="176"/>
      <c r="N64" s="176"/>
      <c r="O64" s="176"/>
    </row>
    <row r="65" spans="1:15" x14ac:dyDescent="0.25">
      <c r="A65" s="47">
        <v>63</v>
      </c>
      <c r="B65" s="178">
        <f>Roster!B66</f>
        <v>63</v>
      </c>
      <c r="C65" s="177">
        <f>Roster!C66</f>
        <v>0</v>
      </c>
      <c r="D65" s="177">
        <f>Roster!D66</f>
        <v>0</v>
      </c>
      <c r="E65" s="31">
        <f>Roster!E66</f>
        <v>0</v>
      </c>
      <c r="G65" s="176"/>
      <c r="I65" s="176"/>
      <c r="J65" s="176"/>
      <c r="L65" s="176"/>
      <c r="N65" s="176"/>
      <c r="O65" s="176"/>
    </row>
    <row r="66" spans="1:15" x14ac:dyDescent="0.25">
      <c r="A66" s="47">
        <v>64</v>
      </c>
      <c r="B66" s="178">
        <f>Roster!B67</f>
        <v>64</v>
      </c>
      <c r="C66" s="177">
        <f>Roster!C67</f>
        <v>0</v>
      </c>
      <c r="D66" s="177">
        <f>Roster!D67</f>
        <v>0</v>
      </c>
      <c r="E66" s="31">
        <f>Roster!E67</f>
        <v>0</v>
      </c>
      <c r="G66" s="176"/>
      <c r="I66" s="176"/>
      <c r="J66" s="176"/>
      <c r="L66" s="176"/>
      <c r="N66" s="176"/>
      <c r="O66" s="176"/>
    </row>
    <row r="67" spans="1:15" x14ac:dyDescent="0.25">
      <c r="A67" s="47">
        <v>65</v>
      </c>
      <c r="B67" s="178">
        <f>Roster!B68</f>
        <v>65</v>
      </c>
      <c r="C67" s="177">
        <f>Roster!C68</f>
        <v>0</v>
      </c>
      <c r="D67" s="177">
        <f>Roster!D68</f>
        <v>0</v>
      </c>
      <c r="E67" s="31">
        <f>Roster!E68</f>
        <v>0</v>
      </c>
      <c r="G67" s="176"/>
      <c r="I67" s="176"/>
      <c r="J67" s="176"/>
      <c r="L67" s="176"/>
      <c r="N67" s="176"/>
      <c r="O67" s="176"/>
    </row>
    <row r="68" spans="1:15" x14ac:dyDescent="0.25">
      <c r="A68" s="47">
        <v>66</v>
      </c>
      <c r="B68" s="178">
        <f>Roster!B69</f>
        <v>66</v>
      </c>
      <c r="C68" s="177">
        <f>Roster!C69</f>
        <v>0</v>
      </c>
      <c r="D68" s="177">
        <f>Roster!D69</f>
        <v>0</v>
      </c>
      <c r="E68" s="31">
        <f>Roster!E69</f>
        <v>0</v>
      </c>
      <c r="G68" s="176"/>
      <c r="I68" s="176"/>
      <c r="J68" s="176"/>
      <c r="L68" s="176"/>
      <c r="N68" s="176"/>
      <c r="O68" s="176"/>
    </row>
    <row r="69" spans="1:15" x14ac:dyDescent="0.25">
      <c r="A69" s="47">
        <v>67</v>
      </c>
      <c r="B69" s="178">
        <f>Roster!B70</f>
        <v>67</v>
      </c>
      <c r="C69" s="177">
        <f>Roster!C70</f>
        <v>0</v>
      </c>
      <c r="D69" s="177">
        <f>Roster!D70</f>
        <v>0</v>
      </c>
      <c r="E69" s="31">
        <f>Roster!E70</f>
        <v>0</v>
      </c>
      <c r="G69" s="176"/>
      <c r="I69" s="176"/>
      <c r="J69" s="176"/>
      <c r="L69" s="176"/>
      <c r="N69" s="176"/>
      <c r="O69" s="176"/>
    </row>
    <row r="70" spans="1:15" x14ac:dyDescent="0.25">
      <c r="A70" s="47">
        <v>68</v>
      </c>
      <c r="B70" s="178">
        <f>Roster!B71</f>
        <v>68</v>
      </c>
      <c r="C70" s="177">
        <f>Roster!C71</f>
        <v>0</v>
      </c>
      <c r="D70" s="177">
        <f>Roster!D71</f>
        <v>0</v>
      </c>
      <c r="E70" s="31">
        <f>Roster!E71</f>
        <v>0</v>
      </c>
      <c r="G70" s="176"/>
      <c r="I70" s="176"/>
      <c r="J70" s="176"/>
      <c r="L70" s="176"/>
      <c r="N70" s="176"/>
      <c r="O70" s="176"/>
    </row>
    <row r="71" spans="1:15" x14ac:dyDescent="0.25">
      <c r="A71" s="47">
        <v>69</v>
      </c>
      <c r="B71" s="178">
        <f>Roster!B72</f>
        <v>69</v>
      </c>
      <c r="C71" s="177">
        <f>Roster!C72</f>
        <v>0</v>
      </c>
      <c r="D71" s="177">
        <f>Roster!D72</f>
        <v>0</v>
      </c>
      <c r="E71" s="31">
        <f>Roster!E72</f>
        <v>0</v>
      </c>
      <c r="G71" s="176"/>
      <c r="I71" s="176"/>
      <c r="J71" s="176"/>
      <c r="L71" s="176"/>
      <c r="N71" s="176"/>
      <c r="O71" s="176"/>
    </row>
    <row r="72" spans="1:15" x14ac:dyDescent="0.25">
      <c r="A72" s="47">
        <v>70</v>
      </c>
      <c r="B72" s="178">
        <f>Roster!B73</f>
        <v>70</v>
      </c>
      <c r="C72" s="177">
        <f>Roster!C73</f>
        <v>0</v>
      </c>
      <c r="D72" s="177">
        <f>Roster!D73</f>
        <v>0</v>
      </c>
      <c r="E72" s="31">
        <f>Roster!E73</f>
        <v>0</v>
      </c>
      <c r="G72" s="176"/>
      <c r="I72" s="176"/>
      <c r="J72" s="176"/>
      <c r="L72" s="176"/>
      <c r="N72" s="176"/>
      <c r="O72" s="176"/>
    </row>
    <row r="73" spans="1:15" x14ac:dyDescent="0.25">
      <c r="A73" s="47">
        <v>71</v>
      </c>
      <c r="B73" s="178">
        <f>Roster!B74</f>
        <v>71</v>
      </c>
      <c r="C73" s="177">
        <f>Roster!C74</f>
        <v>0</v>
      </c>
      <c r="D73" s="177">
        <f>Roster!D74</f>
        <v>0</v>
      </c>
      <c r="E73" s="31">
        <f>Roster!E74</f>
        <v>0</v>
      </c>
      <c r="G73" s="176"/>
      <c r="I73" s="176"/>
      <c r="J73" s="176"/>
      <c r="L73" s="176"/>
      <c r="N73" s="176"/>
      <c r="O73" s="176"/>
    </row>
    <row r="74" spans="1:15" x14ac:dyDescent="0.25">
      <c r="A74" s="47">
        <v>72</v>
      </c>
      <c r="B74" s="178">
        <f>Roster!B75</f>
        <v>72</v>
      </c>
      <c r="C74" s="177">
        <f>Roster!C75</f>
        <v>0</v>
      </c>
      <c r="D74" s="177">
        <f>Roster!D75</f>
        <v>0</v>
      </c>
      <c r="E74" s="31">
        <f>Roster!E75</f>
        <v>0</v>
      </c>
      <c r="G74" s="176"/>
      <c r="I74" s="176"/>
      <c r="J74" s="176"/>
      <c r="L74" s="176"/>
      <c r="N74" s="176"/>
      <c r="O74" s="176"/>
    </row>
    <row r="75" spans="1:15" x14ac:dyDescent="0.25">
      <c r="A75" s="47">
        <v>73</v>
      </c>
      <c r="B75" s="178">
        <f>Roster!B76</f>
        <v>73</v>
      </c>
      <c r="C75" s="177">
        <f>Roster!C76</f>
        <v>0</v>
      </c>
      <c r="D75" s="177">
        <f>Roster!D76</f>
        <v>0</v>
      </c>
      <c r="E75" s="31">
        <f>Roster!E76</f>
        <v>0</v>
      </c>
      <c r="G75" s="176"/>
      <c r="I75" s="176"/>
      <c r="J75" s="176"/>
      <c r="L75" s="176"/>
      <c r="N75" s="176"/>
      <c r="O75" s="176"/>
    </row>
    <row r="76" spans="1:15" x14ac:dyDescent="0.25">
      <c r="A76" s="47">
        <v>74</v>
      </c>
      <c r="B76" s="178">
        <f>Roster!B77</f>
        <v>74</v>
      </c>
      <c r="C76" s="177">
        <f>Roster!C77</f>
        <v>0</v>
      </c>
      <c r="D76" s="177">
        <f>Roster!D77</f>
        <v>0</v>
      </c>
      <c r="E76" s="31">
        <f>Roster!E77</f>
        <v>0</v>
      </c>
      <c r="G76" s="176"/>
      <c r="I76" s="176"/>
      <c r="J76" s="176"/>
      <c r="L76" s="176"/>
      <c r="N76" s="176"/>
      <c r="O76" s="176"/>
    </row>
    <row r="77" spans="1:15" x14ac:dyDescent="0.25">
      <c r="A77" s="47">
        <v>75</v>
      </c>
      <c r="B77" s="178">
        <f>Roster!B78</f>
        <v>75</v>
      </c>
      <c r="C77" s="177">
        <f>Roster!C78</f>
        <v>0</v>
      </c>
      <c r="D77" s="177">
        <f>Roster!D78</f>
        <v>0</v>
      </c>
      <c r="E77" s="31">
        <f>Roster!E78</f>
        <v>0</v>
      </c>
      <c r="G77" s="176"/>
      <c r="I77" s="176"/>
      <c r="J77" s="176"/>
      <c r="L77" s="176"/>
      <c r="N77" s="176"/>
      <c r="O77" s="176"/>
    </row>
    <row r="78" spans="1:15" x14ac:dyDescent="0.25">
      <c r="A78" s="47">
        <v>76</v>
      </c>
      <c r="B78" s="178">
        <f>Roster!B79</f>
        <v>76</v>
      </c>
      <c r="C78" s="177">
        <f>Roster!C79</f>
        <v>0</v>
      </c>
      <c r="D78" s="177">
        <f>Roster!D79</f>
        <v>0</v>
      </c>
      <c r="E78" s="31">
        <f>Roster!E79</f>
        <v>0</v>
      </c>
      <c r="G78" s="176"/>
      <c r="I78" s="176"/>
      <c r="J78" s="176"/>
      <c r="L78" s="176"/>
      <c r="N78" s="176"/>
      <c r="O78" s="176"/>
    </row>
    <row r="79" spans="1:15" x14ac:dyDescent="0.25">
      <c r="A79" s="47">
        <v>77</v>
      </c>
      <c r="B79" s="178">
        <f>Roster!B80</f>
        <v>77</v>
      </c>
      <c r="C79" s="177">
        <f>Roster!C80</f>
        <v>0</v>
      </c>
      <c r="D79" s="177">
        <f>Roster!D80</f>
        <v>0</v>
      </c>
      <c r="E79" s="31">
        <f>Roster!E80</f>
        <v>0</v>
      </c>
      <c r="G79" s="176"/>
      <c r="I79" s="176"/>
      <c r="J79" s="176"/>
      <c r="L79" s="176"/>
      <c r="N79" s="176"/>
      <c r="O79" s="176"/>
    </row>
    <row r="80" spans="1:15" x14ac:dyDescent="0.25">
      <c r="A80" s="47">
        <v>78</v>
      </c>
      <c r="B80" s="178">
        <f>Roster!B81</f>
        <v>78</v>
      </c>
      <c r="C80" s="177">
        <f>Roster!C81</f>
        <v>0</v>
      </c>
      <c r="D80" s="177">
        <f>Roster!D81</f>
        <v>0</v>
      </c>
      <c r="E80" s="31">
        <f>Roster!E81</f>
        <v>0</v>
      </c>
      <c r="G80" s="176"/>
      <c r="I80" s="176"/>
      <c r="J80" s="176"/>
      <c r="L80" s="176"/>
      <c r="N80" s="176"/>
      <c r="O80" s="176"/>
    </row>
    <row r="81" spans="1:15" x14ac:dyDescent="0.25">
      <c r="A81" s="47">
        <v>79</v>
      </c>
      <c r="B81" s="178">
        <f>Roster!B82</f>
        <v>79</v>
      </c>
      <c r="C81" s="177">
        <f>Roster!C82</f>
        <v>0</v>
      </c>
      <c r="D81" s="177">
        <f>Roster!D82</f>
        <v>0</v>
      </c>
      <c r="E81" s="31">
        <f>Roster!E82</f>
        <v>0</v>
      </c>
      <c r="G81" s="176"/>
      <c r="I81" s="176"/>
      <c r="J81" s="176"/>
      <c r="L81" s="176"/>
      <c r="N81" s="176"/>
      <c r="O81" s="176"/>
    </row>
    <row r="82" spans="1:15" x14ac:dyDescent="0.25">
      <c r="A82" s="47">
        <v>80</v>
      </c>
      <c r="B82" s="178">
        <f>Roster!B83</f>
        <v>80</v>
      </c>
      <c r="C82" s="177">
        <f>Roster!C83</f>
        <v>0</v>
      </c>
      <c r="D82" s="177">
        <f>Roster!D83</f>
        <v>0</v>
      </c>
      <c r="E82" s="31">
        <f>Roster!E83</f>
        <v>0</v>
      </c>
      <c r="G82" s="176"/>
      <c r="I82" s="176"/>
      <c r="J82" s="176"/>
      <c r="L82" s="176"/>
      <c r="N82" s="176"/>
      <c r="O82" s="176"/>
    </row>
    <row r="83" spans="1:15" x14ac:dyDescent="0.25">
      <c r="A83" s="47">
        <v>81</v>
      </c>
      <c r="B83" s="178">
        <f>Roster!B84</f>
        <v>81</v>
      </c>
      <c r="C83" s="177">
        <f>Roster!C84</f>
        <v>0</v>
      </c>
      <c r="D83" s="177">
        <f>Roster!D84</f>
        <v>0</v>
      </c>
      <c r="E83" s="31">
        <f>Roster!E84</f>
        <v>0</v>
      </c>
      <c r="G83" s="176"/>
      <c r="I83" s="176"/>
      <c r="J83" s="176"/>
      <c r="L83" s="176"/>
      <c r="N83" s="176"/>
      <c r="O83" s="176"/>
    </row>
    <row r="84" spans="1:15" x14ac:dyDescent="0.25">
      <c r="A84" s="47">
        <v>82</v>
      </c>
      <c r="B84" s="178">
        <f>Roster!B85</f>
        <v>82</v>
      </c>
      <c r="C84" s="177">
        <f>Roster!C85</f>
        <v>0</v>
      </c>
      <c r="D84" s="177">
        <f>Roster!D85</f>
        <v>0</v>
      </c>
      <c r="E84" s="31">
        <f>Roster!E85</f>
        <v>0</v>
      </c>
      <c r="G84" s="176"/>
      <c r="I84" s="176"/>
      <c r="J84" s="176"/>
      <c r="L84" s="176"/>
      <c r="N84" s="176"/>
      <c r="O84" s="176"/>
    </row>
    <row r="85" spans="1:15" x14ac:dyDescent="0.25">
      <c r="A85" s="47">
        <v>83</v>
      </c>
      <c r="B85" s="178">
        <f>Roster!B86</f>
        <v>83</v>
      </c>
      <c r="C85" s="177">
        <f>Roster!C86</f>
        <v>0</v>
      </c>
      <c r="D85" s="177">
        <f>Roster!D86</f>
        <v>0</v>
      </c>
      <c r="E85" s="31">
        <f>Roster!E86</f>
        <v>0</v>
      </c>
      <c r="G85" s="176"/>
      <c r="I85" s="176"/>
      <c r="J85" s="176"/>
      <c r="L85" s="176"/>
      <c r="N85" s="176"/>
      <c r="O85" s="176"/>
    </row>
    <row r="86" spans="1:15" x14ac:dyDescent="0.25">
      <c r="A86" s="47">
        <v>84</v>
      </c>
      <c r="B86" s="178">
        <f>Roster!B87</f>
        <v>84</v>
      </c>
      <c r="C86" s="177">
        <f>Roster!C87</f>
        <v>0</v>
      </c>
      <c r="D86" s="177">
        <f>Roster!D87</f>
        <v>0</v>
      </c>
      <c r="E86" s="31">
        <f>Roster!E87</f>
        <v>0</v>
      </c>
      <c r="G86" s="176"/>
      <c r="I86" s="176"/>
      <c r="J86" s="176"/>
      <c r="L86" s="176"/>
      <c r="N86" s="176"/>
      <c r="O86" s="176"/>
    </row>
    <row r="87" spans="1:15" x14ac:dyDescent="0.25">
      <c r="A87" s="47">
        <v>85</v>
      </c>
      <c r="B87" s="178">
        <f>Roster!B88</f>
        <v>85</v>
      </c>
      <c r="C87" s="177">
        <f>Roster!C88</f>
        <v>0</v>
      </c>
      <c r="D87" s="177">
        <f>Roster!D88</f>
        <v>0</v>
      </c>
      <c r="E87" s="31">
        <f>Roster!E88</f>
        <v>0</v>
      </c>
      <c r="G87" s="176"/>
      <c r="I87" s="176"/>
      <c r="J87" s="176"/>
      <c r="L87" s="176"/>
      <c r="N87" s="176"/>
      <c r="O87" s="176"/>
    </row>
    <row r="88" spans="1:15" x14ac:dyDescent="0.25">
      <c r="A88" s="47">
        <v>86</v>
      </c>
      <c r="B88" s="178">
        <f>Roster!B89</f>
        <v>86</v>
      </c>
      <c r="C88" s="177">
        <f>Roster!C89</f>
        <v>0</v>
      </c>
      <c r="D88" s="177">
        <f>Roster!D89</f>
        <v>0</v>
      </c>
      <c r="E88" s="31">
        <f>Roster!E89</f>
        <v>0</v>
      </c>
      <c r="G88" s="176"/>
      <c r="I88" s="176"/>
      <c r="J88" s="176"/>
      <c r="L88" s="176"/>
      <c r="N88" s="176"/>
      <c r="O88" s="176"/>
    </row>
    <row r="89" spans="1:15" x14ac:dyDescent="0.25">
      <c r="A89" s="47">
        <v>87</v>
      </c>
      <c r="B89" s="178">
        <f>Roster!B90</f>
        <v>87</v>
      </c>
      <c r="C89" s="177">
        <f>Roster!C90</f>
        <v>0</v>
      </c>
      <c r="D89" s="177">
        <f>Roster!D90</f>
        <v>0</v>
      </c>
      <c r="E89" s="31">
        <f>Roster!E90</f>
        <v>0</v>
      </c>
      <c r="G89" s="176"/>
      <c r="I89" s="176"/>
      <c r="J89" s="176"/>
      <c r="L89" s="176"/>
      <c r="N89" s="176"/>
      <c r="O89" s="176"/>
    </row>
    <row r="90" spans="1:15" x14ac:dyDescent="0.25">
      <c r="A90" s="47">
        <v>88</v>
      </c>
      <c r="B90" s="178">
        <f>Roster!B91</f>
        <v>88</v>
      </c>
      <c r="C90" s="177">
        <f>Roster!C91</f>
        <v>0</v>
      </c>
      <c r="D90" s="177">
        <f>Roster!D91</f>
        <v>0</v>
      </c>
      <c r="E90" s="31">
        <f>Roster!E91</f>
        <v>0</v>
      </c>
      <c r="G90" s="176"/>
      <c r="I90" s="176"/>
      <c r="J90" s="176"/>
      <c r="L90" s="176"/>
      <c r="N90" s="176"/>
      <c r="O90" s="176"/>
    </row>
    <row r="91" spans="1:15" x14ac:dyDescent="0.25">
      <c r="A91" s="47">
        <v>89</v>
      </c>
      <c r="B91" s="178">
        <f>Roster!B92</f>
        <v>89</v>
      </c>
      <c r="C91" s="177">
        <f>Roster!C92</f>
        <v>0</v>
      </c>
      <c r="D91" s="177">
        <f>Roster!D92</f>
        <v>0</v>
      </c>
      <c r="E91" s="31">
        <f>Roster!E92</f>
        <v>0</v>
      </c>
      <c r="G91" s="176"/>
      <c r="I91" s="176"/>
      <c r="J91" s="176"/>
      <c r="L91" s="176"/>
      <c r="N91" s="176"/>
      <c r="O91" s="176"/>
    </row>
    <row r="92" spans="1:15" x14ac:dyDescent="0.25">
      <c r="A92" s="47">
        <v>90</v>
      </c>
      <c r="B92" s="178">
        <f>Roster!B93</f>
        <v>0</v>
      </c>
      <c r="C92" s="177" t="str">
        <f>C$104</f>
        <v/>
      </c>
      <c r="D92" s="177" t="str">
        <f>D$104</f>
        <v/>
      </c>
      <c r="E92" s="31" t="str">
        <f>E$104</f>
        <v/>
      </c>
      <c r="G92" s="177">
        <f>G$104</f>
        <v>0</v>
      </c>
      <c r="I92" s="177">
        <f>I$104</f>
        <v>0</v>
      </c>
      <c r="J92" s="177">
        <f>J$104</f>
        <v>0</v>
      </c>
      <c r="L92" s="177">
        <f>L$104</f>
        <v>0</v>
      </c>
      <c r="N92" s="177">
        <f>N$104</f>
        <v>0</v>
      </c>
      <c r="O92" s="177">
        <f>O$104</f>
        <v>0</v>
      </c>
    </row>
    <row r="93" spans="1:15" x14ac:dyDescent="0.25">
      <c r="A93" s="47">
        <v>91</v>
      </c>
      <c r="B93" s="178">
        <f>Roster!B94</f>
        <v>91</v>
      </c>
      <c r="C93" s="177">
        <f>Roster!C94</f>
        <v>0</v>
      </c>
      <c r="D93" s="177">
        <f>Roster!D94</f>
        <v>0</v>
      </c>
      <c r="E93" s="31">
        <f>Roster!E94</f>
        <v>0</v>
      </c>
      <c r="G93" s="176"/>
      <c r="I93" s="176"/>
      <c r="J93" s="176"/>
      <c r="L93" s="176"/>
      <c r="N93" s="176"/>
      <c r="O93" s="176"/>
    </row>
    <row r="94" spans="1:15" x14ac:dyDescent="0.25">
      <c r="A94" s="47">
        <v>92</v>
      </c>
      <c r="B94" s="178">
        <f>Roster!B95</f>
        <v>92</v>
      </c>
      <c r="C94" s="177">
        <f>Roster!C95</f>
        <v>0</v>
      </c>
      <c r="D94" s="177">
        <f>Roster!D95</f>
        <v>0</v>
      </c>
      <c r="E94" s="31">
        <f>Roster!E95</f>
        <v>0</v>
      </c>
      <c r="G94" s="176"/>
      <c r="I94" s="176"/>
      <c r="J94" s="176"/>
      <c r="L94" s="176"/>
      <c r="N94" s="176"/>
      <c r="O94" s="176"/>
    </row>
    <row r="95" spans="1:15" x14ac:dyDescent="0.25">
      <c r="A95" s="47">
        <v>93</v>
      </c>
      <c r="B95" s="178">
        <f>Roster!B96</f>
        <v>93</v>
      </c>
      <c r="C95" s="177">
        <f>Roster!C96</f>
        <v>0</v>
      </c>
      <c r="D95" s="177">
        <f>Roster!D96</f>
        <v>0</v>
      </c>
      <c r="E95" s="31">
        <f>Roster!E96</f>
        <v>0</v>
      </c>
      <c r="G95" s="176"/>
      <c r="I95" s="176"/>
      <c r="J95" s="176"/>
      <c r="L95" s="176"/>
      <c r="N95" s="176"/>
      <c r="O95" s="176"/>
    </row>
    <row r="96" spans="1:15" x14ac:dyDescent="0.25">
      <c r="A96" s="47">
        <v>94</v>
      </c>
      <c r="B96" s="178">
        <f>Roster!B97</f>
        <v>94</v>
      </c>
      <c r="C96" s="177">
        <f>Roster!C97</f>
        <v>0</v>
      </c>
      <c r="D96" s="177">
        <f>Roster!D97</f>
        <v>0</v>
      </c>
      <c r="E96" s="31">
        <f>Roster!E97</f>
        <v>0</v>
      </c>
      <c r="G96" s="176"/>
      <c r="I96" s="176"/>
      <c r="J96" s="176"/>
      <c r="L96" s="176"/>
      <c r="N96" s="176"/>
      <c r="O96" s="176"/>
    </row>
    <row r="97" spans="1:15" x14ac:dyDescent="0.25">
      <c r="A97" s="47">
        <v>95</v>
      </c>
      <c r="B97" s="178">
        <f>Roster!B98</f>
        <v>95</v>
      </c>
      <c r="C97" s="177">
        <f>Roster!C98</f>
        <v>0</v>
      </c>
      <c r="D97" s="177">
        <f>Roster!D98</f>
        <v>0</v>
      </c>
      <c r="E97" s="31">
        <f>Roster!E98</f>
        <v>0</v>
      </c>
      <c r="G97" s="176"/>
      <c r="I97" s="176"/>
      <c r="J97" s="176"/>
      <c r="L97" s="176"/>
      <c r="N97" s="176"/>
      <c r="O97" s="176"/>
    </row>
    <row r="98" spans="1:15" x14ac:dyDescent="0.25">
      <c r="A98" s="47">
        <v>96</v>
      </c>
      <c r="B98" s="178">
        <f>Roster!B99</f>
        <v>96</v>
      </c>
      <c r="C98" s="177">
        <f>Roster!C99</f>
        <v>0</v>
      </c>
      <c r="D98" s="177">
        <f>Roster!D99</f>
        <v>0</v>
      </c>
      <c r="E98" s="31">
        <f>Roster!E99</f>
        <v>0</v>
      </c>
      <c r="G98" s="176"/>
      <c r="I98" s="176"/>
      <c r="J98" s="176"/>
      <c r="L98" s="176"/>
      <c r="N98" s="176"/>
      <c r="O98" s="176"/>
    </row>
    <row r="99" spans="1:15" x14ac:dyDescent="0.25">
      <c r="A99" s="47">
        <v>97</v>
      </c>
      <c r="B99" s="178">
        <f>Roster!B100</f>
        <v>97</v>
      </c>
      <c r="C99" s="177">
        <f>Roster!C100</f>
        <v>0</v>
      </c>
      <c r="D99" s="177">
        <f>Roster!D100</f>
        <v>0</v>
      </c>
      <c r="E99" s="31">
        <f>Roster!E100</f>
        <v>0</v>
      </c>
      <c r="G99" s="176"/>
      <c r="I99" s="176"/>
      <c r="J99" s="176"/>
      <c r="L99" s="176"/>
      <c r="N99" s="176"/>
      <c r="O99" s="176"/>
    </row>
    <row r="100" spans="1:15" x14ac:dyDescent="0.25">
      <c r="A100" s="47">
        <v>98</v>
      </c>
      <c r="B100" s="178">
        <f>Roster!B101</f>
        <v>98</v>
      </c>
      <c r="C100" s="177">
        <f>Roster!C101</f>
        <v>0</v>
      </c>
      <c r="D100" s="177">
        <f>Roster!D101</f>
        <v>0</v>
      </c>
      <c r="E100" s="31">
        <f>Roster!E101</f>
        <v>0</v>
      </c>
      <c r="G100" s="176"/>
      <c r="I100" s="176"/>
      <c r="J100" s="176"/>
      <c r="L100" s="176"/>
      <c r="N100" s="176"/>
      <c r="O100" s="176"/>
    </row>
    <row r="101" spans="1:15" x14ac:dyDescent="0.25">
      <c r="A101" s="47">
        <v>99</v>
      </c>
      <c r="B101" s="178" t="str">
        <f>Roster!B102</f>
        <v>00</v>
      </c>
      <c r="C101" s="177" t="str">
        <f>C$104</f>
        <v/>
      </c>
      <c r="D101" s="177" t="str">
        <f>D$104</f>
        <v/>
      </c>
      <c r="E101" s="31" t="str">
        <f>E$104</f>
        <v/>
      </c>
      <c r="G101" s="177">
        <f>G$104</f>
        <v>0</v>
      </c>
      <c r="I101" s="177">
        <f>I$104</f>
        <v>0</v>
      </c>
      <c r="J101" s="177">
        <f>J$104</f>
        <v>0</v>
      </c>
      <c r="L101" s="177">
        <f>L$104</f>
        <v>0</v>
      </c>
      <c r="N101" s="177">
        <f>N$104</f>
        <v>0</v>
      </c>
      <c r="O101" s="177">
        <f>O$104</f>
        <v>0</v>
      </c>
    </row>
    <row r="102" spans="1:15" ht="15.75" thickBot="1" x14ac:dyDescent="0.3"/>
    <row r="103" spans="1:15" ht="15.75" thickBot="1" x14ac:dyDescent="0.3">
      <c r="A103" s="197" t="s">
        <v>979</v>
      </c>
      <c r="B103" s="198"/>
      <c r="C103" s="198"/>
      <c r="D103" s="198"/>
      <c r="E103" s="198"/>
      <c r="F103" s="198"/>
      <c r="G103" s="198"/>
      <c r="H103" s="198"/>
      <c r="I103" s="198"/>
      <c r="J103" s="199"/>
      <c r="K103" s="211"/>
      <c r="L103" s="198"/>
      <c r="M103" s="198"/>
      <c r="N103" s="198"/>
      <c r="O103" s="199"/>
    </row>
    <row r="104" spans="1:15" x14ac:dyDescent="0.25">
      <c r="A104" s="47"/>
      <c r="B104" s="178">
        <f>Roster!B105</f>
        <v>0</v>
      </c>
      <c r="C104" s="177" t="str">
        <f>Roster!C102</f>
        <v/>
      </c>
      <c r="D104" s="177" t="str">
        <f>Roster!D102</f>
        <v/>
      </c>
      <c r="E104" s="31" t="str">
        <f>Roster!E102</f>
        <v/>
      </c>
      <c r="G104" s="176"/>
      <c r="I104" s="176"/>
      <c r="J104" s="176"/>
      <c r="L104" s="176"/>
      <c r="N104" s="176"/>
      <c r="O104" s="176"/>
    </row>
    <row r="105" spans="1:15" x14ac:dyDescent="0.25">
      <c r="H105" s="164"/>
      <c r="M105" s="164"/>
    </row>
    <row r="106" spans="1:15" ht="15.75" thickBot="1" x14ac:dyDescent="0.3">
      <c r="H106" s="164"/>
      <c r="M106" s="164"/>
    </row>
    <row r="107" spans="1:15" x14ac:dyDescent="0.25">
      <c r="A107" s="175" t="s">
        <v>939</v>
      </c>
      <c r="B107" s="174"/>
      <c r="C107" s="174"/>
      <c r="D107" s="174"/>
      <c r="E107" s="174"/>
      <c r="F107" s="174"/>
      <c r="G107" s="173"/>
      <c r="L107" s="173"/>
    </row>
    <row r="108" spans="1:15" x14ac:dyDescent="0.25">
      <c r="A108" s="172" t="s">
        <v>938</v>
      </c>
      <c r="B108" s="171"/>
      <c r="C108" s="170"/>
      <c r="D108" s="170"/>
      <c r="E108" s="170"/>
      <c r="F108" s="170"/>
      <c r="G108" s="169"/>
      <c r="L108" s="169"/>
    </row>
    <row r="109" spans="1:15" x14ac:dyDescent="0.25">
      <c r="A109" s="172" t="s">
        <v>937</v>
      </c>
      <c r="B109" s="171"/>
      <c r="C109" s="170"/>
      <c r="D109" s="170"/>
      <c r="E109" s="170"/>
      <c r="F109" s="170"/>
      <c r="G109" s="169"/>
      <c r="L109" s="169"/>
    </row>
    <row r="110" spans="1:15" ht="15.75" thickBot="1" x14ac:dyDescent="0.3">
      <c r="A110" s="168" t="s">
        <v>936</v>
      </c>
      <c r="B110" s="167"/>
      <c r="C110" s="166"/>
      <c r="D110" s="166"/>
      <c r="E110" s="166"/>
      <c r="F110" s="166"/>
      <c r="G110" s="165"/>
      <c r="L110" s="165"/>
    </row>
  </sheetData>
  <customSheetViews>
    <customSheetView guid="{792F7DB4-F0C7-4F6F-9D44-1CA398E3F0DC}" topLeftCell="A92">
      <selection activeCell="G2" sqref="G2:G101"/>
      <pageMargins left="0.7" right="0.7" top="0.75" bottom="0.75" header="0.3" footer="0.3"/>
    </customSheetView>
    <customSheetView guid="{BE266B8E-38B0-4631-9C30-67CA48A8BD7F}" topLeftCell="A2">
      <selection activeCell="G2" sqref="G2:G101"/>
      <pageMargins left="0.7" right="0.7" top="0.75" bottom="0.75" header="0.3" footer="0.3"/>
    </customSheetView>
    <customSheetView guid="{BD1DF852-269B-4C2F-AF89-1FA576EA4603}">
      <selection activeCell="B2" sqref="B2"/>
      <pageMargins left="0.7" right="0.7" top="0.75" bottom="0.75" header="0.3" footer="0.3"/>
    </customSheetView>
    <customSheetView guid="{6A3B2C41-2DBC-4B17-AB58-12C85E3A6B8A}">
      <pageMargins left="0.7" right="0.7" top="0.75" bottom="0.75" header="0.3" footer="0.3"/>
    </customSheetView>
    <customSheetView guid="{46B088B4-7F51-4D35-9F00-2268626FA819}" topLeftCell="A2">
      <selection activeCell="G2" sqref="G2:G101"/>
      <pageMargins left="0.7" right="0.7" top="0.75" bottom="0.75" header="0.3" footer="0.3"/>
    </customSheetView>
    <customSheetView guid="{42F19D52-E208-414F-9E2E-506DF902926F}">
      <pageMargins left="0.7" right="0.7" top="0.75" bottom="0.75" header="0.3" footer="0.3"/>
    </customSheetView>
    <customSheetView guid="{AC8CA20A-2130-4ED2-A745-85677B08F97C}">
      <selection activeCell="B2" sqref="B2"/>
      <pageMargins left="0.7" right="0.7" top="0.75" bottom="0.75" header="0.3" footer="0.3"/>
    </customSheetView>
    <customSheetView guid="{2F318324-B2A5-4EFB-BB30-8D1AF11C1A9F}" topLeftCell="A2">
      <selection activeCell="G2" sqref="G2:G10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106"/>
  <sheetViews>
    <sheetView workbookViewId="0">
      <selection activeCell="M26" sqref="M26"/>
    </sheetView>
  </sheetViews>
  <sheetFormatPr defaultRowHeight="15" x14ac:dyDescent="0.25"/>
  <cols>
    <col min="1" max="1" width="4.7109375" style="9" customWidth="1"/>
    <col min="2" max="2" width="9.140625" style="9"/>
    <col min="3" max="4" width="12.7109375" customWidth="1"/>
    <col min="5" max="5" width="10.7109375" style="9" customWidth="1"/>
    <col min="6" max="6" width="5.7109375" customWidth="1"/>
    <col min="7" max="7" width="30.7109375" customWidth="1"/>
    <col min="8" max="8" width="2.7109375" customWidth="1"/>
    <col min="9" max="9" width="30.7109375" customWidth="1"/>
    <col min="10" max="10" width="2.7109375" customWidth="1"/>
    <col min="11" max="11" width="30.7109375" customWidth="1"/>
    <col min="12" max="12" width="2.7109375" customWidth="1"/>
    <col min="13" max="13" width="30.7109375" customWidth="1"/>
  </cols>
  <sheetData>
    <row r="1" spans="1:13" x14ac:dyDescent="0.25">
      <c r="B1" s="183" t="s">
        <v>1027</v>
      </c>
      <c r="C1" s="59"/>
      <c r="D1" s="59"/>
      <c r="E1" s="182"/>
      <c r="F1" s="59"/>
      <c r="G1" s="184" t="s">
        <v>1025</v>
      </c>
      <c r="H1" s="184"/>
      <c r="I1" s="184" t="s">
        <v>1026</v>
      </c>
      <c r="J1" s="59"/>
      <c r="K1" s="184" t="s">
        <v>1060</v>
      </c>
      <c r="L1" s="184"/>
      <c r="M1" s="184" t="s">
        <v>1061</v>
      </c>
    </row>
    <row r="2" spans="1:13" x14ac:dyDescent="0.25">
      <c r="B2" s="181" t="s">
        <v>44</v>
      </c>
      <c r="C2" s="180" t="s">
        <v>45</v>
      </c>
      <c r="D2" s="180" t="s">
        <v>46</v>
      </c>
      <c r="E2" s="179" t="s">
        <v>47</v>
      </c>
      <c r="G2" s="179" t="s">
        <v>897</v>
      </c>
      <c r="I2" s="179" t="s">
        <v>897</v>
      </c>
      <c r="K2" s="179" t="s">
        <v>897</v>
      </c>
      <c r="M2" s="179" t="s">
        <v>897</v>
      </c>
    </row>
    <row r="3" spans="1:13" x14ac:dyDescent="0.25">
      <c r="A3" s="47">
        <v>1</v>
      </c>
      <c r="B3" s="178">
        <f>Roster!B4</f>
        <v>1</v>
      </c>
      <c r="C3" s="177" t="str">
        <f>Roster!C4</f>
        <v>Grace</v>
      </c>
      <c r="D3" s="177" t="str">
        <f>Roster!D4</f>
        <v>Penn</v>
      </c>
      <c r="E3" s="31" t="str">
        <f>Roster!E4</f>
        <v>S</v>
      </c>
      <c r="G3" s="176" t="s">
        <v>1028</v>
      </c>
      <c r="I3" s="176" t="s">
        <v>1029</v>
      </c>
      <c r="K3" s="176" t="s">
        <v>1062</v>
      </c>
      <c r="M3" s="176" t="s">
        <v>1063</v>
      </c>
    </row>
    <row r="4" spans="1:13" x14ac:dyDescent="0.25">
      <c r="A4" s="47">
        <v>2</v>
      </c>
      <c r="B4" s="178">
        <f>Roster!B5</f>
        <v>2</v>
      </c>
      <c r="C4" s="177" t="str">
        <f>Roster!C5</f>
        <v>Silvia</v>
      </c>
      <c r="D4" s="177" t="str">
        <f>Roster!D5</f>
        <v>Ianeselli</v>
      </c>
      <c r="E4" s="31" t="str">
        <f>Roster!E5</f>
        <v>OH</v>
      </c>
      <c r="G4" s="176"/>
      <c r="I4" s="176"/>
      <c r="K4" s="176"/>
      <c r="M4" s="176"/>
    </row>
    <row r="5" spans="1:13" x14ac:dyDescent="0.25">
      <c r="A5" s="47">
        <v>3</v>
      </c>
      <c r="B5" s="178">
        <f>Roster!B6</f>
        <v>3</v>
      </c>
      <c r="C5" s="177">
        <f>Roster!C6</f>
        <v>0</v>
      </c>
      <c r="D5" s="177">
        <f>Roster!D6</f>
        <v>0</v>
      </c>
      <c r="E5" s="31">
        <f>Roster!E6</f>
        <v>0</v>
      </c>
      <c r="G5" s="176"/>
      <c r="I5" s="176"/>
      <c r="K5" s="176"/>
      <c r="M5" s="176"/>
    </row>
    <row r="6" spans="1:13" x14ac:dyDescent="0.25">
      <c r="A6" s="47">
        <v>4</v>
      </c>
      <c r="B6" s="178">
        <f>Roster!B7</f>
        <v>4</v>
      </c>
      <c r="C6" s="177" t="str">
        <f>Roster!C7</f>
        <v>Anna</v>
      </c>
      <c r="D6" s="177" t="str">
        <f>Roster!D7</f>
        <v>Murphy</v>
      </c>
      <c r="E6" s="31" t="str">
        <f>Roster!E7</f>
        <v>L</v>
      </c>
      <c r="G6" s="176"/>
      <c r="I6" s="176"/>
      <c r="K6" s="176"/>
      <c r="M6" s="176"/>
    </row>
    <row r="7" spans="1:13" x14ac:dyDescent="0.25">
      <c r="A7" s="47">
        <v>5</v>
      </c>
      <c r="B7" s="178">
        <f>Roster!B8</f>
        <v>5</v>
      </c>
      <c r="C7" s="177" t="str">
        <f>Roster!C8</f>
        <v>Sophia</v>
      </c>
      <c r="D7" s="177" t="str">
        <f>Roster!D8</f>
        <v>Lambros</v>
      </c>
      <c r="E7" s="31" t="str">
        <f>Roster!E8</f>
        <v>S</v>
      </c>
      <c r="G7" s="176"/>
      <c r="I7" s="176"/>
      <c r="K7" s="176"/>
      <c r="M7" s="176"/>
    </row>
    <row r="8" spans="1:13" x14ac:dyDescent="0.25">
      <c r="A8" s="47">
        <v>6</v>
      </c>
      <c r="B8" s="178">
        <f>Roster!B9</f>
        <v>6</v>
      </c>
      <c r="C8" s="177" t="str">
        <f>Roster!C9</f>
        <v>Jenna</v>
      </c>
      <c r="D8" s="177" t="str">
        <f>Roster!D9</f>
        <v>Pollock</v>
      </c>
      <c r="E8" s="31" t="str">
        <f>Roster!E9</f>
        <v>MB/OPP</v>
      </c>
      <c r="G8" s="176"/>
      <c r="I8" s="176"/>
      <c r="K8" s="176"/>
      <c r="M8" s="176"/>
    </row>
    <row r="9" spans="1:13" x14ac:dyDescent="0.25">
      <c r="A9" s="47">
        <v>7</v>
      </c>
      <c r="B9" s="178">
        <f>Roster!B10</f>
        <v>7</v>
      </c>
      <c r="C9" s="177">
        <f>Roster!C10</f>
        <v>0</v>
      </c>
      <c r="D9" s="177">
        <f>Roster!D10</f>
        <v>0</v>
      </c>
      <c r="E9" s="31">
        <f>Roster!E10</f>
        <v>0</v>
      </c>
      <c r="G9" s="176"/>
      <c r="I9" s="176"/>
      <c r="K9" s="176"/>
      <c r="M9" s="176"/>
    </row>
    <row r="10" spans="1:13" x14ac:dyDescent="0.25">
      <c r="A10" s="47">
        <v>8</v>
      </c>
      <c r="B10" s="178">
        <f>Roster!B11</f>
        <v>8</v>
      </c>
      <c r="C10" s="177">
        <f>Roster!C11</f>
        <v>0</v>
      </c>
      <c r="D10" s="177">
        <f>Roster!D11</f>
        <v>0</v>
      </c>
      <c r="E10" s="31">
        <f>Roster!E11</f>
        <v>0</v>
      </c>
      <c r="G10" s="176"/>
      <c r="I10" s="176"/>
      <c r="K10" s="176"/>
      <c r="M10" s="176"/>
    </row>
    <row r="11" spans="1:13" x14ac:dyDescent="0.25">
      <c r="A11" s="47">
        <v>9</v>
      </c>
      <c r="B11" s="178">
        <f>Roster!B12</f>
        <v>9</v>
      </c>
      <c r="C11" s="177" t="str">
        <f>Roster!C12</f>
        <v>Katrina</v>
      </c>
      <c r="D11" s="177" t="str">
        <f>Roster!D12</f>
        <v>Jensen</v>
      </c>
      <c r="E11" s="31" t="str">
        <f>Roster!E12</f>
        <v>OH</v>
      </c>
      <c r="G11" s="176"/>
      <c r="I11" s="176"/>
      <c r="K11" s="176"/>
      <c r="M11" s="176"/>
    </row>
    <row r="12" spans="1:13" x14ac:dyDescent="0.25">
      <c r="A12" s="47">
        <v>10</v>
      </c>
      <c r="B12" s="178">
        <f>Roster!B13</f>
        <v>10</v>
      </c>
      <c r="C12" s="177" t="str">
        <f>Roster!C13</f>
        <v>Peyton</v>
      </c>
      <c r="D12" s="177" t="str">
        <f>Roster!D13</f>
        <v>Minyard</v>
      </c>
      <c r="E12" s="31" t="str">
        <f>Roster!E13</f>
        <v>MB</v>
      </c>
      <c r="G12" s="176"/>
      <c r="I12" s="176"/>
      <c r="K12" s="176"/>
      <c r="M12" s="176"/>
    </row>
    <row r="13" spans="1:13" x14ac:dyDescent="0.25">
      <c r="A13" s="47">
        <v>11</v>
      </c>
      <c r="B13" s="178">
        <f>Roster!B14</f>
        <v>11</v>
      </c>
      <c r="C13" s="177" t="str">
        <f>Roster!C14</f>
        <v>Alayna</v>
      </c>
      <c r="D13" s="177" t="str">
        <f>Roster!D14</f>
        <v>Crabtree</v>
      </c>
      <c r="E13" s="31" t="str">
        <f>Roster!E14</f>
        <v>OH</v>
      </c>
      <c r="G13" s="176"/>
      <c r="I13" s="176"/>
      <c r="K13" s="176"/>
      <c r="M13" s="176"/>
    </row>
    <row r="14" spans="1:13" x14ac:dyDescent="0.25">
      <c r="A14" s="47">
        <v>12</v>
      </c>
      <c r="B14" s="178">
        <f>Roster!B15</f>
        <v>12</v>
      </c>
      <c r="C14" s="177" t="str">
        <f>Roster!C15</f>
        <v>Izzy</v>
      </c>
      <c r="D14" s="177" t="str">
        <f>Roster!D15</f>
        <v>Clavenna</v>
      </c>
      <c r="E14" s="31" t="str">
        <f>Roster!E15</f>
        <v>S</v>
      </c>
      <c r="G14" s="176"/>
      <c r="I14" s="176"/>
      <c r="K14" s="176"/>
      <c r="M14" s="176"/>
    </row>
    <row r="15" spans="1:13" x14ac:dyDescent="0.25">
      <c r="A15" s="47">
        <v>13</v>
      </c>
      <c r="B15" s="178">
        <f>Roster!B16</f>
        <v>13</v>
      </c>
      <c r="C15" s="177">
        <f>Roster!C16</f>
        <v>0</v>
      </c>
      <c r="D15" s="177">
        <f>Roster!D16</f>
        <v>0</v>
      </c>
      <c r="E15" s="31">
        <f>Roster!E16</f>
        <v>0</v>
      </c>
      <c r="G15" s="176"/>
      <c r="I15" s="176"/>
      <c r="K15" s="176"/>
      <c r="M15" s="176"/>
    </row>
    <row r="16" spans="1:13" x14ac:dyDescent="0.25">
      <c r="A16" s="47">
        <v>14</v>
      </c>
      <c r="B16" s="178">
        <f>Roster!B17</f>
        <v>14</v>
      </c>
      <c r="C16" s="177">
        <f>Roster!C17</f>
        <v>0</v>
      </c>
      <c r="D16" s="177">
        <f>Roster!D17</f>
        <v>0</v>
      </c>
      <c r="E16" s="31">
        <f>Roster!E17</f>
        <v>0</v>
      </c>
      <c r="G16" s="176"/>
      <c r="I16" s="176"/>
      <c r="K16" s="176"/>
      <c r="M16" s="176"/>
    </row>
    <row r="17" spans="1:13" x14ac:dyDescent="0.25">
      <c r="A17" s="47">
        <v>15</v>
      </c>
      <c r="B17" s="178">
        <f>Roster!B18</f>
        <v>15</v>
      </c>
      <c r="C17" s="177">
        <f>Roster!C18</f>
        <v>0</v>
      </c>
      <c r="D17" s="177">
        <f>Roster!D18</f>
        <v>0</v>
      </c>
      <c r="E17" s="31">
        <f>Roster!E18</f>
        <v>0</v>
      </c>
      <c r="G17" s="176"/>
      <c r="I17" s="176"/>
      <c r="K17" s="176"/>
      <c r="M17" s="176"/>
    </row>
    <row r="18" spans="1:13" x14ac:dyDescent="0.25">
      <c r="A18" s="47">
        <v>16</v>
      </c>
      <c r="B18" s="178">
        <f>Roster!B19</f>
        <v>16</v>
      </c>
      <c r="C18" s="177">
        <f>Roster!C19</f>
        <v>0</v>
      </c>
      <c r="D18" s="177">
        <f>Roster!D19</f>
        <v>0</v>
      </c>
      <c r="E18" s="31">
        <f>Roster!E19</f>
        <v>0</v>
      </c>
      <c r="G18" s="176"/>
      <c r="I18" s="176"/>
      <c r="K18" s="176"/>
      <c r="M18" s="176"/>
    </row>
    <row r="19" spans="1:13" x14ac:dyDescent="0.25">
      <c r="A19" s="47">
        <v>17</v>
      </c>
      <c r="B19" s="178">
        <f>Roster!B20</f>
        <v>17</v>
      </c>
      <c r="C19" s="177" t="str">
        <f>Roster!C20</f>
        <v>Cornelia</v>
      </c>
      <c r="D19" s="177" t="str">
        <f>Roster!D20</f>
        <v>Roach</v>
      </c>
      <c r="E19" s="31" t="str">
        <f>Roster!E20</f>
        <v>MB</v>
      </c>
      <c r="G19" s="176"/>
      <c r="I19" s="176"/>
      <c r="K19" s="176"/>
      <c r="M19" s="176"/>
    </row>
    <row r="20" spans="1:13" x14ac:dyDescent="0.25">
      <c r="A20" s="47">
        <v>18</v>
      </c>
      <c r="B20" s="178">
        <f>Roster!B21</f>
        <v>18</v>
      </c>
      <c r="C20" s="177" t="str">
        <f>Roster!C21</f>
        <v>Bridget</v>
      </c>
      <c r="D20" s="177" t="str">
        <f>Roster!D21</f>
        <v>Green</v>
      </c>
      <c r="E20" s="31" t="str">
        <f>Roster!E21</f>
        <v>L</v>
      </c>
      <c r="G20" s="176"/>
      <c r="I20" s="176"/>
      <c r="K20" s="176"/>
      <c r="M20" s="176"/>
    </row>
    <row r="21" spans="1:13" x14ac:dyDescent="0.25">
      <c r="A21" s="47">
        <v>19</v>
      </c>
      <c r="B21" s="178">
        <f>Roster!B22</f>
        <v>19</v>
      </c>
      <c r="C21" s="177" t="str">
        <f>Roster!C22</f>
        <v>Jane</v>
      </c>
      <c r="D21" s="177" t="str">
        <f>Roster!D22</f>
        <v>Petrie</v>
      </c>
      <c r="E21" s="31" t="str">
        <f>Roster!E22</f>
        <v>S</v>
      </c>
      <c r="G21" s="176"/>
      <c r="I21" s="176"/>
      <c r="K21" s="176"/>
      <c r="M21" s="176"/>
    </row>
    <row r="22" spans="1:13" x14ac:dyDescent="0.25">
      <c r="A22" s="47">
        <v>20</v>
      </c>
      <c r="B22" s="178">
        <f>Roster!B23</f>
        <v>20</v>
      </c>
      <c r="C22" s="177">
        <f>Roster!C23</f>
        <v>0</v>
      </c>
      <c r="D22" s="177">
        <f>Roster!D23</f>
        <v>0</v>
      </c>
      <c r="E22" s="31">
        <f>Roster!E23</f>
        <v>0</v>
      </c>
      <c r="G22" s="176"/>
      <c r="I22" s="176"/>
      <c r="K22" s="176"/>
      <c r="M22" s="176"/>
    </row>
    <row r="23" spans="1:13" x14ac:dyDescent="0.25">
      <c r="A23" s="47">
        <v>21</v>
      </c>
      <c r="B23" s="178">
        <f>Roster!B24</f>
        <v>21</v>
      </c>
      <c r="C23" s="177" t="str">
        <f>Roster!C24</f>
        <v>Nikki</v>
      </c>
      <c r="D23" s="177" t="str">
        <f>Roster!D24</f>
        <v>Steinheiser</v>
      </c>
      <c r="E23" s="31" t="str">
        <f>Roster!E24</f>
        <v>OH</v>
      </c>
      <c r="G23" s="176"/>
      <c r="I23" s="176"/>
      <c r="K23" s="176"/>
      <c r="M23" s="176"/>
    </row>
    <row r="24" spans="1:13" x14ac:dyDescent="0.25">
      <c r="A24" s="47">
        <v>22</v>
      </c>
      <c r="B24" s="178">
        <f>Roster!B25</f>
        <v>22</v>
      </c>
      <c r="C24" s="177">
        <f>Roster!C25</f>
        <v>0</v>
      </c>
      <c r="D24" s="177">
        <f>Roster!D25</f>
        <v>0</v>
      </c>
      <c r="E24" s="31">
        <f>Roster!E25</f>
        <v>0</v>
      </c>
      <c r="G24" s="176"/>
      <c r="I24" s="176"/>
      <c r="K24" s="176"/>
      <c r="M24" s="176"/>
    </row>
    <row r="25" spans="1:13" x14ac:dyDescent="0.25">
      <c r="A25" s="47">
        <v>23</v>
      </c>
      <c r="B25" s="178">
        <f>Roster!B26</f>
        <v>23</v>
      </c>
      <c r="C25" s="177" t="str">
        <f>Roster!C26</f>
        <v>Julia</v>
      </c>
      <c r="D25" s="177" t="str">
        <f>Roster!D26</f>
        <v>Haggerty</v>
      </c>
      <c r="E25" s="31" t="str">
        <f>Roster!E26</f>
        <v>MB/OPP</v>
      </c>
      <c r="G25" s="176"/>
      <c r="I25" s="176"/>
      <c r="K25" s="176"/>
      <c r="M25" s="176"/>
    </row>
    <row r="26" spans="1:13" x14ac:dyDescent="0.25">
      <c r="A26" s="47">
        <v>24</v>
      </c>
      <c r="B26" s="178">
        <f>Roster!B27</f>
        <v>24</v>
      </c>
      <c r="C26" s="177">
        <f>Roster!C27</f>
        <v>0</v>
      </c>
      <c r="D26" s="177">
        <f>Roster!D27</f>
        <v>0</v>
      </c>
      <c r="E26" s="31">
        <f>Roster!E27</f>
        <v>0</v>
      </c>
      <c r="G26" s="176"/>
      <c r="I26" s="176"/>
      <c r="K26" s="176"/>
      <c r="M26" s="176"/>
    </row>
    <row r="27" spans="1:13" x14ac:dyDescent="0.25">
      <c r="A27" s="47">
        <v>25</v>
      </c>
      <c r="B27" s="178">
        <f>Roster!B28</f>
        <v>25</v>
      </c>
      <c r="C27" s="177">
        <f>Roster!C28</f>
        <v>0</v>
      </c>
      <c r="D27" s="177">
        <f>Roster!D28</f>
        <v>0</v>
      </c>
      <c r="E27" s="31">
        <f>Roster!E28</f>
        <v>0</v>
      </c>
      <c r="G27" s="176"/>
      <c r="I27" s="176"/>
      <c r="K27" s="176"/>
      <c r="M27" s="176"/>
    </row>
    <row r="28" spans="1:13" x14ac:dyDescent="0.25">
      <c r="A28" s="47">
        <v>26</v>
      </c>
      <c r="B28" s="178">
        <f>Roster!B29</f>
        <v>26</v>
      </c>
      <c r="C28" s="177">
        <f>Roster!C29</f>
        <v>0</v>
      </c>
      <c r="D28" s="177">
        <f>Roster!D29</f>
        <v>0</v>
      </c>
      <c r="E28" s="31">
        <f>Roster!E29</f>
        <v>0</v>
      </c>
      <c r="G28" s="176"/>
      <c r="I28" s="176"/>
      <c r="K28" s="176"/>
      <c r="M28" s="176"/>
    </row>
    <row r="29" spans="1:13" x14ac:dyDescent="0.25">
      <c r="A29" s="47">
        <v>27</v>
      </c>
      <c r="B29" s="178">
        <f>Roster!B30</f>
        <v>27</v>
      </c>
      <c r="C29" s="177">
        <f>Roster!C30</f>
        <v>0</v>
      </c>
      <c r="D29" s="177">
        <f>Roster!D30</f>
        <v>0</v>
      </c>
      <c r="E29" s="31">
        <f>Roster!E30</f>
        <v>0</v>
      </c>
      <c r="G29" s="176"/>
      <c r="I29" s="176"/>
      <c r="K29" s="176"/>
      <c r="M29" s="176"/>
    </row>
    <row r="30" spans="1:13" x14ac:dyDescent="0.25">
      <c r="A30" s="47">
        <v>28</v>
      </c>
      <c r="B30" s="178">
        <f>Roster!B31</f>
        <v>28</v>
      </c>
      <c r="C30" s="177">
        <f>Roster!C31</f>
        <v>0</v>
      </c>
      <c r="D30" s="177">
        <f>Roster!D31</f>
        <v>0</v>
      </c>
      <c r="E30" s="31">
        <f>Roster!E31</f>
        <v>0</v>
      </c>
      <c r="G30" s="176"/>
      <c r="I30" s="176"/>
      <c r="K30" s="176"/>
      <c r="M30" s="176"/>
    </row>
    <row r="31" spans="1:13" x14ac:dyDescent="0.25">
      <c r="A31" s="47">
        <v>29</v>
      </c>
      <c r="B31" s="178">
        <f>Roster!B32</f>
        <v>29</v>
      </c>
      <c r="C31" s="177">
        <f>Roster!C32</f>
        <v>0</v>
      </c>
      <c r="D31" s="177">
        <f>Roster!D32</f>
        <v>0</v>
      </c>
      <c r="E31" s="31">
        <f>Roster!E32</f>
        <v>0</v>
      </c>
      <c r="G31" s="176"/>
      <c r="I31" s="176"/>
      <c r="K31" s="176"/>
      <c r="M31" s="176"/>
    </row>
    <row r="32" spans="1:13" x14ac:dyDescent="0.25">
      <c r="A32" s="47">
        <v>30</v>
      </c>
      <c r="B32" s="178">
        <f>Roster!B33</f>
        <v>30</v>
      </c>
      <c r="C32" s="177">
        <f>Roster!C33</f>
        <v>0</v>
      </c>
      <c r="D32" s="177">
        <f>Roster!D33</f>
        <v>0</v>
      </c>
      <c r="E32" s="31">
        <f>Roster!E33</f>
        <v>0</v>
      </c>
      <c r="G32" s="176"/>
      <c r="I32" s="176"/>
      <c r="K32" s="176"/>
      <c r="M32" s="176"/>
    </row>
    <row r="33" spans="1:13" x14ac:dyDescent="0.25">
      <c r="A33" s="47">
        <v>31</v>
      </c>
      <c r="B33" s="178">
        <f>Roster!B34</f>
        <v>31</v>
      </c>
      <c r="C33" s="177">
        <f>Roster!C34</f>
        <v>0</v>
      </c>
      <c r="D33" s="177">
        <f>Roster!D34</f>
        <v>0</v>
      </c>
      <c r="E33" s="31">
        <f>Roster!E34</f>
        <v>0</v>
      </c>
      <c r="G33" s="176"/>
      <c r="I33" s="176"/>
      <c r="K33" s="176"/>
      <c r="M33" s="176"/>
    </row>
    <row r="34" spans="1:13" x14ac:dyDescent="0.25">
      <c r="A34" s="47">
        <v>32</v>
      </c>
      <c r="B34" s="178">
        <f>Roster!B35</f>
        <v>32</v>
      </c>
      <c r="C34" s="177">
        <f>Roster!C35</f>
        <v>0</v>
      </c>
      <c r="D34" s="177">
        <f>Roster!D35</f>
        <v>0</v>
      </c>
      <c r="E34" s="31">
        <f>Roster!E35</f>
        <v>0</v>
      </c>
      <c r="G34" s="176"/>
      <c r="I34" s="176"/>
      <c r="K34" s="176"/>
      <c r="M34" s="176"/>
    </row>
    <row r="35" spans="1:13" x14ac:dyDescent="0.25">
      <c r="A35" s="47">
        <v>33</v>
      </c>
      <c r="B35" s="178">
        <f>Roster!B36</f>
        <v>33</v>
      </c>
      <c r="C35" s="177">
        <f>Roster!C36</f>
        <v>0</v>
      </c>
      <c r="D35" s="177">
        <f>Roster!D36</f>
        <v>0</v>
      </c>
      <c r="E35" s="31">
        <f>Roster!E36</f>
        <v>0</v>
      </c>
      <c r="G35" s="176"/>
      <c r="I35" s="176"/>
      <c r="K35" s="176"/>
      <c r="M35" s="176"/>
    </row>
    <row r="36" spans="1:13" x14ac:dyDescent="0.25">
      <c r="A36" s="47">
        <v>34</v>
      </c>
      <c r="B36" s="178">
        <f>Roster!B37</f>
        <v>34</v>
      </c>
      <c r="C36" s="177">
        <f>Roster!C37</f>
        <v>0</v>
      </c>
      <c r="D36" s="177">
        <f>Roster!D37</f>
        <v>0</v>
      </c>
      <c r="E36" s="31">
        <f>Roster!E37</f>
        <v>0</v>
      </c>
      <c r="G36" s="176"/>
      <c r="I36" s="176"/>
      <c r="K36" s="176"/>
      <c r="M36" s="176"/>
    </row>
    <row r="37" spans="1:13" x14ac:dyDescent="0.25">
      <c r="A37" s="47">
        <v>35</v>
      </c>
      <c r="B37" s="178">
        <f>Roster!B38</f>
        <v>35</v>
      </c>
      <c r="C37" s="177">
        <f>Roster!C38</f>
        <v>0</v>
      </c>
      <c r="D37" s="177">
        <f>Roster!D38</f>
        <v>0</v>
      </c>
      <c r="E37" s="31">
        <f>Roster!E38</f>
        <v>0</v>
      </c>
      <c r="G37" s="176"/>
      <c r="I37" s="176"/>
      <c r="K37" s="176"/>
      <c r="M37" s="176"/>
    </row>
    <row r="38" spans="1:13" x14ac:dyDescent="0.25">
      <c r="A38" s="47">
        <v>36</v>
      </c>
      <c r="B38" s="178">
        <f>Roster!B39</f>
        <v>36</v>
      </c>
      <c r="C38" s="177">
        <f>Roster!C39</f>
        <v>0</v>
      </c>
      <c r="D38" s="177">
        <f>Roster!D39</f>
        <v>0</v>
      </c>
      <c r="E38" s="31">
        <f>Roster!E39</f>
        <v>0</v>
      </c>
      <c r="G38" s="176"/>
      <c r="I38" s="176"/>
      <c r="K38" s="176"/>
      <c r="M38" s="176"/>
    </row>
    <row r="39" spans="1:13" x14ac:dyDescent="0.25">
      <c r="A39" s="47">
        <v>37</v>
      </c>
      <c r="B39" s="178">
        <f>Roster!B40</f>
        <v>37</v>
      </c>
      <c r="C39" s="177">
        <f>Roster!C40</f>
        <v>0</v>
      </c>
      <c r="D39" s="177">
        <f>Roster!D40</f>
        <v>0</v>
      </c>
      <c r="E39" s="31">
        <f>Roster!E40</f>
        <v>0</v>
      </c>
      <c r="G39" s="176"/>
      <c r="I39" s="176"/>
      <c r="K39" s="176"/>
      <c r="M39" s="176"/>
    </row>
    <row r="40" spans="1:13" x14ac:dyDescent="0.25">
      <c r="A40" s="47">
        <v>38</v>
      </c>
      <c r="B40" s="178">
        <f>Roster!B41</f>
        <v>38</v>
      </c>
      <c r="C40" s="177">
        <f>Roster!C41</f>
        <v>0</v>
      </c>
      <c r="D40" s="177">
        <f>Roster!D41</f>
        <v>0</v>
      </c>
      <c r="E40" s="31">
        <f>Roster!E41</f>
        <v>0</v>
      </c>
      <c r="G40" s="176"/>
      <c r="I40" s="176"/>
      <c r="K40" s="176"/>
      <c r="M40" s="176"/>
    </row>
    <row r="41" spans="1:13" x14ac:dyDescent="0.25">
      <c r="A41" s="47">
        <v>39</v>
      </c>
      <c r="B41" s="178">
        <f>Roster!B42</f>
        <v>39</v>
      </c>
      <c r="C41" s="177">
        <f>Roster!C42</f>
        <v>0</v>
      </c>
      <c r="D41" s="177">
        <f>Roster!D42</f>
        <v>0</v>
      </c>
      <c r="E41" s="31">
        <f>Roster!E42</f>
        <v>0</v>
      </c>
      <c r="G41" s="176"/>
      <c r="I41" s="176"/>
      <c r="K41" s="176"/>
      <c r="M41" s="176"/>
    </row>
    <row r="42" spans="1:13" x14ac:dyDescent="0.25">
      <c r="A42" s="47">
        <v>40</v>
      </c>
      <c r="B42" s="178">
        <f>Roster!B43</f>
        <v>40</v>
      </c>
      <c r="C42" s="177">
        <f>Roster!C43</f>
        <v>0</v>
      </c>
      <c r="D42" s="177">
        <f>Roster!D43</f>
        <v>0</v>
      </c>
      <c r="E42" s="31">
        <f>Roster!E43</f>
        <v>0</v>
      </c>
      <c r="G42" s="176"/>
      <c r="I42" s="176"/>
      <c r="K42" s="176"/>
      <c r="M42" s="176"/>
    </row>
    <row r="43" spans="1:13" x14ac:dyDescent="0.25">
      <c r="A43" s="47">
        <v>41</v>
      </c>
      <c r="B43" s="178">
        <f>Roster!B44</f>
        <v>41</v>
      </c>
      <c r="C43" s="177">
        <f>Roster!C44</f>
        <v>0</v>
      </c>
      <c r="D43" s="177">
        <f>Roster!D44</f>
        <v>0</v>
      </c>
      <c r="E43" s="31">
        <f>Roster!E44</f>
        <v>0</v>
      </c>
      <c r="G43" s="176"/>
      <c r="I43" s="176"/>
      <c r="K43" s="176"/>
      <c r="M43" s="176"/>
    </row>
    <row r="44" spans="1:13" x14ac:dyDescent="0.25">
      <c r="A44" s="47">
        <v>42</v>
      </c>
      <c r="B44" s="178">
        <f>Roster!B45</f>
        <v>42</v>
      </c>
      <c r="C44" s="177">
        <f>Roster!C45</f>
        <v>0</v>
      </c>
      <c r="D44" s="177">
        <f>Roster!D45</f>
        <v>0</v>
      </c>
      <c r="E44" s="31">
        <f>Roster!E45</f>
        <v>0</v>
      </c>
      <c r="G44" s="176"/>
      <c r="I44" s="176"/>
      <c r="K44" s="176"/>
      <c r="M44" s="176"/>
    </row>
    <row r="45" spans="1:13" x14ac:dyDescent="0.25">
      <c r="A45" s="47">
        <v>43</v>
      </c>
      <c r="B45" s="178">
        <f>Roster!B46</f>
        <v>43</v>
      </c>
      <c r="C45" s="177">
        <f>Roster!C46</f>
        <v>0</v>
      </c>
      <c r="D45" s="177">
        <f>Roster!D46</f>
        <v>0</v>
      </c>
      <c r="E45" s="31">
        <f>Roster!E46</f>
        <v>0</v>
      </c>
      <c r="G45" s="176"/>
      <c r="I45" s="176"/>
      <c r="K45" s="176"/>
      <c r="M45" s="176"/>
    </row>
    <row r="46" spans="1:13" x14ac:dyDescent="0.25">
      <c r="A46" s="47">
        <v>44</v>
      </c>
      <c r="B46" s="178">
        <f>Roster!B47</f>
        <v>44</v>
      </c>
      <c r="C46" s="177">
        <f>Roster!C47</f>
        <v>0</v>
      </c>
      <c r="D46" s="177">
        <f>Roster!D47</f>
        <v>0</v>
      </c>
      <c r="E46" s="31">
        <f>Roster!E47</f>
        <v>0</v>
      </c>
      <c r="G46" s="176"/>
      <c r="I46" s="176"/>
      <c r="K46" s="176"/>
      <c r="M46" s="176"/>
    </row>
    <row r="47" spans="1:13" x14ac:dyDescent="0.25">
      <c r="A47" s="47">
        <v>45</v>
      </c>
      <c r="B47" s="178">
        <f>Roster!B48</f>
        <v>45</v>
      </c>
      <c r="C47" s="177">
        <f>Roster!C48</f>
        <v>0</v>
      </c>
      <c r="D47" s="177">
        <f>Roster!D48</f>
        <v>0</v>
      </c>
      <c r="E47" s="31">
        <f>Roster!E48</f>
        <v>0</v>
      </c>
      <c r="G47" s="176"/>
      <c r="I47" s="176"/>
      <c r="K47" s="176"/>
      <c r="M47" s="176"/>
    </row>
    <row r="48" spans="1:13" x14ac:dyDescent="0.25">
      <c r="A48" s="47">
        <v>46</v>
      </c>
      <c r="B48" s="178">
        <f>Roster!B49</f>
        <v>46</v>
      </c>
      <c r="C48" s="177">
        <f>Roster!C49</f>
        <v>0</v>
      </c>
      <c r="D48" s="177">
        <f>Roster!D49</f>
        <v>0</v>
      </c>
      <c r="E48" s="31">
        <f>Roster!E49</f>
        <v>0</v>
      </c>
      <c r="G48" s="176"/>
      <c r="I48" s="176"/>
      <c r="K48" s="176"/>
      <c r="M48" s="176"/>
    </row>
    <row r="49" spans="1:13" x14ac:dyDescent="0.25">
      <c r="A49" s="47">
        <v>47</v>
      </c>
      <c r="B49" s="178">
        <f>Roster!B50</f>
        <v>47</v>
      </c>
      <c r="C49" s="177">
        <f>Roster!C50</f>
        <v>0</v>
      </c>
      <c r="D49" s="177">
        <f>Roster!D50</f>
        <v>0</v>
      </c>
      <c r="E49" s="31">
        <f>Roster!E50</f>
        <v>0</v>
      </c>
      <c r="G49" s="176"/>
      <c r="I49" s="176"/>
      <c r="K49" s="176"/>
      <c r="M49" s="176"/>
    </row>
    <row r="50" spans="1:13" x14ac:dyDescent="0.25">
      <c r="A50" s="47">
        <v>48</v>
      </c>
      <c r="B50" s="178">
        <f>Roster!B51</f>
        <v>48</v>
      </c>
      <c r="C50" s="177">
        <f>Roster!C51</f>
        <v>0</v>
      </c>
      <c r="D50" s="177">
        <f>Roster!D51</f>
        <v>0</v>
      </c>
      <c r="E50" s="31">
        <f>Roster!E51</f>
        <v>0</v>
      </c>
      <c r="G50" s="176"/>
      <c r="I50" s="176"/>
      <c r="K50" s="176"/>
      <c r="M50" s="176"/>
    </row>
    <row r="51" spans="1:13" x14ac:dyDescent="0.25">
      <c r="A51" s="47">
        <v>49</v>
      </c>
      <c r="B51" s="178">
        <f>Roster!B52</f>
        <v>49</v>
      </c>
      <c r="C51" s="177">
        <f>Roster!C52</f>
        <v>0</v>
      </c>
      <c r="D51" s="177">
        <f>Roster!D52</f>
        <v>0</v>
      </c>
      <c r="E51" s="31">
        <f>Roster!E52</f>
        <v>0</v>
      </c>
      <c r="G51" s="176"/>
      <c r="I51" s="176"/>
      <c r="K51" s="176"/>
      <c r="M51" s="176"/>
    </row>
    <row r="52" spans="1:13" x14ac:dyDescent="0.25">
      <c r="A52" s="47">
        <v>50</v>
      </c>
      <c r="B52" s="178">
        <f>Roster!B53</f>
        <v>50</v>
      </c>
      <c r="C52" s="177">
        <f>Roster!C53</f>
        <v>0</v>
      </c>
      <c r="D52" s="177">
        <f>Roster!D53</f>
        <v>0</v>
      </c>
      <c r="E52" s="31">
        <f>Roster!E53</f>
        <v>0</v>
      </c>
      <c r="G52" s="176"/>
      <c r="I52" s="176"/>
      <c r="K52" s="176"/>
      <c r="M52" s="176"/>
    </row>
    <row r="53" spans="1:13" x14ac:dyDescent="0.25">
      <c r="A53" s="47">
        <v>51</v>
      </c>
      <c r="B53" s="178">
        <f>Roster!B54</f>
        <v>51</v>
      </c>
      <c r="C53" s="177">
        <f>Roster!C54</f>
        <v>0</v>
      </c>
      <c r="D53" s="177">
        <f>Roster!D54</f>
        <v>0</v>
      </c>
      <c r="E53" s="31">
        <f>Roster!E54</f>
        <v>0</v>
      </c>
      <c r="G53" s="176"/>
      <c r="I53" s="176"/>
      <c r="K53" s="176"/>
      <c r="M53" s="176"/>
    </row>
    <row r="54" spans="1:13" x14ac:dyDescent="0.25">
      <c r="A54" s="47">
        <v>52</v>
      </c>
      <c r="B54" s="178">
        <f>Roster!B55</f>
        <v>52</v>
      </c>
      <c r="C54" s="177">
        <f>Roster!C55</f>
        <v>0</v>
      </c>
      <c r="D54" s="177">
        <f>Roster!D55</f>
        <v>0</v>
      </c>
      <c r="E54" s="31">
        <f>Roster!E55</f>
        <v>0</v>
      </c>
      <c r="G54" s="176"/>
      <c r="I54" s="176"/>
      <c r="K54" s="176"/>
      <c r="M54" s="176"/>
    </row>
    <row r="55" spans="1:13" x14ac:dyDescent="0.25">
      <c r="A55" s="47">
        <v>53</v>
      </c>
      <c r="B55" s="178">
        <f>Roster!B56</f>
        <v>53</v>
      </c>
      <c r="C55" s="177">
        <f>Roster!C56</f>
        <v>0</v>
      </c>
      <c r="D55" s="177">
        <f>Roster!D56</f>
        <v>0</v>
      </c>
      <c r="E55" s="31">
        <f>Roster!E56</f>
        <v>0</v>
      </c>
      <c r="G55" s="176"/>
      <c r="I55" s="176"/>
      <c r="K55" s="176"/>
      <c r="M55" s="176"/>
    </row>
    <row r="56" spans="1:13" x14ac:dyDescent="0.25">
      <c r="A56" s="47">
        <v>54</v>
      </c>
      <c r="B56" s="178">
        <f>Roster!B57</f>
        <v>54</v>
      </c>
      <c r="C56" s="177">
        <f>Roster!C57</f>
        <v>0</v>
      </c>
      <c r="D56" s="177">
        <f>Roster!D57</f>
        <v>0</v>
      </c>
      <c r="E56" s="31">
        <f>Roster!E57</f>
        <v>0</v>
      </c>
      <c r="G56" s="176"/>
      <c r="I56" s="176"/>
      <c r="K56" s="176"/>
      <c r="M56" s="176"/>
    </row>
    <row r="57" spans="1:13" x14ac:dyDescent="0.25">
      <c r="A57" s="47">
        <v>55</v>
      </c>
      <c r="B57" s="178">
        <f>Roster!B58</f>
        <v>55</v>
      </c>
      <c r="C57" s="177">
        <f>Roster!C58</f>
        <v>0</v>
      </c>
      <c r="D57" s="177">
        <f>Roster!D58</f>
        <v>0</v>
      </c>
      <c r="E57" s="31">
        <f>Roster!E58</f>
        <v>0</v>
      </c>
      <c r="G57" s="176"/>
      <c r="I57" s="176"/>
      <c r="K57" s="176"/>
      <c r="M57" s="176"/>
    </row>
    <row r="58" spans="1:13" x14ac:dyDescent="0.25">
      <c r="A58" s="47">
        <v>56</v>
      </c>
      <c r="B58" s="178">
        <f>Roster!B59</f>
        <v>56</v>
      </c>
      <c r="C58" s="177">
        <f>Roster!C59</f>
        <v>0</v>
      </c>
      <c r="D58" s="177">
        <f>Roster!D59</f>
        <v>0</v>
      </c>
      <c r="E58" s="31">
        <f>Roster!E59</f>
        <v>0</v>
      </c>
      <c r="G58" s="176"/>
      <c r="I58" s="176"/>
      <c r="K58" s="176"/>
      <c r="M58" s="176"/>
    </row>
    <row r="59" spans="1:13" x14ac:dyDescent="0.25">
      <c r="A59" s="47">
        <v>57</v>
      </c>
      <c r="B59" s="178">
        <f>Roster!B60</f>
        <v>57</v>
      </c>
      <c r="C59" s="177">
        <f>Roster!C60</f>
        <v>0</v>
      </c>
      <c r="D59" s="177">
        <f>Roster!D60</f>
        <v>0</v>
      </c>
      <c r="E59" s="31">
        <f>Roster!E60</f>
        <v>0</v>
      </c>
      <c r="G59" s="176"/>
      <c r="I59" s="176"/>
      <c r="K59" s="176"/>
      <c r="M59" s="176"/>
    </row>
    <row r="60" spans="1:13" x14ac:dyDescent="0.25">
      <c r="A60" s="47">
        <v>58</v>
      </c>
      <c r="B60" s="178">
        <f>Roster!B61</f>
        <v>58</v>
      </c>
      <c r="C60" s="177">
        <f>Roster!C61</f>
        <v>0</v>
      </c>
      <c r="D60" s="177">
        <f>Roster!D61</f>
        <v>0</v>
      </c>
      <c r="E60" s="31">
        <f>Roster!E61</f>
        <v>0</v>
      </c>
      <c r="G60" s="176"/>
      <c r="I60" s="176"/>
      <c r="K60" s="176"/>
      <c r="M60" s="176"/>
    </row>
    <row r="61" spans="1:13" x14ac:dyDescent="0.25">
      <c r="A61" s="47">
        <v>59</v>
      </c>
      <c r="B61" s="178">
        <f>Roster!B62</f>
        <v>59</v>
      </c>
      <c r="C61" s="177">
        <f>Roster!C62</f>
        <v>0</v>
      </c>
      <c r="D61" s="177">
        <f>Roster!D62</f>
        <v>0</v>
      </c>
      <c r="E61" s="31">
        <f>Roster!E62</f>
        <v>0</v>
      </c>
      <c r="G61" s="176"/>
      <c r="I61" s="176"/>
      <c r="K61" s="176"/>
      <c r="M61" s="176"/>
    </row>
    <row r="62" spans="1:13" x14ac:dyDescent="0.25">
      <c r="A62" s="47">
        <v>60</v>
      </c>
      <c r="B62" s="178">
        <f>Roster!B63</f>
        <v>60</v>
      </c>
      <c r="C62" s="177">
        <f>Roster!C63</f>
        <v>0</v>
      </c>
      <c r="D62" s="177">
        <f>Roster!D63</f>
        <v>0</v>
      </c>
      <c r="E62" s="31">
        <f>Roster!E63</f>
        <v>0</v>
      </c>
      <c r="G62" s="176"/>
      <c r="I62" s="176"/>
      <c r="K62" s="176"/>
      <c r="M62" s="176"/>
    </row>
    <row r="63" spans="1:13" x14ac:dyDescent="0.25">
      <c r="A63" s="47">
        <v>61</v>
      </c>
      <c r="B63" s="178">
        <f>Roster!B64</f>
        <v>61</v>
      </c>
      <c r="C63" s="177">
        <f>Roster!C64</f>
        <v>0</v>
      </c>
      <c r="D63" s="177">
        <f>Roster!D64</f>
        <v>0</v>
      </c>
      <c r="E63" s="31">
        <f>Roster!E64</f>
        <v>0</v>
      </c>
      <c r="G63" s="176"/>
      <c r="I63" s="176"/>
      <c r="K63" s="176"/>
      <c r="M63" s="176"/>
    </row>
    <row r="64" spans="1:13" x14ac:dyDescent="0.25">
      <c r="A64" s="47">
        <v>62</v>
      </c>
      <c r="B64" s="178">
        <f>Roster!B65</f>
        <v>62</v>
      </c>
      <c r="C64" s="177">
        <f>Roster!C65</f>
        <v>0</v>
      </c>
      <c r="D64" s="177">
        <f>Roster!D65</f>
        <v>0</v>
      </c>
      <c r="E64" s="31">
        <f>Roster!E65</f>
        <v>0</v>
      </c>
      <c r="G64" s="176"/>
      <c r="I64" s="176"/>
      <c r="K64" s="176"/>
      <c r="M64" s="176"/>
    </row>
    <row r="65" spans="1:13" x14ac:dyDescent="0.25">
      <c r="A65" s="47">
        <v>63</v>
      </c>
      <c r="B65" s="178">
        <f>Roster!B66</f>
        <v>63</v>
      </c>
      <c r="C65" s="177">
        <f>Roster!C66</f>
        <v>0</v>
      </c>
      <c r="D65" s="177">
        <f>Roster!D66</f>
        <v>0</v>
      </c>
      <c r="E65" s="31">
        <f>Roster!E66</f>
        <v>0</v>
      </c>
      <c r="G65" s="176"/>
      <c r="I65" s="176"/>
      <c r="K65" s="176"/>
      <c r="M65" s="176"/>
    </row>
    <row r="66" spans="1:13" x14ac:dyDescent="0.25">
      <c r="A66" s="47">
        <v>64</v>
      </c>
      <c r="B66" s="178">
        <f>Roster!B67</f>
        <v>64</v>
      </c>
      <c r="C66" s="177">
        <f>Roster!C67</f>
        <v>0</v>
      </c>
      <c r="D66" s="177">
        <f>Roster!D67</f>
        <v>0</v>
      </c>
      <c r="E66" s="31">
        <f>Roster!E67</f>
        <v>0</v>
      </c>
      <c r="G66" s="176"/>
      <c r="I66" s="176"/>
      <c r="K66" s="176"/>
      <c r="M66" s="176"/>
    </row>
    <row r="67" spans="1:13" x14ac:dyDescent="0.25">
      <c r="A67" s="47">
        <v>65</v>
      </c>
      <c r="B67" s="178">
        <f>Roster!B68</f>
        <v>65</v>
      </c>
      <c r="C67" s="177">
        <f>Roster!C68</f>
        <v>0</v>
      </c>
      <c r="D67" s="177">
        <f>Roster!D68</f>
        <v>0</v>
      </c>
      <c r="E67" s="31">
        <f>Roster!E68</f>
        <v>0</v>
      </c>
      <c r="G67" s="176"/>
      <c r="I67" s="176"/>
      <c r="K67" s="176"/>
      <c r="M67" s="176"/>
    </row>
    <row r="68" spans="1:13" x14ac:dyDescent="0.25">
      <c r="A68" s="47">
        <v>66</v>
      </c>
      <c r="B68" s="178">
        <f>Roster!B69</f>
        <v>66</v>
      </c>
      <c r="C68" s="177">
        <f>Roster!C69</f>
        <v>0</v>
      </c>
      <c r="D68" s="177">
        <f>Roster!D69</f>
        <v>0</v>
      </c>
      <c r="E68" s="31">
        <f>Roster!E69</f>
        <v>0</v>
      </c>
      <c r="G68" s="176"/>
      <c r="I68" s="176"/>
      <c r="K68" s="176"/>
      <c r="M68" s="176"/>
    </row>
    <row r="69" spans="1:13" x14ac:dyDescent="0.25">
      <c r="A69" s="47">
        <v>67</v>
      </c>
      <c r="B69" s="178">
        <f>Roster!B70</f>
        <v>67</v>
      </c>
      <c r="C69" s="177">
        <f>Roster!C70</f>
        <v>0</v>
      </c>
      <c r="D69" s="177">
        <f>Roster!D70</f>
        <v>0</v>
      </c>
      <c r="E69" s="31">
        <f>Roster!E70</f>
        <v>0</v>
      </c>
      <c r="G69" s="176"/>
      <c r="I69" s="176"/>
      <c r="K69" s="176"/>
      <c r="M69" s="176"/>
    </row>
    <row r="70" spans="1:13" x14ac:dyDescent="0.25">
      <c r="A70" s="47">
        <v>68</v>
      </c>
      <c r="B70" s="178">
        <f>Roster!B71</f>
        <v>68</v>
      </c>
      <c r="C70" s="177">
        <f>Roster!C71</f>
        <v>0</v>
      </c>
      <c r="D70" s="177">
        <f>Roster!D71</f>
        <v>0</v>
      </c>
      <c r="E70" s="31">
        <f>Roster!E71</f>
        <v>0</v>
      </c>
      <c r="G70" s="176"/>
      <c r="I70" s="176"/>
      <c r="K70" s="176"/>
      <c r="M70" s="176"/>
    </row>
    <row r="71" spans="1:13" x14ac:dyDescent="0.25">
      <c r="A71" s="47">
        <v>69</v>
      </c>
      <c r="B71" s="178">
        <f>Roster!B72</f>
        <v>69</v>
      </c>
      <c r="C71" s="177">
        <f>Roster!C72</f>
        <v>0</v>
      </c>
      <c r="D71" s="177">
        <f>Roster!D72</f>
        <v>0</v>
      </c>
      <c r="E71" s="31">
        <f>Roster!E72</f>
        <v>0</v>
      </c>
      <c r="G71" s="176"/>
      <c r="I71" s="176"/>
      <c r="K71" s="176"/>
      <c r="M71" s="176"/>
    </row>
    <row r="72" spans="1:13" x14ac:dyDescent="0.25">
      <c r="A72" s="47">
        <v>70</v>
      </c>
      <c r="B72" s="178">
        <f>Roster!B73</f>
        <v>70</v>
      </c>
      <c r="C72" s="177">
        <f>Roster!C73</f>
        <v>0</v>
      </c>
      <c r="D72" s="177">
        <f>Roster!D73</f>
        <v>0</v>
      </c>
      <c r="E72" s="31">
        <f>Roster!E73</f>
        <v>0</v>
      </c>
      <c r="G72" s="176"/>
      <c r="I72" s="176"/>
      <c r="K72" s="176"/>
      <c r="M72" s="176"/>
    </row>
    <row r="73" spans="1:13" x14ac:dyDescent="0.25">
      <c r="A73" s="47">
        <v>71</v>
      </c>
      <c r="B73" s="178">
        <f>Roster!B74</f>
        <v>71</v>
      </c>
      <c r="C73" s="177">
        <f>Roster!C74</f>
        <v>0</v>
      </c>
      <c r="D73" s="177">
        <f>Roster!D74</f>
        <v>0</v>
      </c>
      <c r="E73" s="31">
        <f>Roster!E74</f>
        <v>0</v>
      </c>
      <c r="G73" s="176"/>
      <c r="I73" s="176"/>
      <c r="K73" s="176"/>
      <c r="M73" s="176"/>
    </row>
    <row r="74" spans="1:13" x14ac:dyDescent="0.25">
      <c r="A74" s="47">
        <v>72</v>
      </c>
      <c r="B74" s="178">
        <f>Roster!B75</f>
        <v>72</v>
      </c>
      <c r="C74" s="177">
        <f>Roster!C75</f>
        <v>0</v>
      </c>
      <c r="D74" s="177">
        <f>Roster!D75</f>
        <v>0</v>
      </c>
      <c r="E74" s="31">
        <f>Roster!E75</f>
        <v>0</v>
      </c>
      <c r="G74" s="176"/>
      <c r="I74" s="176"/>
      <c r="K74" s="176"/>
      <c r="M74" s="176"/>
    </row>
    <row r="75" spans="1:13" x14ac:dyDescent="0.25">
      <c r="A75" s="47">
        <v>73</v>
      </c>
      <c r="B75" s="178">
        <f>Roster!B76</f>
        <v>73</v>
      </c>
      <c r="C75" s="177">
        <f>Roster!C76</f>
        <v>0</v>
      </c>
      <c r="D75" s="177">
        <f>Roster!D76</f>
        <v>0</v>
      </c>
      <c r="E75" s="31">
        <f>Roster!E76</f>
        <v>0</v>
      </c>
      <c r="G75" s="176"/>
      <c r="I75" s="176"/>
      <c r="K75" s="176"/>
      <c r="M75" s="176"/>
    </row>
    <row r="76" spans="1:13" x14ac:dyDescent="0.25">
      <c r="A76" s="47">
        <v>74</v>
      </c>
      <c r="B76" s="178">
        <f>Roster!B77</f>
        <v>74</v>
      </c>
      <c r="C76" s="177">
        <f>Roster!C77</f>
        <v>0</v>
      </c>
      <c r="D76" s="177">
        <f>Roster!D77</f>
        <v>0</v>
      </c>
      <c r="E76" s="31">
        <f>Roster!E77</f>
        <v>0</v>
      </c>
      <c r="G76" s="176"/>
      <c r="I76" s="176"/>
      <c r="K76" s="176"/>
      <c r="M76" s="176"/>
    </row>
    <row r="77" spans="1:13" x14ac:dyDescent="0.25">
      <c r="A77" s="47">
        <v>75</v>
      </c>
      <c r="B77" s="178">
        <f>Roster!B78</f>
        <v>75</v>
      </c>
      <c r="C77" s="177">
        <f>Roster!C78</f>
        <v>0</v>
      </c>
      <c r="D77" s="177">
        <f>Roster!D78</f>
        <v>0</v>
      </c>
      <c r="E77" s="31">
        <f>Roster!E78</f>
        <v>0</v>
      </c>
      <c r="G77" s="176"/>
      <c r="I77" s="176"/>
      <c r="K77" s="176"/>
      <c r="M77" s="176"/>
    </row>
    <row r="78" spans="1:13" x14ac:dyDescent="0.25">
      <c r="A78" s="47">
        <v>76</v>
      </c>
      <c r="B78" s="178">
        <f>Roster!B79</f>
        <v>76</v>
      </c>
      <c r="C78" s="177">
        <f>Roster!C79</f>
        <v>0</v>
      </c>
      <c r="D78" s="177">
        <f>Roster!D79</f>
        <v>0</v>
      </c>
      <c r="E78" s="31">
        <f>Roster!E79</f>
        <v>0</v>
      </c>
      <c r="G78" s="176"/>
      <c r="I78" s="176"/>
      <c r="K78" s="176"/>
      <c r="M78" s="176"/>
    </row>
    <row r="79" spans="1:13" x14ac:dyDescent="0.25">
      <c r="A79" s="47">
        <v>77</v>
      </c>
      <c r="B79" s="178">
        <f>Roster!B80</f>
        <v>77</v>
      </c>
      <c r="C79" s="177">
        <f>Roster!C80</f>
        <v>0</v>
      </c>
      <c r="D79" s="177">
        <f>Roster!D80</f>
        <v>0</v>
      </c>
      <c r="E79" s="31">
        <f>Roster!E80</f>
        <v>0</v>
      </c>
      <c r="G79" s="176"/>
      <c r="I79" s="176"/>
      <c r="K79" s="176"/>
      <c r="M79" s="176"/>
    </row>
    <row r="80" spans="1:13" x14ac:dyDescent="0.25">
      <c r="A80" s="47">
        <v>78</v>
      </c>
      <c r="B80" s="178">
        <f>Roster!B81</f>
        <v>78</v>
      </c>
      <c r="C80" s="177">
        <f>Roster!C81</f>
        <v>0</v>
      </c>
      <c r="D80" s="177">
        <f>Roster!D81</f>
        <v>0</v>
      </c>
      <c r="E80" s="31">
        <f>Roster!E81</f>
        <v>0</v>
      </c>
      <c r="G80" s="176"/>
      <c r="I80" s="176"/>
      <c r="K80" s="176"/>
      <c r="M80" s="176"/>
    </row>
    <row r="81" spans="1:13" x14ac:dyDescent="0.25">
      <c r="A81" s="47">
        <v>79</v>
      </c>
      <c r="B81" s="178">
        <f>Roster!B82</f>
        <v>79</v>
      </c>
      <c r="C81" s="177">
        <f>Roster!C82</f>
        <v>0</v>
      </c>
      <c r="D81" s="177">
        <f>Roster!D82</f>
        <v>0</v>
      </c>
      <c r="E81" s="31">
        <f>Roster!E82</f>
        <v>0</v>
      </c>
      <c r="G81" s="176"/>
      <c r="I81" s="176"/>
      <c r="K81" s="176"/>
      <c r="M81" s="176"/>
    </row>
    <row r="82" spans="1:13" x14ac:dyDescent="0.25">
      <c r="A82" s="47">
        <v>80</v>
      </c>
      <c r="B82" s="178">
        <f>Roster!B83</f>
        <v>80</v>
      </c>
      <c r="C82" s="177">
        <f>Roster!C83</f>
        <v>0</v>
      </c>
      <c r="D82" s="177">
        <f>Roster!D83</f>
        <v>0</v>
      </c>
      <c r="E82" s="31">
        <f>Roster!E83</f>
        <v>0</v>
      </c>
      <c r="G82" s="176"/>
      <c r="I82" s="176"/>
      <c r="K82" s="176"/>
      <c r="M82" s="176"/>
    </row>
    <row r="83" spans="1:13" x14ac:dyDescent="0.25">
      <c r="A83" s="47">
        <v>81</v>
      </c>
      <c r="B83" s="178">
        <f>Roster!B84</f>
        <v>81</v>
      </c>
      <c r="C83" s="177">
        <f>Roster!C84</f>
        <v>0</v>
      </c>
      <c r="D83" s="177">
        <f>Roster!D84</f>
        <v>0</v>
      </c>
      <c r="E83" s="31">
        <f>Roster!E84</f>
        <v>0</v>
      </c>
      <c r="G83" s="176"/>
      <c r="I83" s="176"/>
      <c r="K83" s="176"/>
      <c r="M83" s="176"/>
    </row>
    <row r="84" spans="1:13" x14ac:dyDescent="0.25">
      <c r="A84" s="47">
        <v>82</v>
      </c>
      <c r="B84" s="178">
        <f>Roster!B85</f>
        <v>82</v>
      </c>
      <c r="C84" s="177">
        <f>Roster!C85</f>
        <v>0</v>
      </c>
      <c r="D84" s="177">
        <f>Roster!D85</f>
        <v>0</v>
      </c>
      <c r="E84" s="31">
        <f>Roster!E85</f>
        <v>0</v>
      </c>
      <c r="G84" s="176"/>
      <c r="I84" s="176"/>
      <c r="K84" s="176"/>
      <c r="M84" s="176"/>
    </row>
    <row r="85" spans="1:13" x14ac:dyDescent="0.25">
      <c r="A85" s="47">
        <v>83</v>
      </c>
      <c r="B85" s="178">
        <f>Roster!B86</f>
        <v>83</v>
      </c>
      <c r="C85" s="177">
        <f>Roster!C86</f>
        <v>0</v>
      </c>
      <c r="D85" s="177">
        <f>Roster!D86</f>
        <v>0</v>
      </c>
      <c r="E85" s="31">
        <f>Roster!E86</f>
        <v>0</v>
      </c>
      <c r="G85" s="176"/>
      <c r="I85" s="176"/>
      <c r="K85" s="176"/>
      <c r="M85" s="176"/>
    </row>
    <row r="86" spans="1:13" x14ac:dyDescent="0.25">
      <c r="A86" s="47">
        <v>84</v>
      </c>
      <c r="B86" s="178">
        <f>Roster!B87</f>
        <v>84</v>
      </c>
      <c r="C86" s="177">
        <f>Roster!C87</f>
        <v>0</v>
      </c>
      <c r="D86" s="177">
        <f>Roster!D87</f>
        <v>0</v>
      </c>
      <c r="E86" s="31">
        <f>Roster!E87</f>
        <v>0</v>
      </c>
      <c r="G86" s="176"/>
      <c r="I86" s="176"/>
      <c r="K86" s="176"/>
      <c r="M86" s="176"/>
    </row>
    <row r="87" spans="1:13" x14ac:dyDescent="0.25">
      <c r="A87" s="47">
        <v>85</v>
      </c>
      <c r="B87" s="178">
        <f>Roster!B88</f>
        <v>85</v>
      </c>
      <c r="C87" s="177">
        <f>Roster!C88</f>
        <v>0</v>
      </c>
      <c r="D87" s="177">
        <f>Roster!D88</f>
        <v>0</v>
      </c>
      <c r="E87" s="31">
        <f>Roster!E88</f>
        <v>0</v>
      </c>
      <c r="G87" s="176"/>
      <c r="I87" s="176"/>
      <c r="K87" s="176"/>
      <c r="M87" s="176"/>
    </row>
    <row r="88" spans="1:13" x14ac:dyDescent="0.25">
      <c r="A88" s="47">
        <v>86</v>
      </c>
      <c r="B88" s="178">
        <f>Roster!B89</f>
        <v>86</v>
      </c>
      <c r="C88" s="177">
        <f>Roster!C89</f>
        <v>0</v>
      </c>
      <c r="D88" s="177">
        <f>Roster!D89</f>
        <v>0</v>
      </c>
      <c r="E88" s="31">
        <f>Roster!E89</f>
        <v>0</v>
      </c>
      <c r="G88" s="176"/>
      <c r="I88" s="176"/>
      <c r="K88" s="176"/>
      <c r="M88" s="176"/>
    </row>
    <row r="89" spans="1:13" x14ac:dyDescent="0.25">
      <c r="A89" s="47">
        <v>87</v>
      </c>
      <c r="B89" s="178">
        <f>Roster!B90</f>
        <v>87</v>
      </c>
      <c r="C89" s="177">
        <f>Roster!C90</f>
        <v>0</v>
      </c>
      <c r="D89" s="177">
        <f>Roster!D90</f>
        <v>0</v>
      </c>
      <c r="E89" s="31">
        <f>Roster!E90</f>
        <v>0</v>
      </c>
      <c r="G89" s="176"/>
      <c r="I89" s="176"/>
      <c r="K89" s="176"/>
      <c r="M89" s="176"/>
    </row>
    <row r="90" spans="1:13" x14ac:dyDescent="0.25">
      <c r="A90" s="47">
        <v>88</v>
      </c>
      <c r="B90" s="178">
        <f>Roster!B91</f>
        <v>88</v>
      </c>
      <c r="C90" s="177">
        <f>Roster!C91</f>
        <v>0</v>
      </c>
      <c r="D90" s="177">
        <f>Roster!D91</f>
        <v>0</v>
      </c>
      <c r="E90" s="31">
        <f>Roster!E91</f>
        <v>0</v>
      </c>
      <c r="G90" s="176"/>
      <c r="I90" s="176"/>
      <c r="K90" s="176"/>
      <c r="M90" s="176"/>
    </row>
    <row r="91" spans="1:13" x14ac:dyDescent="0.25">
      <c r="A91" s="47">
        <v>89</v>
      </c>
      <c r="B91" s="178">
        <f>Roster!B92</f>
        <v>89</v>
      </c>
      <c r="C91" s="177">
        <f>Roster!C92</f>
        <v>0</v>
      </c>
      <c r="D91" s="177">
        <f>Roster!D92</f>
        <v>0</v>
      </c>
      <c r="E91" s="31">
        <f>Roster!E92</f>
        <v>0</v>
      </c>
      <c r="G91" s="176"/>
      <c r="I91" s="176"/>
      <c r="K91" s="176"/>
      <c r="M91" s="176"/>
    </row>
    <row r="92" spans="1:13" x14ac:dyDescent="0.25">
      <c r="A92" s="47">
        <v>90</v>
      </c>
      <c r="B92" s="178">
        <f>Roster!B93</f>
        <v>0</v>
      </c>
      <c r="C92" s="177" t="str">
        <f>C$104</f>
        <v/>
      </c>
      <c r="D92" s="177" t="str">
        <f>D$104</f>
        <v/>
      </c>
      <c r="E92" s="31" t="str">
        <f>E$104</f>
        <v/>
      </c>
      <c r="G92" s="177">
        <f>G$104</f>
        <v>0</v>
      </c>
      <c r="I92" s="177">
        <f>I$104</f>
        <v>0</v>
      </c>
      <c r="K92" s="177">
        <f>K$104</f>
        <v>0</v>
      </c>
      <c r="M92" s="177">
        <f>M$104</f>
        <v>0</v>
      </c>
    </row>
    <row r="93" spans="1:13" x14ac:dyDescent="0.25">
      <c r="A93" s="47">
        <v>91</v>
      </c>
      <c r="B93" s="178">
        <f>Roster!B94</f>
        <v>91</v>
      </c>
      <c r="C93" s="177">
        <f>Roster!C94</f>
        <v>0</v>
      </c>
      <c r="D93" s="177">
        <f>Roster!D94</f>
        <v>0</v>
      </c>
      <c r="E93" s="31">
        <f>Roster!E94</f>
        <v>0</v>
      </c>
      <c r="G93" s="176"/>
      <c r="I93" s="176"/>
      <c r="K93" s="176"/>
      <c r="M93" s="176"/>
    </row>
    <row r="94" spans="1:13" x14ac:dyDescent="0.25">
      <c r="A94" s="47">
        <v>92</v>
      </c>
      <c r="B94" s="178">
        <f>Roster!B95</f>
        <v>92</v>
      </c>
      <c r="C94" s="177">
        <f>Roster!C95</f>
        <v>0</v>
      </c>
      <c r="D94" s="177">
        <f>Roster!D95</f>
        <v>0</v>
      </c>
      <c r="E94" s="31">
        <f>Roster!E95</f>
        <v>0</v>
      </c>
      <c r="G94" s="176"/>
      <c r="I94" s="176"/>
      <c r="K94" s="176"/>
      <c r="M94" s="176"/>
    </row>
    <row r="95" spans="1:13" x14ac:dyDescent="0.25">
      <c r="A95" s="47">
        <v>93</v>
      </c>
      <c r="B95" s="178">
        <f>Roster!B96</f>
        <v>93</v>
      </c>
      <c r="C95" s="177">
        <f>Roster!C96</f>
        <v>0</v>
      </c>
      <c r="D95" s="177">
        <f>Roster!D96</f>
        <v>0</v>
      </c>
      <c r="E95" s="31">
        <f>Roster!E96</f>
        <v>0</v>
      </c>
      <c r="G95" s="176"/>
      <c r="I95" s="176"/>
      <c r="K95" s="176"/>
      <c r="M95" s="176"/>
    </row>
    <row r="96" spans="1:13" x14ac:dyDescent="0.25">
      <c r="A96" s="47">
        <v>94</v>
      </c>
      <c r="B96" s="178">
        <f>Roster!B97</f>
        <v>94</v>
      </c>
      <c r="C96" s="177">
        <f>Roster!C97</f>
        <v>0</v>
      </c>
      <c r="D96" s="177">
        <f>Roster!D97</f>
        <v>0</v>
      </c>
      <c r="E96" s="31">
        <f>Roster!E97</f>
        <v>0</v>
      </c>
      <c r="G96" s="176"/>
      <c r="I96" s="176"/>
      <c r="K96" s="176"/>
      <c r="M96" s="176"/>
    </row>
    <row r="97" spans="1:13" x14ac:dyDescent="0.25">
      <c r="A97" s="47">
        <v>95</v>
      </c>
      <c r="B97" s="178">
        <f>Roster!B98</f>
        <v>95</v>
      </c>
      <c r="C97" s="177">
        <f>Roster!C98</f>
        <v>0</v>
      </c>
      <c r="D97" s="177">
        <f>Roster!D98</f>
        <v>0</v>
      </c>
      <c r="E97" s="31">
        <f>Roster!E98</f>
        <v>0</v>
      </c>
      <c r="G97" s="176"/>
      <c r="I97" s="176"/>
      <c r="K97" s="176"/>
      <c r="M97" s="176"/>
    </row>
    <row r="98" spans="1:13" x14ac:dyDescent="0.25">
      <c r="A98" s="47">
        <v>96</v>
      </c>
      <c r="B98" s="178">
        <f>Roster!B99</f>
        <v>96</v>
      </c>
      <c r="C98" s="177">
        <f>Roster!C99</f>
        <v>0</v>
      </c>
      <c r="D98" s="177">
        <f>Roster!D99</f>
        <v>0</v>
      </c>
      <c r="E98" s="31">
        <f>Roster!E99</f>
        <v>0</v>
      </c>
      <c r="G98" s="176"/>
      <c r="I98" s="176"/>
      <c r="K98" s="176"/>
      <c r="M98" s="176"/>
    </row>
    <row r="99" spans="1:13" x14ac:dyDescent="0.25">
      <c r="A99" s="47">
        <v>97</v>
      </c>
      <c r="B99" s="178">
        <f>Roster!B100</f>
        <v>97</v>
      </c>
      <c r="C99" s="177">
        <f>Roster!C100</f>
        <v>0</v>
      </c>
      <c r="D99" s="177">
        <f>Roster!D100</f>
        <v>0</v>
      </c>
      <c r="E99" s="31">
        <f>Roster!E100</f>
        <v>0</v>
      </c>
      <c r="G99" s="176"/>
      <c r="I99" s="176"/>
      <c r="K99" s="176"/>
      <c r="M99" s="176"/>
    </row>
    <row r="100" spans="1:13" x14ac:dyDescent="0.25">
      <c r="A100" s="47">
        <v>98</v>
      </c>
      <c r="B100" s="178">
        <f>Roster!B101</f>
        <v>98</v>
      </c>
      <c r="C100" s="177">
        <f>Roster!C101</f>
        <v>0</v>
      </c>
      <c r="D100" s="177">
        <f>Roster!D101</f>
        <v>0</v>
      </c>
      <c r="E100" s="31">
        <f>Roster!E101</f>
        <v>0</v>
      </c>
      <c r="G100" s="176"/>
      <c r="I100" s="176"/>
      <c r="K100" s="176"/>
      <c r="M100" s="176"/>
    </row>
    <row r="101" spans="1:13" x14ac:dyDescent="0.25">
      <c r="A101" s="47">
        <v>99</v>
      </c>
      <c r="B101" s="178" t="str">
        <f>Roster!B102</f>
        <v>00</v>
      </c>
      <c r="C101" s="177" t="str">
        <f>C$104</f>
        <v/>
      </c>
      <c r="D101" s="177" t="str">
        <f>D$104</f>
        <v/>
      </c>
      <c r="E101" s="31" t="str">
        <f>E$104</f>
        <v/>
      </c>
      <c r="G101" s="177">
        <f>G$104</f>
        <v>0</v>
      </c>
      <c r="I101" s="177">
        <f>I$104</f>
        <v>0</v>
      </c>
      <c r="K101" s="177">
        <f>K$104</f>
        <v>0</v>
      </c>
      <c r="M101" s="177">
        <f>M$104</f>
        <v>0</v>
      </c>
    </row>
    <row r="102" spans="1:13" ht="15.75" thickBot="1" x14ac:dyDescent="0.3"/>
    <row r="103" spans="1:13" ht="15.75" thickBot="1" x14ac:dyDescent="0.3">
      <c r="A103" s="197" t="s">
        <v>979</v>
      </c>
      <c r="B103" s="198"/>
      <c r="C103" s="198"/>
      <c r="D103" s="198"/>
      <c r="E103" s="198"/>
      <c r="F103" s="198"/>
      <c r="G103" s="198"/>
      <c r="H103" s="198"/>
      <c r="I103" s="199"/>
      <c r="J103" s="211"/>
      <c r="K103" s="198"/>
      <c r="L103" s="198"/>
      <c r="M103" s="199"/>
    </row>
    <row r="104" spans="1:13" x14ac:dyDescent="0.25">
      <c r="A104" s="212"/>
      <c r="B104" s="213">
        <f>Roster!B105</f>
        <v>0</v>
      </c>
      <c r="C104" s="214" t="str">
        <f>Roster!C102</f>
        <v/>
      </c>
      <c r="D104" s="214" t="str">
        <f>Roster!D102</f>
        <v/>
      </c>
      <c r="E104" s="80" t="str">
        <f>Roster!E102</f>
        <v/>
      </c>
      <c r="G104" s="215"/>
      <c r="I104" s="215"/>
      <c r="K104" s="215"/>
      <c r="M104" s="215"/>
    </row>
    <row r="105" spans="1:13" x14ac:dyDescent="0.25">
      <c r="H105" s="164"/>
    </row>
    <row r="106" spans="1:13" x14ac:dyDescent="0.25">
      <c r="H106" s="164"/>
    </row>
  </sheetData>
  <customSheetViews>
    <customSheetView guid="{792F7DB4-F0C7-4F6F-9D44-1CA398E3F0DC}">
      <selection activeCell="M26" sqref="M26"/>
      <pageMargins left="0.7" right="0.7" top="0.75" bottom="0.75" header="0.3" footer="0.3"/>
    </customSheetView>
    <customSheetView guid="{BE266B8E-38B0-4631-9C30-67CA48A8BD7F}">
      <selection activeCell="M26" sqref="M26"/>
      <pageMargins left="0.7" right="0.7" top="0.75" bottom="0.75" header="0.3" footer="0.3"/>
    </customSheetView>
    <customSheetView guid="{BD1DF852-269B-4C2F-AF89-1FA576EA4603}">
      <selection activeCell="I4" sqref="I4"/>
      <pageMargins left="0.7" right="0.7" top="0.75" bottom="0.75" header="0.3" footer="0.3"/>
    </customSheetView>
    <customSheetView guid="{6A3B2C41-2DBC-4B17-AB58-12C85E3A6B8A}">
      <pageMargins left="0.7" right="0.7" top="0.75" bottom="0.75" header="0.3" footer="0.3"/>
    </customSheetView>
    <customSheetView guid="{46B088B4-7F51-4D35-9F00-2268626FA819}" topLeftCell="A2">
      <selection activeCell="I2" sqref="I2:I101"/>
      <pageMargins left="0.7" right="0.7" top="0.75" bottom="0.75" header="0.3" footer="0.3"/>
    </customSheetView>
    <customSheetView guid="{42F19D52-E208-414F-9E2E-506DF902926F}">
      <pageMargins left="0.7" right="0.7" top="0.75" bottom="0.75" header="0.3" footer="0.3"/>
    </customSheetView>
    <customSheetView guid="{AC8CA20A-2130-4ED2-A745-85677B08F97C}">
      <selection activeCell="I4" sqref="I4"/>
      <pageMargins left="0.7" right="0.7" top="0.75" bottom="0.75" header="0.3" footer="0.3"/>
    </customSheetView>
    <customSheetView guid="{2F318324-B2A5-4EFB-BB30-8D1AF11C1A9F}">
      <selection activeCell="M26" sqref="M26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489"/>
  <sheetViews>
    <sheetView workbookViewId="0">
      <selection activeCell="A2" sqref="A2:A369"/>
    </sheetView>
  </sheetViews>
  <sheetFormatPr defaultRowHeight="15" x14ac:dyDescent="0.25"/>
  <cols>
    <col min="1" max="1" width="32.7109375" customWidth="1"/>
    <col min="2" max="2" width="2.7109375" customWidth="1"/>
    <col min="3" max="3" width="32.7109375" customWidth="1"/>
    <col min="4" max="4" width="2.7109375" customWidth="1"/>
    <col min="5" max="5" width="60.28515625" bestFit="1" customWidth="1"/>
    <col min="6" max="6" width="30.7109375" customWidth="1"/>
  </cols>
  <sheetData>
    <row r="1" spans="1:6" x14ac:dyDescent="0.25">
      <c r="A1" s="19" t="s">
        <v>103</v>
      </c>
      <c r="C1" s="19" t="s">
        <v>104</v>
      </c>
      <c r="E1" s="19" t="s">
        <v>105</v>
      </c>
      <c r="F1" s="19" t="s">
        <v>978</v>
      </c>
    </row>
    <row r="2" spans="1:6" x14ac:dyDescent="0.25">
      <c r="A2" t="s">
        <v>992</v>
      </c>
      <c r="C2" t="s">
        <v>890</v>
      </c>
      <c r="E2" t="s">
        <v>299</v>
      </c>
      <c r="F2" t="s">
        <v>644</v>
      </c>
    </row>
    <row r="3" spans="1:6" x14ac:dyDescent="0.25">
      <c r="A3" t="s">
        <v>106</v>
      </c>
      <c r="C3" t="s">
        <v>878</v>
      </c>
      <c r="E3" t="s">
        <v>301</v>
      </c>
      <c r="F3" t="s">
        <v>324</v>
      </c>
    </row>
    <row r="4" spans="1:6" x14ac:dyDescent="0.25">
      <c r="A4" t="s">
        <v>108</v>
      </c>
      <c r="C4" t="s">
        <v>107</v>
      </c>
      <c r="E4" t="s">
        <v>326</v>
      </c>
      <c r="F4" t="s">
        <v>340</v>
      </c>
    </row>
    <row r="5" spans="1:6" x14ac:dyDescent="0.25">
      <c r="A5" t="s">
        <v>110</v>
      </c>
      <c r="C5" t="s">
        <v>879</v>
      </c>
      <c r="E5" t="s">
        <v>523</v>
      </c>
      <c r="F5" t="s">
        <v>542</v>
      </c>
    </row>
    <row r="6" spans="1:6" x14ac:dyDescent="0.25">
      <c r="A6" t="s">
        <v>15</v>
      </c>
      <c r="C6" t="s">
        <v>880</v>
      </c>
      <c r="E6" t="s">
        <v>471</v>
      </c>
      <c r="F6" t="s">
        <v>473</v>
      </c>
    </row>
    <row r="7" spans="1:6" x14ac:dyDescent="0.25">
      <c r="A7" t="s">
        <v>115</v>
      </c>
      <c r="C7" t="s">
        <v>111</v>
      </c>
      <c r="E7" t="s">
        <v>483</v>
      </c>
      <c r="F7" t="s">
        <v>489</v>
      </c>
    </row>
    <row r="8" spans="1:6" x14ac:dyDescent="0.25">
      <c r="A8" t="s">
        <v>117</v>
      </c>
      <c r="C8" t="s">
        <v>881</v>
      </c>
      <c r="E8" t="s">
        <v>1010</v>
      </c>
      <c r="F8" t="s">
        <v>1011</v>
      </c>
    </row>
    <row r="9" spans="1:6" x14ac:dyDescent="0.25">
      <c r="A9" t="s">
        <v>967</v>
      </c>
      <c r="C9" t="s">
        <v>113</v>
      </c>
      <c r="E9" t="s">
        <v>778</v>
      </c>
      <c r="F9" t="s">
        <v>782</v>
      </c>
    </row>
    <row r="10" spans="1:6" x14ac:dyDescent="0.25">
      <c r="A10" t="s">
        <v>119</v>
      </c>
      <c r="C10" t="s">
        <v>116</v>
      </c>
      <c r="E10" t="s">
        <v>774</v>
      </c>
      <c r="F10" t="s">
        <v>777</v>
      </c>
    </row>
    <row r="11" spans="1:6" x14ac:dyDescent="0.25">
      <c r="A11" t="s">
        <v>122</v>
      </c>
      <c r="C11" t="s">
        <v>118</v>
      </c>
      <c r="E11" t="s">
        <v>170</v>
      </c>
      <c r="F11" t="s">
        <v>168</v>
      </c>
    </row>
    <row r="12" spans="1:6" x14ac:dyDescent="0.25">
      <c r="A12" t="s">
        <v>125</v>
      </c>
      <c r="C12" t="s">
        <v>1001</v>
      </c>
      <c r="E12" t="s">
        <v>177</v>
      </c>
      <c r="F12" t="s">
        <v>185</v>
      </c>
    </row>
    <row r="13" spans="1:6" x14ac:dyDescent="0.25">
      <c r="A13" t="s">
        <v>128</v>
      </c>
      <c r="C13" t="s">
        <v>882</v>
      </c>
      <c r="E13" t="s">
        <v>1064</v>
      </c>
      <c r="F13" t="s">
        <v>1070</v>
      </c>
    </row>
    <row r="14" spans="1:6" x14ac:dyDescent="0.25">
      <c r="A14" t="s">
        <v>131</v>
      </c>
      <c r="C14" t="s">
        <v>883</v>
      </c>
      <c r="E14" t="s">
        <v>1065</v>
      </c>
      <c r="F14" t="s">
        <v>1100</v>
      </c>
    </row>
    <row r="15" spans="1:6" x14ac:dyDescent="0.25">
      <c r="A15" t="s">
        <v>133</v>
      </c>
      <c r="C15" t="s">
        <v>884</v>
      </c>
      <c r="E15" t="s">
        <v>1152</v>
      </c>
      <c r="F15" t="s">
        <v>1151</v>
      </c>
    </row>
    <row r="16" spans="1:6" x14ac:dyDescent="0.25">
      <c r="A16" t="s">
        <v>136</v>
      </c>
      <c r="C16" t="s">
        <v>120</v>
      </c>
      <c r="E16" t="s">
        <v>1153</v>
      </c>
      <c r="F16" t="s">
        <v>409</v>
      </c>
    </row>
    <row r="17" spans="1:6" x14ac:dyDescent="0.25">
      <c r="A17" t="s">
        <v>139</v>
      </c>
      <c r="C17" t="s">
        <v>1002</v>
      </c>
      <c r="E17" t="s">
        <v>89</v>
      </c>
      <c r="F17" t="s">
        <v>141</v>
      </c>
    </row>
    <row r="18" spans="1:6" x14ac:dyDescent="0.25">
      <c r="A18" t="s">
        <v>142</v>
      </c>
      <c r="C18" t="s">
        <v>123</v>
      </c>
    </row>
    <row r="19" spans="1:6" x14ac:dyDescent="0.25">
      <c r="A19" t="s">
        <v>144</v>
      </c>
      <c r="C19" t="s">
        <v>1003</v>
      </c>
      <c r="E19" t="s">
        <v>1066</v>
      </c>
    </row>
    <row r="20" spans="1:6" x14ac:dyDescent="0.25">
      <c r="A20" t="s">
        <v>145</v>
      </c>
      <c r="C20" t="s">
        <v>885</v>
      </c>
      <c r="E20" t="s">
        <v>1067</v>
      </c>
    </row>
    <row r="21" spans="1:6" x14ac:dyDescent="0.25">
      <c r="A21" t="s">
        <v>147</v>
      </c>
      <c r="C21" t="s">
        <v>126</v>
      </c>
      <c r="E21" t="s">
        <v>1068</v>
      </c>
    </row>
    <row r="22" spans="1:6" x14ac:dyDescent="0.25">
      <c r="A22" t="s">
        <v>148</v>
      </c>
      <c r="C22" t="s">
        <v>1004</v>
      </c>
      <c r="E22" t="s">
        <v>1069</v>
      </c>
    </row>
    <row r="23" spans="1:6" x14ac:dyDescent="0.25">
      <c r="A23" t="s">
        <v>150</v>
      </c>
      <c r="C23" t="s">
        <v>887</v>
      </c>
      <c r="E23" t="s">
        <v>1070</v>
      </c>
    </row>
    <row r="24" spans="1:6" x14ac:dyDescent="0.25">
      <c r="A24" t="s">
        <v>151</v>
      </c>
      <c r="C24" t="s">
        <v>886</v>
      </c>
      <c r="E24" t="s">
        <v>1071</v>
      </c>
    </row>
    <row r="25" spans="1:6" x14ac:dyDescent="0.25">
      <c r="A25" t="s">
        <v>153</v>
      </c>
      <c r="C25" t="s">
        <v>129</v>
      </c>
      <c r="E25" t="s">
        <v>1072</v>
      </c>
    </row>
    <row r="26" spans="1:6" x14ac:dyDescent="0.25">
      <c r="A26" t="s">
        <v>956</v>
      </c>
      <c r="C26" t="s">
        <v>134</v>
      </c>
      <c r="E26" t="s">
        <v>1073</v>
      </c>
    </row>
    <row r="27" spans="1:6" x14ac:dyDescent="0.25">
      <c r="A27" t="s">
        <v>155</v>
      </c>
      <c r="C27" t="s">
        <v>1005</v>
      </c>
      <c r="E27" t="s">
        <v>1074</v>
      </c>
    </row>
    <row r="28" spans="1:6" x14ac:dyDescent="0.25">
      <c r="A28" t="s">
        <v>157</v>
      </c>
      <c r="C28" t="s">
        <v>137</v>
      </c>
      <c r="E28" t="s">
        <v>1075</v>
      </c>
    </row>
    <row r="29" spans="1:6" x14ac:dyDescent="0.25">
      <c r="A29" t="s">
        <v>159</v>
      </c>
      <c r="C29" t="s">
        <v>888</v>
      </c>
      <c r="E29" t="s">
        <v>1076</v>
      </c>
    </row>
    <row r="30" spans="1:6" x14ac:dyDescent="0.25">
      <c r="A30" t="s">
        <v>161</v>
      </c>
      <c r="C30" t="s">
        <v>140</v>
      </c>
      <c r="E30" t="s">
        <v>127</v>
      </c>
    </row>
    <row r="31" spans="1:6" x14ac:dyDescent="0.25">
      <c r="A31" t="s">
        <v>163</v>
      </c>
      <c r="C31" t="s">
        <v>1006</v>
      </c>
      <c r="E31" t="s">
        <v>130</v>
      </c>
    </row>
    <row r="32" spans="1:6" x14ac:dyDescent="0.25">
      <c r="A32" t="s">
        <v>165</v>
      </c>
      <c r="C32" t="s">
        <v>143</v>
      </c>
      <c r="E32" t="s">
        <v>132</v>
      </c>
    </row>
    <row r="33" spans="1:5" x14ac:dyDescent="0.25">
      <c r="A33" t="s">
        <v>167</v>
      </c>
      <c r="C33" t="s">
        <v>1007</v>
      </c>
      <c r="E33" t="s">
        <v>114</v>
      </c>
    </row>
    <row r="34" spans="1:5" x14ac:dyDescent="0.25">
      <c r="A34" t="s">
        <v>169</v>
      </c>
      <c r="C34" t="s">
        <v>146</v>
      </c>
      <c r="E34" t="s">
        <v>92</v>
      </c>
    </row>
    <row r="35" spans="1:5" x14ac:dyDescent="0.25">
      <c r="A35" t="s">
        <v>171</v>
      </c>
      <c r="C35" t="s">
        <v>1008</v>
      </c>
      <c r="E35" t="s">
        <v>98</v>
      </c>
    </row>
    <row r="36" spans="1:5" x14ac:dyDescent="0.25">
      <c r="A36" t="s">
        <v>957</v>
      </c>
      <c r="C36" t="s">
        <v>889</v>
      </c>
      <c r="E36" t="s">
        <v>121</v>
      </c>
    </row>
    <row r="37" spans="1:5" x14ac:dyDescent="0.25">
      <c r="A37" t="s">
        <v>173</v>
      </c>
      <c r="C37" t="s">
        <v>891</v>
      </c>
      <c r="E37" t="s">
        <v>124</v>
      </c>
    </row>
    <row r="38" spans="1:5" x14ac:dyDescent="0.25">
      <c r="A38" t="s">
        <v>176</v>
      </c>
      <c r="C38" t="s">
        <v>149</v>
      </c>
      <c r="E38" t="s">
        <v>135</v>
      </c>
    </row>
    <row r="39" spans="1:5" x14ac:dyDescent="0.25">
      <c r="A39" t="s">
        <v>178</v>
      </c>
      <c r="C39" t="s">
        <v>1009</v>
      </c>
      <c r="E39" t="s">
        <v>138</v>
      </c>
    </row>
    <row r="40" spans="1:5" x14ac:dyDescent="0.25">
      <c r="A40" t="s">
        <v>179</v>
      </c>
      <c r="C40" t="s">
        <v>892</v>
      </c>
      <c r="E40" t="s">
        <v>141</v>
      </c>
    </row>
    <row r="41" spans="1:5" x14ac:dyDescent="0.25">
      <c r="A41" t="s">
        <v>181</v>
      </c>
      <c r="C41" t="s">
        <v>893</v>
      </c>
      <c r="E41" t="s">
        <v>109</v>
      </c>
    </row>
    <row r="42" spans="1:5" x14ac:dyDescent="0.25">
      <c r="A42" t="s">
        <v>174</v>
      </c>
      <c r="C42" t="s">
        <v>152</v>
      </c>
      <c r="E42" t="s">
        <v>112</v>
      </c>
    </row>
    <row r="43" spans="1:5" x14ac:dyDescent="0.25">
      <c r="A43" t="s">
        <v>175</v>
      </c>
      <c r="C43" t="s">
        <v>894</v>
      </c>
      <c r="E43" t="s">
        <v>156</v>
      </c>
    </row>
    <row r="44" spans="1:5" x14ac:dyDescent="0.25">
      <c r="A44" t="s">
        <v>182</v>
      </c>
      <c r="C44" t="s">
        <v>895</v>
      </c>
      <c r="E44" t="s">
        <v>154</v>
      </c>
    </row>
    <row r="45" spans="1:5" x14ac:dyDescent="0.25">
      <c r="A45" t="s">
        <v>184</v>
      </c>
      <c r="E45" t="s">
        <v>158</v>
      </c>
    </row>
    <row r="46" spans="1:5" x14ac:dyDescent="0.25">
      <c r="A46" t="s">
        <v>186</v>
      </c>
      <c r="E46" t="s">
        <v>160</v>
      </c>
    </row>
    <row r="47" spans="1:5" x14ac:dyDescent="0.25">
      <c r="A47" t="s">
        <v>188</v>
      </c>
      <c r="E47" t="s">
        <v>162</v>
      </c>
    </row>
    <row r="48" spans="1:5" x14ac:dyDescent="0.25">
      <c r="A48" t="s">
        <v>190</v>
      </c>
      <c r="E48" t="s">
        <v>164</v>
      </c>
    </row>
    <row r="49" spans="1:5" x14ac:dyDescent="0.25">
      <c r="A49" t="s">
        <v>996</v>
      </c>
      <c r="E49" t="s">
        <v>166</v>
      </c>
    </row>
    <row r="50" spans="1:5" x14ac:dyDescent="0.25">
      <c r="A50" t="s">
        <v>191</v>
      </c>
      <c r="E50" t="s">
        <v>168</v>
      </c>
    </row>
    <row r="51" spans="1:5" x14ac:dyDescent="0.25">
      <c r="A51" t="s">
        <v>193</v>
      </c>
      <c r="C51" s="190"/>
      <c r="E51" t="s">
        <v>172</v>
      </c>
    </row>
    <row r="52" spans="1:5" x14ac:dyDescent="0.25">
      <c r="A52" t="s">
        <v>194</v>
      </c>
      <c r="E52" t="s">
        <v>1077</v>
      </c>
    </row>
    <row r="53" spans="1:5" x14ac:dyDescent="0.25">
      <c r="A53" t="s">
        <v>196</v>
      </c>
      <c r="E53" t="s">
        <v>1078</v>
      </c>
    </row>
    <row r="54" spans="1:5" x14ac:dyDescent="0.25">
      <c r="A54" t="s">
        <v>198</v>
      </c>
      <c r="E54" t="s">
        <v>180</v>
      </c>
    </row>
    <row r="55" spans="1:5" x14ac:dyDescent="0.25">
      <c r="A55" t="s">
        <v>200</v>
      </c>
      <c r="E55" t="s">
        <v>102</v>
      </c>
    </row>
    <row r="56" spans="1:5" x14ac:dyDescent="0.25">
      <c r="A56" t="s">
        <v>202</v>
      </c>
      <c r="E56" t="s">
        <v>183</v>
      </c>
    </row>
    <row r="57" spans="1:5" x14ac:dyDescent="0.25">
      <c r="A57" t="s">
        <v>204</v>
      </c>
      <c r="E57" t="s">
        <v>185</v>
      </c>
    </row>
    <row r="58" spans="1:5" x14ac:dyDescent="0.25">
      <c r="A58" t="s">
        <v>206</v>
      </c>
      <c r="E58" t="s">
        <v>187</v>
      </c>
    </row>
    <row r="59" spans="1:5" x14ac:dyDescent="0.25">
      <c r="A59" t="s">
        <v>208</v>
      </c>
      <c r="E59" t="s">
        <v>189</v>
      </c>
    </row>
    <row r="60" spans="1:5" x14ac:dyDescent="0.25">
      <c r="A60" t="s">
        <v>210</v>
      </c>
      <c r="E60" t="s">
        <v>192</v>
      </c>
    </row>
    <row r="61" spans="1:5" x14ac:dyDescent="0.25">
      <c r="A61" t="s">
        <v>212</v>
      </c>
      <c r="E61" t="s">
        <v>101</v>
      </c>
    </row>
    <row r="62" spans="1:5" x14ac:dyDescent="0.25">
      <c r="A62" t="s">
        <v>214</v>
      </c>
      <c r="E62" t="s">
        <v>195</v>
      </c>
    </row>
    <row r="63" spans="1:5" x14ac:dyDescent="0.25">
      <c r="A63" t="s">
        <v>216</v>
      </c>
      <c r="E63" t="s">
        <v>203</v>
      </c>
    </row>
    <row r="64" spans="1:5" x14ac:dyDescent="0.25">
      <c r="A64" t="s">
        <v>218</v>
      </c>
      <c r="E64" t="s">
        <v>1079</v>
      </c>
    </row>
    <row r="65" spans="1:5" x14ac:dyDescent="0.25">
      <c r="A65" t="s">
        <v>220</v>
      </c>
      <c r="E65" t="s">
        <v>1080</v>
      </c>
    </row>
    <row r="66" spans="1:5" x14ac:dyDescent="0.25">
      <c r="A66" t="s">
        <v>958</v>
      </c>
      <c r="E66" t="s">
        <v>1081</v>
      </c>
    </row>
    <row r="67" spans="1:5" x14ac:dyDescent="0.25">
      <c r="A67" t="s">
        <v>222</v>
      </c>
      <c r="E67" t="s">
        <v>1082</v>
      </c>
    </row>
    <row r="68" spans="1:5" x14ac:dyDescent="0.25">
      <c r="A68" t="s">
        <v>224</v>
      </c>
      <c r="E68" t="s">
        <v>1083</v>
      </c>
    </row>
    <row r="69" spans="1:5" x14ac:dyDescent="0.25">
      <c r="A69" t="s">
        <v>226</v>
      </c>
      <c r="E69" t="s">
        <v>1084</v>
      </c>
    </row>
    <row r="70" spans="1:5" x14ac:dyDescent="0.25">
      <c r="A70" t="s">
        <v>228</v>
      </c>
      <c r="E70" t="s">
        <v>1085</v>
      </c>
    </row>
    <row r="71" spans="1:5" x14ac:dyDescent="0.25">
      <c r="A71" t="s">
        <v>230</v>
      </c>
      <c r="E71" t="s">
        <v>1086</v>
      </c>
    </row>
    <row r="72" spans="1:5" x14ac:dyDescent="0.25">
      <c r="A72" t="s">
        <v>232</v>
      </c>
      <c r="E72" t="s">
        <v>197</v>
      </c>
    </row>
    <row r="73" spans="1:5" x14ac:dyDescent="0.25">
      <c r="A73" t="s">
        <v>959</v>
      </c>
      <c r="E73" t="s">
        <v>199</v>
      </c>
    </row>
    <row r="74" spans="1:5" x14ac:dyDescent="0.25">
      <c r="A74" t="s">
        <v>234</v>
      </c>
      <c r="E74" t="s">
        <v>201</v>
      </c>
    </row>
    <row r="75" spans="1:5" x14ac:dyDescent="0.25">
      <c r="A75" t="s">
        <v>237</v>
      </c>
      <c r="E75" t="s">
        <v>1087</v>
      </c>
    </row>
    <row r="76" spans="1:5" x14ac:dyDescent="0.25">
      <c r="A76" t="s">
        <v>239</v>
      </c>
      <c r="E76" t="s">
        <v>1088</v>
      </c>
    </row>
    <row r="77" spans="1:5" x14ac:dyDescent="0.25">
      <c r="A77" t="s">
        <v>241</v>
      </c>
      <c r="E77" t="s">
        <v>1089</v>
      </c>
    </row>
    <row r="78" spans="1:5" x14ac:dyDescent="0.25">
      <c r="A78" t="s">
        <v>243</v>
      </c>
      <c r="E78" t="s">
        <v>1090</v>
      </c>
    </row>
    <row r="79" spans="1:5" x14ac:dyDescent="0.25">
      <c r="A79" t="s">
        <v>253</v>
      </c>
      <c r="E79" t="s">
        <v>1091</v>
      </c>
    </row>
    <row r="80" spans="1:5" x14ac:dyDescent="0.25">
      <c r="A80" t="s">
        <v>255</v>
      </c>
      <c r="E80" t="s">
        <v>205</v>
      </c>
    </row>
    <row r="81" spans="1:5" x14ac:dyDescent="0.25">
      <c r="A81" t="s">
        <v>245</v>
      </c>
      <c r="E81" t="s">
        <v>207</v>
      </c>
    </row>
    <row r="82" spans="1:5" x14ac:dyDescent="0.25">
      <c r="A82" t="s">
        <v>247</v>
      </c>
      <c r="E82" t="s">
        <v>209</v>
      </c>
    </row>
    <row r="83" spans="1:5" x14ac:dyDescent="0.25">
      <c r="A83" t="s">
        <v>249</v>
      </c>
      <c r="E83" t="s">
        <v>1092</v>
      </c>
    </row>
    <row r="84" spans="1:5" x14ac:dyDescent="0.25">
      <c r="A84" t="s">
        <v>251</v>
      </c>
      <c r="E84" t="s">
        <v>1093</v>
      </c>
    </row>
    <row r="85" spans="1:5" x14ac:dyDescent="0.25">
      <c r="A85" t="s">
        <v>257</v>
      </c>
      <c r="E85" t="s">
        <v>1094</v>
      </c>
    </row>
    <row r="86" spans="1:5" x14ac:dyDescent="0.25">
      <c r="A86" t="s">
        <v>259</v>
      </c>
      <c r="E86" t="s">
        <v>1095</v>
      </c>
    </row>
    <row r="87" spans="1:5" x14ac:dyDescent="0.25">
      <c r="A87" t="s">
        <v>261</v>
      </c>
      <c r="E87" t="s">
        <v>1096</v>
      </c>
    </row>
    <row r="88" spans="1:5" x14ac:dyDescent="0.25">
      <c r="A88" t="s">
        <v>263</v>
      </c>
      <c r="E88" t="s">
        <v>1097</v>
      </c>
    </row>
    <row r="89" spans="1:5" x14ac:dyDescent="0.25">
      <c r="A89" t="s">
        <v>265</v>
      </c>
      <c r="E89" t="s">
        <v>1098</v>
      </c>
    </row>
    <row r="90" spans="1:5" x14ac:dyDescent="0.25">
      <c r="A90" t="s">
        <v>267</v>
      </c>
      <c r="E90" t="s">
        <v>1099</v>
      </c>
    </row>
    <row r="91" spans="1:5" x14ac:dyDescent="0.25">
      <c r="A91" t="s">
        <v>269</v>
      </c>
      <c r="E91" t="s">
        <v>1100</v>
      </c>
    </row>
    <row r="92" spans="1:5" x14ac:dyDescent="0.25">
      <c r="A92" t="s">
        <v>271</v>
      </c>
      <c r="E92" t="s">
        <v>1101</v>
      </c>
    </row>
    <row r="93" spans="1:5" x14ac:dyDescent="0.25">
      <c r="A93" t="s">
        <v>273</v>
      </c>
      <c r="E93" t="s">
        <v>1102</v>
      </c>
    </row>
    <row r="94" spans="1:5" x14ac:dyDescent="0.25">
      <c r="A94" t="s">
        <v>274</v>
      </c>
      <c r="E94" t="s">
        <v>1103</v>
      </c>
    </row>
    <row r="95" spans="1:5" x14ac:dyDescent="0.25">
      <c r="A95" t="s">
        <v>276</v>
      </c>
      <c r="E95" t="s">
        <v>211</v>
      </c>
    </row>
    <row r="96" spans="1:5" x14ac:dyDescent="0.25">
      <c r="A96" t="s">
        <v>278</v>
      </c>
      <c r="E96" t="s">
        <v>213</v>
      </c>
    </row>
    <row r="97" spans="1:5" x14ac:dyDescent="0.25">
      <c r="A97" t="s">
        <v>280</v>
      </c>
      <c r="E97" t="s">
        <v>215</v>
      </c>
    </row>
    <row r="98" spans="1:5" x14ac:dyDescent="0.25">
      <c r="A98" t="s">
        <v>282</v>
      </c>
      <c r="E98" t="s">
        <v>217</v>
      </c>
    </row>
    <row r="99" spans="1:5" x14ac:dyDescent="0.25">
      <c r="A99" t="s">
        <v>286</v>
      </c>
      <c r="E99" t="s">
        <v>1104</v>
      </c>
    </row>
    <row r="100" spans="1:5" x14ac:dyDescent="0.25">
      <c r="A100" t="s">
        <v>288</v>
      </c>
      <c r="E100" t="s">
        <v>1105</v>
      </c>
    </row>
    <row r="101" spans="1:5" x14ac:dyDescent="0.25">
      <c r="A101" t="s">
        <v>284</v>
      </c>
      <c r="E101" t="s">
        <v>1106</v>
      </c>
    </row>
    <row r="102" spans="1:5" x14ac:dyDescent="0.25">
      <c r="A102" t="s">
        <v>290</v>
      </c>
      <c r="E102" t="s">
        <v>1107</v>
      </c>
    </row>
    <row r="103" spans="1:5" x14ac:dyDescent="0.25">
      <c r="A103" t="s">
        <v>292</v>
      </c>
      <c r="E103" t="s">
        <v>1108</v>
      </c>
    </row>
    <row r="104" spans="1:5" x14ac:dyDescent="0.25">
      <c r="A104" t="s">
        <v>294</v>
      </c>
      <c r="E104" t="s">
        <v>238</v>
      </c>
    </row>
    <row r="105" spans="1:5" x14ac:dyDescent="0.25">
      <c r="A105" t="s">
        <v>296</v>
      </c>
      <c r="E105" t="s">
        <v>240</v>
      </c>
    </row>
    <row r="106" spans="1:5" x14ac:dyDescent="0.25">
      <c r="A106" t="s">
        <v>298</v>
      </c>
      <c r="E106" t="s">
        <v>242</v>
      </c>
    </row>
    <row r="107" spans="1:5" x14ac:dyDescent="0.25">
      <c r="A107" t="s">
        <v>300</v>
      </c>
      <c r="E107" t="s">
        <v>244</v>
      </c>
    </row>
    <row r="108" spans="1:5" x14ac:dyDescent="0.25">
      <c r="A108" t="s">
        <v>302</v>
      </c>
      <c r="E108" t="s">
        <v>246</v>
      </c>
    </row>
    <row r="109" spans="1:5" x14ac:dyDescent="0.25">
      <c r="A109" t="s">
        <v>304</v>
      </c>
      <c r="E109" t="s">
        <v>248</v>
      </c>
    </row>
    <row r="110" spans="1:5" x14ac:dyDescent="0.25">
      <c r="A110" t="s">
        <v>306</v>
      </c>
      <c r="E110" t="s">
        <v>250</v>
      </c>
    </row>
    <row r="111" spans="1:5" x14ac:dyDescent="0.25">
      <c r="A111" t="s">
        <v>308</v>
      </c>
      <c r="E111" t="s">
        <v>252</v>
      </c>
    </row>
    <row r="112" spans="1:5" x14ac:dyDescent="0.25">
      <c r="A112" t="s">
        <v>968</v>
      </c>
      <c r="E112" t="s">
        <v>254</v>
      </c>
    </row>
    <row r="113" spans="1:5" x14ac:dyDescent="0.25">
      <c r="A113" t="s">
        <v>310</v>
      </c>
      <c r="E113" t="s">
        <v>256</v>
      </c>
    </row>
    <row r="114" spans="1:5" x14ac:dyDescent="0.25">
      <c r="A114" t="s">
        <v>312</v>
      </c>
      <c r="E114" t="s">
        <v>219</v>
      </c>
    </row>
    <row r="115" spans="1:5" x14ac:dyDescent="0.25">
      <c r="A115" t="s">
        <v>961</v>
      </c>
      <c r="E115" t="s">
        <v>221</v>
      </c>
    </row>
    <row r="116" spans="1:5" x14ac:dyDescent="0.25">
      <c r="A116" t="s">
        <v>315</v>
      </c>
      <c r="E116" t="s">
        <v>223</v>
      </c>
    </row>
    <row r="117" spans="1:5" x14ac:dyDescent="0.25">
      <c r="A117" t="s">
        <v>317</v>
      </c>
      <c r="E117" t="s">
        <v>225</v>
      </c>
    </row>
    <row r="118" spans="1:5" x14ac:dyDescent="0.25">
      <c r="A118" t="s">
        <v>319</v>
      </c>
      <c r="E118" t="s">
        <v>227</v>
      </c>
    </row>
    <row r="119" spans="1:5" x14ac:dyDescent="0.25">
      <c r="A119" t="s">
        <v>321</v>
      </c>
      <c r="E119" t="s">
        <v>229</v>
      </c>
    </row>
    <row r="120" spans="1:5" x14ac:dyDescent="0.25">
      <c r="A120" t="s">
        <v>323</v>
      </c>
      <c r="E120" t="s">
        <v>231</v>
      </c>
    </row>
    <row r="121" spans="1:5" x14ac:dyDescent="0.25">
      <c r="A121" t="s">
        <v>325</v>
      </c>
      <c r="E121" t="s">
        <v>233</v>
      </c>
    </row>
    <row r="122" spans="1:5" x14ac:dyDescent="0.25">
      <c r="A122" t="s">
        <v>327</v>
      </c>
      <c r="E122" t="s">
        <v>235</v>
      </c>
    </row>
    <row r="123" spans="1:5" x14ac:dyDescent="0.25">
      <c r="A123" t="s">
        <v>329</v>
      </c>
      <c r="E123" t="s">
        <v>236</v>
      </c>
    </row>
    <row r="124" spans="1:5" x14ac:dyDescent="0.25">
      <c r="A124" t="s">
        <v>331</v>
      </c>
      <c r="E124" t="s">
        <v>266</v>
      </c>
    </row>
    <row r="125" spans="1:5" x14ac:dyDescent="0.25">
      <c r="A125" t="s">
        <v>333</v>
      </c>
      <c r="E125" t="s">
        <v>268</v>
      </c>
    </row>
    <row r="126" spans="1:5" x14ac:dyDescent="0.25">
      <c r="A126" t="s">
        <v>335</v>
      </c>
      <c r="E126" t="s">
        <v>270</v>
      </c>
    </row>
    <row r="127" spans="1:5" x14ac:dyDescent="0.25">
      <c r="A127" t="s">
        <v>337</v>
      </c>
      <c r="E127" t="s">
        <v>272</v>
      </c>
    </row>
    <row r="128" spans="1:5" x14ac:dyDescent="0.25">
      <c r="A128" t="s">
        <v>339</v>
      </c>
      <c r="E128" t="s">
        <v>258</v>
      </c>
    </row>
    <row r="129" spans="1:5" x14ac:dyDescent="0.25">
      <c r="A129" t="s">
        <v>341</v>
      </c>
      <c r="E129" t="s">
        <v>260</v>
      </c>
    </row>
    <row r="130" spans="1:5" x14ac:dyDescent="0.25">
      <c r="A130" t="s">
        <v>343</v>
      </c>
      <c r="E130" t="s">
        <v>262</v>
      </c>
    </row>
    <row r="131" spans="1:5" x14ac:dyDescent="0.25">
      <c r="A131" t="s">
        <v>345</v>
      </c>
      <c r="E131" t="s">
        <v>264</v>
      </c>
    </row>
    <row r="132" spans="1:5" x14ac:dyDescent="0.25">
      <c r="A132" t="s">
        <v>347</v>
      </c>
      <c r="E132" t="s">
        <v>560</v>
      </c>
    </row>
    <row r="133" spans="1:5" x14ac:dyDescent="0.25">
      <c r="A133" t="s">
        <v>352</v>
      </c>
      <c r="E133" t="s">
        <v>562</v>
      </c>
    </row>
    <row r="134" spans="1:5" x14ac:dyDescent="0.25">
      <c r="A134" t="s">
        <v>349</v>
      </c>
      <c r="E134" t="s">
        <v>564</v>
      </c>
    </row>
    <row r="135" spans="1:5" x14ac:dyDescent="0.25">
      <c r="A135" t="s">
        <v>350</v>
      </c>
      <c r="E135" t="s">
        <v>566</v>
      </c>
    </row>
    <row r="136" spans="1:5" x14ac:dyDescent="0.25">
      <c r="A136" t="s">
        <v>354</v>
      </c>
      <c r="E136" t="s">
        <v>568</v>
      </c>
    </row>
    <row r="137" spans="1:5" x14ac:dyDescent="0.25">
      <c r="A137" t="s">
        <v>356</v>
      </c>
      <c r="E137" t="s">
        <v>570</v>
      </c>
    </row>
    <row r="138" spans="1:5" x14ac:dyDescent="0.25">
      <c r="A138" t="s">
        <v>358</v>
      </c>
      <c r="E138" t="s">
        <v>572</v>
      </c>
    </row>
    <row r="139" spans="1:5" x14ac:dyDescent="0.25">
      <c r="A139" t="s">
        <v>360</v>
      </c>
      <c r="E139" t="s">
        <v>574</v>
      </c>
    </row>
    <row r="140" spans="1:5" x14ac:dyDescent="0.25">
      <c r="A140" t="s">
        <v>364</v>
      </c>
      <c r="E140" t="s">
        <v>576</v>
      </c>
    </row>
    <row r="141" spans="1:5" x14ac:dyDescent="0.25">
      <c r="A141" t="s">
        <v>362</v>
      </c>
      <c r="E141" t="s">
        <v>579</v>
      </c>
    </row>
    <row r="142" spans="1:5" x14ac:dyDescent="0.25">
      <c r="A142" t="s">
        <v>366</v>
      </c>
      <c r="E142" t="s">
        <v>581</v>
      </c>
    </row>
    <row r="143" spans="1:5" x14ac:dyDescent="0.25">
      <c r="A143" t="s">
        <v>368</v>
      </c>
      <c r="E143" t="s">
        <v>583</v>
      </c>
    </row>
    <row r="144" spans="1:5" x14ac:dyDescent="0.25">
      <c r="A144" t="s">
        <v>370</v>
      </c>
      <c r="E144" t="s">
        <v>585</v>
      </c>
    </row>
    <row r="145" spans="1:5" x14ac:dyDescent="0.25">
      <c r="A145" t="s">
        <v>372</v>
      </c>
      <c r="E145" t="s">
        <v>587</v>
      </c>
    </row>
    <row r="146" spans="1:5" x14ac:dyDescent="0.25">
      <c r="A146" t="s">
        <v>374</v>
      </c>
      <c r="E146" t="s">
        <v>589</v>
      </c>
    </row>
    <row r="147" spans="1:5" x14ac:dyDescent="0.25">
      <c r="A147" t="s">
        <v>376</v>
      </c>
      <c r="E147" t="s">
        <v>591</v>
      </c>
    </row>
    <row r="148" spans="1:5" x14ac:dyDescent="0.25">
      <c r="A148" t="s">
        <v>378</v>
      </c>
      <c r="E148" t="s">
        <v>593</v>
      </c>
    </row>
    <row r="149" spans="1:5" x14ac:dyDescent="0.25">
      <c r="A149" t="s">
        <v>382</v>
      </c>
      <c r="E149" t="s">
        <v>595</v>
      </c>
    </row>
    <row r="150" spans="1:5" x14ac:dyDescent="0.25">
      <c r="A150" t="s">
        <v>960</v>
      </c>
      <c r="E150" t="s">
        <v>597</v>
      </c>
    </row>
    <row r="151" spans="1:5" x14ac:dyDescent="0.25">
      <c r="A151" t="s">
        <v>380</v>
      </c>
      <c r="E151" t="s">
        <v>599</v>
      </c>
    </row>
    <row r="152" spans="1:5" x14ac:dyDescent="0.25">
      <c r="A152" t="s">
        <v>384</v>
      </c>
      <c r="E152" t="s">
        <v>601</v>
      </c>
    </row>
    <row r="153" spans="1:5" x14ac:dyDescent="0.25">
      <c r="A153" t="s">
        <v>386</v>
      </c>
      <c r="E153" t="s">
        <v>611</v>
      </c>
    </row>
    <row r="154" spans="1:5" x14ac:dyDescent="0.25">
      <c r="A154" t="s">
        <v>388</v>
      </c>
      <c r="E154" t="s">
        <v>613</v>
      </c>
    </row>
    <row r="155" spans="1:5" x14ac:dyDescent="0.25">
      <c r="A155" t="s">
        <v>390</v>
      </c>
      <c r="E155" t="s">
        <v>615</v>
      </c>
    </row>
    <row r="156" spans="1:5" x14ac:dyDescent="0.25">
      <c r="A156" t="s">
        <v>392</v>
      </c>
      <c r="E156" t="s">
        <v>603</v>
      </c>
    </row>
    <row r="157" spans="1:5" x14ac:dyDescent="0.25">
      <c r="A157" t="s">
        <v>394</v>
      </c>
      <c r="E157" t="s">
        <v>605</v>
      </c>
    </row>
    <row r="158" spans="1:5" x14ac:dyDescent="0.25">
      <c r="A158" t="s">
        <v>396</v>
      </c>
      <c r="E158" t="s">
        <v>607</v>
      </c>
    </row>
    <row r="159" spans="1:5" x14ac:dyDescent="0.25">
      <c r="A159" t="s">
        <v>969</v>
      </c>
      <c r="E159" t="s">
        <v>609</v>
      </c>
    </row>
    <row r="160" spans="1:5" x14ac:dyDescent="0.25">
      <c r="A160" t="s">
        <v>398</v>
      </c>
      <c r="E160" t="s">
        <v>617</v>
      </c>
    </row>
    <row r="161" spans="1:5" x14ac:dyDescent="0.25">
      <c r="A161" t="s">
        <v>400</v>
      </c>
      <c r="E161" t="s">
        <v>619</v>
      </c>
    </row>
    <row r="162" spans="1:5" x14ac:dyDescent="0.25">
      <c r="A162" t="s">
        <v>962</v>
      </c>
      <c r="E162" t="s">
        <v>621</v>
      </c>
    </row>
    <row r="163" spans="1:5" x14ac:dyDescent="0.25">
      <c r="A163" t="s">
        <v>402</v>
      </c>
      <c r="E163" t="s">
        <v>623</v>
      </c>
    </row>
    <row r="164" spans="1:5" x14ac:dyDescent="0.25">
      <c r="A164" t="s">
        <v>404</v>
      </c>
      <c r="E164" t="s">
        <v>625</v>
      </c>
    </row>
    <row r="165" spans="1:5" x14ac:dyDescent="0.25">
      <c r="A165" t="s">
        <v>406</v>
      </c>
      <c r="E165" t="s">
        <v>627</v>
      </c>
    </row>
    <row r="166" spans="1:5" x14ac:dyDescent="0.25">
      <c r="A166" t="s">
        <v>408</v>
      </c>
      <c r="E166" t="s">
        <v>629</v>
      </c>
    </row>
    <row r="167" spans="1:5" x14ac:dyDescent="0.25">
      <c r="A167" t="s">
        <v>410</v>
      </c>
      <c r="E167" t="s">
        <v>631</v>
      </c>
    </row>
    <row r="168" spans="1:5" x14ac:dyDescent="0.25">
      <c r="A168" t="s">
        <v>412</v>
      </c>
      <c r="E168" t="s">
        <v>633</v>
      </c>
    </row>
    <row r="169" spans="1:5" x14ac:dyDescent="0.25">
      <c r="A169" t="s">
        <v>414</v>
      </c>
      <c r="E169" t="s">
        <v>634</v>
      </c>
    </row>
    <row r="170" spans="1:5" x14ac:dyDescent="0.25">
      <c r="A170" t="s">
        <v>991</v>
      </c>
      <c r="E170" t="s">
        <v>636</v>
      </c>
    </row>
    <row r="171" spans="1:5" x14ac:dyDescent="0.25">
      <c r="A171" t="s">
        <v>416</v>
      </c>
      <c r="E171" t="s">
        <v>642</v>
      </c>
    </row>
    <row r="172" spans="1:5" x14ac:dyDescent="0.25">
      <c r="A172" t="s">
        <v>418</v>
      </c>
      <c r="E172" t="s">
        <v>638</v>
      </c>
    </row>
    <row r="173" spans="1:5" x14ac:dyDescent="0.25">
      <c r="A173" t="s">
        <v>420</v>
      </c>
      <c r="E173" t="s">
        <v>640</v>
      </c>
    </row>
    <row r="174" spans="1:5" x14ac:dyDescent="0.25">
      <c r="A174" t="s">
        <v>422</v>
      </c>
      <c r="E174" t="s">
        <v>644</v>
      </c>
    </row>
    <row r="175" spans="1:5" x14ac:dyDescent="0.25">
      <c r="A175" t="s">
        <v>424</v>
      </c>
      <c r="E175" t="s">
        <v>275</v>
      </c>
    </row>
    <row r="176" spans="1:5" x14ac:dyDescent="0.25">
      <c r="A176" t="s">
        <v>426</v>
      </c>
      <c r="E176" t="s">
        <v>277</v>
      </c>
    </row>
    <row r="177" spans="1:5" x14ac:dyDescent="0.25">
      <c r="A177" t="s">
        <v>428</v>
      </c>
      <c r="E177" t="s">
        <v>279</v>
      </c>
    </row>
    <row r="178" spans="1:5" x14ac:dyDescent="0.25">
      <c r="A178" t="s">
        <v>430</v>
      </c>
      <c r="E178" t="s">
        <v>281</v>
      </c>
    </row>
    <row r="179" spans="1:5" x14ac:dyDescent="0.25">
      <c r="A179" t="s">
        <v>432</v>
      </c>
      <c r="E179" t="s">
        <v>283</v>
      </c>
    </row>
    <row r="180" spans="1:5" x14ac:dyDescent="0.25">
      <c r="A180" t="s">
        <v>434</v>
      </c>
      <c r="E180" t="s">
        <v>285</v>
      </c>
    </row>
    <row r="181" spans="1:5" x14ac:dyDescent="0.25">
      <c r="A181" t="s">
        <v>436</v>
      </c>
      <c r="E181" t="s">
        <v>287</v>
      </c>
    </row>
    <row r="182" spans="1:5" x14ac:dyDescent="0.25">
      <c r="A182" t="s">
        <v>438</v>
      </c>
      <c r="E182" t="s">
        <v>289</v>
      </c>
    </row>
    <row r="183" spans="1:5" x14ac:dyDescent="0.25">
      <c r="A183" t="s">
        <v>440</v>
      </c>
      <c r="E183" t="s">
        <v>291</v>
      </c>
    </row>
    <row r="184" spans="1:5" x14ac:dyDescent="0.25">
      <c r="A184" t="s">
        <v>442</v>
      </c>
      <c r="E184" t="s">
        <v>293</v>
      </c>
    </row>
    <row r="185" spans="1:5" x14ac:dyDescent="0.25">
      <c r="A185" t="s">
        <v>444</v>
      </c>
      <c r="E185" t="s">
        <v>295</v>
      </c>
    </row>
    <row r="186" spans="1:5" x14ac:dyDescent="0.25">
      <c r="A186" t="s">
        <v>446</v>
      </c>
      <c r="E186" t="s">
        <v>297</v>
      </c>
    </row>
    <row r="187" spans="1:5" x14ac:dyDescent="0.25">
      <c r="A187" t="s">
        <v>448</v>
      </c>
      <c r="E187" t="s">
        <v>303</v>
      </c>
    </row>
    <row r="188" spans="1:5" x14ac:dyDescent="0.25">
      <c r="A188" t="s">
        <v>450</v>
      </c>
      <c r="E188" t="s">
        <v>305</v>
      </c>
    </row>
    <row r="189" spans="1:5" x14ac:dyDescent="0.25">
      <c r="A189" t="s">
        <v>452</v>
      </c>
      <c r="E189" t="s">
        <v>307</v>
      </c>
    </row>
    <row r="190" spans="1:5" x14ac:dyDescent="0.25">
      <c r="A190" t="s">
        <v>454</v>
      </c>
      <c r="E190" t="s">
        <v>309</v>
      </c>
    </row>
    <row r="191" spans="1:5" x14ac:dyDescent="0.25">
      <c r="A191" t="s">
        <v>456</v>
      </c>
      <c r="E191" t="s">
        <v>311</v>
      </c>
    </row>
    <row r="192" spans="1:5" x14ac:dyDescent="0.25">
      <c r="A192" t="s">
        <v>458</v>
      </c>
      <c r="E192" t="s">
        <v>313</v>
      </c>
    </row>
    <row r="193" spans="1:5" x14ac:dyDescent="0.25">
      <c r="A193" t="s">
        <v>973</v>
      </c>
      <c r="E193" t="s">
        <v>314</v>
      </c>
    </row>
    <row r="194" spans="1:5" x14ac:dyDescent="0.25">
      <c r="A194" t="s">
        <v>460</v>
      </c>
      <c r="E194" t="s">
        <v>316</v>
      </c>
    </row>
    <row r="195" spans="1:5" x14ac:dyDescent="0.25">
      <c r="A195" t="s">
        <v>462</v>
      </c>
      <c r="E195" t="s">
        <v>318</v>
      </c>
    </row>
    <row r="196" spans="1:5" x14ac:dyDescent="0.25">
      <c r="A196" t="s">
        <v>464</v>
      </c>
      <c r="E196" t="s">
        <v>320</v>
      </c>
    </row>
    <row r="197" spans="1:5" x14ac:dyDescent="0.25">
      <c r="A197" t="s">
        <v>466</v>
      </c>
      <c r="E197" t="s">
        <v>322</v>
      </c>
    </row>
    <row r="198" spans="1:5" x14ac:dyDescent="0.25">
      <c r="A198" t="s">
        <v>468</v>
      </c>
      <c r="E198" t="s">
        <v>324</v>
      </c>
    </row>
    <row r="199" spans="1:5" x14ac:dyDescent="0.25">
      <c r="A199" t="s">
        <v>470</v>
      </c>
      <c r="E199" t="s">
        <v>1109</v>
      </c>
    </row>
    <row r="200" spans="1:5" x14ac:dyDescent="0.25">
      <c r="A200" t="s">
        <v>472</v>
      </c>
      <c r="E200" t="s">
        <v>328</v>
      </c>
    </row>
    <row r="201" spans="1:5" x14ac:dyDescent="0.25">
      <c r="A201" t="s">
        <v>490</v>
      </c>
      <c r="E201" t="s">
        <v>330</v>
      </c>
    </row>
    <row r="202" spans="1:5" x14ac:dyDescent="0.25">
      <c r="A202" t="s">
        <v>492</v>
      </c>
      <c r="E202" t="s">
        <v>332</v>
      </c>
    </row>
    <row r="203" spans="1:5" x14ac:dyDescent="0.25">
      <c r="A203" t="s">
        <v>494</v>
      </c>
      <c r="E203" t="s">
        <v>334</v>
      </c>
    </row>
    <row r="204" spans="1:5" x14ac:dyDescent="0.25">
      <c r="A204" t="s">
        <v>496</v>
      </c>
      <c r="E204" t="s">
        <v>336</v>
      </c>
    </row>
    <row r="205" spans="1:5" x14ac:dyDescent="0.25">
      <c r="A205" t="s">
        <v>498</v>
      </c>
      <c r="E205" t="s">
        <v>338</v>
      </c>
    </row>
    <row r="206" spans="1:5" x14ac:dyDescent="0.25">
      <c r="A206" t="s">
        <v>500</v>
      </c>
      <c r="E206" t="s">
        <v>340</v>
      </c>
    </row>
    <row r="207" spans="1:5" x14ac:dyDescent="0.25">
      <c r="A207" t="s">
        <v>502</v>
      </c>
      <c r="E207" t="s">
        <v>342</v>
      </c>
    </row>
    <row r="208" spans="1:5" x14ac:dyDescent="0.25">
      <c r="A208" t="s">
        <v>504</v>
      </c>
      <c r="E208" t="s">
        <v>344</v>
      </c>
    </row>
    <row r="209" spans="1:5" x14ac:dyDescent="0.25">
      <c r="A209" t="s">
        <v>474</v>
      </c>
      <c r="E209" t="s">
        <v>346</v>
      </c>
    </row>
    <row r="210" spans="1:5" x14ac:dyDescent="0.25">
      <c r="A210" t="s">
        <v>476</v>
      </c>
      <c r="E210" t="s">
        <v>348</v>
      </c>
    </row>
    <row r="211" spans="1:5" x14ac:dyDescent="0.25">
      <c r="A211" t="s">
        <v>478</v>
      </c>
      <c r="E211" t="s">
        <v>351</v>
      </c>
    </row>
    <row r="212" spans="1:5" x14ac:dyDescent="0.25">
      <c r="A212" t="s">
        <v>480</v>
      </c>
      <c r="E212" t="s">
        <v>353</v>
      </c>
    </row>
    <row r="213" spans="1:5" x14ac:dyDescent="0.25">
      <c r="A213" t="s">
        <v>482</v>
      </c>
      <c r="E213" t="s">
        <v>355</v>
      </c>
    </row>
    <row r="214" spans="1:5" x14ac:dyDescent="0.25">
      <c r="A214" t="s">
        <v>484</v>
      </c>
      <c r="E214" t="s">
        <v>357</v>
      </c>
    </row>
    <row r="215" spans="1:5" x14ac:dyDescent="0.25">
      <c r="A215" t="s">
        <v>486</v>
      </c>
      <c r="E215" t="s">
        <v>359</v>
      </c>
    </row>
    <row r="216" spans="1:5" x14ac:dyDescent="0.25">
      <c r="A216" t="s">
        <v>488</v>
      </c>
      <c r="E216" t="s">
        <v>361</v>
      </c>
    </row>
    <row r="217" spans="1:5" x14ac:dyDescent="0.25">
      <c r="A217" t="s">
        <v>506</v>
      </c>
      <c r="E217" t="s">
        <v>363</v>
      </c>
    </row>
    <row r="218" spans="1:5" x14ac:dyDescent="0.25">
      <c r="A218" t="s">
        <v>508</v>
      </c>
      <c r="E218" t="s">
        <v>365</v>
      </c>
    </row>
    <row r="219" spans="1:5" x14ac:dyDescent="0.25">
      <c r="A219" t="s">
        <v>510</v>
      </c>
      <c r="E219" t="s">
        <v>367</v>
      </c>
    </row>
    <row r="220" spans="1:5" x14ac:dyDescent="0.25">
      <c r="A220" t="s">
        <v>512</v>
      </c>
      <c r="E220" t="s">
        <v>369</v>
      </c>
    </row>
    <row r="221" spans="1:5" x14ac:dyDescent="0.25">
      <c r="A221" t="s">
        <v>514</v>
      </c>
      <c r="E221" t="s">
        <v>371</v>
      </c>
    </row>
    <row r="222" spans="1:5" x14ac:dyDescent="0.25">
      <c r="A222" t="s">
        <v>516</v>
      </c>
      <c r="E222" t="s">
        <v>373</v>
      </c>
    </row>
    <row r="223" spans="1:5" x14ac:dyDescent="0.25">
      <c r="A223" t="s">
        <v>518</v>
      </c>
      <c r="E223" t="s">
        <v>375</v>
      </c>
    </row>
    <row r="224" spans="1:5" x14ac:dyDescent="0.25">
      <c r="A224" t="s">
        <v>520</v>
      </c>
      <c r="E224" t="s">
        <v>377</v>
      </c>
    </row>
    <row r="225" spans="1:5" x14ac:dyDescent="0.25">
      <c r="A225" t="s">
        <v>522</v>
      </c>
      <c r="E225" t="s">
        <v>379</v>
      </c>
    </row>
    <row r="226" spans="1:5" x14ac:dyDescent="0.25">
      <c r="A226" t="s">
        <v>524</v>
      </c>
      <c r="E226" t="s">
        <v>381</v>
      </c>
    </row>
    <row r="227" spans="1:5" x14ac:dyDescent="0.25">
      <c r="A227" t="s">
        <v>526</v>
      </c>
      <c r="E227" t="s">
        <v>383</v>
      </c>
    </row>
    <row r="228" spans="1:5" x14ac:dyDescent="0.25">
      <c r="A228" t="s">
        <v>528</v>
      </c>
      <c r="E228" t="s">
        <v>385</v>
      </c>
    </row>
    <row r="229" spans="1:5" x14ac:dyDescent="0.25">
      <c r="A229" t="s">
        <v>530</v>
      </c>
      <c r="E229" t="s">
        <v>387</v>
      </c>
    </row>
    <row r="230" spans="1:5" x14ac:dyDescent="0.25">
      <c r="A230" t="s">
        <v>534</v>
      </c>
      <c r="E230" t="s">
        <v>389</v>
      </c>
    </row>
    <row r="231" spans="1:5" x14ac:dyDescent="0.25">
      <c r="A231" t="s">
        <v>532</v>
      </c>
      <c r="E231" t="s">
        <v>391</v>
      </c>
    </row>
    <row r="232" spans="1:5" x14ac:dyDescent="0.25">
      <c r="A232" t="s">
        <v>535</v>
      </c>
      <c r="E232" t="s">
        <v>393</v>
      </c>
    </row>
    <row r="233" spans="1:5" x14ac:dyDescent="0.25">
      <c r="A233" t="s">
        <v>537</v>
      </c>
      <c r="E233" t="s">
        <v>395</v>
      </c>
    </row>
    <row r="234" spans="1:5" x14ac:dyDescent="0.25">
      <c r="A234" t="s">
        <v>539</v>
      </c>
      <c r="E234" t="s">
        <v>397</v>
      </c>
    </row>
    <row r="235" spans="1:5" x14ac:dyDescent="0.25">
      <c r="A235" t="s">
        <v>541</v>
      </c>
      <c r="E235" t="s">
        <v>399</v>
      </c>
    </row>
    <row r="236" spans="1:5" x14ac:dyDescent="0.25">
      <c r="A236" t="s">
        <v>543</v>
      </c>
      <c r="E236" t="s">
        <v>401</v>
      </c>
    </row>
    <row r="237" spans="1:5" x14ac:dyDescent="0.25">
      <c r="A237" t="s">
        <v>545</v>
      </c>
      <c r="E237" t="s">
        <v>403</v>
      </c>
    </row>
    <row r="238" spans="1:5" x14ac:dyDescent="0.25">
      <c r="A238" t="s">
        <v>547</v>
      </c>
      <c r="E238" t="s">
        <v>405</v>
      </c>
    </row>
    <row r="239" spans="1:5" x14ac:dyDescent="0.25">
      <c r="A239" t="s">
        <v>963</v>
      </c>
      <c r="E239" t="s">
        <v>407</v>
      </c>
    </row>
    <row r="240" spans="1:5" x14ac:dyDescent="0.25">
      <c r="A240" t="s">
        <v>549</v>
      </c>
      <c r="E240" t="s">
        <v>409</v>
      </c>
    </row>
    <row r="241" spans="1:5" x14ac:dyDescent="0.25">
      <c r="A241" t="s">
        <v>551</v>
      </c>
      <c r="E241" t="s">
        <v>411</v>
      </c>
    </row>
    <row r="242" spans="1:5" x14ac:dyDescent="0.25">
      <c r="A242" t="s">
        <v>553</v>
      </c>
      <c r="E242" t="s">
        <v>413</v>
      </c>
    </row>
    <row r="243" spans="1:5" x14ac:dyDescent="0.25">
      <c r="A243" t="s">
        <v>555</v>
      </c>
      <c r="E243" t="s">
        <v>415</v>
      </c>
    </row>
    <row r="244" spans="1:5" x14ac:dyDescent="0.25">
      <c r="A244" t="s">
        <v>557</v>
      </c>
      <c r="E244" t="s">
        <v>417</v>
      </c>
    </row>
    <row r="245" spans="1:5" x14ac:dyDescent="0.25">
      <c r="A245" t="s">
        <v>559</v>
      </c>
      <c r="E245" t="s">
        <v>419</v>
      </c>
    </row>
    <row r="246" spans="1:5" x14ac:dyDescent="0.25">
      <c r="A246" t="s">
        <v>561</v>
      </c>
      <c r="E246" t="s">
        <v>421</v>
      </c>
    </row>
    <row r="247" spans="1:5" x14ac:dyDescent="0.25">
      <c r="A247" t="s">
        <v>563</v>
      </c>
      <c r="E247" t="s">
        <v>423</v>
      </c>
    </row>
    <row r="248" spans="1:5" x14ac:dyDescent="0.25">
      <c r="A248" t="s">
        <v>565</v>
      </c>
      <c r="E248" t="s">
        <v>425</v>
      </c>
    </row>
    <row r="249" spans="1:5" x14ac:dyDescent="0.25">
      <c r="A249" t="s">
        <v>567</v>
      </c>
      <c r="E249" t="s">
        <v>463</v>
      </c>
    </row>
    <row r="250" spans="1:5" x14ac:dyDescent="0.25">
      <c r="A250" t="s">
        <v>569</v>
      </c>
      <c r="E250" t="s">
        <v>435</v>
      </c>
    </row>
    <row r="251" spans="1:5" x14ac:dyDescent="0.25">
      <c r="A251" t="s">
        <v>571</v>
      </c>
      <c r="E251" t="s">
        <v>437</v>
      </c>
    </row>
    <row r="252" spans="1:5" x14ac:dyDescent="0.25">
      <c r="A252" t="s">
        <v>573</v>
      </c>
      <c r="E252" t="s">
        <v>439</v>
      </c>
    </row>
    <row r="253" spans="1:5" x14ac:dyDescent="0.25">
      <c r="A253" t="s">
        <v>575</v>
      </c>
      <c r="E253" t="s">
        <v>441</v>
      </c>
    </row>
    <row r="254" spans="1:5" x14ac:dyDescent="0.25">
      <c r="A254" t="s">
        <v>577</v>
      </c>
      <c r="E254" t="s">
        <v>443</v>
      </c>
    </row>
    <row r="255" spans="1:5" x14ac:dyDescent="0.25">
      <c r="A255" t="s">
        <v>580</v>
      </c>
      <c r="E255" t="s">
        <v>445</v>
      </c>
    </row>
    <row r="256" spans="1:5" x14ac:dyDescent="0.25">
      <c r="A256" t="s">
        <v>578</v>
      </c>
      <c r="E256" t="s">
        <v>447</v>
      </c>
    </row>
    <row r="257" spans="1:5" x14ac:dyDescent="0.25">
      <c r="A257" t="s">
        <v>584</v>
      </c>
      <c r="E257" t="s">
        <v>449</v>
      </c>
    </row>
    <row r="258" spans="1:5" x14ac:dyDescent="0.25">
      <c r="A258" t="s">
        <v>586</v>
      </c>
      <c r="E258" t="s">
        <v>451</v>
      </c>
    </row>
    <row r="259" spans="1:5" x14ac:dyDescent="0.25">
      <c r="A259" t="s">
        <v>588</v>
      </c>
      <c r="E259" t="s">
        <v>453</v>
      </c>
    </row>
    <row r="260" spans="1:5" x14ac:dyDescent="0.25">
      <c r="A260" t="s">
        <v>590</v>
      </c>
      <c r="E260" t="s">
        <v>427</v>
      </c>
    </row>
    <row r="261" spans="1:5" x14ac:dyDescent="0.25">
      <c r="A261" t="s">
        <v>582</v>
      </c>
      <c r="E261" t="s">
        <v>429</v>
      </c>
    </row>
    <row r="262" spans="1:5" x14ac:dyDescent="0.25">
      <c r="A262" t="s">
        <v>592</v>
      </c>
      <c r="E262" t="s">
        <v>431</v>
      </c>
    </row>
    <row r="263" spans="1:5" x14ac:dyDescent="0.25">
      <c r="A263" t="s">
        <v>594</v>
      </c>
      <c r="E263" t="s">
        <v>433</v>
      </c>
    </row>
    <row r="264" spans="1:5" x14ac:dyDescent="0.25">
      <c r="A264" t="s">
        <v>998</v>
      </c>
      <c r="E264" t="s">
        <v>455</v>
      </c>
    </row>
    <row r="265" spans="1:5" x14ac:dyDescent="0.25">
      <c r="A265" t="s">
        <v>596</v>
      </c>
      <c r="E265" t="s">
        <v>457</v>
      </c>
    </row>
    <row r="266" spans="1:5" x14ac:dyDescent="0.25">
      <c r="A266" t="s">
        <v>598</v>
      </c>
      <c r="E266" t="s">
        <v>459</v>
      </c>
    </row>
    <row r="267" spans="1:5" x14ac:dyDescent="0.25">
      <c r="A267" t="s">
        <v>600</v>
      </c>
      <c r="E267" t="s">
        <v>461</v>
      </c>
    </row>
    <row r="268" spans="1:5" x14ac:dyDescent="0.25">
      <c r="A268" t="s">
        <v>614</v>
      </c>
      <c r="E268" t="s">
        <v>465</v>
      </c>
    </row>
    <row r="269" spans="1:5" x14ac:dyDescent="0.25">
      <c r="A269" t="s">
        <v>616</v>
      </c>
      <c r="E269" t="s">
        <v>1110</v>
      </c>
    </row>
    <row r="270" spans="1:5" x14ac:dyDescent="0.25">
      <c r="A270" t="s">
        <v>618</v>
      </c>
      <c r="E270" t="s">
        <v>467</v>
      </c>
    </row>
    <row r="271" spans="1:5" x14ac:dyDescent="0.25">
      <c r="A271" t="s">
        <v>620</v>
      </c>
      <c r="E271" t="s">
        <v>469</v>
      </c>
    </row>
    <row r="272" spans="1:5" x14ac:dyDescent="0.25">
      <c r="A272" t="s">
        <v>622</v>
      </c>
      <c r="E272" t="s">
        <v>473</v>
      </c>
    </row>
    <row r="273" spans="1:5" x14ac:dyDescent="0.25">
      <c r="A273" t="s">
        <v>624</v>
      </c>
      <c r="E273" t="s">
        <v>475</v>
      </c>
    </row>
    <row r="274" spans="1:5" x14ac:dyDescent="0.25">
      <c r="A274" t="s">
        <v>604</v>
      </c>
      <c r="E274" t="s">
        <v>477</v>
      </c>
    </row>
    <row r="275" spans="1:5" x14ac:dyDescent="0.25">
      <c r="A275" t="s">
        <v>602</v>
      </c>
      <c r="E275" t="s">
        <v>481</v>
      </c>
    </row>
    <row r="276" spans="1:5" x14ac:dyDescent="0.25">
      <c r="A276" t="s">
        <v>606</v>
      </c>
      <c r="E276" t="s">
        <v>479</v>
      </c>
    </row>
    <row r="277" spans="1:5" x14ac:dyDescent="0.25">
      <c r="A277" t="s">
        <v>608</v>
      </c>
      <c r="E277" t="s">
        <v>1111</v>
      </c>
    </row>
    <row r="278" spans="1:5" x14ac:dyDescent="0.25">
      <c r="A278" t="s">
        <v>610</v>
      </c>
      <c r="E278" t="s">
        <v>485</v>
      </c>
    </row>
    <row r="279" spans="1:5" x14ac:dyDescent="0.25">
      <c r="A279" t="s">
        <v>612</v>
      </c>
      <c r="E279" t="s">
        <v>487</v>
      </c>
    </row>
    <row r="280" spans="1:5" x14ac:dyDescent="0.25">
      <c r="A280" t="s">
        <v>632</v>
      </c>
      <c r="E280" t="s">
        <v>489</v>
      </c>
    </row>
    <row r="281" spans="1:5" x14ac:dyDescent="0.25">
      <c r="A281" t="s">
        <v>999</v>
      </c>
      <c r="E281" t="s">
        <v>491</v>
      </c>
    </row>
    <row r="282" spans="1:5" x14ac:dyDescent="0.25">
      <c r="A282" t="s">
        <v>635</v>
      </c>
      <c r="E282" t="s">
        <v>493</v>
      </c>
    </row>
    <row r="283" spans="1:5" x14ac:dyDescent="0.25">
      <c r="A283" t="s">
        <v>964</v>
      </c>
      <c r="E283" t="s">
        <v>495</v>
      </c>
    </row>
    <row r="284" spans="1:5" x14ac:dyDescent="0.25">
      <c r="A284" t="s">
        <v>637</v>
      </c>
      <c r="E284" t="s">
        <v>497</v>
      </c>
    </row>
    <row r="285" spans="1:5" x14ac:dyDescent="0.25">
      <c r="A285" t="s">
        <v>626</v>
      </c>
      <c r="E285" t="s">
        <v>499</v>
      </c>
    </row>
    <row r="286" spans="1:5" x14ac:dyDescent="0.25">
      <c r="A286" t="s">
        <v>628</v>
      </c>
      <c r="E286" t="s">
        <v>501</v>
      </c>
    </row>
    <row r="287" spans="1:5" x14ac:dyDescent="0.25">
      <c r="A287" t="s">
        <v>630</v>
      </c>
      <c r="E287" t="s">
        <v>503</v>
      </c>
    </row>
    <row r="288" spans="1:5" x14ac:dyDescent="0.25">
      <c r="A288" t="s">
        <v>965</v>
      </c>
      <c r="E288" t="s">
        <v>505</v>
      </c>
    </row>
    <row r="289" spans="1:5" x14ac:dyDescent="0.25">
      <c r="A289" t="s">
        <v>639</v>
      </c>
      <c r="E289" t="s">
        <v>507</v>
      </c>
    </row>
    <row r="290" spans="1:5" x14ac:dyDescent="0.25">
      <c r="A290" s="29" t="s">
        <v>1167</v>
      </c>
      <c r="E290" t="s">
        <v>509</v>
      </c>
    </row>
    <row r="291" spans="1:5" x14ac:dyDescent="0.25">
      <c r="A291" t="s">
        <v>641</v>
      </c>
      <c r="E291" t="s">
        <v>511</v>
      </c>
    </row>
    <row r="292" spans="1:5" x14ac:dyDescent="0.25">
      <c r="A292" t="s">
        <v>643</v>
      </c>
      <c r="E292" t="s">
        <v>513</v>
      </c>
    </row>
    <row r="293" spans="1:5" x14ac:dyDescent="0.25">
      <c r="A293" t="s">
        <v>645</v>
      </c>
      <c r="E293" t="s">
        <v>515</v>
      </c>
    </row>
    <row r="294" spans="1:5" x14ac:dyDescent="0.25">
      <c r="A294" t="s">
        <v>647</v>
      </c>
      <c r="E294" t="s">
        <v>517</v>
      </c>
    </row>
    <row r="295" spans="1:5" x14ac:dyDescent="0.25">
      <c r="A295" t="s">
        <v>649</v>
      </c>
      <c r="E295" t="s">
        <v>519</v>
      </c>
    </row>
    <row r="296" spans="1:5" x14ac:dyDescent="0.25">
      <c r="A296" t="s">
        <v>651</v>
      </c>
      <c r="E296" t="s">
        <v>521</v>
      </c>
    </row>
    <row r="297" spans="1:5" x14ac:dyDescent="0.25">
      <c r="A297" t="s">
        <v>955</v>
      </c>
      <c r="E297" t="s">
        <v>525</v>
      </c>
    </row>
    <row r="298" spans="1:5" x14ac:dyDescent="0.25">
      <c r="A298" t="s">
        <v>653</v>
      </c>
      <c r="E298" t="s">
        <v>527</v>
      </c>
    </row>
    <row r="299" spans="1:5" x14ac:dyDescent="0.25">
      <c r="A299" t="s">
        <v>655</v>
      </c>
      <c r="E299" t="s">
        <v>529</v>
      </c>
    </row>
    <row r="300" spans="1:5" x14ac:dyDescent="0.25">
      <c r="A300" t="s">
        <v>657</v>
      </c>
      <c r="E300" t="s">
        <v>531</v>
      </c>
    </row>
    <row r="301" spans="1:5" x14ac:dyDescent="0.25">
      <c r="A301" t="s">
        <v>659</v>
      </c>
      <c r="E301" t="s">
        <v>533</v>
      </c>
    </row>
    <row r="302" spans="1:5" x14ac:dyDescent="0.25">
      <c r="A302" t="s">
        <v>661</v>
      </c>
      <c r="E302" t="s">
        <v>95</v>
      </c>
    </row>
    <row r="303" spans="1:5" x14ac:dyDescent="0.25">
      <c r="A303" t="s">
        <v>663</v>
      </c>
      <c r="E303" t="s">
        <v>536</v>
      </c>
    </row>
    <row r="304" spans="1:5" x14ac:dyDescent="0.25">
      <c r="A304" t="s">
        <v>665</v>
      </c>
      <c r="E304" t="s">
        <v>538</v>
      </c>
    </row>
    <row r="305" spans="1:5" x14ac:dyDescent="0.25">
      <c r="A305" t="s">
        <v>667</v>
      </c>
      <c r="E305" t="s">
        <v>540</v>
      </c>
    </row>
    <row r="306" spans="1:5" x14ac:dyDescent="0.25">
      <c r="A306" t="s">
        <v>669</v>
      </c>
      <c r="E306" t="s">
        <v>542</v>
      </c>
    </row>
    <row r="307" spans="1:5" x14ac:dyDescent="0.25">
      <c r="A307" t="s">
        <v>671</v>
      </c>
      <c r="E307" t="s">
        <v>544</v>
      </c>
    </row>
    <row r="308" spans="1:5" x14ac:dyDescent="0.25">
      <c r="A308" t="s">
        <v>673</v>
      </c>
      <c r="E308" t="s">
        <v>550</v>
      </c>
    </row>
    <row r="309" spans="1:5" x14ac:dyDescent="0.25">
      <c r="A309" t="s">
        <v>675</v>
      </c>
      <c r="E309" t="s">
        <v>552</v>
      </c>
    </row>
    <row r="310" spans="1:5" x14ac:dyDescent="0.25">
      <c r="A310" t="s">
        <v>677</v>
      </c>
      <c r="E310" t="s">
        <v>1112</v>
      </c>
    </row>
    <row r="311" spans="1:5" x14ac:dyDescent="0.25">
      <c r="A311" t="s">
        <v>683</v>
      </c>
      <c r="E311" t="s">
        <v>554</v>
      </c>
    </row>
    <row r="312" spans="1:5" x14ac:dyDescent="0.25">
      <c r="A312" t="s">
        <v>685</v>
      </c>
      <c r="E312" t="s">
        <v>556</v>
      </c>
    </row>
    <row r="313" spans="1:5" x14ac:dyDescent="0.25">
      <c r="A313" t="s">
        <v>687</v>
      </c>
      <c r="E313" t="s">
        <v>558</v>
      </c>
    </row>
    <row r="314" spans="1:5" x14ac:dyDescent="0.25">
      <c r="A314" s="29" t="s">
        <v>1168</v>
      </c>
      <c r="E314" t="s">
        <v>546</v>
      </c>
    </row>
    <row r="315" spans="1:5" x14ac:dyDescent="0.25">
      <c r="A315" t="s">
        <v>689</v>
      </c>
      <c r="E315" t="s">
        <v>548</v>
      </c>
    </row>
    <row r="316" spans="1:5" x14ac:dyDescent="0.25">
      <c r="A316" t="s">
        <v>679</v>
      </c>
      <c r="E316" t="s">
        <v>646</v>
      </c>
    </row>
    <row r="317" spans="1:5" x14ac:dyDescent="0.25">
      <c r="A317" t="s">
        <v>681</v>
      </c>
      <c r="E317" t="s">
        <v>1113</v>
      </c>
    </row>
    <row r="318" spans="1:5" x14ac:dyDescent="0.25">
      <c r="A318" t="s">
        <v>972</v>
      </c>
      <c r="E318" t="s">
        <v>1114</v>
      </c>
    </row>
    <row r="319" spans="1:5" x14ac:dyDescent="0.25">
      <c r="A319" t="s">
        <v>1012</v>
      </c>
      <c r="E319" t="s">
        <v>648</v>
      </c>
    </row>
    <row r="320" spans="1:5" x14ac:dyDescent="0.25">
      <c r="A320" t="s">
        <v>691</v>
      </c>
      <c r="E320" t="s">
        <v>1115</v>
      </c>
    </row>
    <row r="321" spans="1:5" x14ac:dyDescent="0.25">
      <c r="A321" t="s">
        <v>971</v>
      </c>
      <c r="E321" t="s">
        <v>662</v>
      </c>
    </row>
    <row r="322" spans="1:5" x14ac:dyDescent="0.25">
      <c r="A322" t="s">
        <v>970</v>
      </c>
      <c r="E322" t="s">
        <v>664</v>
      </c>
    </row>
    <row r="323" spans="1:5" x14ac:dyDescent="0.25">
      <c r="A323" t="s">
        <v>977</v>
      </c>
      <c r="E323" t="s">
        <v>650</v>
      </c>
    </row>
    <row r="324" spans="1:5" x14ac:dyDescent="0.25">
      <c r="A324" t="s">
        <v>693</v>
      </c>
      <c r="E324" t="s">
        <v>652</v>
      </c>
    </row>
    <row r="325" spans="1:5" x14ac:dyDescent="0.25">
      <c r="A325" t="s">
        <v>695</v>
      </c>
      <c r="E325" t="s">
        <v>654</v>
      </c>
    </row>
    <row r="326" spans="1:5" x14ac:dyDescent="0.25">
      <c r="A326" t="s">
        <v>698</v>
      </c>
      <c r="E326" t="s">
        <v>656</v>
      </c>
    </row>
    <row r="327" spans="1:5" x14ac:dyDescent="0.25">
      <c r="A327" t="s">
        <v>966</v>
      </c>
      <c r="E327" t="s">
        <v>658</v>
      </c>
    </row>
    <row r="328" spans="1:5" x14ac:dyDescent="0.25">
      <c r="A328" t="s">
        <v>700</v>
      </c>
      <c r="E328" t="s">
        <v>660</v>
      </c>
    </row>
    <row r="329" spans="1:5" x14ac:dyDescent="0.25">
      <c r="A329" t="s">
        <v>702</v>
      </c>
      <c r="E329" t="s">
        <v>666</v>
      </c>
    </row>
    <row r="330" spans="1:5" x14ac:dyDescent="0.25">
      <c r="A330" t="s">
        <v>704</v>
      </c>
      <c r="E330" t="s">
        <v>674</v>
      </c>
    </row>
    <row r="331" spans="1:5" x14ac:dyDescent="0.25">
      <c r="A331" t="s">
        <v>715</v>
      </c>
      <c r="E331" t="s">
        <v>676</v>
      </c>
    </row>
    <row r="332" spans="1:5" x14ac:dyDescent="0.25">
      <c r="A332" t="s">
        <v>716</v>
      </c>
      <c r="E332" t="s">
        <v>678</v>
      </c>
    </row>
    <row r="333" spans="1:5" x14ac:dyDescent="0.25">
      <c r="A333" t="s">
        <v>1000</v>
      </c>
      <c r="E333" t="s">
        <v>668</v>
      </c>
    </row>
    <row r="334" spans="1:5" x14ac:dyDescent="0.25">
      <c r="A334" t="s">
        <v>706</v>
      </c>
      <c r="E334" t="s">
        <v>670</v>
      </c>
    </row>
    <row r="335" spans="1:5" x14ac:dyDescent="0.25">
      <c r="A335" t="s">
        <v>708</v>
      </c>
      <c r="E335" t="s">
        <v>672</v>
      </c>
    </row>
    <row r="336" spans="1:5" x14ac:dyDescent="0.25">
      <c r="A336" s="29" t="s">
        <v>1169</v>
      </c>
      <c r="E336" t="s">
        <v>680</v>
      </c>
    </row>
    <row r="337" spans="1:5" x14ac:dyDescent="0.25">
      <c r="A337" t="s">
        <v>710</v>
      </c>
      <c r="E337" t="s">
        <v>682</v>
      </c>
    </row>
    <row r="338" spans="1:5" x14ac:dyDescent="0.25">
      <c r="A338" t="s">
        <v>712</v>
      </c>
      <c r="E338" t="s">
        <v>684</v>
      </c>
    </row>
    <row r="339" spans="1:5" x14ac:dyDescent="0.25">
      <c r="A339" t="s">
        <v>718</v>
      </c>
      <c r="E339" t="s">
        <v>686</v>
      </c>
    </row>
    <row r="340" spans="1:5" x14ac:dyDescent="0.25">
      <c r="A340" t="s">
        <v>720</v>
      </c>
      <c r="E340" t="s">
        <v>688</v>
      </c>
    </row>
    <row r="341" spans="1:5" x14ac:dyDescent="0.25">
      <c r="A341" t="s">
        <v>722</v>
      </c>
      <c r="E341" t="s">
        <v>690</v>
      </c>
    </row>
    <row r="342" spans="1:5" x14ac:dyDescent="0.25">
      <c r="A342" t="s">
        <v>974</v>
      </c>
      <c r="E342" t="s">
        <v>692</v>
      </c>
    </row>
    <row r="343" spans="1:5" x14ac:dyDescent="0.25">
      <c r="A343" t="s">
        <v>975</v>
      </c>
      <c r="E343" t="s">
        <v>694</v>
      </c>
    </row>
    <row r="344" spans="1:5" x14ac:dyDescent="0.25">
      <c r="A344" t="s">
        <v>724</v>
      </c>
      <c r="E344" t="s">
        <v>696</v>
      </c>
    </row>
    <row r="345" spans="1:5" x14ac:dyDescent="0.25">
      <c r="A345" t="s">
        <v>726</v>
      </c>
      <c r="E345" t="s">
        <v>697</v>
      </c>
    </row>
    <row r="346" spans="1:5" x14ac:dyDescent="0.25">
      <c r="A346" t="s">
        <v>728</v>
      </c>
      <c r="E346" t="s">
        <v>699</v>
      </c>
    </row>
    <row r="347" spans="1:5" x14ac:dyDescent="0.25">
      <c r="A347" t="s">
        <v>730</v>
      </c>
      <c r="E347" t="s">
        <v>701</v>
      </c>
    </row>
    <row r="348" spans="1:5" x14ac:dyDescent="0.25">
      <c r="A348" t="s">
        <v>732</v>
      </c>
      <c r="E348" t="s">
        <v>1116</v>
      </c>
    </row>
    <row r="349" spans="1:5" x14ac:dyDescent="0.25">
      <c r="A349" t="s">
        <v>734</v>
      </c>
      <c r="E349" t="s">
        <v>1117</v>
      </c>
    </row>
    <row r="350" spans="1:5" x14ac:dyDescent="0.25">
      <c r="A350" t="s">
        <v>736</v>
      </c>
      <c r="E350" t="s">
        <v>1118</v>
      </c>
    </row>
    <row r="351" spans="1:5" x14ac:dyDescent="0.25">
      <c r="A351" t="s">
        <v>738</v>
      </c>
      <c r="E351" t="s">
        <v>1119</v>
      </c>
    </row>
    <row r="352" spans="1:5" x14ac:dyDescent="0.25">
      <c r="A352" t="s">
        <v>748</v>
      </c>
      <c r="E352" t="s">
        <v>1120</v>
      </c>
    </row>
    <row r="353" spans="1:5" x14ac:dyDescent="0.25">
      <c r="A353" t="s">
        <v>740</v>
      </c>
      <c r="E353" t="s">
        <v>1121</v>
      </c>
    </row>
    <row r="354" spans="1:5" x14ac:dyDescent="0.25">
      <c r="A354" t="s">
        <v>742</v>
      </c>
      <c r="E354" t="s">
        <v>1011</v>
      </c>
    </row>
    <row r="355" spans="1:5" x14ac:dyDescent="0.25">
      <c r="A355" t="s">
        <v>744</v>
      </c>
      <c r="E355" t="s">
        <v>713</v>
      </c>
    </row>
    <row r="356" spans="1:5" x14ac:dyDescent="0.25">
      <c r="A356" t="s">
        <v>746</v>
      </c>
      <c r="E356" t="s">
        <v>709</v>
      </c>
    </row>
    <row r="357" spans="1:5" x14ac:dyDescent="0.25">
      <c r="A357" t="s">
        <v>750</v>
      </c>
      <c r="E357" t="s">
        <v>711</v>
      </c>
    </row>
    <row r="358" spans="1:5" x14ac:dyDescent="0.25">
      <c r="A358" t="s">
        <v>752</v>
      </c>
      <c r="E358" t="s">
        <v>707</v>
      </c>
    </row>
    <row r="359" spans="1:5" x14ac:dyDescent="0.25">
      <c r="A359" t="s">
        <v>754</v>
      </c>
      <c r="E359" t="s">
        <v>703</v>
      </c>
    </row>
    <row r="360" spans="1:5" x14ac:dyDescent="0.25">
      <c r="A360" t="s">
        <v>756</v>
      </c>
      <c r="E360" t="s">
        <v>705</v>
      </c>
    </row>
    <row r="361" spans="1:5" x14ac:dyDescent="0.25">
      <c r="A361" t="s">
        <v>758</v>
      </c>
      <c r="E361" t="s">
        <v>1122</v>
      </c>
    </row>
    <row r="362" spans="1:5" x14ac:dyDescent="0.25">
      <c r="A362" t="s">
        <v>760</v>
      </c>
      <c r="E362" t="s">
        <v>717</v>
      </c>
    </row>
    <row r="363" spans="1:5" x14ac:dyDescent="0.25">
      <c r="A363" t="s">
        <v>762</v>
      </c>
      <c r="E363" t="s">
        <v>719</v>
      </c>
    </row>
    <row r="364" spans="1:5" x14ac:dyDescent="0.25">
      <c r="A364" t="s">
        <v>997</v>
      </c>
      <c r="E364" t="s">
        <v>721</v>
      </c>
    </row>
    <row r="365" spans="1:5" x14ac:dyDescent="0.25">
      <c r="A365" t="s">
        <v>976</v>
      </c>
      <c r="E365" t="s">
        <v>714</v>
      </c>
    </row>
    <row r="366" spans="1:5" x14ac:dyDescent="0.25">
      <c r="A366" t="s">
        <v>764</v>
      </c>
      <c r="E366" t="s">
        <v>1123</v>
      </c>
    </row>
    <row r="367" spans="1:5" x14ac:dyDescent="0.25">
      <c r="A367" t="s">
        <v>766</v>
      </c>
      <c r="E367" t="s">
        <v>1124</v>
      </c>
    </row>
    <row r="368" spans="1:5" x14ac:dyDescent="0.25">
      <c r="E368" t="s">
        <v>1125</v>
      </c>
    </row>
    <row r="369" spans="1:5" x14ac:dyDescent="0.25">
      <c r="E369" t="s">
        <v>1126</v>
      </c>
    </row>
    <row r="370" spans="1:5" x14ac:dyDescent="0.25">
      <c r="E370" t="s">
        <v>1127</v>
      </c>
    </row>
    <row r="371" spans="1:5" x14ac:dyDescent="0.25">
      <c r="E371" t="s">
        <v>1128</v>
      </c>
    </row>
    <row r="372" spans="1:5" x14ac:dyDescent="0.25">
      <c r="E372" t="s">
        <v>723</v>
      </c>
    </row>
    <row r="373" spans="1:5" x14ac:dyDescent="0.25">
      <c r="E373" t="s">
        <v>725</v>
      </c>
    </row>
    <row r="374" spans="1:5" x14ac:dyDescent="0.25">
      <c r="E374" t="s">
        <v>727</v>
      </c>
    </row>
    <row r="375" spans="1:5" x14ac:dyDescent="0.25">
      <c r="A375" s="190"/>
      <c r="E375" t="s">
        <v>729</v>
      </c>
    </row>
    <row r="376" spans="1:5" x14ac:dyDescent="0.25">
      <c r="E376" t="s">
        <v>731</v>
      </c>
    </row>
    <row r="377" spans="1:5" x14ac:dyDescent="0.25">
      <c r="E377" t="s">
        <v>733</v>
      </c>
    </row>
    <row r="378" spans="1:5" x14ac:dyDescent="0.25">
      <c r="E378" t="s">
        <v>735</v>
      </c>
    </row>
    <row r="379" spans="1:5" x14ac:dyDescent="0.25">
      <c r="E379" t="s">
        <v>737</v>
      </c>
    </row>
    <row r="380" spans="1:5" x14ac:dyDescent="0.25">
      <c r="E380" t="s">
        <v>739</v>
      </c>
    </row>
    <row r="381" spans="1:5" x14ac:dyDescent="0.25">
      <c r="E381" t="s">
        <v>741</v>
      </c>
    </row>
    <row r="382" spans="1:5" x14ac:dyDescent="0.25">
      <c r="E382" t="s">
        <v>743</v>
      </c>
    </row>
    <row r="383" spans="1:5" x14ac:dyDescent="0.25">
      <c r="E383" t="s">
        <v>745</v>
      </c>
    </row>
    <row r="384" spans="1:5" x14ac:dyDescent="0.25">
      <c r="E384" t="s">
        <v>747</v>
      </c>
    </row>
    <row r="385" spans="5:5" x14ac:dyDescent="0.25">
      <c r="E385" t="s">
        <v>755</v>
      </c>
    </row>
    <row r="386" spans="5:5" x14ac:dyDescent="0.25">
      <c r="E386" t="s">
        <v>757</v>
      </c>
    </row>
    <row r="387" spans="5:5" x14ac:dyDescent="0.25">
      <c r="E387" t="s">
        <v>749</v>
      </c>
    </row>
    <row r="388" spans="5:5" x14ac:dyDescent="0.25">
      <c r="E388" t="s">
        <v>751</v>
      </c>
    </row>
    <row r="389" spans="5:5" x14ac:dyDescent="0.25">
      <c r="E389" t="s">
        <v>753</v>
      </c>
    </row>
    <row r="390" spans="5:5" x14ac:dyDescent="0.25">
      <c r="E390" t="s">
        <v>759</v>
      </c>
    </row>
    <row r="391" spans="5:5" x14ac:dyDescent="0.25">
      <c r="E391" t="s">
        <v>761</v>
      </c>
    </row>
    <row r="392" spans="5:5" x14ac:dyDescent="0.25">
      <c r="E392" t="s">
        <v>763</v>
      </c>
    </row>
    <row r="393" spans="5:5" x14ac:dyDescent="0.25">
      <c r="E393" t="s">
        <v>1129</v>
      </c>
    </row>
    <row r="394" spans="5:5" x14ac:dyDescent="0.25">
      <c r="E394" t="s">
        <v>1130</v>
      </c>
    </row>
    <row r="395" spans="5:5" x14ac:dyDescent="0.25">
      <c r="E395" t="s">
        <v>1131</v>
      </c>
    </row>
    <row r="396" spans="5:5" x14ac:dyDescent="0.25">
      <c r="E396" t="s">
        <v>1132</v>
      </c>
    </row>
    <row r="397" spans="5:5" x14ac:dyDescent="0.25">
      <c r="E397" t="s">
        <v>1133</v>
      </c>
    </row>
    <row r="398" spans="5:5" x14ac:dyDescent="0.25">
      <c r="E398" t="s">
        <v>778</v>
      </c>
    </row>
    <row r="399" spans="5:5" x14ac:dyDescent="0.25">
      <c r="E399" t="s">
        <v>1134</v>
      </c>
    </row>
    <row r="400" spans="5:5" x14ac:dyDescent="0.25">
      <c r="E400" t="s">
        <v>779</v>
      </c>
    </row>
    <row r="401" spans="5:5" x14ac:dyDescent="0.25">
      <c r="E401" t="s">
        <v>780</v>
      </c>
    </row>
    <row r="402" spans="5:5" x14ac:dyDescent="0.25">
      <c r="E402" t="s">
        <v>1135</v>
      </c>
    </row>
    <row r="403" spans="5:5" x14ac:dyDescent="0.25">
      <c r="E403" t="s">
        <v>781</v>
      </c>
    </row>
    <row r="404" spans="5:5" x14ac:dyDescent="0.25">
      <c r="E404" t="s">
        <v>782</v>
      </c>
    </row>
    <row r="405" spans="5:5" x14ac:dyDescent="0.25">
      <c r="E405" t="s">
        <v>783</v>
      </c>
    </row>
    <row r="406" spans="5:5" x14ac:dyDescent="0.25">
      <c r="E406" t="s">
        <v>784</v>
      </c>
    </row>
    <row r="407" spans="5:5" x14ac:dyDescent="0.25">
      <c r="E407" t="s">
        <v>785</v>
      </c>
    </row>
    <row r="408" spans="5:5" x14ac:dyDescent="0.25">
      <c r="E408" t="s">
        <v>786</v>
      </c>
    </row>
    <row r="409" spans="5:5" x14ac:dyDescent="0.25">
      <c r="E409" t="s">
        <v>787</v>
      </c>
    </row>
    <row r="410" spans="5:5" x14ac:dyDescent="0.25">
      <c r="E410" t="s">
        <v>1136</v>
      </c>
    </row>
    <row r="411" spans="5:5" x14ac:dyDescent="0.25">
      <c r="E411" t="s">
        <v>775</v>
      </c>
    </row>
    <row r="412" spans="5:5" x14ac:dyDescent="0.25">
      <c r="E412" t="s">
        <v>776</v>
      </c>
    </row>
    <row r="413" spans="5:5" x14ac:dyDescent="0.25">
      <c r="E413" t="s">
        <v>777</v>
      </c>
    </row>
    <row r="414" spans="5:5" x14ac:dyDescent="0.25">
      <c r="E414" t="s">
        <v>788</v>
      </c>
    </row>
    <row r="415" spans="5:5" x14ac:dyDescent="0.25">
      <c r="E415" t="s">
        <v>765</v>
      </c>
    </row>
    <row r="416" spans="5:5" x14ac:dyDescent="0.25">
      <c r="E416" t="s">
        <v>767</v>
      </c>
    </row>
    <row r="417" spans="5:5" x14ac:dyDescent="0.25">
      <c r="E417" t="s">
        <v>768</v>
      </c>
    </row>
    <row r="418" spans="5:5" x14ac:dyDescent="0.25">
      <c r="E418" t="s">
        <v>769</v>
      </c>
    </row>
    <row r="419" spans="5:5" x14ac:dyDescent="0.25">
      <c r="E419" t="s">
        <v>770</v>
      </c>
    </row>
    <row r="420" spans="5:5" x14ac:dyDescent="0.25">
      <c r="E420" t="s">
        <v>771</v>
      </c>
    </row>
    <row r="421" spans="5:5" x14ac:dyDescent="0.25">
      <c r="E421" t="s">
        <v>772</v>
      </c>
    </row>
    <row r="422" spans="5:5" x14ac:dyDescent="0.25">
      <c r="E422" t="s">
        <v>773</v>
      </c>
    </row>
    <row r="423" spans="5:5" x14ac:dyDescent="0.25">
      <c r="E423" t="s">
        <v>1137</v>
      </c>
    </row>
    <row r="424" spans="5:5" x14ac:dyDescent="0.25">
      <c r="E424" t="s">
        <v>1138</v>
      </c>
    </row>
    <row r="425" spans="5:5" x14ac:dyDescent="0.25">
      <c r="E425" t="s">
        <v>1139</v>
      </c>
    </row>
    <row r="426" spans="5:5" x14ac:dyDescent="0.25">
      <c r="E426" t="s">
        <v>1140</v>
      </c>
    </row>
    <row r="427" spans="5:5" x14ac:dyDescent="0.25">
      <c r="E427" t="s">
        <v>1141</v>
      </c>
    </row>
    <row r="428" spans="5:5" x14ac:dyDescent="0.25">
      <c r="E428" t="s">
        <v>1154</v>
      </c>
    </row>
    <row r="429" spans="5:5" x14ac:dyDescent="0.25">
      <c r="E429" t="s">
        <v>1155</v>
      </c>
    </row>
    <row r="430" spans="5:5" x14ac:dyDescent="0.25">
      <c r="E430" t="s">
        <v>1156</v>
      </c>
    </row>
    <row r="431" spans="5:5" x14ac:dyDescent="0.25">
      <c r="E431" t="s">
        <v>1151</v>
      </c>
    </row>
    <row r="432" spans="5:5" x14ac:dyDescent="0.25">
      <c r="E432" t="s">
        <v>1157</v>
      </c>
    </row>
    <row r="433" spans="5:5" x14ac:dyDescent="0.25">
      <c r="E433" t="s">
        <v>1158</v>
      </c>
    </row>
    <row r="434" spans="5:5" x14ac:dyDescent="0.25">
      <c r="E434" t="s">
        <v>1159</v>
      </c>
    </row>
    <row r="435" spans="5:5" x14ac:dyDescent="0.25">
      <c r="E435" t="s">
        <v>1160</v>
      </c>
    </row>
    <row r="436" spans="5:5" x14ac:dyDescent="0.25">
      <c r="E436" t="s">
        <v>1161</v>
      </c>
    </row>
    <row r="437" spans="5:5" x14ac:dyDescent="0.25">
      <c r="E437" t="s">
        <v>1162</v>
      </c>
    </row>
    <row r="438" spans="5:5" x14ac:dyDescent="0.25">
      <c r="E438" t="s">
        <v>1163</v>
      </c>
    </row>
    <row r="439" spans="5:5" x14ac:dyDescent="0.25">
      <c r="E439" t="s">
        <v>1164</v>
      </c>
    </row>
    <row r="440" spans="5:5" x14ac:dyDescent="0.25">
      <c r="E440" t="s">
        <v>1165</v>
      </c>
    </row>
    <row r="441" spans="5:5" x14ac:dyDescent="0.25">
      <c r="E441" t="s">
        <v>1166</v>
      </c>
    </row>
    <row r="442" spans="5:5" x14ac:dyDescent="0.25">
      <c r="E442" t="s">
        <v>1142</v>
      </c>
    </row>
    <row r="443" spans="5:5" x14ac:dyDescent="0.25">
      <c r="E443" t="s">
        <v>1143</v>
      </c>
    </row>
    <row r="444" spans="5:5" x14ac:dyDescent="0.25">
      <c r="E444" t="s">
        <v>1144</v>
      </c>
    </row>
    <row r="445" spans="5:5" x14ac:dyDescent="0.25">
      <c r="E445" t="s">
        <v>1145</v>
      </c>
    </row>
    <row r="446" spans="5:5" x14ac:dyDescent="0.25">
      <c r="E446" t="s">
        <v>1146</v>
      </c>
    </row>
    <row r="447" spans="5:5" x14ac:dyDescent="0.25">
      <c r="E447" t="s">
        <v>789</v>
      </c>
    </row>
    <row r="448" spans="5:5" x14ac:dyDescent="0.25">
      <c r="E448" t="s">
        <v>790</v>
      </c>
    </row>
    <row r="449" spans="5:5" x14ac:dyDescent="0.25">
      <c r="E449" t="s">
        <v>791</v>
      </c>
    </row>
    <row r="450" spans="5:5" x14ac:dyDescent="0.25">
      <c r="E450" t="s">
        <v>792</v>
      </c>
    </row>
    <row r="451" spans="5:5" x14ac:dyDescent="0.25">
      <c r="E451" t="s">
        <v>793</v>
      </c>
    </row>
    <row r="452" spans="5:5" x14ac:dyDescent="0.25">
      <c r="E452" t="s">
        <v>794</v>
      </c>
    </row>
    <row r="453" spans="5:5" x14ac:dyDescent="0.25">
      <c r="E453" t="s">
        <v>795</v>
      </c>
    </row>
    <row r="454" spans="5:5" x14ac:dyDescent="0.25">
      <c r="E454" t="s">
        <v>1147</v>
      </c>
    </row>
    <row r="455" spans="5:5" x14ac:dyDescent="0.25">
      <c r="E455" t="s">
        <v>1148</v>
      </c>
    </row>
    <row r="456" spans="5:5" x14ac:dyDescent="0.25">
      <c r="E456" t="s">
        <v>1149</v>
      </c>
    </row>
    <row r="457" spans="5:5" x14ac:dyDescent="0.25">
      <c r="E457" t="s">
        <v>1150</v>
      </c>
    </row>
    <row r="458" spans="5:5" x14ac:dyDescent="0.25">
      <c r="E458" t="s">
        <v>796</v>
      </c>
    </row>
    <row r="459" spans="5:5" x14ac:dyDescent="0.25">
      <c r="E459" t="s">
        <v>797</v>
      </c>
    </row>
    <row r="460" spans="5:5" x14ac:dyDescent="0.25">
      <c r="E460" t="s">
        <v>798</v>
      </c>
    </row>
    <row r="461" spans="5:5" x14ac:dyDescent="0.25">
      <c r="E461" t="s">
        <v>799</v>
      </c>
    </row>
    <row r="462" spans="5:5" x14ac:dyDescent="0.25">
      <c r="E462" t="s">
        <v>800</v>
      </c>
    </row>
    <row r="463" spans="5:5" x14ac:dyDescent="0.25">
      <c r="E463" t="s">
        <v>801</v>
      </c>
    </row>
    <row r="464" spans="5:5" x14ac:dyDescent="0.25">
      <c r="E464" t="s">
        <v>802</v>
      </c>
    </row>
    <row r="465" spans="5:5" x14ac:dyDescent="0.25">
      <c r="E465" t="s">
        <v>803</v>
      </c>
    </row>
    <row r="466" spans="5:5" x14ac:dyDescent="0.25">
      <c r="E466" t="s">
        <v>804</v>
      </c>
    </row>
    <row r="467" spans="5:5" x14ac:dyDescent="0.25">
      <c r="E467" t="s">
        <v>805</v>
      </c>
    </row>
    <row r="468" spans="5:5" x14ac:dyDescent="0.25">
      <c r="E468" t="s">
        <v>806</v>
      </c>
    </row>
    <row r="469" spans="5:5" x14ac:dyDescent="0.25">
      <c r="E469" t="s">
        <v>807</v>
      </c>
    </row>
    <row r="470" spans="5:5" x14ac:dyDescent="0.25">
      <c r="E470" t="s">
        <v>808</v>
      </c>
    </row>
    <row r="471" spans="5:5" x14ac:dyDescent="0.25">
      <c r="E471" t="s">
        <v>809</v>
      </c>
    </row>
    <row r="472" spans="5:5" x14ac:dyDescent="0.25">
      <c r="E472" t="s">
        <v>810</v>
      </c>
    </row>
    <row r="473" spans="5:5" x14ac:dyDescent="0.25">
      <c r="E473" t="s">
        <v>811</v>
      </c>
    </row>
    <row r="474" spans="5:5" x14ac:dyDescent="0.25">
      <c r="E474" t="s">
        <v>812</v>
      </c>
    </row>
    <row r="475" spans="5:5" x14ac:dyDescent="0.25">
      <c r="E475" t="s">
        <v>813</v>
      </c>
    </row>
    <row r="476" spans="5:5" x14ac:dyDescent="0.25">
      <c r="E476" t="s">
        <v>814</v>
      </c>
    </row>
    <row r="477" spans="5:5" x14ac:dyDescent="0.25">
      <c r="E477" t="s">
        <v>815</v>
      </c>
    </row>
    <row r="478" spans="5:5" x14ac:dyDescent="0.25">
      <c r="E478" t="s">
        <v>816</v>
      </c>
    </row>
    <row r="479" spans="5:5" x14ac:dyDescent="0.25">
      <c r="E479" t="s">
        <v>817</v>
      </c>
    </row>
    <row r="480" spans="5:5" x14ac:dyDescent="0.25">
      <c r="E480" t="s">
        <v>818</v>
      </c>
    </row>
    <row r="481" spans="5:5" x14ac:dyDescent="0.25">
      <c r="E481" t="s">
        <v>819</v>
      </c>
    </row>
    <row r="482" spans="5:5" x14ac:dyDescent="0.25">
      <c r="E482" t="s">
        <v>820</v>
      </c>
    </row>
    <row r="483" spans="5:5" x14ac:dyDescent="0.25">
      <c r="E483" t="s">
        <v>821</v>
      </c>
    </row>
    <row r="484" spans="5:5" x14ac:dyDescent="0.25">
      <c r="E484" t="s">
        <v>822</v>
      </c>
    </row>
    <row r="485" spans="5:5" x14ac:dyDescent="0.25">
      <c r="E485" t="s">
        <v>827</v>
      </c>
    </row>
    <row r="486" spans="5:5" x14ac:dyDescent="0.25">
      <c r="E486" t="s">
        <v>823</v>
      </c>
    </row>
    <row r="487" spans="5:5" x14ac:dyDescent="0.25">
      <c r="E487" t="s">
        <v>824</v>
      </c>
    </row>
    <row r="488" spans="5:5" x14ac:dyDescent="0.25">
      <c r="E488" t="s">
        <v>825</v>
      </c>
    </row>
    <row r="489" spans="5:5" x14ac:dyDescent="0.25">
      <c r="E489" t="s">
        <v>826</v>
      </c>
    </row>
  </sheetData>
  <sortState xmlns:xlrd2="http://schemas.microsoft.com/office/spreadsheetml/2017/richdata2" ref="E29:E45">
    <sortCondition ref="E29:E45"/>
  </sortState>
  <customSheetViews>
    <customSheetView guid="{792F7DB4-F0C7-4F6F-9D44-1CA398E3F0DC}">
      <selection activeCell="A2" sqref="A2:A369"/>
      <pageMargins left="0.7" right="0.7" top="0.75" bottom="0.75" header="0.3" footer="0.3"/>
      <pageSetup orientation="portrait" r:id="rId1"/>
    </customSheetView>
    <customSheetView guid="{BE266B8E-38B0-4631-9C30-67CA48A8BD7F}">
      <selection activeCell="A2" sqref="A2:A369"/>
      <pageMargins left="0.7" right="0.7" top="0.75" bottom="0.75" header="0.3" footer="0.3"/>
      <pageSetup orientation="portrait" r:id="rId2"/>
    </customSheetView>
    <customSheetView guid="{BD1DF852-269B-4C2F-AF89-1FA576EA4603}" topLeftCell="A345">
      <selection activeCell="F16" sqref="F16"/>
      <pageMargins left="0.7" right="0.7" top="0.75" bottom="0.75" header="0.3" footer="0.3"/>
      <pageSetup orientation="portrait" r:id="rId3"/>
    </customSheetView>
    <customSheetView guid="{6A3B2C41-2DBC-4B17-AB58-12C85E3A6B8A}">
      <pageMargins left="0.7" right="0.7" top="0.75" bottom="0.75" header="0.3" footer="0.3"/>
      <pageSetup orientation="portrait" r:id="rId4"/>
    </customSheetView>
    <customSheetView guid="{9DC468DE-D883-45B4-B188-265B9DA68425}">
      <selection activeCell="E3" sqref="E3"/>
      <pageMargins left="0.7" right="0.7" top="0.75" bottom="0.75" header="0.3" footer="0.3"/>
      <pageSetup orientation="portrait" r:id="rId5"/>
    </customSheetView>
    <customSheetView guid="{6960175A-17E1-4BDD-98F7-6E9A590B8B7F}">
      <selection activeCell="E3" sqref="E3"/>
      <pageMargins left="0.7" right="0.7" top="0.75" bottom="0.75" header="0.3" footer="0.3"/>
      <pageSetup orientation="portrait" r:id="rId6"/>
    </customSheetView>
    <customSheetView guid="{DB365F32-166D-4348-BCE9-F0F1DB0B73A9}">
      <selection activeCell="E3" sqref="E3"/>
      <pageMargins left="0.7" right="0.7" top="0.75" bottom="0.75" header="0.3" footer="0.3"/>
      <pageSetup orientation="portrait" r:id="rId7"/>
    </customSheetView>
    <customSheetView guid="{6EDF2E63-E51E-449A-B1C5-EFB1FD6A259C}">
      <selection activeCell="E3" sqref="E3"/>
      <pageMargins left="0.7" right="0.7" top="0.75" bottom="0.75" header="0.3" footer="0.3"/>
      <pageSetup orientation="portrait" r:id="rId8"/>
    </customSheetView>
    <customSheetView guid="{46B088B4-7F51-4D35-9F00-2268626FA819}">
      <selection activeCell="E3" sqref="E3"/>
      <pageMargins left="0.7" right="0.7" top="0.75" bottom="0.75" header="0.3" footer="0.3"/>
      <pageSetup orientation="portrait" r:id="rId9"/>
    </customSheetView>
    <customSheetView guid="{42F19D52-E208-414F-9E2E-506DF902926F}">
      <pageMargins left="0.7" right="0.7" top="0.75" bottom="0.75" header="0.3" footer="0.3"/>
      <pageSetup orientation="portrait" r:id="rId10"/>
    </customSheetView>
    <customSheetView guid="{AC8CA20A-2130-4ED2-A745-85677B08F97C}" topLeftCell="A345">
      <selection activeCell="F16" sqref="F16"/>
      <pageMargins left="0.7" right="0.7" top="0.75" bottom="0.75" header="0.3" footer="0.3"/>
      <pageSetup orientation="portrait" r:id="rId11"/>
    </customSheetView>
    <customSheetView guid="{2F318324-B2A5-4EFB-BB30-8D1AF11C1A9F}">
      <selection activeCell="A2" sqref="A2:A369"/>
      <pageMargins left="0.7" right="0.7" top="0.75" bottom="0.75" header="0.3" footer="0.3"/>
      <pageSetup orientation="portrait" r:id="rId12"/>
    </customSheetView>
  </customSheetViews>
  <pageMargins left="0.7" right="0.7" top="0.75" bottom="0.75" header="0.3" footer="0.3"/>
  <pageSetup orientation="portrait" r:id="rId1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5c3dddf-4ab4-484b-bfa1-fbb03971aec5" xsi:nil="true"/>
    <lcf76f155ced4ddcb4097134ff3c332f xmlns="a7bc11af-f039-4d93-8f95-80c6608d4e90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45F6030A2FA2A4681A58F0B5BFA097B" ma:contentTypeVersion="15" ma:contentTypeDescription="Create a new document." ma:contentTypeScope="" ma:versionID="7fe5153245fe71ff578198f4ebfc72d7">
  <xsd:schema xmlns:xsd="http://www.w3.org/2001/XMLSchema" xmlns:xs="http://www.w3.org/2001/XMLSchema" xmlns:p="http://schemas.microsoft.com/office/2006/metadata/properties" xmlns:ns2="a7bc11af-f039-4d93-8f95-80c6608d4e90" xmlns:ns3="95c3dddf-4ab4-484b-bfa1-fbb03971aec5" targetNamespace="http://schemas.microsoft.com/office/2006/metadata/properties" ma:root="true" ma:fieldsID="b7ac6e96688fd5075812c60918c4010c" ns2:_="" ns3:_="">
    <xsd:import namespace="a7bc11af-f039-4d93-8f95-80c6608d4e90"/>
    <xsd:import namespace="95c3dddf-4ab4-484b-bfa1-fbb03971aec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bc11af-f039-4d93-8f95-80c6608d4e9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025c46f5-07aa-4fd7-9d87-3e3f7311e79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c3dddf-4ab4-484b-bfa1-fbb03971aec5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c277bc63-6253-43c3-95f5-2ec04d7c738c}" ma:internalName="TaxCatchAll" ma:showField="CatchAllData" ma:web="95c3dddf-4ab4-484b-bfa1-fbb03971aec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7405446-8E86-4328-82F1-3D6A332C6500}">
  <ds:schemaRefs>
    <ds:schemaRef ds:uri="http://purl.org/dc/terms/"/>
    <ds:schemaRef ds:uri="f45a04ba-7a3e-45a8-9aa1-21ad9725afa6"/>
    <ds:schemaRef ds:uri="http://schemas.microsoft.com/office/2006/documentManagement/types"/>
    <ds:schemaRef ds:uri="d9bb1d6a-2c6b-4361-a5b6-8966f3c95f34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BC0448CF-90B3-48D6-A733-16A6C419621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A632982-42E1-4176-B917-B76ED80C3A1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211</vt:i4>
      </vt:variant>
    </vt:vector>
  </HeadingPairs>
  <TitlesOfParts>
    <vt:vector size="221" baseType="lpstr">
      <vt:lpstr>Team Info</vt:lpstr>
      <vt:lpstr>Team Personnel</vt:lpstr>
      <vt:lpstr>Roster</vt:lpstr>
      <vt:lpstr>Season Stats</vt:lpstr>
      <vt:lpstr>Upcoming Schedule</vt:lpstr>
      <vt:lpstr>Team Heroes</vt:lpstr>
      <vt:lpstr>Team Users</vt:lpstr>
      <vt:lpstr>Player Heroes</vt:lpstr>
      <vt:lpstr>Player Users</vt:lpstr>
      <vt:lpstr>LOGOS</vt:lpstr>
      <vt:lpstr>ACTIONSHOT</vt:lpstr>
      <vt:lpstr>AGE</vt:lpstr>
      <vt:lpstr>BIO_HEADER</vt:lpstr>
      <vt:lpstr>CAT_1</vt:lpstr>
      <vt:lpstr>CAT_1_HILITE</vt:lpstr>
      <vt:lpstr>CAT_2</vt:lpstr>
      <vt:lpstr>CAT_2_HILITE</vt:lpstr>
      <vt:lpstr>CAT_3</vt:lpstr>
      <vt:lpstr>CAT_3_HILITE</vt:lpstr>
      <vt:lpstr>COACH_ASST_DROP</vt:lpstr>
      <vt:lpstr>COACH_ASST_FIRST</vt:lpstr>
      <vt:lpstr>COACH_ASST_FULL</vt:lpstr>
      <vt:lpstr>COACH_ASST_HEADER</vt:lpstr>
      <vt:lpstr>COACH_ASST_LAST</vt:lpstr>
      <vt:lpstr>COACH_ASST_TEXT</vt:lpstr>
      <vt:lpstr>COACH_DEF_FIRST</vt:lpstr>
      <vt:lpstr>COACH_DEF_LAST</vt:lpstr>
      <vt:lpstr>COACH_DEF_TEXT</vt:lpstr>
      <vt:lpstr>COACH_HEAD_DROP</vt:lpstr>
      <vt:lpstr>COACH_HEAD_FIRST</vt:lpstr>
      <vt:lpstr>COACH_HEAD_FULL</vt:lpstr>
      <vt:lpstr>COACH_HEAD_HEADER</vt:lpstr>
      <vt:lpstr>COACH_HEAD_LAST</vt:lpstr>
      <vt:lpstr>COACH_HEAD_TEXT</vt:lpstr>
      <vt:lpstr>COACH_RESUME_DROP</vt:lpstr>
      <vt:lpstr>COACH_RESUME_LINE1</vt:lpstr>
      <vt:lpstr>COACH_RESUME_LINE2</vt:lpstr>
      <vt:lpstr>COACH_RESUME_LINE3</vt:lpstr>
      <vt:lpstr>COACH_RESUME_LINE4</vt:lpstr>
      <vt:lpstr>COACH_RESUME_LINE5</vt:lpstr>
      <vt:lpstr>COACH_RESUME_LINE6</vt:lpstr>
      <vt:lpstr>COACH_RESUME_LINE7</vt:lpstr>
      <vt:lpstr>COACH_RESUME_LINE8</vt:lpstr>
      <vt:lpstr>COACH_RESUME_ROWS</vt:lpstr>
      <vt:lpstr>COACH_RESUME_SUBTITLE</vt:lpstr>
      <vt:lpstr>COACH_RESUME_TITLE</vt:lpstr>
      <vt:lpstr>CONFERENCE_LOGOS</vt:lpstr>
      <vt:lpstr>ESPN100</vt:lpstr>
      <vt:lpstr>HEADER</vt:lpstr>
      <vt:lpstr>HEADSHOT</vt:lpstr>
      <vt:lpstr>HEIGHT</vt:lpstr>
      <vt:lpstr>HERO_1_DROP</vt:lpstr>
      <vt:lpstr>HERO_1_HEADER</vt:lpstr>
      <vt:lpstr>HERO_1_INFO</vt:lpstr>
      <vt:lpstr>HERO_2_DROP</vt:lpstr>
      <vt:lpstr>HERO_2_HEADER</vt:lpstr>
      <vt:lpstr>HERO_2_INFO</vt:lpstr>
      <vt:lpstr>HERO_USER</vt:lpstr>
      <vt:lpstr>HERO_USER2</vt:lpstr>
      <vt:lpstr>HERO_USER3</vt:lpstr>
      <vt:lpstr>HERO_USER4</vt:lpstr>
      <vt:lpstr>HOMETOWN</vt:lpstr>
      <vt:lpstr>JERSEY</vt:lpstr>
      <vt:lpstr>MAJOR</vt:lpstr>
      <vt:lpstr>NAME_FINIT</vt:lpstr>
      <vt:lpstr>NAME_FIRST</vt:lpstr>
      <vt:lpstr>NAME_FIRST_CAPS</vt:lpstr>
      <vt:lpstr>NAME_FULL</vt:lpstr>
      <vt:lpstr>NAME_FULL_CAPS</vt:lpstr>
      <vt:lpstr>NAME_LAST</vt:lpstr>
      <vt:lpstr>NAME_LAST_CAPS</vt:lpstr>
      <vt:lpstr>NAME_LAST_JERSEY</vt:lpstr>
      <vt:lpstr>NAME_LAST_JERSEY_CAPS</vt:lpstr>
      <vt:lpstr>NETWORK_LOGOS</vt:lpstr>
      <vt:lpstr>NETWORK_LOGOS_WHITE</vt:lpstr>
      <vt:lpstr>POS</vt:lpstr>
      <vt:lpstr>POS_FULL</vt:lpstr>
      <vt:lpstr>PROMO_TOWER</vt:lpstr>
      <vt:lpstr>ROSTER</vt:lpstr>
      <vt:lpstr>SCHED_AT_VS</vt:lpstr>
      <vt:lpstr>SCHED_DATE</vt:lpstr>
      <vt:lpstr>SCHED_NETWORK</vt:lpstr>
      <vt:lpstr>SCHED_OPPONENT</vt:lpstr>
      <vt:lpstr>SCHED_SUBTITLE</vt:lpstr>
      <vt:lpstr>SCHED_TIME</vt:lpstr>
      <vt:lpstr>SCHED_TITLE</vt:lpstr>
      <vt:lpstr>SEASON_SEL</vt:lpstr>
      <vt:lpstr>SEASON_SEL_COLON</vt:lpstr>
      <vt:lpstr>STAT_HIGHLIGHT_NOTE</vt:lpstr>
      <vt:lpstr>TEAM_1_LINE_DROP</vt:lpstr>
      <vt:lpstr>TEAM_2_LINE_DROP</vt:lpstr>
      <vt:lpstr>TEAM_2_LINE_HEADER</vt:lpstr>
      <vt:lpstr>TEAM_2_LINE_INFO_LINE_1</vt:lpstr>
      <vt:lpstr>TEAM_2_LINE_INFO_LINE_2</vt:lpstr>
      <vt:lpstr>TEAM_CITY_COLLEGE</vt:lpstr>
      <vt:lpstr>TEAM_DASH_NAME</vt:lpstr>
      <vt:lpstr>TEAM_FULL_NAME</vt:lpstr>
      <vt:lpstr>TEAM_HEADER_INFO</vt:lpstr>
      <vt:lpstr>TEAM_INFO_LINE_1</vt:lpstr>
      <vt:lpstr>TEAM_LOGOS</vt:lpstr>
      <vt:lpstr>TEAM_LOGOTEXT</vt:lpstr>
      <vt:lpstr>TEAM_NICKNAME</vt:lpstr>
      <vt:lpstr>TEAM_RANK</vt:lpstr>
      <vt:lpstr>TEAM_RANK_NAME</vt:lpstr>
      <vt:lpstr>TEAM_RANK_NAME_NICKNAME</vt:lpstr>
      <vt:lpstr>TEAM_RANK_NAME_RECORD</vt:lpstr>
      <vt:lpstr>TEAM_RECORD_OVERALL</vt:lpstr>
      <vt:lpstr>TEAM_SPLIT</vt:lpstr>
      <vt:lpstr>TEAM_SWATCH_SELECT</vt:lpstr>
      <vt:lpstr>TEAM_SWATCH_SELECT_DASH</vt:lpstr>
      <vt:lpstr>TEAM_TRICODE</vt:lpstr>
      <vt:lpstr>TEAM_USERS</vt:lpstr>
      <vt:lpstr>TEAM_USERS2</vt:lpstr>
      <vt:lpstr>TODAY_TONIGHT_SEL</vt:lpstr>
      <vt:lpstr>TODAY_TONIGHT_SEL_COLON</vt:lpstr>
      <vt:lpstr>USER_CAT1</vt:lpstr>
      <vt:lpstr>USER_CAT2</vt:lpstr>
      <vt:lpstr>WEIGHT</vt:lpstr>
      <vt:lpstr>YEAR</vt:lpstr>
      <vt:lpstr>YEAR_LONG</vt:lpstr>
      <vt:lpstr>YEAR_LONG_CAPS</vt:lpstr>
      <vt:lpstr>YEAR_SHORT</vt:lpstr>
      <vt:lpstr>ZZZ_PLAYER1</vt:lpstr>
      <vt:lpstr>ZZZ_PLAYER10</vt:lpstr>
      <vt:lpstr>ZZZ_PLAYER11</vt:lpstr>
      <vt:lpstr>ZZZ_PLAYER12</vt:lpstr>
      <vt:lpstr>ZZZ_PLAYER13</vt:lpstr>
      <vt:lpstr>ZZZ_PLAYER14</vt:lpstr>
      <vt:lpstr>ZZZ_PLAYER15</vt:lpstr>
      <vt:lpstr>ZZZ_PLAYER16</vt:lpstr>
      <vt:lpstr>ZZZ_PLAYER17</vt:lpstr>
      <vt:lpstr>ZZZ_PLAYER18</vt:lpstr>
      <vt:lpstr>ZZZ_PLAYER19</vt:lpstr>
      <vt:lpstr>ZZZ_PLAYER2</vt:lpstr>
      <vt:lpstr>ZZZ_PLAYER20</vt:lpstr>
      <vt:lpstr>ZZZ_PLAYER21</vt:lpstr>
      <vt:lpstr>ZZZ_PLAYER22</vt:lpstr>
      <vt:lpstr>ZZZ_PLAYER23</vt:lpstr>
      <vt:lpstr>ZZZ_PLAYER24</vt:lpstr>
      <vt:lpstr>ZZZ_PLAYER25</vt:lpstr>
      <vt:lpstr>ZZZ_PLAYER26</vt:lpstr>
      <vt:lpstr>ZZZ_PLAYER27</vt:lpstr>
      <vt:lpstr>ZZZ_PLAYER28</vt:lpstr>
      <vt:lpstr>ZZZ_PLAYER29</vt:lpstr>
      <vt:lpstr>ZZZ_PLAYER3</vt:lpstr>
      <vt:lpstr>ZZZ_PLAYER30</vt:lpstr>
      <vt:lpstr>ZZZ_PLAYER31</vt:lpstr>
      <vt:lpstr>ZZZ_PLAYER32</vt:lpstr>
      <vt:lpstr>ZZZ_PLAYER33</vt:lpstr>
      <vt:lpstr>ZZZ_PLAYER34</vt:lpstr>
      <vt:lpstr>ZZZ_PLAYER35</vt:lpstr>
      <vt:lpstr>ZZZ_PLAYER36</vt:lpstr>
      <vt:lpstr>ZZZ_PLAYER37</vt:lpstr>
      <vt:lpstr>ZZZ_PLAYER38</vt:lpstr>
      <vt:lpstr>ZZZ_PLAYER39</vt:lpstr>
      <vt:lpstr>ZZZ_PLAYER4</vt:lpstr>
      <vt:lpstr>ZZZ_PLAYER40</vt:lpstr>
      <vt:lpstr>ZZZ_PLAYER41</vt:lpstr>
      <vt:lpstr>ZZZ_PLAYER42</vt:lpstr>
      <vt:lpstr>ZZZ_PLAYER43</vt:lpstr>
      <vt:lpstr>ZZZ_PLAYER44</vt:lpstr>
      <vt:lpstr>ZZZ_PLAYER45</vt:lpstr>
      <vt:lpstr>ZZZ_PLAYER46</vt:lpstr>
      <vt:lpstr>ZZZ_PLAYER47</vt:lpstr>
      <vt:lpstr>ZZZ_PLAYER48</vt:lpstr>
      <vt:lpstr>ZZZ_PLAYER49</vt:lpstr>
      <vt:lpstr>ZZZ_PLAYER5</vt:lpstr>
      <vt:lpstr>ZZZ_PLAYER50</vt:lpstr>
      <vt:lpstr>ZZZ_PLAYER51</vt:lpstr>
      <vt:lpstr>ZZZ_PLAYER52</vt:lpstr>
      <vt:lpstr>ZZZ_PLAYER53</vt:lpstr>
      <vt:lpstr>ZZZ_PLAYER54</vt:lpstr>
      <vt:lpstr>ZZZ_PLAYER55</vt:lpstr>
      <vt:lpstr>ZZZ_PLAYER56</vt:lpstr>
      <vt:lpstr>ZZZ_PLAYER57</vt:lpstr>
      <vt:lpstr>ZZZ_PLAYER58</vt:lpstr>
      <vt:lpstr>ZZZ_PLAYER59</vt:lpstr>
      <vt:lpstr>ZZZ_PLAYER6</vt:lpstr>
      <vt:lpstr>ZZZ_PLAYER60</vt:lpstr>
      <vt:lpstr>ZZZ_PLAYER61</vt:lpstr>
      <vt:lpstr>ZZZ_PLAYER62</vt:lpstr>
      <vt:lpstr>ZZZ_PLAYER63</vt:lpstr>
      <vt:lpstr>ZZZ_PLAYER64</vt:lpstr>
      <vt:lpstr>ZZZ_PLAYER65</vt:lpstr>
      <vt:lpstr>ZZZ_PLAYER66</vt:lpstr>
      <vt:lpstr>ZZZ_PLAYER67</vt:lpstr>
      <vt:lpstr>ZZZ_PLAYER68</vt:lpstr>
      <vt:lpstr>ZZZ_PLAYER69</vt:lpstr>
      <vt:lpstr>ZZZ_PLAYER7</vt:lpstr>
      <vt:lpstr>ZZZ_PLAYER70</vt:lpstr>
      <vt:lpstr>ZZZ_PLAYER71</vt:lpstr>
      <vt:lpstr>ZZZ_PLAYER72</vt:lpstr>
      <vt:lpstr>ZZZ_PLAYER73</vt:lpstr>
      <vt:lpstr>ZZZ_PLAYER74</vt:lpstr>
      <vt:lpstr>ZZZ_PLAYER75</vt:lpstr>
      <vt:lpstr>ZZZ_PLAYER76</vt:lpstr>
      <vt:lpstr>ZZZ_PLAYER77</vt:lpstr>
      <vt:lpstr>ZZZ_PLAYER78</vt:lpstr>
      <vt:lpstr>ZZZ_PLAYER79</vt:lpstr>
      <vt:lpstr>ZZZ_PLAYER8</vt:lpstr>
      <vt:lpstr>ZZZ_PLAYER80</vt:lpstr>
      <vt:lpstr>ZZZ_PLAYER81</vt:lpstr>
      <vt:lpstr>ZZZ_PLAYER82</vt:lpstr>
      <vt:lpstr>ZZZ_PLAYER83</vt:lpstr>
      <vt:lpstr>ZZZ_PLAYER84</vt:lpstr>
      <vt:lpstr>ZZZ_PLAYER85</vt:lpstr>
      <vt:lpstr>ZZZ_PLAYER86</vt:lpstr>
      <vt:lpstr>ZZZ_PLAYER87</vt:lpstr>
      <vt:lpstr>ZZZ_PLAYER88</vt:lpstr>
      <vt:lpstr>ZZZ_PLAYER89</vt:lpstr>
      <vt:lpstr>ZZZ_PLAYER9</vt:lpstr>
      <vt:lpstr>ZZZ_PLAYER90</vt:lpstr>
      <vt:lpstr>ZZZ_PLAYER91</vt:lpstr>
      <vt:lpstr>ZZZ_PLAYER92</vt:lpstr>
      <vt:lpstr>ZZZ_PLAYER93</vt:lpstr>
      <vt:lpstr>ZZZ_PLAYER94</vt:lpstr>
      <vt:lpstr>ZZZ_PLAYER95</vt:lpstr>
      <vt:lpstr>ZZZ_PLAYER96</vt:lpstr>
      <vt:lpstr>ZZZ_PLAYER97</vt:lpstr>
      <vt:lpstr>ZZZ_PLAYER98</vt:lpstr>
      <vt:lpstr>ZZZ_PLAYER99</vt:lpstr>
    </vt:vector>
  </TitlesOfParts>
  <Manager/>
  <Company>ESPN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Brian D Bell</dc:creator>
  <cp:keywords/>
  <dc:description/>
  <cp:lastModifiedBy>Chavez, Cris</cp:lastModifiedBy>
  <cp:revision/>
  <dcterms:created xsi:type="dcterms:W3CDTF">2019-06-06T15:21:47Z</dcterms:created>
  <dcterms:modified xsi:type="dcterms:W3CDTF">2024-08-13T15:01:28Z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0x010100888CDBFC69A94A4BA819E840F3892EC7</vt:lpwstr>
  </property>
  <property fmtid="{D5CDD505-2E9C-101B-9397-08002B2CF9AE}" pid="3" name="WorkbookGuid">
    <vt:lpwstr>7c086590-7386-4ea0-b82c-1635c8a74072</vt:lpwstr>
  </property>
</Properties>
</file>