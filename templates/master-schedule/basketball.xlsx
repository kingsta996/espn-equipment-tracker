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llbr\OneDrive - The Walt Disney Company\Documents - ESPN XPression\ESPN XPression External Share\Spreadsheets\CBB\"/>
    </mc:Choice>
  </mc:AlternateContent>
  <bookViews>
    <workbookView xWindow="36315" yWindow="1035" windowWidth="17280" windowHeight="13965"/>
  </bookViews>
  <sheets>
    <sheet name="Team Info" sheetId="1" r:id="rId1"/>
    <sheet name="Team Personnel" sheetId="2" r:id="rId2"/>
    <sheet name="Roster" sheetId="3" r:id="rId3"/>
    <sheet name="Lineup" sheetId="4" r:id="rId4"/>
    <sheet name="Player Stats" sheetId="5" r:id="rId5"/>
    <sheet name="Season Stats" sheetId="6" r:id="rId6"/>
    <sheet name="Team Stats" sheetId="7" r:id="rId7"/>
    <sheet name="Upcoming Schedule" sheetId="8" r:id="rId8"/>
    <sheet name="Team Heroes" sheetId="9" r:id="rId9"/>
    <sheet name="Team Users" sheetId="10" r:id="rId10"/>
    <sheet name="Player Heroes" sheetId="11" r:id="rId11"/>
    <sheet name="Player Users" sheetId="12" r:id="rId12"/>
    <sheet name="LOGOS" sheetId="13" r:id="rId13"/>
    <sheet name="GIC User Messages" sheetId="14" r:id="rId14"/>
    <sheet name="Sheet2" sheetId="15" state="hidden" r:id="rId15"/>
  </sheets>
  <definedNames>
    <definedName name="ACTIONSHOT">Roster!$S$3:$S$102</definedName>
    <definedName name="AGE">Roster!$O$3:$O$102</definedName>
    <definedName name="BIO_HEADER">Roster!$N$3:$N$4</definedName>
    <definedName name="CAT_1">'Season Stats'!$D$1:$D$100</definedName>
    <definedName name="CAT_1_HILITE">'Season Stats'!$E$1:$E$100</definedName>
    <definedName name="CAT_2">'Season Stats'!$F$1:$F$100</definedName>
    <definedName name="CAT_2_HILITE">'Season Stats'!$G$1:$G$100</definedName>
    <definedName name="CAT_3">'Season Stats'!$H$1:$H$100</definedName>
    <definedName name="CAT_3_HILITE">'Season Stats'!$I$1:$I$100</definedName>
    <definedName name="CBB_3PT">'Player Stats'!$F$2:$F$101</definedName>
    <definedName name="CBB_ASSISTS">'Player Stats'!$I$2:$I$101</definedName>
    <definedName name="CBB_BLOCKS">'Player Stats'!$J$2:$J$101</definedName>
    <definedName name="CBB_FIELD_GOALS">'Player Stats'!$E$2:$E$101</definedName>
    <definedName name="CBB_FT">'Player Stats'!$G$2:$G$101</definedName>
    <definedName name="CBB_MINUTES">'Player Stats'!$L$2:$L$101</definedName>
    <definedName name="CBB_POINTS">'Player Stats'!$D$2:$D$101</definedName>
    <definedName name="CBB_REBOUNDS">'Player Stats'!$H$2:$H$101</definedName>
    <definedName name="CBB_SEASON_3PT_FG_STAT">'Season Stats'!$Z$1:$Z$100</definedName>
    <definedName name="CBB_SEASON_FT_STAT">'Season Stats'!$Y$1:$Y$100</definedName>
    <definedName name="CBB_STEALS">'Player Stats'!$K$2:$K$101</definedName>
    <definedName name="COACH_DEF_FIRST">'Team Personnel'!$B$24:$B$34</definedName>
    <definedName name="COACH_DEF_LAST">'Team Personnel'!$C$24:$C$34</definedName>
    <definedName name="COACH_DEF_TEXT">'Team Personnel'!$E$24:$E$34</definedName>
    <definedName name="COACH_HEAD_DROP">'Team Personnel'!$F$2:$F$12</definedName>
    <definedName name="COACH_HEAD_FIRST">'Team Personnel'!$B$2:$B$12</definedName>
    <definedName name="COACH_HEAD_FULL">'Team Personnel'!$I$2:$I$12</definedName>
    <definedName name="COACH_HEAD_HEADER">'Team Personnel'!$D$2:$D$12</definedName>
    <definedName name="COACH_HEAD_LAST">'Team Personnel'!$C$2:$C$12</definedName>
    <definedName name="COACH_HEAD_TEXT">'Team Personnel'!$E$2:$E$12</definedName>
    <definedName name="COACH_OFF_DROP">'Team Personnel'!$F$13:$F$23</definedName>
    <definedName name="COACH_OFF_FIRST">'Team Personnel'!$B$13:$B$23</definedName>
    <definedName name="COACH_OFF_FULL">'Team Personnel'!$I$13:$I$23</definedName>
    <definedName name="COACH_OFF_HEADER">'Team Personnel'!$D$13:$D$23</definedName>
    <definedName name="COACH_OFF_LAST">'Team Personnel'!$C$13:$C$23</definedName>
    <definedName name="COACH_OFF_TEXT">'Team Personnel'!$E$13:$E$23</definedName>
    <definedName name="COACH_RESUME_DROP">'Team Personnel'!$K$17:$K$18</definedName>
    <definedName name="COACH_RESUME_LINE1">'Team Personnel'!$K$8:$K$9</definedName>
    <definedName name="COACH_RESUME_LINE2">'Team Personnel'!$K$11:$K$12</definedName>
    <definedName name="COACH_RESUME_LINE3">'Team Personnel'!$K$14:$K$15</definedName>
    <definedName name="COACH_RESUME_LINE4">'Team Personnel'!$K$20:$K$21</definedName>
    <definedName name="COACH_RESUME_ROWS">'Team Personnel'!$K$23:$K$35</definedName>
    <definedName name="COACH_RESUME_SUBTITLE">'Team Personnel'!$K$5:$K$6</definedName>
    <definedName name="COACH_RESUME_TITLE">'Team Personnel'!$K$2:$K$3</definedName>
    <definedName name="CONFERENCE_LOGOS">LOGOS!$C$1:$C$50</definedName>
    <definedName name="DASH_SWATCH">'Team Info'!$H$36:$H$37</definedName>
    <definedName name="ESPN100">Roster!$M$3:$M$102</definedName>
    <definedName name="GENERIC_SWATCHES">LOGOS!$G$1:$G$50</definedName>
    <definedName name="HEADER">Roster!$L$3:$L$102</definedName>
    <definedName name="HEADSHOT">Roster!$R$3:$R$102</definedName>
    <definedName name="HEIGHT">Roster!$F$3:$F$102</definedName>
    <definedName name="HERO_1_DROP">'Player Heroes'!$J$2:$J$101</definedName>
    <definedName name="HERO_1_HEADER">'Player Heroes'!$G$2:$G$101</definedName>
    <definedName name="HERO_1_INFO">'Player Heroes'!$I$2:$I$101</definedName>
    <definedName name="HERO_USER">'Player Users'!$G$2:$G$101</definedName>
    <definedName name="HERO_USER2">'Player Users'!$I$2:$I$101</definedName>
    <definedName name="HERO_USER3">'Player Users'!$K$2:$K$101</definedName>
    <definedName name="HERO_USER4">'Player Users'!$M$2:$M$101</definedName>
    <definedName name="HOMETOWN">Roster!$I$3:$I$102</definedName>
    <definedName name="JERSEY">Roster!$B$3:$B$102</definedName>
    <definedName name="LU_Firstname">Lineup!$C$1:$C$6</definedName>
    <definedName name="LU_Fullname">Lineup!$E$1:$E$6</definedName>
    <definedName name="LU_Headshot">Lineup!$L$1:$L$6</definedName>
    <definedName name="LU_Height">Lineup!$I$1:$I$6</definedName>
    <definedName name="LU_Hometown">Lineup!$K$1:$K$6</definedName>
    <definedName name="LU_Lastname">Lineup!$D$1:$D$6</definedName>
    <definedName name="LU_Position">Lineup!$F$1:$F$6</definedName>
    <definedName name="LU_Position_Short">Lineup!$G$1:$G$6</definedName>
    <definedName name="LU_Year">Lineup!$J$1:$J$6</definedName>
    <definedName name="LU_Year_Short">Lineup!$H$1:$H$6</definedName>
    <definedName name="MAJOR">Roster!$K$3:$K$102</definedName>
    <definedName name="NAME_FINIT">Roster!$U$3:$U$102</definedName>
    <definedName name="NAME_FIRST">Roster!$C$3:$C$102</definedName>
    <definedName name="NAME_FIRST_CAPS">Roster!$X$3:$X$102</definedName>
    <definedName name="NAME_FULL">Roster!$T$3:$T$102</definedName>
    <definedName name="NAME_FULL_CAPS">Roster!$W$3:$W$102</definedName>
    <definedName name="NAME_LAST">Roster!$D$3:$D$102</definedName>
    <definedName name="NAME_LAST_CAPS">Roster!$Y$3:$Y$102</definedName>
    <definedName name="NETWORK_LOGOS">LOGOS!$E$1:$E$260</definedName>
    <definedName name="NETWORK_LOGOS_WHITE">LOGOS!$F$1:$F$18</definedName>
    <definedName name="POS">Roster!$E$3:$E$102</definedName>
    <definedName name="POS_FULL">Roster!$P$3:$P$102</definedName>
    <definedName name="_xlnm.Print_Area" localSheetId="5">'Season Stats'!$A$1:$AJ$105</definedName>
    <definedName name="PROMO_TOWER">'Upcoming Schedule'!$A$14:$C$20</definedName>
    <definedName name="ROSTER">Roster!$A$1:$Z$102</definedName>
    <definedName name="SCHED_AT_VS">'Upcoming Schedule'!$B$4:$B$16</definedName>
    <definedName name="SCHED_DATE">'Upcoming Schedule'!$D$4:$D$16</definedName>
    <definedName name="SCHED_NETWORK">'Upcoming Schedule'!$K$4:$K$16</definedName>
    <definedName name="SCHED_OPPONENT">'Upcoming Schedule'!$C$4:$C$16</definedName>
    <definedName name="SCHED_OPPONENT_LOGO">'Upcoming Schedule'!$G$4:$G$16</definedName>
    <definedName name="SCHED_SUBTITLE">'Upcoming Schedule'!$I$9:$I$10</definedName>
    <definedName name="SCHED_TIME">'Upcoming Schedule'!$E$4:$E$16</definedName>
    <definedName name="SCHED_TITLE">'Upcoming Schedule'!$I$7:$I$8</definedName>
    <definedName name="SEASON_SEL">'Team Info'!$F$5:$F$7</definedName>
    <definedName name="SEASON_SEL_COLON">'Team Info'!$F$12:$F$13</definedName>
    <definedName name="SEASON_STAT_AVG">'Team Stats'!$B$1:$B$34</definedName>
    <definedName name="SEASON_STAT_COMBINED">'Team Stats'!$G$1:$G$34</definedName>
    <definedName name="SEASON_STAT_INFO">'Team Stats'!$E$1:$E$34</definedName>
    <definedName name="SEASON_STAT_RANK">'Team Stats'!$C$1:$C$34</definedName>
    <definedName name="SEASON_STAT_RANK_PAREN">'Team Stats'!$F$1:$F$34</definedName>
    <definedName name="STAT_3PT_PCT">'Season Stats'!$AD$1:$AD$100</definedName>
    <definedName name="STAT_FT_PCT">'Season Stats'!$AE$1:$AE$100</definedName>
    <definedName name="STAT_HIGHLIGHT_NOTE">'Season Stats'!$J$1:$J$100</definedName>
    <definedName name="TEAM_1_LINE_DROP">'Team Heroes'!$D$1:$D$99</definedName>
    <definedName name="TEAM_2_LINE_DROP">'Team Heroes'!$I$1:$I$99</definedName>
    <definedName name="TEAM_2_LINE_HEADER">'Team Heroes'!$F$1:$F$99</definedName>
    <definedName name="TEAM_2_LINE_INFO_LINE_1">'Team Heroes'!$G$1:$G$99</definedName>
    <definedName name="TEAM_2_LINE_INFO_LINE_2">'Team Heroes'!$H$1:$H$99</definedName>
    <definedName name="TEAM_BG_COLOR_SELECT">'Team Info'!$H$32:$H$34</definedName>
    <definedName name="TEAM_CITY_COLLEGE">'Team Info'!$D$5:$D$7</definedName>
    <definedName name="TEAM_DASH_NAME">'Team Info'!$D$21:$D$23</definedName>
    <definedName name="TEAM_FULL_NAME">'Team Info'!$D$17:$D$19</definedName>
    <definedName name="TEAM_HEADER_INFO">'Team Heroes'!$B$1:$B$99</definedName>
    <definedName name="TEAM_INFO_LINE_1">'Team Heroes'!$C$1:$C$99</definedName>
    <definedName name="TEAM_LOGOS">LOGOS!$A$1:$A$431</definedName>
    <definedName name="TEAM_LOGOTEXT">'Team Info'!$D$38:$D$39</definedName>
    <definedName name="TEAM_NICKNAME">'Team Info'!$D$9:$D$11</definedName>
    <definedName name="TEAM_RANK">'Team Info'!$D$2:$D$3</definedName>
    <definedName name="TEAM_RANK_NAME">'Team Info'!$D$26:$D$28</definedName>
    <definedName name="TEAM_RANK_NAME_NICKNAME">'Team Info'!$D$30:$D$32</definedName>
    <definedName name="TEAM_RANK_NAME_RECORD">'Team Info'!$D$34:$D$36</definedName>
    <definedName name="TEAM_RECORD_OVERALL">'Team Info'!$D$41:$D$42</definedName>
    <definedName name="TEAM_SPLIT">'Team Info'!$D$44:$D$45</definedName>
    <definedName name="TEAM_SWATCH_SELECT">'Team Info'!$H$21:$H$25</definedName>
    <definedName name="TEAM_SWATCH_SELECT_DASH">'Team Info'!$H$28:$H$30</definedName>
    <definedName name="TEAM_TRICODE">'Team Info'!$D$13:$D$14</definedName>
    <definedName name="TEAM_USERS">'Team Users'!$A$2:$C$22</definedName>
    <definedName name="TEAM_USERS2">'Team Users'!$A$24:$C$44</definedName>
    <definedName name="TEXT_COLOR">'Team Info'!$F$31:$F$33</definedName>
    <definedName name="TODAY_TONIGHT_SEL">'Team Info'!$F$1:$F$3</definedName>
    <definedName name="TODAY_TONIGHT_SEL_COLON">'Team Info'!$F$9:$F$10</definedName>
    <definedName name="USER_CAT1">'Season Stats'!$W$1:$W$100</definedName>
    <definedName name="USER_CAT2">'Season Stats'!$X$1:$X$100</definedName>
    <definedName name="WEIGHT">Roster!$G$3:$G$102</definedName>
    <definedName name="YEAR">Roster!$J$3:$J$102</definedName>
    <definedName name="YEAR_LONG">Roster!$Q$3:$Q$102</definedName>
    <definedName name="YEAR_LONG_CAPS">Roster!$Z$3:$Z$102</definedName>
    <definedName name="YEAR_SHORT">Roster!$V$3:$V$102</definedName>
    <definedName name="Z_42F19D52_E208_414F_9E2E_506DF902926F_.wvu.Cols" localSheetId="2" hidden="1">Roster!$N:$Z</definedName>
    <definedName name="Z_42F19D52_E208_414F_9E2E_506DF902926F_.wvu.Cols" localSheetId="5" hidden="1">'Season Stats'!$L:$V,'Season Stats'!$Y:$AJ</definedName>
    <definedName name="Z_42F19D52_E208_414F_9E2E_506DF902926F_.wvu.Cols" localSheetId="8" hidden="1">'Team Heroes'!$F:$I</definedName>
    <definedName name="Z_42F19D52_E208_414F_9E2E_506DF902926F_.wvu.Cols" localSheetId="0" hidden="1">'Team Info'!$D:$I</definedName>
    <definedName name="Z_42F19D52_E208_414F_9E2E_506DF902926F_.wvu.Cols" localSheetId="1" hidden="1">'Team Personnel'!$H:$K</definedName>
    <definedName name="Z_42F19D52_E208_414F_9E2E_506DF902926F_.wvu.Cols" localSheetId="7" hidden="1">'Upcoming Schedule'!$I:$K</definedName>
    <definedName name="Z_42F19D52_E208_414F_9E2E_506DF902926F_.wvu.PrintArea" localSheetId="5" hidden="1">'Season Stats'!$A$1:$AJ$105</definedName>
    <definedName name="Z_42F19D52_E208_414F_9E2E_506DF902926F_.wvu.Rows" localSheetId="8" hidden="1">'Team Heroes'!$22:$52</definedName>
    <definedName name="Z_42F19D52_E208_414F_9E2E_506DF902926F_.wvu.Rows" localSheetId="1" hidden="1">'Team Personnel'!$24:$34</definedName>
    <definedName name="Z_42F19D52_E208_414F_9E2E_506DF902926F_.wvu.Rows" localSheetId="6" hidden="1">'Team Stats'!$20:$34</definedName>
    <definedName name="Z_46B088B4_7F51_4D35_9F00_2268626FA819_.wvu.Cols" localSheetId="2" hidden="1">Roster!$H:$H,Roster!$O:$Z</definedName>
    <definedName name="Z_46B088B4_7F51_4D35_9F00_2268626FA819_.wvu.Cols" localSheetId="5" hidden="1">'Season Stats'!$L:$V,'Season Stats'!$Y:$AK</definedName>
    <definedName name="Z_46B088B4_7F51_4D35_9F00_2268626FA819_.wvu.Cols" localSheetId="8" hidden="1">'Team Heroes'!$F:$I</definedName>
    <definedName name="Z_46B088B4_7F51_4D35_9F00_2268626FA819_.wvu.Cols" localSheetId="0" hidden="1">'Team Info'!$D:$H</definedName>
    <definedName name="Z_46B088B4_7F51_4D35_9F00_2268626FA819_.wvu.Cols" localSheetId="7" hidden="1">'Upcoming Schedule'!$H:$K</definedName>
    <definedName name="Z_46B088B4_7F51_4D35_9F00_2268626FA819_.wvu.Rows" localSheetId="4" hidden="1">'Player Stats'!$8:$11,'Player Stats'!$18:$21,'Player Stats'!$28:$31,'Player Stats'!$38:$41,'Player Stats'!$48:$51,'Player Stats'!$58:$91,'Player Stats'!$93:$100</definedName>
    <definedName name="Z_46B088B4_7F51_4D35_9F00_2268626FA819_.wvu.Rows" localSheetId="2" hidden="1">Roster!$9:$12,Roster!$19:$22,Roster!$29:$32,Roster!$39:$42,Roster!$49:$52,Roster!$59:$92,Roster!$94:$101</definedName>
    <definedName name="Z_46B088B4_7F51_4D35_9F00_2268626FA819_.wvu.Rows" localSheetId="5" hidden="1">'Season Stats'!$7:$10,'Season Stats'!$17:$20,'Season Stats'!$27:$30,'Season Stats'!$37:$41,'Season Stats'!$47:$50,'Season Stats'!$57:$90,'Season Stats'!$92:$99</definedName>
    <definedName name="Z_46B088B4_7F51_4D35_9F00_2268626FA819_.wvu.Rows" localSheetId="1" hidden="1">'Team Personnel'!$24:$34</definedName>
    <definedName name="Z_46B088B4_7F51_4D35_9F00_2268626FA819_.wvu.Rows" localSheetId="6" hidden="1">'Team Stats'!$17:$34</definedName>
    <definedName name="Z_6960175A_17E1_4BDD_98F7_6E9A590B8B7F_.wvu.Cols" localSheetId="0" hidden="1">'Team Info'!$D:$D,'Team Info'!$F:$F,'Team Info'!$H:$H</definedName>
    <definedName name="Z_6960175A_17E1_4BDD_98F7_6E9A590B8B7F_.wvu.Cols" localSheetId="1" hidden="1">'Team Personnel'!$K:$K</definedName>
    <definedName name="Z_6960175A_17E1_4BDD_98F7_6E9A590B8B7F_.wvu.Cols" localSheetId="7" hidden="1">'Upcoming Schedule'!$E:$E,'Upcoming Schedule'!$I:$K</definedName>
    <definedName name="Z_6A3B2C41_2DBC_4B17_AB58_12C85E3A6B8A_.wvu.Cols" localSheetId="2" hidden="1">Roster!$G:$H,Roster!$N:$Z</definedName>
    <definedName name="Z_6A3B2C41_2DBC_4B17_AB58_12C85E3A6B8A_.wvu.Cols" localSheetId="5" hidden="1">'Season Stats'!$L:$V,'Season Stats'!$Y:$AJ</definedName>
    <definedName name="Z_6A3B2C41_2DBC_4B17_AB58_12C85E3A6B8A_.wvu.Cols" localSheetId="8" hidden="1">'Team Heroes'!$F:$I</definedName>
    <definedName name="Z_6A3B2C41_2DBC_4B17_AB58_12C85E3A6B8A_.wvu.Cols" localSheetId="0" hidden="1">'Team Info'!$D:$H</definedName>
    <definedName name="Z_6A3B2C41_2DBC_4B17_AB58_12C85E3A6B8A_.wvu.Cols" localSheetId="7" hidden="1">'Upcoming Schedule'!$E:$E,'Upcoming Schedule'!$I:$K</definedName>
    <definedName name="Z_6A3B2C41_2DBC_4B17_AB58_12C85E3A6B8A_.wvu.PrintArea" localSheetId="5" hidden="1">'Season Stats'!$A$1:$AJ$105</definedName>
    <definedName name="Z_6A3B2C41_2DBC_4B17_AB58_12C85E3A6B8A_.wvu.Rows" localSheetId="8" hidden="1">'Team Heroes'!$22:$52</definedName>
    <definedName name="Z_6A3B2C41_2DBC_4B17_AB58_12C85E3A6B8A_.wvu.Rows" localSheetId="1" hidden="1">'Team Personnel'!$24:$34</definedName>
    <definedName name="Z_6A3B2C41_2DBC_4B17_AB58_12C85E3A6B8A_.wvu.Rows" localSheetId="6" hidden="1">'Team Stats'!$19:$34</definedName>
    <definedName name="Z_6EDF2E63_E51E_449A_B1C5_EFB1FD6A259C_.wvu.Cols" localSheetId="0" hidden="1">'Team Info'!$D:$D,'Team Info'!$F:$F,'Team Info'!$H:$H</definedName>
    <definedName name="Z_6EDF2E63_E51E_449A_B1C5_EFB1FD6A259C_.wvu.Cols" localSheetId="1" hidden="1">'Team Personnel'!$K:$K</definedName>
    <definedName name="Z_6EDF2E63_E51E_449A_B1C5_EFB1FD6A259C_.wvu.Cols" localSheetId="7" hidden="1">'Upcoming Schedule'!$E:$E,'Upcoming Schedule'!$I:$K</definedName>
    <definedName name="Z_9DC468DE_D883_45B4_B188_265B9DA68425_.wvu.Cols" localSheetId="0" hidden="1">'Team Info'!$D:$D,'Team Info'!$F:$F,'Team Info'!$H:$H</definedName>
    <definedName name="Z_9DC468DE_D883_45B4_B188_265B9DA68425_.wvu.Cols" localSheetId="1" hidden="1">'Team Personnel'!$K:$K</definedName>
    <definedName name="Z_9DC468DE_D883_45B4_B188_265B9DA68425_.wvu.Cols" localSheetId="7" hidden="1">'Upcoming Schedule'!$E:$E,'Upcoming Schedule'!$I:$K</definedName>
    <definedName name="Z_BC153CFA_E879_4863_BF97_64855FD940E5_.wvu.Cols" localSheetId="2" hidden="1">Roster!$G:$H,Roster!$N:$Z</definedName>
    <definedName name="Z_BC153CFA_E879_4863_BF97_64855FD940E5_.wvu.Cols" localSheetId="5" hidden="1">'Season Stats'!$L:$V,'Season Stats'!$Y:$AJ</definedName>
    <definedName name="Z_BC153CFA_E879_4863_BF97_64855FD940E5_.wvu.Cols" localSheetId="8" hidden="1">'Team Heroes'!$F:$I</definedName>
    <definedName name="Z_BC153CFA_E879_4863_BF97_64855FD940E5_.wvu.Cols" localSheetId="0" hidden="1">'Team Info'!$D:$H</definedName>
    <definedName name="Z_BC153CFA_E879_4863_BF97_64855FD940E5_.wvu.Cols" localSheetId="1" hidden="1">'Team Personnel'!$H:$K</definedName>
    <definedName name="Z_BC153CFA_E879_4863_BF97_64855FD940E5_.wvu.Cols" localSheetId="7" hidden="1">'Upcoming Schedule'!$I:$K</definedName>
    <definedName name="Z_BC153CFA_E879_4863_BF97_64855FD940E5_.wvu.PrintArea" localSheetId="5" hidden="1">'Season Stats'!$A$1:$AJ$105</definedName>
    <definedName name="Z_BC153CFA_E879_4863_BF97_64855FD940E5_.wvu.Rows" localSheetId="8" hidden="1">'Team Heroes'!$22:$52</definedName>
    <definedName name="Z_BC153CFA_E879_4863_BF97_64855FD940E5_.wvu.Rows" localSheetId="1" hidden="1">'Team Personnel'!$24:$34</definedName>
    <definedName name="Z_BC153CFA_E879_4863_BF97_64855FD940E5_.wvu.Rows" localSheetId="6" hidden="1">'Team Stats'!$19:$34</definedName>
    <definedName name="Z_BD1DF852_269B_4C2F_AF89_1FA576EA4603_.wvu.Cols" localSheetId="2" hidden="1">Roster!$O:$Z</definedName>
    <definedName name="Z_BD1DF852_269B_4C2F_AF89_1FA576EA4603_.wvu.Cols" localSheetId="5" hidden="1">'Season Stats'!$L:$V,'Season Stats'!$Y:$AJ</definedName>
    <definedName name="Z_BD1DF852_269B_4C2F_AF89_1FA576EA4603_.wvu.Cols" localSheetId="8" hidden="1">'Team Heroes'!$F:$I</definedName>
    <definedName name="Z_BD1DF852_269B_4C2F_AF89_1FA576EA4603_.wvu.Cols" localSheetId="0" hidden="1">'Team Info'!$D:$H</definedName>
    <definedName name="Z_BD1DF852_269B_4C2F_AF89_1FA576EA4603_.wvu.Cols" localSheetId="7" hidden="1">'Upcoming Schedule'!$E:$E,'Upcoming Schedule'!$I:$K</definedName>
    <definedName name="Z_BD1DF852_269B_4C2F_AF89_1FA576EA4603_.wvu.Rows" localSheetId="8" hidden="1">'Team Heroes'!$12:$52</definedName>
    <definedName name="Z_BD1DF852_269B_4C2F_AF89_1FA576EA4603_.wvu.Rows" localSheetId="1" hidden="1">'Team Personnel'!$24:$34,'Team Personnel'!$38:$38</definedName>
    <definedName name="Z_BD1DF852_269B_4C2F_AF89_1FA576EA4603_.wvu.Rows" localSheetId="6" hidden="1">'Team Stats'!$17:$34</definedName>
    <definedName name="Z_BE266B8E_38B0_4631_9C30_67CA48A8BD7F_.wvu.Cols" localSheetId="2" hidden="1">Roster!$N:$Z</definedName>
    <definedName name="Z_BE266B8E_38B0_4631_9C30_67CA48A8BD7F_.wvu.Cols" localSheetId="5" hidden="1">'Season Stats'!$L:$V,'Season Stats'!$Y:$AJ</definedName>
    <definedName name="Z_BE266B8E_38B0_4631_9C30_67CA48A8BD7F_.wvu.Cols" localSheetId="8" hidden="1">'Team Heroes'!$F:$I</definedName>
    <definedName name="Z_BE266B8E_38B0_4631_9C30_67CA48A8BD7F_.wvu.Cols" localSheetId="0" hidden="1">'Team Info'!$D:$I</definedName>
    <definedName name="Z_BE266B8E_38B0_4631_9C30_67CA48A8BD7F_.wvu.Cols" localSheetId="1" hidden="1">'Team Personnel'!$H:$K</definedName>
    <definedName name="Z_BE266B8E_38B0_4631_9C30_67CA48A8BD7F_.wvu.Cols" localSheetId="7" hidden="1">'Upcoming Schedule'!$I:$K</definedName>
    <definedName name="Z_BE266B8E_38B0_4631_9C30_67CA48A8BD7F_.wvu.PrintArea" localSheetId="5" hidden="1">'Season Stats'!$A$1:$AJ$105</definedName>
    <definedName name="Z_BE266B8E_38B0_4631_9C30_67CA48A8BD7F_.wvu.Rows" localSheetId="8" hidden="1">'Team Heroes'!$22:$52</definedName>
    <definedName name="Z_BE266B8E_38B0_4631_9C30_67CA48A8BD7F_.wvu.Rows" localSheetId="1" hidden="1">'Team Personnel'!$24:$34</definedName>
    <definedName name="Z_BE266B8E_38B0_4631_9C30_67CA48A8BD7F_.wvu.Rows" localSheetId="6" hidden="1">'Team Stats'!$20:$34</definedName>
    <definedName name="Z_BE266B8E_38B0_4631_9C30_67CA48A8BD7F_.wvu.Rows" localSheetId="7" hidden="1">'Upcoming Schedule'!$10:$16</definedName>
    <definedName name="Z_C8D72D7B_AEA0_45E3_A14B_3F039B04C62C_.wvu.Cols" localSheetId="2" hidden="1">Roster!$G:$H,Roster!$N:$Z</definedName>
    <definedName name="Z_C8D72D7B_AEA0_45E3_A14B_3F039B04C62C_.wvu.Cols" localSheetId="5" hidden="1">'Season Stats'!$L:$V,'Season Stats'!$Y:$AJ</definedName>
    <definedName name="Z_C8D72D7B_AEA0_45E3_A14B_3F039B04C62C_.wvu.Cols" localSheetId="8" hidden="1">'Team Heroes'!$F:$I</definedName>
    <definedName name="Z_C8D72D7B_AEA0_45E3_A14B_3F039B04C62C_.wvu.Cols" localSheetId="0" hidden="1">'Team Info'!$D:$H</definedName>
    <definedName name="Z_C8D72D7B_AEA0_45E3_A14B_3F039B04C62C_.wvu.Cols" localSheetId="1" hidden="1">'Team Personnel'!$H:$K</definedName>
    <definedName name="Z_C8D72D7B_AEA0_45E3_A14B_3F039B04C62C_.wvu.Cols" localSheetId="7" hidden="1">'Upcoming Schedule'!$I:$K</definedName>
    <definedName name="Z_C8D72D7B_AEA0_45E3_A14B_3F039B04C62C_.wvu.PrintArea" localSheetId="5" hidden="1">'Season Stats'!$A$1:$AJ$105</definedName>
    <definedName name="Z_C8D72D7B_AEA0_45E3_A14B_3F039B04C62C_.wvu.Rows" localSheetId="8" hidden="1">'Team Heroes'!$22:$52</definedName>
    <definedName name="Z_C8D72D7B_AEA0_45E3_A14B_3F039B04C62C_.wvu.Rows" localSheetId="1" hidden="1">'Team Personnel'!$24:$34</definedName>
    <definedName name="Z_C8D72D7B_AEA0_45E3_A14B_3F039B04C62C_.wvu.Rows" localSheetId="6" hidden="1">'Team Stats'!$19:$34</definedName>
    <definedName name="Z_DB365F32_166D_4348_BCE9_F0F1DB0B73A9_.wvu.Cols" localSheetId="0" hidden="1">'Team Info'!$D:$D,'Team Info'!$F:$F,'Team Info'!$H:$H</definedName>
    <definedName name="Z_DB365F32_166D_4348_BCE9_F0F1DB0B73A9_.wvu.Cols" localSheetId="1" hidden="1">'Team Personnel'!$K:$K</definedName>
    <definedName name="Z_DB365F32_166D_4348_BCE9_F0F1DB0B73A9_.wvu.Cols" localSheetId="7" hidden="1">'Upcoming Schedule'!$E:$E,'Upcoming Schedule'!$I:$K</definedName>
    <definedName name="ZZZ_PLAYER1">'Season Stats'!$AB$2:$AK$2</definedName>
    <definedName name="ZZZ_PLAYER10">'Season Stats'!$AB$11:$AK$11</definedName>
    <definedName name="ZZZ_PLAYER100">'Season Stats'!#REF!</definedName>
    <definedName name="ZZZ_PLAYER101">'Season Stats'!#REF!</definedName>
    <definedName name="ZZZ_PLAYER102">'Season Stats'!#REF!</definedName>
    <definedName name="ZZZ_PLAYER11">'Season Stats'!$AB$12:$AK$12</definedName>
    <definedName name="ZZZ_PLAYER12">'Season Stats'!$AB$13:$AK$13</definedName>
    <definedName name="ZZZ_PLAYER13">'Season Stats'!$AB$14:$AK$14</definedName>
    <definedName name="ZZZ_PLAYER14">'Season Stats'!$AB$15:$AK$15</definedName>
    <definedName name="ZZZ_PLAYER15">'Season Stats'!$AB$16:$AK$16</definedName>
    <definedName name="ZZZ_PLAYER16">'Season Stats'!$AB$17:$AK$17</definedName>
    <definedName name="ZZZ_PLAYER17">'Season Stats'!$AB$18:$AK$18</definedName>
    <definedName name="ZZZ_PLAYER18">'Season Stats'!$AB$19:$AK$19</definedName>
    <definedName name="ZZZ_PLAYER19">'Season Stats'!$AB$20:$AK$20</definedName>
    <definedName name="ZZZ_PLAYER2">'Season Stats'!$AB$3:$AK$3</definedName>
    <definedName name="ZZZ_PLAYER20">'Season Stats'!$AB$21:$AK$21</definedName>
    <definedName name="ZZZ_PLAYER21">'Season Stats'!$AB$22:$AK$22</definedName>
    <definedName name="ZZZ_PLAYER22">'Season Stats'!$AB$23:$AK$23</definedName>
    <definedName name="ZZZ_PLAYER23">'Season Stats'!$AB$24:$AK$24</definedName>
    <definedName name="ZZZ_PLAYER24">'Season Stats'!$AB$25:$AK$25</definedName>
    <definedName name="ZZZ_PLAYER25">'Season Stats'!$AB$26:$AK$26</definedName>
    <definedName name="ZZZ_PLAYER26">'Season Stats'!$AB$27:$AK$27</definedName>
    <definedName name="ZZZ_PLAYER27">'Season Stats'!$AB$28:$AK$28</definedName>
    <definedName name="ZZZ_PLAYER28">'Season Stats'!$AB$29:$AK$29</definedName>
    <definedName name="ZZZ_PLAYER29">'Season Stats'!$AB$30:$AK$30</definedName>
    <definedName name="ZZZ_PLAYER3">'Season Stats'!$AB$4:$AK$4</definedName>
    <definedName name="ZZZ_PLAYER30">'Season Stats'!$AB$31:$AK$31</definedName>
    <definedName name="ZZZ_PLAYER31">'Season Stats'!$AB$32:$AK$32</definedName>
    <definedName name="ZZZ_PLAYER32">'Season Stats'!$AB$33:$AK$33</definedName>
    <definedName name="ZZZ_PLAYER33">'Season Stats'!$AB$34:$AK$34</definedName>
    <definedName name="ZZZ_PLAYER34">'Season Stats'!$AB$35:$AK$35</definedName>
    <definedName name="ZZZ_PLAYER35">'Season Stats'!$AB$36:$AK$36</definedName>
    <definedName name="ZZZ_PLAYER36">'Season Stats'!$AB$37:$AK$37</definedName>
    <definedName name="ZZZ_PLAYER37">'Season Stats'!$AB$38:$AK$38</definedName>
    <definedName name="ZZZ_PLAYER38">'Season Stats'!$AB$39:$AK$39</definedName>
    <definedName name="ZZZ_PLAYER39">'Season Stats'!$AB$40:$AK$40</definedName>
    <definedName name="ZZZ_PLAYER4">'Season Stats'!$AB$5:$AK$5</definedName>
    <definedName name="ZZZ_PLAYER40">'Season Stats'!$AB$41:$AK$41</definedName>
    <definedName name="ZZZ_PLAYER41">'Season Stats'!$AB$42:$AK$42</definedName>
    <definedName name="ZZZ_PLAYER42">'Season Stats'!$AB$43:$AK$43</definedName>
    <definedName name="ZZZ_PLAYER43">'Season Stats'!$AB$44:$AK$44</definedName>
    <definedName name="ZZZ_PLAYER44">'Season Stats'!$AB$45:$AK$45</definedName>
    <definedName name="ZZZ_PLAYER45">'Season Stats'!$AB$46:$AK$46</definedName>
    <definedName name="ZZZ_PLAYER46">'Season Stats'!$AB$47:$AK$47</definedName>
    <definedName name="ZZZ_PLAYER47">'Season Stats'!$AB$48:$AK$48</definedName>
    <definedName name="ZZZ_PLAYER48">'Season Stats'!$AB$49:$AK$49</definedName>
    <definedName name="ZZZ_PLAYER49">'Season Stats'!$AB$50:$AK$50</definedName>
    <definedName name="ZZZ_PLAYER5">'Season Stats'!$AB$6:$AK$6</definedName>
    <definedName name="ZZZ_PLAYER50">'Season Stats'!$AB$51:$AJ$51</definedName>
    <definedName name="ZZZ_PLAYER51">'Season Stats'!$AB$52:$AK$52</definedName>
    <definedName name="ZZZ_PLAYER52">'Season Stats'!$AB$53:$AK$53</definedName>
    <definedName name="ZZZ_PLAYER53">'Season Stats'!$AB$54:$AK$54</definedName>
    <definedName name="ZZZ_PLAYER54">'Season Stats'!$AB$55:$AK$55</definedName>
    <definedName name="ZZZ_PLAYER55">'Season Stats'!$AB$56:$AK$56</definedName>
    <definedName name="ZZZ_PLAYER56">'Season Stats'!$AB$57:$AK$57</definedName>
    <definedName name="ZZZ_PLAYER57">'Season Stats'!$AB$58:$AK$58</definedName>
    <definedName name="ZZZ_PLAYER58">'Season Stats'!$AB$59:$AK$59</definedName>
    <definedName name="ZZZ_PLAYER59">'Season Stats'!$AB$60:$AK$60</definedName>
    <definedName name="ZZZ_PLAYER6">'Season Stats'!$AB$7:$AK$7</definedName>
    <definedName name="ZZZ_PLAYER60">'Season Stats'!$AB$61:$AK$61</definedName>
    <definedName name="ZZZ_PLAYER61">'Season Stats'!$AB$62:$AK$62</definedName>
    <definedName name="ZZZ_PLAYER62">'Season Stats'!$AB$63:$AK$63</definedName>
    <definedName name="ZZZ_PLAYER63">'Season Stats'!$AB$64:$AK$64</definedName>
    <definedName name="ZZZ_PLAYER64">'Season Stats'!$AB$65:$AK$65</definedName>
    <definedName name="ZZZ_PLAYER65">'Season Stats'!$AB$66:$AK$66</definedName>
    <definedName name="ZZZ_PLAYER66">'Season Stats'!$AB$67:$AK$67</definedName>
    <definedName name="ZZZ_PLAYER67">'Season Stats'!$AB$68:$AK$68</definedName>
    <definedName name="ZZZ_PLAYER68">'Season Stats'!$AB$69:$AK$69</definedName>
    <definedName name="ZZZ_PLAYER69">'Season Stats'!$AB$70:$AK$70</definedName>
    <definedName name="ZZZ_PLAYER7">'Season Stats'!$AB$8:$AK$8</definedName>
    <definedName name="ZZZ_PLAYER70">'Season Stats'!$AB$71:$AK$71</definedName>
    <definedName name="ZZZ_PLAYER71">'Season Stats'!$AB$72:$AK$72</definedName>
    <definedName name="ZZZ_PLAYER72">'Season Stats'!$AB$73:$AK$73</definedName>
    <definedName name="ZZZ_PLAYER73">'Season Stats'!$AB$74:$AK$74</definedName>
    <definedName name="ZZZ_PLAYER74">'Season Stats'!$AB$75:$AK$75</definedName>
    <definedName name="ZZZ_PLAYER75">'Season Stats'!$AB$76:$AK$76</definedName>
    <definedName name="ZZZ_PLAYER76">'Season Stats'!$AB$77:$AK$77</definedName>
    <definedName name="ZZZ_PLAYER77">'Season Stats'!$AB$78:$AK$78</definedName>
    <definedName name="ZZZ_PLAYER78">'Season Stats'!$AB$79:$AK$79</definedName>
    <definedName name="ZZZ_PLAYER79">'Season Stats'!$AB$80:$AK$80</definedName>
    <definedName name="ZZZ_PLAYER8">'Season Stats'!$AB$9:$AK$9</definedName>
    <definedName name="ZZZ_PLAYER80">'Season Stats'!$AB$81:$AK$81</definedName>
    <definedName name="ZZZ_PLAYER81">'Season Stats'!$AB$82:$AK$82</definedName>
    <definedName name="ZZZ_PLAYER82">'Season Stats'!$AB$83:$AK$83</definedName>
    <definedName name="ZZZ_PLAYER83">'Season Stats'!$AB$84:$AK$84</definedName>
    <definedName name="ZZZ_PLAYER84">'Season Stats'!$AB$85:$AK$85</definedName>
    <definedName name="ZZZ_PLAYER85">'Season Stats'!$AB$86:$AK$86</definedName>
    <definedName name="ZZZ_PLAYER86">'Season Stats'!$AB$87:$AK$87</definedName>
    <definedName name="ZZZ_PLAYER87">'Season Stats'!$AB$88:$AK$88</definedName>
    <definedName name="ZZZ_PLAYER88">'Season Stats'!$AB$89:$AK$89</definedName>
    <definedName name="ZZZ_PLAYER89">'Season Stats'!$AB$90:$AK$90</definedName>
    <definedName name="ZZZ_PLAYER9">'Season Stats'!$AB$10:$AK$10</definedName>
    <definedName name="ZZZ_PLAYER90">'Season Stats'!$AB$91:$AK$91</definedName>
    <definedName name="ZZZ_PLAYER91">'Season Stats'!$AB$92:$AK$92</definedName>
    <definedName name="ZZZ_PLAYER92">'Season Stats'!$AB$93:$AK$93</definedName>
    <definedName name="ZZZ_PLAYER93">'Season Stats'!$AB$94:$AK$94</definedName>
    <definedName name="ZZZ_PLAYER94">'Season Stats'!$AB$95:$AK$95</definedName>
    <definedName name="ZZZ_PLAYER95">'Season Stats'!$AB$96:$AK$96</definedName>
    <definedName name="ZZZ_PLAYER96">'Season Stats'!$AB$97:$AK$97</definedName>
    <definedName name="ZZZ_PLAYER97">'Season Stats'!$AB$98:$AK$98</definedName>
    <definedName name="ZZZ_PLAYER98">'Season Stats'!$AB$99:$AK$99</definedName>
    <definedName name="ZZZ_PLAYER99">'Season Stats'!$AB$100:$AK$100</definedName>
  </definedNames>
  <calcPr calcId="162913"/>
  <customWorkbookViews>
    <customWorkbookView name="Bell, Brian D. - Personal View" guid="{42F19D52-E208-414F-9E2E-506DF902926F}" mergeInterval="0" personalView="1" xWindow="107" yWindow="73" windowWidth="1662" windowHeight="994" activeSheetId="1"/>
    <customWorkbookView name="Brian Bell - Personal View" guid="{BE266B8E-38B0-4631-9C30-67CA48A8BD7F}" mergeInterval="0" personalView="1" xWindow="2421" yWindow="69" windowWidth="1152" windowHeight="931" activeSheetId="1"/>
    <customWorkbookView name="Brian D Bell - Personal View" guid="{BD1DF852-269B-4C2F-AF89-1FA576EA4603}" mergeInterval="0" personalView="1" maximized="1" xWindow="-8" yWindow="-8" windowWidth="1936" windowHeight="1056" activeSheetId="1"/>
    <customWorkbookView name="remote - Personal View" guid="{C8D72D7B-AEA0-45E3-A14B-3F039B04C62C}" mergeInterval="0" personalView="1" maximized="1" windowWidth="1916" windowHeight="1127" activeSheetId="14"/>
    <customWorkbookView name="Sanchez, Israel - Personal View" guid="{6A3B2C41-2DBC-4B17-AB58-12C85E3A6B8A}" mergeInterval="0" personalView="1" maximized="1" xWindow="2552" yWindow="-8" windowWidth="2576" windowHeight="1416" activeSheetId="1"/>
    <customWorkbookView name="XPression - Personal View" guid="{9DC468DE-D883-45B4-B188-265B9DA68425}" mergeInterval="0" personalView="1" maximized="1" xWindow="-4" yWindow="-4" windowWidth="1928" windowHeight="1060" activeSheetId="1"/>
    <customWorkbookView name="Adam G Daly - Personal View" guid="{6960175A-17E1-4BDD-98F7-6E9A590B8B7F}" mergeInterval="0" personalView="1" maximized="1" xWindow="-8" yWindow="-8" windowWidth="1936" windowHeight="1056" activeSheetId="2"/>
    <customWorkbookView name="CARROLL, CHRISTOPHER M. - Personal View" guid="{DB365F32-166D-4348-BCE9-F0F1DB0B73A9}" mergeInterval="0" personalView="1" maximized="1" xWindow="-8" yWindow="-8" windowWidth="1936" windowHeight="1176" activeSheetId="3"/>
    <customWorkbookView name="ESPN Technology - Personal View" guid="{6EDF2E63-E51E-449A-B1C5-EFB1FD6A259C}" mergeInterval="0" personalView="1" maximized="1" windowWidth="1916" windowHeight="951" activeSheetId="3"/>
    <customWorkbookView name="gfx - Personal View" guid="{46B088B4-7F51-4D35-9F00-2268626FA819}" mergeInterval="0" personalView="1" maximized="1" xWindow="-8" yWindow="-8" windowWidth="1936" windowHeight="1176" activeSheetId="2"/>
    <customWorkbookView name="Isaac, Oakes D. - Personal View" guid="{BC153CFA-E879-4863-BF97-64855FD940E5}" mergeInterval="0" personalView="1" maximized="1" xWindow="-1928" yWindow="-8" windowWidth="1936" windowHeight="1216" activeSheetId="14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01" i="3" l="1"/>
  <c r="V100" i="3"/>
  <c r="V99" i="3"/>
  <c r="V98" i="3"/>
  <c r="V97" i="3"/>
  <c r="V96" i="3"/>
  <c r="V95" i="3"/>
  <c r="V94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Q104" i="3"/>
  <c r="Q103" i="3"/>
  <c r="Q101" i="3"/>
  <c r="Q100" i="3"/>
  <c r="Q99" i="3"/>
  <c r="Q98" i="3"/>
  <c r="Q97" i="3"/>
  <c r="Q96" i="3"/>
  <c r="Q95" i="3"/>
  <c r="Q94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F32" i="1"/>
  <c r="F33" i="1" s="1"/>
  <c r="C23" i="1" s="1"/>
  <c r="H37" i="1"/>
  <c r="M101" i="12" l="1"/>
  <c r="K101" i="12"/>
  <c r="M92" i="12"/>
  <c r="K92" i="12"/>
  <c r="H34" i="1" l="1"/>
  <c r="C15" i="1" s="1"/>
  <c r="H33" i="1"/>
  <c r="T3" i="6"/>
  <c r="S3" i="6"/>
  <c r="R3" i="6"/>
  <c r="Q3" i="6"/>
  <c r="P3" i="6"/>
  <c r="O3" i="6"/>
  <c r="N3" i="6"/>
  <c r="M3" i="6"/>
  <c r="L3" i="6"/>
  <c r="AD3" i="6" l="1"/>
  <c r="F19" i="7" l="1"/>
  <c r="E19" i="7"/>
  <c r="G19" i="7" l="1"/>
  <c r="I23" i="2"/>
  <c r="I22" i="2"/>
  <c r="I21" i="2"/>
  <c r="I20" i="2"/>
  <c r="I19" i="2"/>
  <c r="I18" i="2"/>
  <c r="I17" i="2"/>
  <c r="I16" i="2"/>
  <c r="I15" i="2"/>
  <c r="I14" i="2"/>
  <c r="I3" i="2"/>
  <c r="M102" i="3" l="1"/>
  <c r="L102" i="3"/>
  <c r="K102" i="3"/>
  <c r="J102" i="3"/>
  <c r="I102" i="3"/>
  <c r="H102" i="3"/>
  <c r="G102" i="3"/>
  <c r="F102" i="3"/>
  <c r="E102" i="3"/>
  <c r="D102" i="3"/>
  <c r="C102" i="3"/>
  <c r="M93" i="3"/>
  <c r="L93" i="3"/>
  <c r="K93" i="3"/>
  <c r="J93" i="3"/>
  <c r="I93" i="3"/>
  <c r="H93" i="3"/>
  <c r="G93" i="3"/>
  <c r="F93" i="3"/>
  <c r="E93" i="3"/>
  <c r="D93" i="3"/>
  <c r="C93" i="3"/>
  <c r="V93" i="3" l="1"/>
  <c r="Q93" i="3"/>
  <c r="V102" i="3"/>
  <c r="Q102" i="3"/>
  <c r="I101" i="12"/>
  <c r="G101" i="12"/>
  <c r="I92" i="12"/>
  <c r="G92" i="12"/>
  <c r="B104" i="12"/>
  <c r="J92" i="11"/>
  <c r="I92" i="11"/>
  <c r="G92" i="11"/>
  <c r="J101" i="11"/>
  <c r="I101" i="11"/>
  <c r="G101" i="11"/>
  <c r="B104" i="11"/>
  <c r="X100" i="6"/>
  <c r="W100" i="6"/>
  <c r="X91" i="6"/>
  <c r="W91" i="6"/>
  <c r="U104" i="6"/>
  <c r="U100" i="6" s="1"/>
  <c r="J100" i="6"/>
  <c r="J91" i="6"/>
  <c r="I91" i="6"/>
  <c r="H91" i="6"/>
  <c r="G91" i="6"/>
  <c r="F91" i="6"/>
  <c r="E91" i="6"/>
  <c r="D91" i="6"/>
  <c r="I100" i="6"/>
  <c r="H100" i="6"/>
  <c r="G100" i="6"/>
  <c r="F100" i="6"/>
  <c r="E100" i="6"/>
  <c r="D100" i="6"/>
  <c r="L101" i="5"/>
  <c r="T104" i="6" s="1"/>
  <c r="T100" i="6" s="1"/>
  <c r="AJ104" i="6" s="1"/>
  <c r="K101" i="5"/>
  <c r="S104" i="6" s="1"/>
  <c r="J101" i="5"/>
  <c r="R104" i="6" s="1"/>
  <c r="I101" i="5"/>
  <c r="Q104" i="6" s="1"/>
  <c r="H101" i="5"/>
  <c r="P104" i="6" s="1"/>
  <c r="P100" i="6" s="1"/>
  <c r="AF104" i="6" s="1"/>
  <c r="AF91" i="6" s="1"/>
  <c r="G101" i="5"/>
  <c r="O104" i="6" s="1"/>
  <c r="O100" i="6" s="1"/>
  <c r="AE104" i="6" s="1"/>
  <c r="AE100" i="6" s="1"/>
  <c r="F101" i="5"/>
  <c r="N104" i="6" s="1"/>
  <c r="AD104" i="6" s="1"/>
  <c r="E101" i="5"/>
  <c r="M104" i="6" s="1"/>
  <c r="D101" i="5"/>
  <c r="L104" i="6" s="1"/>
  <c r="L91" i="6" s="1"/>
  <c r="L92" i="5"/>
  <c r="K92" i="5"/>
  <c r="J92" i="5"/>
  <c r="I92" i="5"/>
  <c r="H92" i="5"/>
  <c r="G92" i="5"/>
  <c r="F92" i="5"/>
  <c r="E92" i="5"/>
  <c r="D92" i="5"/>
  <c r="B104" i="5"/>
  <c r="A104" i="5"/>
  <c r="N4" i="3"/>
  <c r="L100" i="6" l="1"/>
  <c r="AB104" i="6" s="1"/>
  <c r="AB100" i="6" s="1"/>
  <c r="M100" i="6"/>
  <c r="AC104" i="6" s="1"/>
  <c r="AC100" i="6" s="1"/>
  <c r="M91" i="6"/>
  <c r="N100" i="6"/>
  <c r="AD100" i="6" s="1"/>
  <c r="N91" i="6"/>
  <c r="AD91" i="6" s="1"/>
  <c r="Q91" i="6"/>
  <c r="Q100" i="6"/>
  <c r="AG104" i="6" s="1"/>
  <c r="AG91" i="6" s="1"/>
  <c r="R100" i="6"/>
  <c r="AH104" i="6" s="1"/>
  <c r="AH91" i="6" s="1"/>
  <c r="R91" i="6"/>
  <c r="S100" i="6"/>
  <c r="AI104" i="6" s="1"/>
  <c r="AI100" i="6" s="1"/>
  <c r="S91" i="6"/>
  <c r="P91" i="6"/>
  <c r="T91" i="6"/>
  <c r="U91" i="6"/>
  <c r="O91" i="6"/>
  <c r="Z104" i="6"/>
  <c r="Y104" i="6"/>
  <c r="AJ100" i="6"/>
  <c r="AJ91" i="6"/>
  <c r="AF100" i="6"/>
  <c r="AE91" i="6"/>
  <c r="C3" i="4"/>
  <c r="C2" i="4"/>
  <c r="AB91" i="6" l="1"/>
  <c r="AC91" i="6"/>
  <c r="AH100" i="6"/>
  <c r="AG100" i="6"/>
  <c r="AI91" i="6"/>
  <c r="E104" i="11"/>
  <c r="E104" i="12"/>
  <c r="D104" i="12"/>
  <c r="D104" i="11"/>
  <c r="C104" i="12"/>
  <c r="C104" i="11"/>
  <c r="K4" i="4"/>
  <c r="I4" i="4"/>
  <c r="C4" i="4"/>
  <c r="K5" i="4"/>
  <c r="I5" i="4"/>
  <c r="G5" i="4"/>
  <c r="D5" i="4"/>
  <c r="C5" i="4"/>
  <c r="G4" i="4"/>
  <c r="D4" i="4"/>
  <c r="K3" i="4"/>
  <c r="I3" i="4"/>
  <c r="G3" i="4"/>
  <c r="D3" i="4"/>
  <c r="K2" i="4"/>
  <c r="I2" i="4"/>
  <c r="G2" i="4"/>
  <c r="D2" i="4"/>
  <c r="K6" i="4"/>
  <c r="I6" i="4"/>
  <c r="G6" i="4"/>
  <c r="D6" i="4"/>
  <c r="C6" i="4"/>
  <c r="C92" i="11" l="1"/>
  <c r="C101" i="11"/>
  <c r="C92" i="12"/>
  <c r="C101" i="12"/>
  <c r="D101" i="11"/>
  <c r="D92" i="11"/>
  <c r="D101" i="12"/>
  <c r="D92" i="12"/>
  <c r="E101" i="12"/>
  <c r="E92" i="12"/>
  <c r="E101" i="11"/>
  <c r="E92" i="11"/>
  <c r="L4" i="4"/>
  <c r="L6" i="4"/>
  <c r="L5" i="4"/>
  <c r="L3" i="4"/>
  <c r="L2" i="4"/>
  <c r="B101" i="12"/>
  <c r="E100" i="12"/>
  <c r="D100" i="12"/>
  <c r="C100" i="12"/>
  <c r="B100" i="12"/>
  <c r="E99" i="12"/>
  <c r="D99" i="12"/>
  <c r="C99" i="12"/>
  <c r="B99" i="12"/>
  <c r="E98" i="12"/>
  <c r="D98" i="12"/>
  <c r="C98" i="12"/>
  <c r="B98" i="12"/>
  <c r="E97" i="12"/>
  <c r="D97" i="12"/>
  <c r="C97" i="12"/>
  <c r="B97" i="12"/>
  <c r="E96" i="12"/>
  <c r="D96" i="12"/>
  <c r="C96" i="12"/>
  <c r="B96" i="12"/>
  <c r="E95" i="12"/>
  <c r="D95" i="12"/>
  <c r="C95" i="12"/>
  <c r="B95" i="12"/>
  <c r="E94" i="12"/>
  <c r="D94" i="12"/>
  <c r="C94" i="12"/>
  <c r="B94" i="12"/>
  <c r="E93" i="12"/>
  <c r="D93" i="12"/>
  <c r="C93" i="12"/>
  <c r="B93" i="12"/>
  <c r="B92" i="12"/>
  <c r="E91" i="12"/>
  <c r="D91" i="12"/>
  <c r="C91" i="12"/>
  <c r="B91" i="12"/>
  <c r="E90" i="12"/>
  <c r="D90" i="12"/>
  <c r="C90" i="12"/>
  <c r="B90" i="12"/>
  <c r="E89" i="12"/>
  <c r="D89" i="12"/>
  <c r="C89" i="12"/>
  <c r="B89" i="12"/>
  <c r="E88" i="12"/>
  <c r="D88" i="12"/>
  <c r="C88" i="12"/>
  <c r="B88" i="12"/>
  <c r="E87" i="12"/>
  <c r="D87" i="12"/>
  <c r="C87" i="12"/>
  <c r="B87" i="12"/>
  <c r="E86" i="12"/>
  <c r="D86" i="12"/>
  <c r="C86" i="12"/>
  <c r="B86" i="12"/>
  <c r="E85" i="12"/>
  <c r="D85" i="12"/>
  <c r="C85" i="12"/>
  <c r="B85" i="12"/>
  <c r="E84" i="12"/>
  <c r="D84" i="12"/>
  <c r="C84" i="12"/>
  <c r="B84" i="12"/>
  <c r="E83" i="12"/>
  <c r="D83" i="12"/>
  <c r="C83" i="12"/>
  <c r="B83" i="12"/>
  <c r="E82" i="12"/>
  <c r="D82" i="12"/>
  <c r="C82" i="12"/>
  <c r="B82" i="12"/>
  <c r="E81" i="12"/>
  <c r="D81" i="12"/>
  <c r="C81" i="12"/>
  <c r="B81" i="12"/>
  <c r="E80" i="12"/>
  <c r="D80" i="12"/>
  <c r="C80" i="12"/>
  <c r="B80" i="12"/>
  <c r="E79" i="12"/>
  <c r="D79" i="12"/>
  <c r="C79" i="12"/>
  <c r="B79" i="12"/>
  <c r="E78" i="12"/>
  <c r="D78" i="12"/>
  <c r="C78" i="12"/>
  <c r="B78" i="12"/>
  <c r="E77" i="12"/>
  <c r="D77" i="12"/>
  <c r="C77" i="12"/>
  <c r="B77" i="12"/>
  <c r="E76" i="12"/>
  <c r="D76" i="12"/>
  <c r="C76" i="12"/>
  <c r="B76" i="12"/>
  <c r="E75" i="12"/>
  <c r="D75" i="12"/>
  <c r="C75" i="12"/>
  <c r="B75" i="12"/>
  <c r="E74" i="12"/>
  <c r="D74" i="12"/>
  <c r="C74" i="12"/>
  <c r="B74" i="12"/>
  <c r="E73" i="12"/>
  <c r="D73" i="12"/>
  <c r="C73" i="12"/>
  <c r="B73" i="12"/>
  <c r="E72" i="12"/>
  <c r="D72" i="12"/>
  <c r="C72" i="12"/>
  <c r="B72" i="12"/>
  <c r="E71" i="12"/>
  <c r="D71" i="12"/>
  <c r="C71" i="12"/>
  <c r="B71" i="12"/>
  <c r="E70" i="12"/>
  <c r="D70" i="12"/>
  <c r="C70" i="12"/>
  <c r="B70" i="12"/>
  <c r="E69" i="12"/>
  <c r="D69" i="12"/>
  <c r="C69" i="12"/>
  <c r="B69" i="12"/>
  <c r="E68" i="12"/>
  <c r="D68" i="12"/>
  <c r="C68" i="12"/>
  <c r="B68" i="12"/>
  <c r="E67" i="12"/>
  <c r="D67" i="12"/>
  <c r="C67" i="12"/>
  <c r="B67" i="12"/>
  <c r="E66" i="12"/>
  <c r="D66" i="12"/>
  <c r="C66" i="12"/>
  <c r="B66" i="12"/>
  <c r="E65" i="12"/>
  <c r="D65" i="12"/>
  <c r="C65" i="12"/>
  <c r="B65" i="12"/>
  <c r="E64" i="12"/>
  <c r="D64" i="12"/>
  <c r="C64" i="12"/>
  <c r="B64" i="12"/>
  <c r="E63" i="12"/>
  <c r="D63" i="12"/>
  <c r="C63" i="12"/>
  <c r="B63" i="12"/>
  <c r="E62" i="12"/>
  <c r="D62" i="12"/>
  <c r="C62" i="12"/>
  <c r="B62" i="12"/>
  <c r="E61" i="12"/>
  <c r="D61" i="12"/>
  <c r="C61" i="12"/>
  <c r="B61" i="12"/>
  <c r="E60" i="12"/>
  <c r="D60" i="12"/>
  <c r="C60" i="12"/>
  <c r="B60" i="12"/>
  <c r="E59" i="12"/>
  <c r="D59" i="12"/>
  <c r="C59" i="12"/>
  <c r="B59" i="12"/>
  <c r="E58" i="12"/>
  <c r="D58" i="12"/>
  <c r="C58" i="12"/>
  <c r="B58" i="12"/>
  <c r="E57" i="12"/>
  <c r="D57" i="12"/>
  <c r="C57" i="12"/>
  <c r="B57" i="12"/>
  <c r="E56" i="12"/>
  <c r="D56" i="12"/>
  <c r="C56" i="12"/>
  <c r="B56" i="12"/>
  <c r="E55" i="12"/>
  <c r="D55" i="12"/>
  <c r="C55" i="12"/>
  <c r="B55" i="12"/>
  <c r="E54" i="12"/>
  <c r="D54" i="12"/>
  <c r="C54" i="12"/>
  <c r="B54" i="12"/>
  <c r="E53" i="12"/>
  <c r="D53" i="12"/>
  <c r="C53" i="12"/>
  <c r="B53" i="12"/>
  <c r="E52" i="12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B101" i="11"/>
  <c r="E100" i="11"/>
  <c r="D100" i="11"/>
  <c r="C100" i="11"/>
  <c r="B100" i="11"/>
  <c r="E99" i="11"/>
  <c r="D99" i="11"/>
  <c r="C99" i="11"/>
  <c r="B99" i="11"/>
  <c r="E98" i="11"/>
  <c r="D98" i="11"/>
  <c r="C98" i="11"/>
  <c r="B98" i="11"/>
  <c r="E97" i="11"/>
  <c r="D97" i="11"/>
  <c r="C97" i="11"/>
  <c r="B97" i="11"/>
  <c r="E96" i="11"/>
  <c r="D96" i="11"/>
  <c r="C96" i="11"/>
  <c r="B96" i="11"/>
  <c r="E95" i="11"/>
  <c r="D95" i="11"/>
  <c r="C95" i="11"/>
  <c r="B95" i="11"/>
  <c r="E94" i="11"/>
  <c r="D94" i="11"/>
  <c r="C94" i="11"/>
  <c r="B94" i="11"/>
  <c r="E93" i="11"/>
  <c r="D93" i="11"/>
  <c r="C93" i="11"/>
  <c r="B93" i="11"/>
  <c r="B92" i="11"/>
  <c r="E91" i="11"/>
  <c r="D91" i="11"/>
  <c r="C91" i="11"/>
  <c r="B91" i="11"/>
  <c r="E90" i="11"/>
  <c r="D90" i="11"/>
  <c r="C90" i="11"/>
  <c r="B90" i="11"/>
  <c r="E89" i="11"/>
  <c r="D89" i="11"/>
  <c r="C89" i="11"/>
  <c r="B89" i="11"/>
  <c r="E88" i="11"/>
  <c r="D88" i="11"/>
  <c r="C88" i="11"/>
  <c r="B88" i="11"/>
  <c r="E87" i="11"/>
  <c r="D87" i="11"/>
  <c r="C87" i="11"/>
  <c r="B87" i="11"/>
  <c r="E86" i="11"/>
  <c r="D86" i="11"/>
  <c r="C86" i="11"/>
  <c r="B86" i="11"/>
  <c r="E85" i="11"/>
  <c r="D85" i="11"/>
  <c r="C85" i="11"/>
  <c r="B85" i="11"/>
  <c r="E84" i="11"/>
  <c r="D84" i="11"/>
  <c r="C84" i="11"/>
  <c r="B84" i="11"/>
  <c r="E83" i="11"/>
  <c r="D83" i="11"/>
  <c r="C83" i="11"/>
  <c r="B83" i="11"/>
  <c r="E82" i="11"/>
  <c r="D82" i="11"/>
  <c r="C82" i="11"/>
  <c r="B82" i="11"/>
  <c r="E81" i="11"/>
  <c r="D81" i="11"/>
  <c r="C81" i="11"/>
  <c r="B81" i="11"/>
  <c r="E80" i="11"/>
  <c r="D80" i="11"/>
  <c r="C80" i="11"/>
  <c r="B80" i="11"/>
  <c r="E79" i="11"/>
  <c r="D79" i="11"/>
  <c r="C79" i="11"/>
  <c r="B79" i="11"/>
  <c r="E78" i="11"/>
  <c r="D78" i="11"/>
  <c r="C78" i="11"/>
  <c r="B78" i="11"/>
  <c r="E77" i="11"/>
  <c r="D77" i="11"/>
  <c r="C77" i="11"/>
  <c r="B77" i="11"/>
  <c r="E76" i="11"/>
  <c r="D76" i="11"/>
  <c r="C76" i="11"/>
  <c r="B76" i="11"/>
  <c r="E75" i="11"/>
  <c r="D75" i="11"/>
  <c r="C75" i="11"/>
  <c r="B75" i="11"/>
  <c r="E74" i="11"/>
  <c r="D74" i="11"/>
  <c r="C74" i="11"/>
  <c r="B74" i="11"/>
  <c r="E73" i="11"/>
  <c r="D73" i="11"/>
  <c r="C73" i="11"/>
  <c r="B73" i="11"/>
  <c r="E72" i="11"/>
  <c r="D72" i="11"/>
  <c r="C72" i="11"/>
  <c r="B72" i="11"/>
  <c r="E71" i="11"/>
  <c r="D71" i="11"/>
  <c r="C71" i="11"/>
  <c r="B71" i="11"/>
  <c r="E70" i="11"/>
  <c r="D70" i="11"/>
  <c r="C70" i="11"/>
  <c r="B70" i="11"/>
  <c r="E69" i="11"/>
  <c r="D69" i="11"/>
  <c r="C69" i="11"/>
  <c r="B69" i="11"/>
  <c r="E68" i="11"/>
  <c r="D68" i="11"/>
  <c r="C68" i="11"/>
  <c r="B68" i="11"/>
  <c r="E67" i="11"/>
  <c r="D67" i="11"/>
  <c r="C67" i="11"/>
  <c r="B67" i="11"/>
  <c r="E66" i="11"/>
  <c r="D66" i="11"/>
  <c r="C66" i="11"/>
  <c r="B66" i="11"/>
  <c r="E65" i="11"/>
  <c r="D65" i="11"/>
  <c r="C65" i="11"/>
  <c r="B65" i="11"/>
  <c r="E64" i="11"/>
  <c r="D64" i="11"/>
  <c r="C64" i="11"/>
  <c r="B64" i="11"/>
  <c r="E63" i="11"/>
  <c r="D63" i="11"/>
  <c r="C63" i="11"/>
  <c r="B63" i="11"/>
  <c r="E62" i="11"/>
  <c r="D62" i="11"/>
  <c r="C62" i="11"/>
  <c r="B62" i="11"/>
  <c r="E61" i="11"/>
  <c r="D61" i="11"/>
  <c r="C61" i="11"/>
  <c r="B61" i="11"/>
  <c r="E60" i="11"/>
  <c r="D60" i="11"/>
  <c r="C60" i="11"/>
  <c r="B60" i="11"/>
  <c r="E59" i="11"/>
  <c r="D59" i="11"/>
  <c r="C59" i="11"/>
  <c r="B59" i="11"/>
  <c r="E58" i="11"/>
  <c r="D58" i="11"/>
  <c r="C58" i="11"/>
  <c r="B58" i="11"/>
  <c r="E57" i="11"/>
  <c r="D57" i="11"/>
  <c r="C57" i="11"/>
  <c r="B57" i="11"/>
  <c r="E56" i="11"/>
  <c r="D56" i="11"/>
  <c r="C56" i="11"/>
  <c r="B56" i="11"/>
  <c r="E55" i="11"/>
  <c r="D55" i="11"/>
  <c r="C55" i="11"/>
  <c r="B55" i="11"/>
  <c r="E54" i="11"/>
  <c r="D54" i="11"/>
  <c r="C54" i="11"/>
  <c r="B54" i="11"/>
  <c r="E53" i="11"/>
  <c r="D53" i="11"/>
  <c r="C53" i="11"/>
  <c r="B53" i="1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3" i="11"/>
  <c r="E3" i="11"/>
  <c r="D3" i="11"/>
  <c r="C3" i="11"/>
  <c r="D45" i="1"/>
  <c r="R102" i="3" l="1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A2" i="9" l="1"/>
  <c r="I4" i="8" l="1"/>
  <c r="I10" i="8"/>
  <c r="I8" i="8"/>
  <c r="K16" i="8" l="1"/>
  <c r="K15" i="8"/>
  <c r="K14" i="8"/>
  <c r="K12" i="8"/>
  <c r="K11" i="8"/>
  <c r="K10" i="8"/>
  <c r="K9" i="8"/>
  <c r="K8" i="8"/>
  <c r="K7" i="8"/>
  <c r="K6" i="8"/>
  <c r="K5" i="8"/>
  <c r="K13" i="8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3" i="10"/>
  <c r="A21" i="10" s="1"/>
  <c r="A25" i="10"/>
  <c r="A27" i="10" s="1"/>
  <c r="A15" i="10" l="1"/>
  <c r="A11" i="10"/>
  <c r="A5" i="10"/>
  <c r="A17" i="10"/>
  <c r="A13" i="10"/>
  <c r="A7" i="10"/>
  <c r="A19" i="10"/>
  <c r="A9" i="10"/>
  <c r="A33" i="10"/>
  <c r="A31" i="10"/>
  <c r="A37" i="10"/>
  <c r="A43" i="10"/>
  <c r="A41" i="10"/>
  <c r="A29" i="10"/>
  <c r="A35" i="10"/>
  <c r="A39" i="10"/>
  <c r="K35" i="2"/>
  <c r="K24" i="2"/>
  <c r="B40" i="2"/>
  <c r="B39" i="2"/>
  <c r="D42" i="1"/>
  <c r="S102" i="3" l="1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Y102" i="3"/>
  <c r="X102" i="3"/>
  <c r="Y101" i="3"/>
  <c r="X101" i="3"/>
  <c r="Y100" i="3"/>
  <c r="X100" i="3"/>
  <c r="Y99" i="3"/>
  <c r="X99" i="3"/>
  <c r="Y98" i="3"/>
  <c r="X98" i="3"/>
  <c r="Y97" i="3"/>
  <c r="X97" i="3"/>
  <c r="Y96" i="3"/>
  <c r="X96" i="3"/>
  <c r="Y95" i="3"/>
  <c r="X95" i="3"/>
  <c r="Y94" i="3"/>
  <c r="X94" i="3"/>
  <c r="Y93" i="3"/>
  <c r="X93" i="3"/>
  <c r="Y92" i="3"/>
  <c r="X92" i="3"/>
  <c r="Y91" i="3"/>
  <c r="X91" i="3"/>
  <c r="Y90" i="3"/>
  <c r="X90" i="3"/>
  <c r="Y89" i="3"/>
  <c r="X89" i="3"/>
  <c r="Y88" i="3"/>
  <c r="X88" i="3"/>
  <c r="Y87" i="3"/>
  <c r="X87" i="3"/>
  <c r="Y86" i="3"/>
  <c r="X86" i="3"/>
  <c r="Y85" i="3"/>
  <c r="X85" i="3"/>
  <c r="Y84" i="3"/>
  <c r="X84" i="3"/>
  <c r="Y83" i="3"/>
  <c r="X83" i="3"/>
  <c r="Y82" i="3"/>
  <c r="X82" i="3"/>
  <c r="Y81" i="3"/>
  <c r="X81" i="3"/>
  <c r="Y80" i="3"/>
  <c r="X80" i="3"/>
  <c r="Y79" i="3"/>
  <c r="X79" i="3"/>
  <c r="Y78" i="3"/>
  <c r="X78" i="3"/>
  <c r="Y77" i="3"/>
  <c r="X77" i="3"/>
  <c r="Y76" i="3"/>
  <c r="X76" i="3"/>
  <c r="Y75" i="3"/>
  <c r="X75" i="3"/>
  <c r="Y74" i="3"/>
  <c r="X74" i="3"/>
  <c r="Y73" i="3"/>
  <c r="X73" i="3"/>
  <c r="Y72" i="3"/>
  <c r="X72" i="3"/>
  <c r="Y71" i="3"/>
  <c r="X71" i="3"/>
  <c r="Y70" i="3"/>
  <c r="X70" i="3"/>
  <c r="Y69" i="3"/>
  <c r="X69" i="3"/>
  <c r="Y68" i="3"/>
  <c r="X68" i="3"/>
  <c r="Y67" i="3"/>
  <c r="X67" i="3"/>
  <c r="Y66" i="3"/>
  <c r="X66" i="3"/>
  <c r="Y65" i="3"/>
  <c r="X65" i="3"/>
  <c r="Y64" i="3"/>
  <c r="X64" i="3"/>
  <c r="Y63" i="3"/>
  <c r="X63" i="3"/>
  <c r="Y62" i="3"/>
  <c r="X62" i="3"/>
  <c r="Y61" i="3"/>
  <c r="X61" i="3"/>
  <c r="Y60" i="3"/>
  <c r="X60" i="3"/>
  <c r="Y59" i="3"/>
  <c r="X59" i="3"/>
  <c r="Y58" i="3"/>
  <c r="X58" i="3"/>
  <c r="Y57" i="3"/>
  <c r="X57" i="3"/>
  <c r="Y56" i="3"/>
  <c r="X56" i="3"/>
  <c r="Y55" i="3"/>
  <c r="X55" i="3"/>
  <c r="Y54" i="3"/>
  <c r="X54" i="3"/>
  <c r="Y53" i="3"/>
  <c r="X53" i="3"/>
  <c r="Y52" i="3"/>
  <c r="X52" i="3"/>
  <c r="Y51" i="3"/>
  <c r="X51" i="3"/>
  <c r="Y50" i="3"/>
  <c r="X50" i="3"/>
  <c r="Y49" i="3"/>
  <c r="X49" i="3"/>
  <c r="Y48" i="3"/>
  <c r="X48" i="3"/>
  <c r="Y47" i="3"/>
  <c r="X47" i="3"/>
  <c r="Y46" i="3"/>
  <c r="X46" i="3"/>
  <c r="Y45" i="3"/>
  <c r="X45" i="3"/>
  <c r="Y44" i="3"/>
  <c r="X44" i="3"/>
  <c r="Y43" i="3"/>
  <c r="X43" i="3"/>
  <c r="Y42" i="3"/>
  <c r="X42" i="3"/>
  <c r="Y41" i="3"/>
  <c r="X41" i="3"/>
  <c r="Y40" i="3"/>
  <c r="X40" i="3"/>
  <c r="Y39" i="3"/>
  <c r="X39" i="3"/>
  <c r="Y38" i="3"/>
  <c r="X38" i="3"/>
  <c r="Y37" i="3"/>
  <c r="X37" i="3"/>
  <c r="Y36" i="3"/>
  <c r="X36" i="3"/>
  <c r="Y35" i="3"/>
  <c r="X35" i="3"/>
  <c r="Y34" i="3"/>
  <c r="X34" i="3"/>
  <c r="Y33" i="3"/>
  <c r="X33" i="3"/>
  <c r="Y32" i="3"/>
  <c r="X32" i="3"/>
  <c r="Y31" i="3"/>
  <c r="X31" i="3"/>
  <c r="Y30" i="3"/>
  <c r="X30" i="3"/>
  <c r="Y29" i="3"/>
  <c r="X29" i="3"/>
  <c r="Y28" i="3"/>
  <c r="X28" i="3"/>
  <c r="Y27" i="3"/>
  <c r="X27" i="3"/>
  <c r="Y26" i="3"/>
  <c r="X26" i="3"/>
  <c r="Y25" i="3"/>
  <c r="X25" i="3"/>
  <c r="Y24" i="3"/>
  <c r="X24" i="3"/>
  <c r="Y23" i="3"/>
  <c r="X23" i="3"/>
  <c r="Y22" i="3"/>
  <c r="X22" i="3"/>
  <c r="Y21" i="3"/>
  <c r="X21" i="3"/>
  <c r="Y20" i="3"/>
  <c r="X20" i="3"/>
  <c r="Y19" i="3"/>
  <c r="X19" i="3"/>
  <c r="Y18" i="3"/>
  <c r="X18" i="3"/>
  <c r="Y17" i="3"/>
  <c r="X17" i="3"/>
  <c r="Y16" i="3"/>
  <c r="X16" i="3"/>
  <c r="Y15" i="3"/>
  <c r="X15" i="3"/>
  <c r="Y14" i="3"/>
  <c r="X14" i="3"/>
  <c r="Y13" i="3"/>
  <c r="X13" i="3"/>
  <c r="Y12" i="3"/>
  <c r="X12" i="3"/>
  <c r="Y11" i="3"/>
  <c r="X11" i="3"/>
  <c r="Y10" i="3"/>
  <c r="X10" i="3"/>
  <c r="Y9" i="3"/>
  <c r="X9" i="3"/>
  <c r="Y8" i="3"/>
  <c r="X8" i="3"/>
  <c r="Y7" i="3"/>
  <c r="X7" i="3"/>
  <c r="Y6" i="3"/>
  <c r="X6" i="3"/>
  <c r="Y5" i="3"/>
  <c r="X5" i="3"/>
  <c r="Y4" i="3"/>
  <c r="X4" i="3"/>
  <c r="K18" i="2" l="1"/>
  <c r="K21" i="2"/>
  <c r="K15" i="2"/>
  <c r="K12" i="2"/>
  <c r="B36" i="2" l="1"/>
  <c r="A3" i="2"/>
  <c r="A14" i="2"/>
  <c r="C12" i="2"/>
  <c r="C11" i="2"/>
  <c r="C10" i="2"/>
  <c r="C9" i="2"/>
  <c r="C8" i="2"/>
  <c r="C7" i="2"/>
  <c r="C6" i="2"/>
  <c r="C5" i="2"/>
  <c r="C4" i="2"/>
  <c r="B12" i="2"/>
  <c r="B11" i="2"/>
  <c r="B10" i="2"/>
  <c r="B9" i="2"/>
  <c r="B8" i="2"/>
  <c r="B7" i="2"/>
  <c r="B6" i="2"/>
  <c r="B5" i="2"/>
  <c r="B4" i="2"/>
  <c r="F24" i="1"/>
  <c r="F25" i="1" s="1"/>
  <c r="H29" i="1"/>
  <c r="H30" i="1" s="1"/>
  <c r="I8" i="2" l="1"/>
  <c r="I4" i="2"/>
  <c r="I7" i="2"/>
  <c r="I5" i="2"/>
  <c r="I10" i="2"/>
  <c r="I11" i="2"/>
  <c r="I6" i="2"/>
  <c r="I9" i="2"/>
  <c r="I12" i="2"/>
  <c r="C14" i="1"/>
  <c r="C16" i="1"/>
  <c r="F12" i="7"/>
  <c r="E12" i="7"/>
  <c r="F11" i="7"/>
  <c r="E11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8" i="7"/>
  <c r="E18" i="7"/>
  <c r="F17" i="7"/>
  <c r="E17" i="7"/>
  <c r="F16" i="7"/>
  <c r="E16" i="7"/>
  <c r="F15" i="7"/>
  <c r="E15" i="7"/>
  <c r="F14" i="7"/>
  <c r="E14" i="7"/>
  <c r="F13" i="7"/>
  <c r="E13" i="7"/>
  <c r="E2" i="7"/>
  <c r="G17" i="7" l="1"/>
  <c r="G11" i="7"/>
  <c r="G23" i="7"/>
  <c r="G29" i="7"/>
  <c r="G12" i="7"/>
  <c r="G15" i="7"/>
  <c r="G21" i="7"/>
  <c r="G27" i="7"/>
  <c r="G30" i="7"/>
  <c r="G33" i="7"/>
  <c r="G13" i="7"/>
  <c r="G25" i="7"/>
  <c r="G31" i="7"/>
  <c r="G34" i="7"/>
  <c r="G32" i="7"/>
  <c r="G20" i="7"/>
  <c r="G28" i="7"/>
  <c r="G16" i="7"/>
  <c r="G24" i="7"/>
  <c r="G18" i="7"/>
  <c r="G22" i="7"/>
  <c r="G26" i="7"/>
  <c r="G14" i="7"/>
  <c r="A8" i="2" l="1"/>
  <c r="A25" i="2"/>
  <c r="A34" i="2" s="1"/>
  <c r="A16" i="2"/>
  <c r="A11" i="2" l="1"/>
  <c r="A4" i="2"/>
  <c r="A5" i="2"/>
  <c r="A6" i="2"/>
  <c r="A7" i="2"/>
  <c r="A12" i="2"/>
  <c r="A27" i="2"/>
  <c r="A28" i="2"/>
  <c r="A29" i="2"/>
  <c r="A30" i="2"/>
  <c r="A31" i="2"/>
  <c r="A32" i="2"/>
  <c r="A33" i="2"/>
  <c r="A26" i="2"/>
  <c r="A17" i="2"/>
  <c r="A18" i="2"/>
  <c r="A19" i="2"/>
  <c r="A20" i="2"/>
  <c r="A21" i="2"/>
  <c r="A22" i="2"/>
  <c r="A15" i="2"/>
  <c r="A23" i="2"/>
  <c r="A9" i="2"/>
  <c r="A10" i="2"/>
  <c r="E8" i="7"/>
  <c r="F8" i="7"/>
  <c r="E9" i="7"/>
  <c r="F9" i="7"/>
  <c r="E10" i="7"/>
  <c r="F10" i="7"/>
  <c r="E7" i="7"/>
  <c r="E6" i="7"/>
  <c r="E5" i="7"/>
  <c r="E4" i="7"/>
  <c r="E3" i="7"/>
  <c r="F7" i="7"/>
  <c r="U99" i="6"/>
  <c r="U98" i="6"/>
  <c r="U97" i="6"/>
  <c r="U96" i="6"/>
  <c r="U95" i="6"/>
  <c r="U94" i="6"/>
  <c r="U93" i="6"/>
  <c r="U92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Y100" i="6"/>
  <c r="Z100" i="6"/>
  <c r="T99" i="6"/>
  <c r="AJ99" i="6" s="1"/>
  <c r="S99" i="6"/>
  <c r="AI99" i="6" s="1"/>
  <c r="R99" i="6"/>
  <c r="AH99" i="6" s="1"/>
  <c r="Q99" i="6"/>
  <c r="AG99" i="6" s="1"/>
  <c r="P99" i="6"/>
  <c r="AF99" i="6" s="1"/>
  <c r="O99" i="6"/>
  <c r="Y99" i="6" s="1"/>
  <c r="N99" i="6"/>
  <c r="AD99" i="6" s="1"/>
  <c r="M99" i="6"/>
  <c r="AC99" i="6" s="1"/>
  <c r="L99" i="6"/>
  <c r="AB99" i="6" s="1"/>
  <c r="T98" i="6"/>
  <c r="AJ98" i="6" s="1"/>
  <c r="S98" i="6"/>
  <c r="AI98" i="6" s="1"/>
  <c r="R98" i="6"/>
  <c r="AH98" i="6" s="1"/>
  <c r="Q98" i="6"/>
  <c r="AG98" i="6" s="1"/>
  <c r="P98" i="6"/>
  <c r="AF98" i="6" s="1"/>
  <c r="O98" i="6"/>
  <c r="AE98" i="6" s="1"/>
  <c r="N98" i="6"/>
  <c r="AD98" i="6" s="1"/>
  <c r="M98" i="6"/>
  <c r="AC98" i="6" s="1"/>
  <c r="L98" i="6"/>
  <c r="AB98" i="6" s="1"/>
  <c r="T97" i="6"/>
  <c r="AJ97" i="6" s="1"/>
  <c r="S97" i="6"/>
  <c r="AI97" i="6" s="1"/>
  <c r="R97" i="6"/>
  <c r="AH97" i="6" s="1"/>
  <c r="Q97" i="6"/>
  <c r="AG97" i="6" s="1"/>
  <c r="P97" i="6"/>
  <c r="AF97" i="6" s="1"/>
  <c r="O97" i="6"/>
  <c r="AE97" i="6" s="1"/>
  <c r="N97" i="6"/>
  <c r="M97" i="6"/>
  <c r="AC97" i="6" s="1"/>
  <c r="L97" i="6"/>
  <c r="AB97" i="6" s="1"/>
  <c r="T96" i="6"/>
  <c r="AJ96" i="6" s="1"/>
  <c r="S96" i="6"/>
  <c r="AI96" i="6" s="1"/>
  <c r="R96" i="6"/>
  <c r="AH96" i="6" s="1"/>
  <c r="Q96" i="6"/>
  <c r="AG96" i="6" s="1"/>
  <c r="P96" i="6"/>
  <c r="AF96" i="6" s="1"/>
  <c r="O96" i="6"/>
  <c r="Y96" i="6" s="1"/>
  <c r="N96" i="6"/>
  <c r="AD96" i="6" s="1"/>
  <c r="M96" i="6"/>
  <c r="AC96" i="6" s="1"/>
  <c r="L96" i="6"/>
  <c r="AB96" i="6" s="1"/>
  <c r="T95" i="6"/>
  <c r="AJ95" i="6" s="1"/>
  <c r="S95" i="6"/>
  <c r="AI95" i="6" s="1"/>
  <c r="R95" i="6"/>
  <c r="AH95" i="6" s="1"/>
  <c r="Q95" i="6"/>
  <c r="AG95" i="6" s="1"/>
  <c r="P95" i="6"/>
  <c r="AF95" i="6" s="1"/>
  <c r="O95" i="6"/>
  <c r="Y95" i="6" s="1"/>
  <c r="N95" i="6"/>
  <c r="AD95" i="6" s="1"/>
  <c r="M95" i="6"/>
  <c r="AC95" i="6" s="1"/>
  <c r="L95" i="6"/>
  <c r="AB95" i="6" s="1"/>
  <c r="T94" i="6"/>
  <c r="AJ94" i="6" s="1"/>
  <c r="S94" i="6"/>
  <c r="AI94" i="6" s="1"/>
  <c r="R94" i="6"/>
  <c r="AH94" i="6" s="1"/>
  <c r="Q94" i="6"/>
  <c r="AG94" i="6" s="1"/>
  <c r="P94" i="6"/>
  <c r="AF94" i="6" s="1"/>
  <c r="O94" i="6"/>
  <c r="Y94" i="6" s="1"/>
  <c r="N94" i="6"/>
  <c r="M94" i="6"/>
  <c r="AC94" i="6" s="1"/>
  <c r="L94" i="6"/>
  <c r="AB94" i="6" s="1"/>
  <c r="T93" i="6"/>
  <c r="AJ93" i="6" s="1"/>
  <c r="S93" i="6"/>
  <c r="AI93" i="6" s="1"/>
  <c r="R93" i="6"/>
  <c r="AH93" i="6" s="1"/>
  <c r="Q93" i="6"/>
  <c r="AG93" i="6" s="1"/>
  <c r="P93" i="6"/>
  <c r="AF93" i="6" s="1"/>
  <c r="O93" i="6"/>
  <c r="AE93" i="6" s="1"/>
  <c r="N93" i="6"/>
  <c r="M93" i="6"/>
  <c r="AC93" i="6" s="1"/>
  <c r="L93" i="6"/>
  <c r="AB93" i="6" s="1"/>
  <c r="T92" i="6"/>
  <c r="AJ92" i="6" s="1"/>
  <c r="S92" i="6"/>
  <c r="AI92" i="6" s="1"/>
  <c r="R92" i="6"/>
  <c r="AH92" i="6" s="1"/>
  <c r="Q92" i="6"/>
  <c r="AG92" i="6" s="1"/>
  <c r="P92" i="6"/>
  <c r="AF92" i="6" s="1"/>
  <c r="O92" i="6"/>
  <c r="Y92" i="6" s="1"/>
  <c r="N92" i="6"/>
  <c r="M92" i="6"/>
  <c r="AC92" i="6" s="1"/>
  <c r="L92" i="6"/>
  <c r="AB92" i="6" s="1"/>
  <c r="Y91" i="6"/>
  <c r="Z91" i="6"/>
  <c r="T90" i="6"/>
  <c r="AJ90" i="6" s="1"/>
  <c r="S90" i="6"/>
  <c r="AI90" i="6" s="1"/>
  <c r="R90" i="6"/>
  <c r="AH90" i="6" s="1"/>
  <c r="Q90" i="6"/>
  <c r="AG90" i="6" s="1"/>
  <c r="P90" i="6"/>
  <c r="AF90" i="6" s="1"/>
  <c r="O90" i="6"/>
  <c r="AE90" i="6" s="1"/>
  <c r="N90" i="6"/>
  <c r="M90" i="6"/>
  <c r="AC90" i="6" s="1"/>
  <c r="L90" i="6"/>
  <c r="AB90" i="6" s="1"/>
  <c r="T89" i="6"/>
  <c r="AJ89" i="6" s="1"/>
  <c r="S89" i="6"/>
  <c r="AI89" i="6" s="1"/>
  <c r="R89" i="6"/>
  <c r="AH89" i="6" s="1"/>
  <c r="Q89" i="6"/>
  <c r="AG89" i="6" s="1"/>
  <c r="P89" i="6"/>
  <c r="AF89" i="6" s="1"/>
  <c r="O89" i="6"/>
  <c r="AE89" i="6" s="1"/>
  <c r="N89" i="6"/>
  <c r="M89" i="6"/>
  <c r="AC89" i="6" s="1"/>
  <c r="L89" i="6"/>
  <c r="AB89" i="6" s="1"/>
  <c r="T88" i="6"/>
  <c r="AJ88" i="6" s="1"/>
  <c r="S88" i="6"/>
  <c r="AI88" i="6" s="1"/>
  <c r="R88" i="6"/>
  <c r="AH88" i="6" s="1"/>
  <c r="Q88" i="6"/>
  <c r="AG88" i="6" s="1"/>
  <c r="P88" i="6"/>
  <c r="AF88" i="6" s="1"/>
  <c r="O88" i="6"/>
  <c r="N88" i="6"/>
  <c r="AD88" i="6" s="1"/>
  <c r="M88" i="6"/>
  <c r="AC88" i="6" s="1"/>
  <c r="L88" i="6"/>
  <c r="AB88" i="6" s="1"/>
  <c r="T87" i="6"/>
  <c r="AJ87" i="6" s="1"/>
  <c r="S87" i="6"/>
  <c r="AI87" i="6" s="1"/>
  <c r="R87" i="6"/>
  <c r="AH87" i="6" s="1"/>
  <c r="Q87" i="6"/>
  <c r="AG87" i="6" s="1"/>
  <c r="P87" i="6"/>
  <c r="AF87" i="6" s="1"/>
  <c r="O87" i="6"/>
  <c r="AE87" i="6" s="1"/>
  <c r="N87" i="6"/>
  <c r="AD87" i="6" s="1"/>
  <c r="M87" i="6"/>
  <c r="AC87" i="6" s="1"/>
  <c r="L87" i="6"/>
  <c r="AB87" i="6" s="1"/>
  <c r="T86" i="6"/>
  <c r="AJ86" i="6" s="1"/>
  <c r="S86" i="6"/>
  <c r="AI86" i="6" s="1"/>
  <c r="R86" i="6"/>
  <c r="AH86" i="6" s="1"/>
  <c r="Q86" i="6"/>
  <c r="AG86" i="6" s="1"/>
  <c r="P86" i="6"/>
  <c r="AF86" i="6" s="1"/>
  <c r="O86" i="6"/>
  <c r="AE86" i="6" s="1"/>
  <c r="N86" i="6"/>
  <c r="AD86" i="6" s="1"/>
  <c r="M86" i="6"/>
  <c r="AC86" i="6" s="1"/>
  <c r="L86" i="6"/>
  <c r="AB86" i="6" s="1"/>
  <c r="T85" i="6"/>
  <c r="AJ85" i="6" s="1"/>
  <c r="S85" i="6"/>
  <c r="AI85" i="6" s="1"/>
  <c r="R85" i="6"/>
  <c r="AH85" i="6" s="1"/>
  <c r="Q85" i="6"/>
  <c r="AG85" i="6" s="1"/>
  <c r="P85" i="6"/>
  <c r="AF85" i="6" s="1"/>
  <c r="O85" i="6"/>
  <c r="AE85" i="6" s="1"/>
  <c r="N85" i="6"/>
  <c r="M85" i="6"/>
  <c r="AC85" i="6" s="1"/>
  <c r="L85" i="6"/>
  <c r="AB85" i="6" s="1"/>
  <c r="T84" i="6"/>
  <c r="AJ84" i="6" s="1"/>
  <c r="S84" i="6"/>
  <c r="AI84" i="6" s="1"/>
  <c r="R84" i="6"/>
  <c r="AH84" i="6" s="1"/>
  <c r="Q84" i="6"/>
  <c r="AG84" i="6" s="1"/>
  <c r="P84" i="6"/>
  <c r="AF84" i="6" s="1"/>
  <c r="O84" i="6"/>
  <c r="Y84" i="6" s="1"/>
  <c r="N84" i="6"/>
  <c r="M84" i="6"/>
  <c r="AC84" i="6" s="1"/>
  <c r="L84" i="6"/>
  <c r="AB84" i="6" s="1"/>
  <c r="T83" i="6"/>
  <c r="AJ83" i="6" s="1"/>
  <c r="S83" i="6"/>
  <c r="AI83" i="6" s="1"/>
  <c r="R83" i="6"/>
  <c r="AH83" i="6" s="1"/>
  <c r="Q83" i="6"/>
  <c r="AG83" i="6" s="1"/>
  <c r="P83" i="6"/>
  <c r="AF83" i="6" s="1"/>
  <c r="O83" i="6"/>
  <c r="AE83" i="6" s="1"/>
  <c r="N83" i="6"/>
  <c r="M83" i="6"/>
  <c r="AC83" i="6" s="1"/>
  <c r="L83" i="6"/>
  <c r="AB83" i="6" s="1"/>
  <c r="T82" i="6"/>
  <c r="AJ82" i="6" s="1"/>
  <c r="S82" i="6"/>
  <c r="AI82" i="6" s="1"/>
  <c r="R82" i="6"/>
  <c r="AH82" i="6" s="1"/>
  <c r="Q82" i="6"/>
  <c r="AG82" i="6" s="1"/>
  <c r="P82" i="6"/>
  <c r="AF82" i="6" s="1"/>
  <c r="O82" i="6"/>
  <c r="AE82" i="6" s="1"/>
  <c r="N82" i="6"/>
  <c r="AD82" i="6" s="1"/>
  <c r="M82" i="6"/>
  <c r="AC82" i="6" s="1"/>
  <c r="L82" i="6"/>
  <c r="AB82" i="6" s="1"/>
  <c r="T81" i="6"/>
  <c r="AJ81" i="6" s="1"/>
  <c r="S81" i="6"/>
  <c r="AI81" i="6" s="1"/>
  <c r="R81" i="6"/>
  <c r="AH81" i="6" s="1"/>
  <c r="Q81" i="6"/>
  <c r="AG81" i="6" s="1"/>
  <c r="P81" i="6"/>
  <c r="AF81" i="6" s="1"/>
  <c r="O81" i="6"/>
  <c r="AE81" i="6" s="1"/>
  <c r="N81" i="6"/>
  <c r="AD81" i="6" s="1"/>
  <c r="M81" i="6"/>
  <c r="AC81" i="6" s="1"/>
  <c r="L81" i="6"/>
  <c r="AB81" i="6" s="1"/>
  <c r="T80" i="6"/>
  <c r="AJ80" i="6" s="1"/>
  <c r="S80" i="6"/>
  <c r="AI80" i="6" s="1"/>
  <c r="R80" i="6"/>
  <c r="AH80" i="6" s="1"/>
  <c r="Q80" i="6"/>
  <c r="AG80" i="6" s="1"/>
  <c r="P80" i="6"/>
  <c r="AF80" i="6" s="1"/>
  <c r="O80" i="6"/>
  <c r="Y80" i="6" s="1"/>
  <c r="N80" i="6"/>
  <c r="M80" i="6"/>
  <c r="AC80" i="6" s="1"/>
  <c r="L80" i="6"/>
  <c r="AB80" i="6" s="1"/>
  <c r="T79" i="6"/>
  <c r="AJ79" i="6" s="1"/>
  <c r="S79" i="6"/>
  <c r="AI79" i="6" s="1"/>
  <c r="R79" i="6"/>
  <c r="AH79" i="6" s="1"/>
  <c r="Q79" i="6"/>
  <c r="AG79" i="6" s="1"/>
  <c r="P79" i="6"/>
  <c r="AF79" i="6" s="1"/>
  <c r="O79" i="6"/>
  <c r="AE79" i="6" s="1"/>
  <c r="N79" i="6"/>
  <c r="AD79" i="6" s="1"/>
  <c r="M79" i="6"/>
  <c r="AC79" i="6" s="1"/>
  <c r="L79" i="6"/>
  <c r="AB79" i="6" s="1"/>
  <c r="T78" i="6"/>
  <c r="AJ78" i="6" s="1"/>
  <c r="S78" i="6"/>
  <c r="AI78" i="6" s="1"/>
  <c r="R78" i="6"/>
  <c r="AH78" i="6" s="1"/>
  <c r="Q78" i="6"/>
  <c r="AG78" i="6" s="1"/>
  <c r="P78" i="6"/>
  <c r="AF78" i="6" s="1"/>
  <c r="O78" i="6"/>
  <c r="Y78" i="6" s="1"/>
  <c r="N78" i="6"/>
  <c r="AD78" i="6" s="1"/>
  <c r="M78" i="6"/>
  <c r="AC78" i="6" s="1"/>
  <c r="L78" i="6"/>
  <c r="AB78" i="6" s="1"/>
  <c r="T77" i="6"/>
  <c r="AJ77" i="6" s="1"/>
  <c r="S77" i="6"/>
  <c r="AI77" i="6" s="1"/>
  <c r="R77" i="6"/>
  <c r="AH77" i="6" s="1"/>
  <c r="Q77" i="6"/>
  <c r="AG77" i="6" s="1"/>
  <c r="P77" i="6"/>
  <c r="AF77" i="6" s="1"/>
  <c r="O77" i="6"/>
  <c r="AE77" i="6" s="1"/>
  <c r="N77" i="6"/>
  <c r="M77" i="6"/>
  <c r="AC77" i="6" s="1"/>
  <c r="L77" i="6"/>
  <c r="AB77" i="6" s="1"/>
  <c r="AG76" i="6"/>
  <c r="T76" i="6"/>
  <c r="AJ76" i="6" s="1"/>
  <c r="AI76" i="6"/>
  <c r="R76" i="6"/>
  <c r="AH76" i="6" s="1"/>
  <c r="P76" i="6"/>
  <c r="AF76" i="6" s="1"/>
  <c r="N76" i="6"/>
  <c r="AD76" i="6" s="1"/>
  <c r="AC76" i="6"/>
  <c r="AB76" i="6"/>
  <c r="T75" i="6"/>
  <c r="AJ75" i="6" s="1"/>
  <c r="S75" i="6"/>
  <c r="AI75" i="6" s="1"/>
  <c r="R75" i="6"/>
  <c r="AH75" i="6" s="1"/>
  <c r="Q75" i="6"/>
  <c r="AG75" i="6" s="1"/>
  <c r="P75" i="6"/>
  <c r="AF75" i="6" s="1"/>
  <c r="O75" i="6"/>
  <c r="Y75" i="6" s="1"/>
  <c r="N75" i="6"/>
  <c r="AD75" i="6" s="1"/>
  <c r="M75" i="6"/>
  <c r="AC75" i="6" s="1"/>
  <c r="L75" i="6"/>
  <c r="AB75" i="6" s="1"/>
  <c r="T74" i="6"/>
  <c r="AJ74" i="6" s="1"/>
  <c r="S74" i="6"/>
  <c r="AI74" i="6" s="1"/>
  <c r="R74" i="6"/>
  <c r="AH74" i="6" s="1"/>
  <c r="Q74" i="6"/>
  <c r="AG74" i="6" s="1"/>
  <c r="P74" i="6"/>
  <c r="AF74" i="6" s="1"/>
  <c r="O74" i="6"/>
  <c r="AE74" i="6" s="1"/>
  <c r="N74" i="6"/>
  <c r="AD74" i="6" s="1"/>
  <c r="M74" i="6"/>
  <c r="AC74" i="6" s="1"/>
  <c r="L74" i="6"/>
  <c r="AB74" i="6" s="1"/>
  <c r="T73" i="6"/>
  <c r="AJ73" i="6" s="1"/>
  <c r="S73" i="6"/>
  <c r="AI73" i="6" s="1"/>
  <c r="R73" i="6"/>
  <c r="AH73" i="6" s="1"/>
  <c r="Q73" i="6"/>
  <c r="AG73" i="6" s="1"/>
  <c r="P73" i="6"/>
  <c r="AF73" i="6" s="1"/>
  <c r="O73" i="6"/>
  <c r="AE73" i="6" s="1"/>
  <c r="N73" i="6"/>
  <c r="AD73" i="6" s="1"/>
  <c r="M73" i="6"/>
  <c r="AC73" i="6" s="1"/>
  <c r="L73" i="6"/>
  <c r="AB73" i="6" s="1"/>
  <c r="T72" i="6"/>
  <c r="AJ72" i="6" s="1"/>
  <c r="S72" i="6"/>
  <c r="AI72" i="6" s="1"/>
  <c r="R72" i="6"/>
  <c r="AH72" i="6" s="1"/>
  <c r="Q72" i="6"/>
  <c r="AG72" i="6" s="1"/>
  <c r="P72" i="6"/>
  <c r="AF72" i="6" s="1"/>
  <c r="O72" i="6"/>
  <c r="Y72" i="6" s="1"/>
  <c r="N72" i="6"/>
  <c r="M72" i="6"/>
  <c r="AC72" i="6" s="1"/>
  <c r="L72" i="6"/>
  <c r="AB72" i="6" s="1"/>
  <c r="T71" i="6"/>
  <c r="AJ71" i="6" s="1"/>
  <c r="S71" i="6"/>
  <c r="AI71" i="6" s="1"/>
  <c r="R71" i="6"/>
  <c r="AH71" i="6" s="1"/>
  <c r="Q71" i="6"/>
  <c r="AG71" i="6" s="1"/>
  <c r="P71" i="6"/>
  <c r="AF71" i="6" s="1"/>
  <c r="O71" i="6"/>
  <c r="AE71" i="6" s="1"/>
  <c r="N71" i="6"/>
  <c r="AD71" i="6" s="1"/>
  <c r="M71" i="6"/>
  <c r="AC71" i="6" s="1"/>
  <c r="L71" i="6"/>
  <c r="AB71" i="6" s="1"/>
  <c r="T70" i="6"/>
  <c r="AJ70" i="6" s="1"/>
  <c r="S70" i="6"/>
  <c r="AI70" i="6" s="1"/>
  <c r="R70" i="6"/>
  <c r="AH70" i="6" s="1"/>
  <c r="Q70" i="6"/>
  <c r="AG70" i="6" s="1"/>
  <c r="P70" i="6"/>
  <c r="AF70" i="6" s="1"/>
  <c r="O70" i="6"/>
  <c r="Y70" i="6" s="1"/>
  <c r="N70" i="6"/>
  <c r="AD70" i="6" s="1"/>
  <c r="M70" i="6"/>
  <c r="AC70" i="6" s="1"/>
  <c r="L70" i="6"/>
  <c r="AB70" i="6" s="1"/>
  <c r="T69" i="6"/>
  <c r="AJ69" i="6" s="1"/>
  <c r="S69" i="6"/>
  <c r="AI69" i="6" s="1"/>
  <c r="R69" i="6"/>
  <c r="AH69" i="6" s="1"/>
  <c r="Q69" i="6"/>
  <c r="AG69" i="6" s="1"/>
  <c r="P69" i="6"/>
  <c r="AF69" i="6" s="1"/>
  <c r="O69" i="6"/>
  <c r="AE69" i="6" s="1"/>
  <c r="N69" i="6"/>
  <c r="AD69" i="6" s="1"/>
  <c r="M69" i="6"/>
  <c r="AC69" i="6" s="1"/>
  <c r="L69" i="6"/>
  <c r="AB69" i="6" s="1"/>
  <c r="T68" i="6"/>
  <c r="AJ68" i="6" s="1"/>
  <c r="S68" i="6"/>
  <c r="AI68" i="6" s="1"/>
  <c r="R68" i="6"/>
  <c r="AH68" i="6" s="1"/>
  <c r="Q68" i="6"/>
  <c r="AG68" i="6" s="1"/>
  <c r="P68" i="6"/>
  <c r="AF68" i="6" s="1"/>
  <c r="O68" i="6"/>
  <c r="Y68" i="6" s="1"/>
  <c r="N68" i="6"/>
  <c r="AD68" i="6" s="1"/>
  <c r="M68" i="6"/>
  <c r="AC68" i="6" s="1"/>
  <c r="L68" i="6"/>
  <c r="AB68" i="6" s="1"/>
  <c r="T67" i="6"/>
  <c r="AJ67" i="6" s="1"/>
  <c r="S67" i="6"/>
  <c r="AI67" i="6" s="1"/>
  <c r="R67" i="6"/>
  <c r="AH67" i="6" s="1"/>
  <c r="Q67" i="6"/>
  <c r="AG67" i="6" s="1"/>
  <c r="P67" i="6"/>
  <c r="AF67" i="6" s="1"/>
  <c r="O67" i="6"/>
  <c r="Y67" i="6" s="1"/>
  <c r="N67" i="6"/>
  <c r="M67" i="6"/>
  <c r="AC67" i="6" s="1"/>
  <c r="L67" i="6"/>
  <c r="AB67" i="6" s="1"/>
  <c r="T66" i="6"/>
  <c r="AJ66" i="6" s="1"/>
  <c r="S66" i="6"/>
  <c r="AI66" i="6" s="1"/>
  <c r="R66" i="6"/>
  <c r="AH66" i="6" s="1"/>
  <c r="Q66" i="6"/>
  <c r="AG66" i="6" s="1"/>
  <c r="P66" i="6"/>
  <c r="AF66" i="6" s="1"/>
  <c r="O66" i="6"/>
  <c r="AE66" i="6" s="1"/>
  <c r="N66" i="6"/>
  <c r="AD66" i="6" s="1"/>
  <c r="M66" i="6"/>
  <c r="AC66" i="6" s="1"/>
  <c r="L66" i="6"/>
  <c r="AB66" i="6" s="1"/>
  <c r="T65" i="6"/>
  <c r="AJ65" i="6" s="1"/>
  <c r="S65" i="6"/>
  <c r="AI65" i="6" s="1"/>
  <c r="R65" i="6"/>
  <c r="AH65" i="6" s="1"/>
  <c r="Q65" i="6"/>
  <c r="AG65" i="6" s="1"/>
  <c r="P65" i="6"/>
  <c r="AF65" i="6" s="1"/>
  <c r="O65" i="6"/>
  <c r="Y65" i="6" s="1"/>
  <c r="N65" i="6"/>
  <c r="AD65" i="6" s="1"/>
  <c r="M65" i="6"/>
  <c r="AC65" i="6" s="1"/>
  <c r="L65" i="6"/>
  <c r="AB65" i="6" s="1"/>
  <c r="T64" i="6"/>
  <c r="AJ64" i="6" s="1"/>
  <c r="S64" i="6"/>
  <c r="AI64" i="6" s="1"/>
  <c r="R64" i="6"/>
  <c r="AH64" i="6" s="1"/>
  <c r="Q64" i="6"/>
  <c r="AG64" i="6" s="1"/>
  <c r="P64" i="6"/>
  <c r="AF64" i="6" s="1"/>
  <c r="O64" i="6"/>
  <c r="N64" i="6"/>
  <c r="AD64" i="6" s="1"/>
  <c r="M64" i="6"/>
  <c r="AC64" i="6" s="1"/>
  <c r="L64" i="6"/>
  <c r="AB64" i="6" s="1"/>
  <c r="T63" i="6"/>
  <c r="AJ63" i="6" s="1"/>
  <c r="S63" i="6"/>
  <c r="AI63" i="6" s="1"/>
  <c r="R63" i="6"/>
  <c r="AH63" i="6" s="1"/>
  <c r="Q63" i="6"/>
  <c r="AG63" i="6" s="1"/>
  <c r="P63" i="6"/>
  <c r="AF63" i="6" s="1"/>
  <c r="O63" i="6"/>
  <c r="Y63" i="6" s="1"/>
  <c r="N63" i="6"/>
  <c r="AD63" i="6" s="1"/>
  <c r="M63" i="6"/>
  <c r="AC63" i="6" s="1"/>
  <c r="L63" i="6"/>
  <c r="AB63" i="6" s="1"/>
  <c r="T62" i="6"/>
  <c r="AJ62" i="6" s="1"/>
  <c r="S62" i="6"/>
  <c r="AI62" i="6" s="1"/>
  <c r="R62" i="6"/>
  <c r="AH62" i="6" s="1"/>
  <c r="Q62" i="6"/>
  <c r="AG62" i="6" s="1"/>
  <c r="P62" i="6"/>
  <c r="AF62" i="6" s="1"/>
  <c r="O62" i="6"/>
  <c r="AE62" i="6" s="1"/>
  <c r="N62" i="6"/>
  <c r="AD62" i="6" s="1"/>
  <c r="M62" i="6"/>
  <c r="AC62" i="6" s="1"/>
  <c r="L62" i="6"/>
  <c r="AB62" i="6" s="1"/>
  <c r="T61" i="6"/>
  <c r="AJ61" i="6" s="1"/>
  <c r="S61" i="6"/>
  <c r="AI61" i="6" s="1"/>
  <c r="R61" i="6"/>
  <c r="AH61" i="6" s="1"/>
  <c r="Q61" i="6"/>
  <c r="AG61" i="6" s="1"/>
  <c r="P61" i="6"/>
  <c r="AF61" i="6" s="1"/>
  <c r="O61" i="6"/>
  <c r="AE61" i="6" s="1"/>
  <c r="N61" i="6"/>
  <c r="AD61" i="6" s="1"/>
  <c r="M61" i="6"/>
  <c r="AC61" i="6" s="1"/>
  <c r="L61" i="6"/>
  <c r="AB61" i="6" s="1"/>
  <c r="T60" i="6"/>
  <c r="AJ60" i="6" s="1"/>
  <c r="S60" i="6"/>
  <c r="AI60" i="6" s="1"/>
  <c r="R60" i="6"/>
  <c r="AH60" i="6" s="1"/>
  <c r="Q60" i="6"/>
  <c r="AG60" i="6" s="1"/>
  <c r="P60" i="6"/>
  <c r="AF60" i="6" s="1"/>
  <c r="O60" i="6"/>
  <c r="N60" i="6"/>
  <c r="AD60" i="6" s="1"/>
  <c r="M60" i="6"/>
  <c r="AC60" i="6" s="1"/>
  <c r="L60" i="6"/>
  <c r="AB60" i="6" s="1"/>
  <c r="T59" i="6"/>
  <c r="AJ59" i="6" s="1"/>
  <c r="S59" i="6"/>
  <c r="AI59" i="6" s="1"/>
  <c r="R59" i="6"/>
  <c r="AH59" i="6" s="1"/>
  <c r="Q59" i="6"/>
  <c r="AG59" i="6" s="1"/>
  <c r="P59" i="6"/>
  <c r="AF59" i="6" s="1"/>
  <c r="O59" i="6"/>
  <c r="Y59" i="6" s="1"/>
  <c r="N59" i="6"/>
  <c r="AD59" i="6" s="1"/>
  <c r="M59" i="6"/>
  <c r="AC59" i="6" s="1"/>
  <c r="L59" i="6"/>
  <c r="AB59" i="6" s="1"/>
  <c r="T58" i="6"/>
  <c r="AJ58" i="6" s="1"/>
  <c r="S58" i="6"/>
  <c r="AI58" i="6" s="1"/>
  <c r="R58" i="6"/>
  <c r="AH58" i="6" s="1"/>
  <c r="Q58" i="6"/>
  <c r="AG58" i="6" s="1"/>
  <c r="P58" i="6"/>
  <c r="AF58" i="6" s="1"/>
  <c r="O58" i="6"/>
  <c r="AE58" i="6" s="1"/>
  <c r="N58" i="6"/>
  <c r="AD58" i="6" s="1"/>
  <c r="M58" i="6"/>
  <c r="AC58" i="6" s="1"/>
  <c r="L58" i="6"/>
  <c r="AB58" i="6" s="1"/>
  <c r="T57" i="6"/>
  <c r="AJ57" i="6" s="1"/>
  <c r="S57" i="6"/>
  <c r="AI57" i="6" s="1"/>
  <c r="R57" i="6"/>
  <c r="AH57" i="6" s="1"/>
  <c r="Q57" i="6"/>
  <c r="AG57" i="6" s="1"/>
  <c r="P57" i="6"/>
  <c r="AF57" i="6" s="1"/>
  <c r="O57" i="6"/>
  <c r="AE57" i="6" s="1"/>
  <c r="N57" i="6"/>
  <c r="M57" i="6"/>
  <c r="AC57" i="6" s="1"/>
  <c r="L57" i="6"/>
  <c r="AB57" i="6" s="1"/>
  <c r="T56" i="6"/>
  <c r="AJ56" i="6" s="1"/>
  <c r="S56" i="6"/>
  <c r="AI56" i="6" s="1"/>
  <c r="R56" i="6"/>
  <c r="AH56" i="6" s="1"/>
  <c r="Q56" i="6"/>
  <c r="AG56" i="6" s="1"/>
  <c r="P56" i="6"/>
  <c r="AF56" i="6" s="1"/>
  <c r="O56" i="6"/>
  <c r="Y56" i="6" s="1"/>
  <c r="N56" i="6"/>
  <c r="M56" i="6"/>
  <c r="AC56" i="6" s="1"/>
  <c r="L56" i="6"/>
  <c r="AB56" i="6" s="1"/>
  <c r="T55" i="6"/>
  <c r="AJ55" i="6" s="1"/>
  <c r="S55" i="6"/>
  <c r="AI55" i="6" s="1"/>
  <c r="R55" i="6"/>
  <c r="AH55" i="6" s="1"/>
  <c r="Q55" i="6"/>
  <c r="AG55" i="6" s="1"/>
  <c r="P55" i="6"/>
  <c r="AF55" i="6" s="1"/>
  <c r="O55" i="6"/>
  <c r="AE55" i="6" s="1"/>
  <c r="N55" i="6"/>
  <c r="AD55" i="6" s="1"/>
  <c r="M55" i="6"/>
  <c r="AC55" i="6" s="1"/>
  <c r="L55" i="6"/>
  <c r="AB55" i="6" s="1"/>
  <c r="T54" i="6"/>
  <c r="AJ54" i="6" s="1"/>
  <c r="S54" i="6"/>
  <c r="AI54" i="6" s="1"/>
  <c r="R54" i="6"/>
  <c r="AH54" i="6" s="1"/>
  <c r="Q54" i="6"/>
  <c r="AG54" i="6" s="1"/>
  <c r="P54" i="6"/>
  <c r="AF54" i="6" s="1"/>
  <c r="O54" i="6"/>
  <c r="Y54" i="6" s="1"/>
  <c r="N54" i="6"/>
  <c r="AD54" i="6" s="1"/>
  <c r="M54" i="6"/>
  <c r="AC54" i="6" s="1"/>
  <c r="L54" i="6"/>
  <c r="AB54" i="6" s="1"/>
  <c r="T53" i="6"/>
  <c r="AJ53" i="6" s="1"/>
  <c r="S53" i="6"/>
  <c r="AI53" i="6" s="1"/>
  <c r="R53" i="6"/>
  <c r="AH53" i="6" s="1"/>
  <c r="Q53" i="6"/>
  <c r="AG53" i="6" s="1"/>
  <c r="P53" i="6"/>
  <c r="AF53" i="6" s="1"/>
  <c r="O53" i="6"/>
  <c r="AE53" i="6" s="1"/>
  <c r="N53" i="6"/>
  <c r="M53" i="6"/>
  <c r="AC53" i="6" s="1"/>
  <c r="L53" i="6"/>
  <c r="AB53" i="6" s="1"/>
  <c r="T52" i="6"/>
  <c r="AJ52" i="6" s="1"/>
  <c r="S52" i="6"/>
  <c r="AI52" i="6" s="1"/>
  <c r="R52" i="6"/>
  <c r="AH52" i="6" s="1"/>
  <c r="Q52" i="6"/>
  <c r="AG52" i="6" s="1"/>
  <c r="P52" i="6"/>
  <c r="AF52" i="6" s="1"/>
  <c r="O52" i="6"/>
  <c r="Y52" i="6" s="1"/>
  <c r="N52" i="6"/>
  <c r="M52" i="6"/>
  <c r="AC52" i="6" s="1"/>
  <c r="L52" i="6"/>
  <c r="AB52" i="6" s="1"/>
  <c r="T51" i="6"/>
  <c r="AJ51" i="6" s="1"/>
  <c r="S51" i="6"/>
  <c r="AI51" i="6" s="1"/>
  <c r="R51" i="6"/>
  <c r="AH51" i="6" s="1"/>
  <c r="Q51" i="6"/>
  <c r="AG51" i="6" s="1"/>
  <c r="P51" i="6"/>
  <c r="AF51" i="6" s="1"/>
  <c r="O51" i="6"/>
  <c r="Y51" i="6" s="1"/>
  <c r="N51" i="6"/>
  <c r="AD51" i="6" s="1"/>
  <c r="M51" i="6"/>
  <c r="AC51" i="6" s="1"/>
  <c r="L51" i="6"/>
  <c r="AB51" i="6" s="1"/>
  <c r="T50" i="6"/>
  <c r="AJ50" i="6" s="1"/>
  <c r="S50" i="6"/>
  <c r="AI50" i="6" s="1"/>
  <c r="R50" i="6"/>
  <c r="AH50" i="6" s="1"/>
  <c r="Q50" i="6"/>
  <c r="AG50" i="6" s="1"/>
  <c r="P50" i="6"/>
  <c r="AF50" i="6" s="1"/>
  <c r="O50" i="6"/>
  <c r="AE50" i="6" s="1"/>
  <c r="N50" i="6"/>
  <c r="AD50" i="6" s="1"/>
  <c r="M50" i="6"/>
  <c r="AC50" i="6" s="1"/>
  <c r="L50" i="6"/>
  <c r="AB50" i="6" s="1"/>
  <c r="T49" i="6"/>
  <c r="AJ49" i="6" s="1"/>
  <c r="S49" i="6"/>
  <c r="AI49" i="6" s="1"/>
  <c r="R49" i="6"/>
  <c r="AH49" i="6" s="1"/>
  <c r="Q49" i="6"/>
  <c r="AG49" i="6" s="1"/>
  <c r="P49" i="6"/>
  <c r="AF49" i="6" s="1"/>
  <c r="O49" i="6"/>
  <c r="AE49" i="6" s="1"/>
  <c r="N49" i="6"/>
  <c r="AD49" i="6" s="1"/>
  <c r="M49" i="6"/>
  <c r="AC49" i="6" s="1"/>
  <c r="L49" i="6"/>
  <c r="AB49" i="6" s="1"/>
  <c r="T48" i="6"/>
  <c r="AJ48" i="6" s="1"/>
  <c r="S48" i="6"/>
  <c r="AI48" i="6" s="1"/>
  <c r="R48" i="6"/>
  <c r="AH48" i="6" s="1"/>
  <c r="Q48" i="6"/>
  <c r="AG48" i="6" s="1"/>
  <c r="P48" i="6"/>
  <c r="AF48" i="6" s="1"/>
  <c r="O48" i="6"/>
  <c r="Y48" i="6" s="1"/>
  <c r="N48" i="6"/>
  <c r="M48" i="6"/>
  <c r="AC48" i="6" s="1"/>
  <c r="L48" i="6"/>
  <c r="AB48" i="6" s="1"/>
  <c r="T47" i="6"/>
  <c r="AJ47" i="6" s="1"/>
  <c r="S47" i="6"/>
  <c r="AI47" i="6" s="1"/>
  <c r="R47" i="6"/>
  <c r="AH47" i="6" s="1"/>
  <c r="Q47" i="6"/>
  <c r="AG47" i="6" s="1"/>
  <c r="P47" i="6"/>
  <c r="AF47" i="6" s="1"/>
  <c r="O47" i="6"/>
  <c r="AE47" i="6" s="1"/>
  <c r="N47" i="6"/>
  <c r="AD47" i="6" s="1"/>
  <c r="M47" i="6"/>
  <c r="AC47" i="6" s="1"/>
  <c r="L47" i="6"/>
  <c r="AB47" i="6" s="1"/>
  <c r="T46" i="6"/>
  <c r="AJ46" i="6" s="1"/>
  <c r="S46" i="6"/>
  <c r="AI46" i="6" s="1"/>
  <c r="R46" i="6"/>
  <c r="AH46" i="6" s="1"/>
  <c r="Q46" i="6"/>
  <c r="AG46" i="6" s="1"/>
  <c r="P46" i="6"/>
  <c r="AF46" i="6" s="1"/>
  <c r="O46" i="6"/>
  <c r="AE46" i="6" s="1"/>
  <c r="N46" i="6"/>
  <c r="AD46" i="6" s="1"/>
  <c r="M46" i="6"/>
  <c r="AC46" i="6" s="1"/>
  <c r="L46" i="6"/>
  <c r="AB46" i="6" s="1"/>
  <c r="T45" i="6"/>
  <c r="AJ45" i="6" s="1"/>
  <c r="S45" i="6"/>
  <c r="AI45" i="6" s="1"/>
  <c r="R45" i="6"/>
  <c r="AH45" i="6" s="1"/>
  <c r="Q45" i="6"/>
  <c r="AG45" i="6" s="1"/>
  <c r="P45" i="6"/>
  <c r="AF45" i="6" s="1"/>
  <c r="O45" i="6"/>
  <c r="AE45" i="6" s="1"/>
  <c r="N45" i="6"/>
  <c r="AD45" i="6" s="1"/>
  <c r="M45" i="6"/>
  <c r="AC45" i="6" s="1"/>
  <c r="L45" i="6"/>
  <c r="AB45" i="6" s="1"/>
  <c r="T44" i="6"/>
  <c r="AJ44" i="6" s="1"/>
  <c r="S44" i="6"/>
  <c r="AI44" i="6" s="1"/>
  <c r="R44" i="6"/>
  <c r="AH44" i="6" s="1"/>
  <c r="Q44" i="6"/>
  <c r="AG44" i="6" s="1"/>
  <c r="P44" i="6"/>
  <c r="AF44" i="6" s="1"/>
  <c r="O44" i="6"/>
  <c r="N44" i="6"/>
  <c r="AD44" i="6" s="1"/>
  <c r="M44" i="6"/>
  <c r="AC44" i="6" s="1"/>
  <c r="L44" i="6"/>
  <c r="AB44" i="6" s="1"/>
  <c r="T43" i="6"/>
  <c r="AJ43" i="6" s="1"/>
  <c r="S43" i="6"/>
  <c r="AI43" i="6" s="1"/>
  <c r="R43" i="6"/>
  <c r="AH43" i="6" s="1"/>
  <c r="Q43" i="6"/>
  <c r="AG43" i="6" s="1"/>
  <c r="P43" i="6"/>
  <c r="AF43" i="6" s="1"/>
  <c r="O43" i="6"/>
  <c r="Y43" i="6" s="1"/>
  <c r="N43" i="6"/>
  <c r="AD43" i="6" s="1"/>
  <c r="M43" i="6"/>
  <c r="AC43" i="6" s="1"/>
  <c r="L43" i="6"/>
  <c r="AB43" i="6" s="1"/>
  <c r="T42" i="6"/>
  <c r="AJ42" i="6" s="1"/>
  <c r="S42" i="6"/>
  <c r="AI42" i="6" s="1"/>
  <c r="R42" i="6"/>
  <c r="AH42" i="6" s="1"/>
  <c r="Q42" i="6"/>
  <c r="AG42" i="6" s="1"/>
  <c r="P42" i="6"/>
  <c r="AF42" i="6" s="1"/>
  <c r="O42" i="6"/>
  <c r="AE42" i="6" s="1"/>
  <c r="N42" i="6"/>
  <c r="AD42" i="6" s="1"/>
  <c r="M42" i="6"/>
  <c r="AC42" i="6" s="1"/>
  <c r="L42" i="6"/>
  <c r="AB42" i="6" s="1"/>
  <c r="T41" i="6"/>
  <c r="AJ41" i="6" s="1"/>
  <c r="S41" i="6"/>
  <c r="AI41" i="6" s="1"/>
  <c r="R41" i="6"/>
  <c r="AH41" i="6" s="1"/>
  <c r="Q41" i="6"/>
  <c r="AG41" i="6" s="1"/>
  <c r="P41" i="6"/>
  <c r="AF41" i="6" s="1"/>
  <c r="O41" i="6"/>
  <c r="AE41" i="6" s="1"/>
  <c r="N41" i="6"/>
  <c r="AD41" i="6" s="1"/>
  <c r="M41" i="6"/>
  <c r="AC41" i="6" s="1"/>
  <c r="L41" i="6"/>
  <c r="AB41" i="6" s="1"/>
  <c r="T40" i="6"/>
  <c r="AJ40" i="6" s="1"/>
  <c r="S40" i="6"/>
  <c r="AI40" i="6" s="1"/>
  <c r="R40" i="6"/>
  <c r="AH40" i="6" s="1"/>
  <c r="Q40" i="6"/>
  <c r="AG40" i="6" s="1"/>
  <c r="P40" i="6"/>
  <c r="AF40" i="6" s="1"/>
  <c r="O40" i="6"/>
  <c r="N40" i="6"/>
  <c r="M40" i="6"/>
  <c r="AC40" i="6" s="1"/>
  <c r="L40" i="6"/>
  <c r="AB40" i="6" s="1"/>
  <c r="T39" i="6"/>
  <c r="AJ39" i="6" s="1"/>
  <c r="S39" i="6"/>
  <c r="AI39" i="6" s="1"/>
  <c r="R39" i="6"/>
  <c r="AH39" i="6" s="1"/>
  <c r="Q39" i="6"/>
  <c r="AG39" i="6" s="1"/>
  <c r="P39" i="6"/>
  <c r="AF39" i="6" s="1"/>
  <c r="O39" i="6"/>
  <c r="AE39" i="6" s="1"/>
  <c r="N39" i="6"/>
  <c r="AD39" i="6" s="1"/>
  <c r="M39" i="6"/>
  <c r="AC39" i="6" s="1"/>
  <c r="L39" i="6"/>
  <c r="AB39" i="6" s="1"/>
  <c r="T38" i="6"/>
  <c r="AJ38" i="6" s="1"/>
  <c r="S38" i="6"/>
  <c r="AI38" i="6" s="1"/>
  <c r="R38" i="6"/>
  <c r="AH38" i="6" s="1"/>
  <c r="Q38" i="6"/>
  <c r="AG38" i="6" s="1"/>
  <c r="P38" i="6"/>
  <c r="AF38" i="6" s="1"/>
  <c r="O38" i="6"/>
  <c r="AE38" i="6" s="1"/>
  <c r="N38" i="6"/>
  <c r="AD38" i="6" s="1"/>
  <c r="M38" i="6"/>
  <c r="AC38" i="6" s="1"/>
  <c r="L38" i="6"/>
  <c r="AB38" i="6" s="1"/>
  <c r="T37" i="6"/>
  <c r="AJ37" i="6" s="1"/>
  <c r="S37" i="6"/>
  <c r="AI37" i="6" s="1"/>
  <c r="R37" i="6"/>
  <c r="AH37" i="6" s="1"/>
  <c r="Q37" i="6"/>
  <c r="AG37" i="6" s="1"/>
  <c r="P37" i="6"/>
  <c r="AF37" i="6" s="1"/>
  <c r="O37" i="6"/>
  <c r="AE37" i="6" s="1"/>
  <c r="N37" i="6"/>
  <c r="M37" i="6"/>
  <c r="AC37" i="6" s="1"/>
  <c r="L37" i="6"/>
  <c r="AB37" i="6" s="1"/>
  <c r="T36" i="6"/>
  <c r="AJ36" i="6" s="1"/>
  <c r="S36" i="6"/>
  <c r="AI36" i="6" s="1"/>
  <c r="R36" i="6"/>
  <c r="AH36" i="6" s="1"/>
  <c r="Q36" i="6"/>
  <c r="AG36" i="6" s="1"/>
  <c r="P36" i="6"/>
  <c r="AF36" i="6" s="1"/>
  <c r="O36" i="6"/>
  <c r="Y36" i="6" s="1"/>
  <c r="N36" i="6"/>
  <c r="M36" i="6"/>
  <c r="AC36" i="6" s="1"/>
  <c r="L36" i="6"/>
  <c r="AB36" i="6" s="1"/>
  <c r="T35" i="6"/>
  <c r="AJ35" i="6" s="1"/>
  <c r="S35" i="6"/>
  <c r="AI35" i="6" s="1"/>
  <c r="R35" i="6"/>
  <c r="AH35" i="6" s="1"/>
  <c r="Q35" i="6"/>
  <c r="AG35" i="6" s="1"/>
  <c r="P35" i="6"/>
  <c r="AF35" i="6" s="1"/>
  <c r="O35" i="6"/>
  <c r="AE35" i="6" s="1"/>
  <c r="N35" i="6"/>
  <c r="AD35" i="6" s="1"/>
  <c r="M35" i="6"/>
  <c r="AC35" i="6" s="1"/>
  <c r="L35" i="6"/>
  <c r="AB35" i="6" s="1"/>
  <c r="T34" i="6"/>
  <c r="AJ34" i="6" s="1"/>
  <c r="S34" i="6"/>
  <c r="AI34" i="6" s="1"/>
  <c r="R34" i="6"/>
  <c r="AH34" i="6" s="1"/>
  <c r="Q34" i="6"/>
  <c r="AG34" i="6" s="1"/>
  <c r="P34" i="6"/>
  <c r="AF34" i="6" s="1"/>
  <c r="O34" i="6"/>
  <c r="AE34" i="6" s="1"/>
  <c r="N34" i="6"/>
  <c r="AD34" i="6" s="1"/>
  <c r="M34" i="6"/>
  <c r="AC34" i="6" s="1"/>
  <c r="L34" i="6"/>
  <c r="AB34" i="6" s="1"/>
  <c r="T33" i="6"/>
  <c r="AJ33" i="6" s="1"/>
  <c r="S33" i="6"/>
  <c r="AI33" i="6" s="1"/>
  <c r="R33" i="6"/>
  <c r="AH33" i="6" s="1"/>
  <c r="Q33" i="6"/>
  <c r="AG33" i="6" s="1"/>
  <c r="P33" i="6"/>
  <c r="AF33" i="6" s="1"/>
  <c r="O33" i="6"/>
  <c r="Y33" i="6" s="1"/>
  <c r="N33" i="6"/>
  <c r="M33" i="6"/>
  <c r="AC33" i="6" s="1"/>
  <c r="L33" i="6"/>
  <c r="AB33" i="6" s="1"/>
  <c r="T32" i="6"/>
  <c r="AJ32" i="6" s="1"/>
  <c r="S32" i="6"/>
  <c r="AI32" i="6" s="1"/>
  <c r="R32" i="6"/>
  <c r="AH32" i="6" s="1"/>
  <c r="Q32" i="6"/>
  <c r="AG32" i="6" s="1"/>
  <c r="P32" i="6"/>
  <c r="AF32" i="6" s="1"/>
  <c r="O32" i="6"/>
  <c r="Y32" i="6" s="1"/>
  <c r="N32" i="6"/>
  <c r="AD32" i="6" s="1"/>
  <c r="M32" i="6"/>
  <c r="AC32" i="6" s="1"/>
  <c r="L32" i="6"/>
  <c r="AB32" i="6" s="1"/>
  <c r="T31" i="6"/>
  <c r="AJ31" i="6" s="1"/>
  <c r="S31" i="6"/>
  <c r="AI31" i="6" s="1"/>
  <c r="R31" i="6"/>
  <c r="AH31" i="6" s="1"/>
  <c r="Q31" i="6"/>
  <c r="AG31" i="6" s="1"/>
  <c r="P31" i="6"/>
  <c r="AF31" i="6" s="1"/>
  <c r="O31" i="6"/>
  <c r="AE31" i="6" s="1"/>
  <c r="N31" i="6"/>
  <c r="M31" i="6"/>
  <c r="AC31" i="6" s="1"/>
  <c r="L31" i="6"/>
  <c r="AB31" i="6" s="1"/>
  <c r="T30" i="6"/>
  <c r="AJ30" i="6" s="1"/>
  <c r="S30" i="6"/>
  <c r="AI30" i="6" s="1"/>
  <c r="R30" i="6"/>
  <c r="AH30" i="6" s="1"/>
  <c r="Q30" i="6"/>
  <c r="AG30" i="6" s="1"/>
  <c r="P30" i="6"/>
  <c r="AF30" i="6" s="1"/>
  <c r="O30" i="6"/>
  <c r="AE30" i="6" s="1"/>
  <c r="N30" i="6"/>
  <c r="M30" i="6"/>
  <c r="AC30" i="6" s="1"/>
  <c r="L30" i="6"/>
  <c r="AB30" i="6" s="1"/>
  <c r="T29" i="6"/>
  <c r="AJ29" i="6" s="1"/>
  <c r="S29" i="6"/>
  <c r="AI29" i="6" s="1"/>
  <c r="R29" i="6"/>
  <c r="AH29" i="6" s="1"/>
  <c r="Q29" i="6"/>
  <c r="AG29" i="6" s="1"/>
  <c r="P29" i="6"/>
  <c r="AF29" i="6" s="1"/>
  <c r="O29" i="6"/>
  <c r="AE29" i="6" s="1"/>
  <c r="N29" i="6"/>
  <c r="AD29" i="6" s="1"/>
  <c r="M29" i="6"/>
  <c r="AC29" i="6" s="1"/>
  <c r="L29" i="6"/>
  <c r="AB29" i="6" s="1"/>
  <c r="T28" i="6"/>
  <c r="AJ28" i="6" s="1"/>
  <c r="S28" i="6"/>
  <c r="AI28" i="6" s="1"/>
  <c r="R28" i="6"/>
  <c r="AH28" i="6" s="1"/>
  <c r="Q28" i="6"/>
  <c r="AG28" i="6" s="1"/>
  <c r="P28" i="6"/>
  <c r="AF28" i="6" s="1"/>
  <c r="O28" i="6"/>
  <c r="Y28" i="6" s="1"/>
  <c r="N28" i="6"/>
  <c r="M28" i="6"/>
  <c r="AC28" i="6" s="1"/>
  <c r="L28" i="6"/>
  <c r="AB28" i="6" s="1"/>
  <c r="T27" i="6"/>
  <c r="AJ27" i="6" s="1"/>
  <c r="S27" i="6"/>
  <c r="AI27" i="6" s="1"/>
  <c r="R27" i="6"/>
  <c r="AH27" i="6" s="1"/>
  <c r="Q27" i="6"/>
  <c r="AG27" i="6" s="1"/>
  <c r="P27" i="6"/>
  <c r="AF27" i="6" s="1"/>
  <c r="O27" i="6"/>
  <c r="AE27" i="6" s="1"/>
  <c r="N27" i="6"/>
  <c r="AD27" i="6" s="1"/>
  <c r="M27" i="6"/>
  <c r="AC27" i="6" s="1"/>
  <c r="L27" i="6"/>
  <c r="AB27" i="6" s="1"/>
  <c r="T26" i="6"/>
  <c r="AJ26" i="6" s="1"/>
  <c r="S26" i="6"/>
  <c r="AI26" i="6" s="1"/>
  <c r="R26" i="6"/>
  <c r="AH26" i="6" s="1"/>
  <c r="Q26" i="6"/>
  <c r="AG26" i="6" s="1"/>
  <c r="P26" i="6"/>
  <c r="AF26" i="6" s="1"/>
  <c r="O26" i="6"/>
  <c r="Y26" i="6" s="1"/>
  <c r="N26" i="6"/>
  <c r="AD26" i="6" s="1"/>
  <c r="M26" i="6"/>
  <c r="AC26" i="6" s="1"/>
  <c r="L26" i="6"/>
  <c r="AB26" i="6" s="1"/>
  <c r="T25" i="6"/>
  <c r="AJ25" i="6" s="1"/>
  <c r="S25" i="6"/>
  <c r="AI25" i="6" s="1"/>
  <c r="R25" i="6"/>
  <c r="AH25" i="6" s="1"/>
  <c r="Q25" i="6"/>
  <c r="AG25" i="6" s="1"/>
  <c r="P25" i="6"/>
  <c r="AF25" i="6" s="1"/>
  <c r="O25" i="6"/>
  <c r="Y25" i="6" s="1"/>
  <c r="N25" i="6"/>
  <c r="M25" i="6"/>
  <c r="AC25" i="6" s="1"/>
  <c r="L25" i="6"/>
  <c r="AB25" i="6" s="1"/>
  <c r="T24" i="6"/>
  <c r="AJ24" i="6" s="1"/>
  <c r="S24" i="6"/>
  <c r="AI24" i="6" s="1"/>
  <c r="R24" i="6"/>
  <c r="AH24" i="6" s="1"/>
  <c r="Q24" i="6"/>
  <c r="AG24" i="6" s="1"/>
  <c r="P24" i="6"/>
  <c r="AF24" i="6" s="1"/>
  <c r="O24" i="6"/>
  <c r="AE24" i="6" s="1"/>
  <c r="N24" i="6"/>
  <c r="M24" i="6"/>
  <c r="AC24" i="6" s="1"/>
  <c r="L24" i="6"/>
  <c r="AB24" i="6" s="1"/>
  <c r="T23" i="6"/>
  <c r="AJ23" i="6" s="1"/>
  <c r="S23" i="6"/>
  <c r="AI23" i="6" s="1"/>
  <c r="R23" i="6"/>
  <c r="AH23" i="6" s="1"/>
  <c r="Q23" i="6"/>
  <c r="AG23" i="6" s="1"/>
  <c r="P23" i="6"/>
  <c r="AF23" i="6" s="1"/>
  <c r="O23" i="6"/>
  <c r="AE23" i="6" s="1"/>
  <c r="N23" i="6"/>
  <c r="AD23" i="6" s="1"/>
  <c r="M23" i="6"/>
  <c r="AC23" i="6" s="1"/>
  <c r="L23" i="6"/>
  <c r="AB23" i="6" s="1"/>
  <c r="T22" i="6"/>
  <c r="AJ22" i="6" s="1"/>
  <c r="S22" i="6"/>
  <c r="AI22" i="6" s="1"/>
  <c r="R22" i="6"/>
  <c r="AH22" i="6" s="1"/>
  <c r="Q22" i="6"/>
  <c r="AG22" i="6" s="1"/>
  <c r="P22" i="6"/>
  <c r="AF22" i="6" s="1"/>
  <c r="O22" i="6"/>
  <c r="Y22" i="6" s="1"/>
  <c r="N22" i="6"/>
  <c r="M22" i="6"/>
  <c r="AC22" i="6" s="1"/>
  <c r="L22" i="6"/>
  <c r="AB22" i="6" s="1"/>
  <c r="T21" i="6"/>
  <c r="AJ21" i="6" s="1"/>
  <c r="S21" i="6"/>
  <c r="AI21" i="6" s="1"/>
  <c r="R21" i="6"/>
  <c r="AH21" i="6" s="1"/>
  <c r="Q21" i="6"/>
  <c r="AG21" i="6" s="1"/>
  <c r="P21" i="6"/>
  <c r="AF21" i="6" s="1"/>
  <c r="O21" i="6"/>
  <c r="AE21" i="6" s="1"/>
  <c r="N21" i="6"/>
  <c r="M21" i="6"/>
  <c r="AC21" i="6" s="1"/>
  <c r="L21" i="6"/>
  <c r="AB21" i="6" s="1"/>
  <c r="T20" i="6"/>
  <c r="AJ20" i="6" s="1"/>
  <c r="S20" i="6"/>
  <c r="AI20" i="6" s="1"/>
  <c r="R20" i="6"/>
  <c r="AH20" i="6" s="1"/>
  <c r="Q20" i="6"/>
  <c r="AG20" i="6" s="1"/>
  <c r="P20" i="6"/>
  <c r="AF20" i="6" s="1"/>
  <c r="O20" i="6"/>
  <c r="Y20" i="6" s="1"/>
  <c r="N20" i="6"/>
  <c r="AD20" i="6" s="1"/>
  <c r="M20" i="6"/>
  <c r="AC20" i="6" s="1"/>
  <c r="L20" i="6"/>
  <c r="AB20" i="6" s="1"/>
  <c r="T19" i="6"/>
  <c r="AJ19" i="6" s="1"/>
  <c r="S19" i="6"/>
  <c r="AI19" i="6" s="1"/>
  <c r="R19" i="6"/>
  <c r="AH19" i="6" s="1"/>
  <c r="Q19" i="6"/>
  <c r="AG19" i="6" s="1"/>
  <c r="P19" i="6"/>
  <c r="AF19" i="6" s="1"/>
  <c r="O19" i="6"/>
  <c r="Y19" i="6" s="1"/>
  <c r="N19" i="6"/>
  <c r="AD19" i="6" s="1"/>
  <c r="M19" i="6"/>
  <c r="AC19" i="6" s="1"/>
  <c r="L19" i="6"/>
  <c r="AB19" i="6" s="1"/>
  <c r="T18" i="6"/>
  <c r="AJ18" i="6" s="1"/>
  <c r="S18" i="6"/>
  <c r="AI18" i="6" s="1"/>
  <c r="R18" i="6"/>
  <c r="AH18" i="6" s="1"/>
  <c r="Q18" i="6"/>
  <c r="AG18" i="6" s="1"/>
  <c r="P18" i="6"/>
  <c r="AF18" i="6" s="1"/>
  <c r="O18" i="6"/>
  <c r="AE18" i="6" s="1"/>
  <c r="N18" i="6"/>
  <c r="AD18" i="6" s="1"/>
  <c r="M18" i="6"/>
  <c r="AC18" i="6" s="1"/>
  <c r="L18" i="6"/>
  <c r="AB18" i="6" s="1"/>
  <c r="T17" i="6"/>
  <c r="AJ17" i="6" s="1"/>
  <c r="S17" i="6"/>
  <c r="AI17" i="6" s="1"/>
  <c r="R17" i="6"/>
  <c r="AH17" i="6" s="1"/>
  <c r="Q17" i="6"/>
  <c r="AG17" i="6" s="1"/>
  <c r="P17" i="6"/>
  <c r="AF17" i="6" s="1"/>
  <c r="O17" i="6"/>
  <c r="AE17" i="6" s="1"/>
  <c r="N17" i="6"/>
  <c r="M17" i="6"/>
  <c r="AC17" i="6" s="1"/>
  <c r="L17" i="6"/>
  <c r="AB17" i="6" s="1"/>
  <c r="T16" i="6"/>
  <c r="AJ16" i="6" s="1"/>
  <c r="S16" i="6"/>
  <c r="AI16" i="6" s="1"/>
  <c r="R16" i="6"/>
  <c r="AH16" i="6" s="1"/>
  <c r="Q16" i="6"/>
  <c r="AG16" i="6" s="1"/>
  <c r="P16" i="6"/>
  <c r="AF16" i="6" s="1"/>
  <c r="O16" i="6"/>
  <c r="Y16" i="6" s="1"/>
  <c r="N16" i="6"/>
  <c r="AD16" i="6" s="1"/>
  <c r="M16" i="6"/>
  <c r="AC16" i="6" s="1"/>
  <c r="L16" i="6"/>
  <c r="AB16" i="6" s="1"/>
  <c r="T15" i="6"/>
  <c r="AJ15" i="6" s="1"/>
  <c r="S15" i="6"/>
  <c r="AI15" i="6" s="1"/>
  <c r="R15" i="6"/>
  <c r="AH15" i="6" s="1"/>
  <c r="Q15" i="6"/>
  <c r="AG15" i="6" s="1"/>
  <c r="P15" i="6"/>
  <c r="AF15" i="6" s="1"/>
  <c r="O15" i="6"/>
  <c r="Y15" i="6" s="1"/>
  <c r="N15" i="6"/>
  <c r="M15" i="6"/>
  <c r="AC15" i="6" s="1"/>
  <c r="L15" i="6"/>
  <c r="AB15" i="6" s="1"/>
  <c r="T14" i="6"/>
  <c r="AJ14" i="6" s="1"/>
  <c r="S14" i="6"/>
  <c r="AI14" i="6" s="1"/>
  <c r="R14" i="6"/>
  <c r="AH14" i="6" s="1"/>
  <c r="Q14" i="6"/>
  <c r="AG14" i="6" s="1"/>
  <c r="P14" i="6"/>
  <c r="AF14" i="6" s="1"/>
  <c r="O14" i="6"/>
  <c r="Y14" i="6" s="1"/>
  <c r="N14" i="6"/>
  <c r="M14" i="6"/>
  <c r="AC14" i="6" s="1"/>
  <c r="L14" i="6"/>
  <c r="AB14" i="6" s="1"/>
  <c r="T13" i="6"/>
  <c r="AJ13" i="6" s="1"/>
  <c r="S13" i="6"/>
  <c r="AI13" i="6" s="1"/>
  <c r="R13" i="6"/>
  <c r="AH13" i="6" s="1"/>
  <c r="Q13" i="6"/>
  <c r="AG13" i="6" s="1"/>
  <c r="P13" i="6"/>
  <c r="AF13" i="6" s="1"/>
  <c r="O13" i="6"/>
  <c r="AE13" i="6" s="1"/>
  <c r="N13" i="6"/>
  <c r="M13" i="6"/>
  <c r="AC13" i="6" s="1"/>
  <c r="L13" i="6"/>
  <c r="AB13" i="6" s="1"/>
  <c r="T12" i="6"/>
  <c r="AJ12" i="6" s="1"/>
  <c r="S12" i="6"/>
  <c r="AI12" i="6" s="1"/>
  <c r="R12" i="6"/>
  <c r="AH12" i="6" s="1"/>
  <c r="Q12" i="6"/>
  <c r="AG12" i="6" s="1"/>
  <c r="P12" i="6"/>
  <c r="AF12" i="6" s="1"/>
  <c r="O12" i="6"/>
  <c r="AE12" i="6" s="1"/>
  <c r="N12" i="6"/>
  <c r="M12" i="6"/>
  <c r="AC12" i="6" s="1"/>
  <c r="L12" i="6"/>
  <c r="AB12" i="6" s="1"/>
  <c r="T11" i="6"/>
  <c r="AJ11" i="6" s="1"/>
  <c r="S11" i="6"/>
  <c r="AI11" i="6" s="1"/>
  <c r="R11" i="6"/>
  <c r="AH11" i="6" s="1"/>
  <c r="Q11" i="6"/>
  <c r="AG11" i="6" s="1"/>
  <c r="P11" i="6"/>
  <c r="AF11" i="6" s="1"/>
  <c r="O11" i="6"/>
  <c r="AE11" i="6" s="1"/>
  <c r="N11" i="6"/>
  <c r="M11" i="6"/>
  <c r="AC11" i="6" s="1"/>
  <c r="L11" i="6"/>
  <c r="AB11" i="6" s="1"/>
  <c r="T10" i="6"/>
  <c r="AJ10" i="6" s="1"/>
  <c r="S10" i="6"/>
  <c r="AI10" i="6" s="1"/>
  <c r="R10" i="6"/>
  <c r="AH10" i="6" s="1"/>
  <c r="Q10" i="6"/>
  <c r="AG10" i="6" s="1"/>
  <c r="P10" i="6"/>
  <c r="AF10" i="6" s="1"/>
  <c r="O10" i="6"/>
  <c r="Y10" i="6" s="1"/>
  <c r="N10" i="6"/>
  <c r="AD10" i="6" s="1"/>
  <c r="M10" i="6"/>
  <c r="AC10" i="6" s="1"/>
  <c r="L10" i="6"/>
  <c r="AB10" i="6" s="1"/>
  <c r="T9" i="6"/>
  <c r="AJ9" i="6" s="1"/>
  <c r="S9" i="6"/>
  <c r="AI9" i="6" s="1"/>
  <c r="R9" i="6"/>
  <c r="AH9" i="6" s="1"/>
  <c r="Q9" i="6"/>
  <c r="AG9" i="6" s="1"/>
  <c r="P9" i="6"/>
  <c r="AF9" i="6" s="1"/>
  <c r="O9" i="6"/>
  <c r="AE9" i="6" s="1"/>
  <c r="N9" i="6"/>
  <c r="M9" i="6"/>
  <c r="AC9" i="6" s="1"/>
  <c r="L9" i="6"/>
  <c r="AB9" i="6" s="1"/>
  <c r="T8" i="6"/>
  <c r="AJ8" i="6" s="1"/>
  <c r="S8" i="6"/>
  <c r="AI8" i="6" s="1"/>
  <c r="R8" i="6"/>
  <c r="AH8" i="6" s="1"/>
  <c r="Q8" i="6"/>
  <c r="AG8" i="6" s="1"/>
  <c r="P8" i="6"/>
  <c r="AF8" i="6" s="1"/>
  <c r="O8" i="6"/>
  <c r="Y8" i="6" s="1"/>
  <c r="N8" i="6"/>
  <c r="M8" i="6"/>
  <c r="AC8" i="6" s="1"/>
  <c r="L8" i="6"/>
  <c r="AB8" i="6" s="1"/>
  <c r="T7" i="6"/>
  <c r="AJ7" i="6" s="1"/>
  <c r="S7" i="6"/>
  <c r="AI7" i="6" s="1"/>
  <c r="R7" i="6"/>
  <c r="AH7" i="6" s="1"/>
  <c r="Q7" i="6"/>
  <c r="AG7" i="6" s="1"/>
  <c r="P7" i="6"/>
  <c r="AF7" i="6" s="1"/>
  <c r="O7" i="6"/>
  <c r="Y7" i="6" s="1"/>
  <c r="N7" i="6"/>
  <c r="AD7" i="6" s="1"/>
  <c r="M7" i="6"/>
  <c r="AC7" i="6" s="1"/>
  <c r="L7" i="6"/>
  <c r="AB7" i="6" s="1"/>
  <c r="T6" i="6"/>
  <c r="AJ6" i="6" s="1"/>
  <c r="S6" i="6"/>
  <c r="AI6" i="6" s="1"/>
  <c r="R6" i="6"/>
  <c r="AH6" i="6" s="1"/>
  <c r="Q6" i="6"/>
  <c r="AG6" i="6" s="1"/>
  <c r="P6" i="6"/>
  <c r="AF6" i="6" s="1"/>
  <c r="O6" i="6"/>
  <c r="Y6" i="6" s="1"/>
  <c r="N6" i="6"/>
  <c r="AD6" i="6" s="1"/>
  <c r="M6" i="6"/>
  <c r="AC6" i="6" s="1"/>
  <c r="L6" i="6"/>
  <c r="AB6" i="6" s="1"/>
  <c r="T5" i="6"/>
  <c r="AJ5" i="6" s="1"/>
  <c r="S5" i="6"/>
  <c r="AI5" i="6" s="1"/>
  <c r="R5" i="6"/>
  <c r="AH5" i="6" s="1"/>
  <c r="Q5" i="6"/>
  <c r="AG5" i="6" s="1"/>
  <c r="P5" i="6"/>
  <c r="AF5" i="6" s="1"/>
  <c r="O5" i="6"/>
  <c r="AE5" i="6" s="1"/>
  <c r="N5" i="6"/>
  <c r="AD5" i="6" s="1"/>
  <c r="M5" i="6"/>
  <c r="AC5" i="6" s="1"/>
  <c r="L5" i="6"/>
  <c r="AB5" i="6" s="1"/>
  <c r="T4" i="6"/>
  <c r="AJ4" i="6" s="1"/>
  <c r="S4" i="6"/>
  <c r="AI4" i="6" s="1"/>
  <c r="R4" i="6"/>
  <c r="AH4" i="6" s="1"/>
  <c r="Q4" i="6"/>
  <c r="AG4" i="6" s="1"/>
  <c r="P4" i="6"/>
  <c r="AF4" i="6" s="1"/>
  <c r="O4" i="6"/>
  <c r="N4" i="6"/>
  <c r="M4" i="6"/>
  <c r="AC4" i="6" s="1"/>
  <c r="L4" i="6"/>
  <c r="AB4" i="6" s="1"/>
  <c r="AJ3" i="6"/>
  <c r="AI3" i="6"/>
  <c r="AH3" i="6"/>
  <c r="AG3" i="6"/>
  <c r="AF3" i="6"/>
  <c r="AE3" i="6"/>
  <c r="AC3" i="6"/>
  <c r="AB3" i="6"/>
  <c r="T2" i="6"/>
  <c r="AJ2" i="6" s="1"/>
  <c r="S2" i="6"/>
  <c r="AI2" i="6" s="1"/>
  <c r="R2" i="6"/>
  <c r="AH2" i="6" s="1"/>
  <c r="Q2" i="6"/>
  <c r="AG2" i="6" s="1"/>
  <c r="P2" i="6"/>
  <c r="AF2" i="6" s="1"/>
  <c r="O2" i="6"/>
  <c r="AE2" i="6" s="1"/>
  <c r="N2" i="6"/>
  <c r="AD2" i="6" s="1"/>
  <c r="M2" i="6"/>
  <c r="AC2" i="6" s="1"/>
  <c r="L2" i="6"/>
  <c r="AB2" i="6" s="1"/>
  <c r="B2" i="6"/>
  <c r="A2" i="6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Z92" i="6" l="1"/>
  <c r="AD92" i="6"/>
  <c r="Z90" i="6"/>
  <c r="AD90" i="6"/>
  <c r="Z15" i="6"/>
  <c r="AD15" i="6"/>
  <c r="Z14" i="6"/>
  <c r="AD14" i="6"/>
  <c r="Z22" i="6"/>
  <c r="AD22" i="6"/>
  <c r="Z30" i="6"/>
  <c r="AD30" i="6"/>
  <c r="Z77" i="6"/>
  <c r="AD77" i="6"/>
  <c r="Z85" i="6"/>
  <c r="AD85" i="6"/>
  <c r="Z89" i="6"/>
  <c r="AD89" i="6"/>
  <c r="Z9" i="6"/>
  <c r="AD9" i="6"/>
  <c r="Z13" i="6"/>
  <c r="AD13" i="6"/>
  <c r="Z17" i="6"/>
  <c r="AD17" i="6"/>
  <c r="Z21" i="6"/>
  <c r="AD21" i="6"/>
  <c r="Z25" i="6"/>
  <c r="AD25" i="6"/>
  <c r="Z33" i="6"/>
  <c r="AD33" i="6"/>
  <c r="Z37" i="6"/>
  <c r="AD37" i="6"/>
  <c r="Z53" i="6"/>
  <c r="AD53" i="6"/>
  <c r="Z57" i="6"/>
  <c r="AD57" i="6"/>
  <c r="Z94" i="6"/>
  <c r="AD94" i="6"/>
  <c r="Z67" i="6"/>
  <c r="AD67" i="6"/>
  <c r="Z80" i="6"/>
  <c r="AD80" i="6"/>
  <c r="Z84" i="6"/>
  <c r="AD84" i="6"/>
  <c r="Z11" i="6"/>
  <c r="AD11" i="6"/>
  <c r="Z31" i="6"/>
  <c r="AD31" i="6"/>
  <c r="Z4" i="6"/>
  <c r="AD4" i="6"/>
  <c r="Z8" i="6"/>
  <c r="AD8" i="6"/>
  <c r="Z12" i="6"/>
  <c r="AD12" i="6"/>
  <c r="Z24" i="6"/>
  <c r="AD24" i="6"/>
  <c r="Z28" i="6"/>
  <c r="AD28" i="6"/>
  <c r="Z36" i="6"/>
  <c r="AD36" i="6"/>
  <c r="Z40" i="6"/>
  <c r="AD40" i="6"/>
  <c r="Z48" i="6"/>
  <c r="AD48" i="6"/>
  <c r="Z52" i="6"/>
  <c r="AD52" i="6"/>
  <c r="Z56" i="6"/>
  <c r="AD56" i="6"/>
  <c r="Z72" i="6"/>
  <c r="AD72" i="6"/>
  <c r="Z93" i="6"/>
  <c r="AD93" i="6"/>
  <c r="Z97" i="6"/>
  <c r="AD97" i="6"/>
  <c r="Z83" i="6"/>
  <c r="AD83" i="6"/>
  <c r="G8" i="7"/>
  <c r="AE10" i="6"/>
  <c r="G9" i="7"/>
  <c r="G10" i="7"/>
  <c r="Y17" i="6"/>
  <c r="AE59" i="6"/>
  <c r="G7" i="7"/>
  <c r="Z81" i="6"/>
  <c r="Y87" i="6"/>
  <c r="AE94" i="6"/>
  <c r="Y29" i="6"/>
  <c r="Y38" i="6"/>
  <c r="AE19" i="6"/>
  <c r="Z73" i="6"/>
  <c r="Z78" i="6"/>
  <c r="Z54" i="6"/>
  <c r="Y57" i="6"/>
  <c r="Z38" i="6"/>
  <c r="Y62" i="6"/>
  <c r="Y85" i="6"/>
  <c r="Z3" i="6"/>
  <c r="Y45" i="6"/>
  <c r="Z65" i="6"/>
  <c r="Y49" i="6"/>
  <c r="AE54" i="6"/>
  <c r="AE96" i="6"/>
  <c r="Y13" i="6"/>
  <c r="Z49" i="6"/>
  <c r="Z71" i="6"/>
  <c r="Y93" i="6"/>
  <c r="Z23" i="6"/>
  <c r="Z34" i="6"/>
  <c r="Z5" i="6"/>
  <c r="Y27" i="6"/>
  <c r="Z35" i="6"/>
  <c r="Y46" i="6"/>
  <c r="Y55" i="6"/>
  <c r="Z62" i="6"/>
  <c r="Y73" i="6"/>
  <c r="Y82" i="6"/>
  <c r="Z27" i="6"/>
  <c r="Z6" i="6"/>
  <c r="AE32" i="6"/>
  <c r="Y9" i="6"/>
  <c r="Y18" i="6"/>
  <c r="Z29" i="6"/>
  <c r="Y41" i="6"/>
  <c r="Y50" i="6"/>
  <c r="Y58" i="6"/>
  <c r="Z66" i="6"/>
  <c r="Z74" i="6"/>
  <c r="Y86" i="6"/>
  <c r="Y74" i="6"/>
  <c r="Z18" i="6"/>
  <c r="Z41" i="6"/>
  <c r="Z50" i="6"/>
  <c r="Z58" i="6"/>
  <c r="Z86" i="6"/>
  <c r="AE33" i="6"/>
  <c r="Y11" i="6"/>
  <c r="Y98" i="6"/>
  <c r="Y3" i="6"/>
  <c r="Y34" i="6"/>
  <c r="Z43" i="6"/>
  <c r="Z51" i="6"/>
  <c r="Z61" i="6"/>
  <c r="Y69" i="6"/>
  <c r="Y79" i="6"/>
  <c r="Y89" i="6"/>
  <c r="Z98" i="6"/>
  <c r="Z75" i="6"/>
  <c r="Z95" i="6"/>
  <c r="Z59" i="6"/>
  <c r="AE65" i="6"/>
  <c r="AE88" i="6"/>
  <c r="Y88" i="6"/>
  <c r="AE95" i="6"/>
  <c r="AE25" i="6"/>
  <c r="Z47" i="6"/>
  <c r="AE64" i="6"/>
  <c r="Y64" i="6"/>
  <c r="Z99" i="6"/>
  <c r="Y2" i="6"/>
  <c r="Y23" i="6"/>
  <c r="Y39" i="6"/>
  <c r="Y81" i="6"/>
  <c r="AE14" i="6"/>
  <c r="AE70" i="6"/>
  <c r="AE72" i="6"/>
  <c r="AE80" i="6"/>
  <c r="Z87" i="6"/>
  <c r="Z2" i="6"/>
  <c r="Z39" i="6"/>
  <c r="Z69" i="6"/>
  <c r="Z32" i="6"/>
  <c r="AE44" i="6"/>
  <c r="Y44" i="6"/>
  <c r="AE52" i="6"/>
  <c r="Z63" i="6"/>
  <c r="Y30" i="6"/>
  <c r="Y35" i="6"/>
  <c r="Z60" i="6"/>
  <c r="AE76" i="6"/>
  <c r="Y76" i="6"/>
  <c r="Z79" i="6"/>
  <c r="Z19" i="6"/>
  <c r="Z46" i="6"/>
  <c r="Y53" i="6"/>
  <c r="Z70" i="6"/>
  <c r="Y77" i="6"/>
  <c r="Z82" i="6"/>
  <c r="AE4" i="6"/>
  <c r="Y4" i="6"/>
  <c r="AE8" i="6"/>
  <c r="Z16" i="6"/>
  <c r="Z20" i="6"/>
  <c r="AE20" i="6"/>
  <c r="AE60" i="6"/>
  <c r="Y60" i="6"/>
  <c r="AE92" i="6"/>
  <c r="Y5" i="6"/>
  <c r="Y21" i="6"/>
  <c r="Y31" i="6"/>
  <c r="Y37" i="6"/>
  <c r="Y42" i="6"/>
  <c r="Y47" i="6"/>
  <c r="Y66" i="6"/>
  <c r="Y71" i="6"/>
  <c r="Y83" i="6"/>
  <c r="Y90" i="6"/>
  <c r="Y97" i="6"/>
  <c r="AE40" i="6"/>
  <c r="Y40" i="6"/>
  <c r="Z88" i="6"/>
  <c r="Z64" i="6"/>
  <c r="AE78" i="6"/>
  <c r="AE48" i="6"/>
  <c r="Z7" i="6"/>
  <c r="Z45" i="6"/>
  <c r="Z55" i="6"/>
  <c r="Z76" i="6"/>
  <c r="AE16" i="6"/>
  <c r="Z68" i="6"/>
  <c r="AE68" i="6"/>
  <c r="Z96" i="6"/>
  <c r="Z10" i="6"/>
  <c r="Z26" i="6"/>
  <c r="Z42" i="6"/>
  <c r="Y61" i="6"/>
  <c r="Y12" i="6"/>
  <c r="Y24" i="6"/>
  <c r="Z44" i="6"/>
  <c r="AE28" i="6"/>
  <c r="AE75" i="6"/>
  <c r="AE15" i="6"/>
  <c r="AE26" i="6"/>
  <c r="AE43" i="6"/>
  <c r="AE56" i="6"/>
  <c r="AE22" i="6"/>
  <c r="AE67" i="6"/>
  <c r="AE36" i="6"/>
  <c r="AE63" i="6"/>
  <c r="AE84" i="6"/>
  <c r="AE6" i="6"/>
  <c r="AE7" i="6"/>
  <c r="AE99" i="6"/>
  <c r="AE51" i="6"/>
  <c r="U102" i="3"/>
  <c r="T102" i="3"/>
  <c r="Z102" i="3"/>
  <c r="P102" i="3"/>
  <c r="O102" i="3"/>
  <c r="U101" i="3"/>
  <c r="T101" i="3"/>
  <c r="W101" i="3" s="1"/>
  <c r="Z101" i="3"/>
  <c r="P101" i="3"/>
  <c r="O101" i="3"/>
  <c r="U100" i="3"/>
  <c r="T100" i="3"/>
  <c r="W100" i="3" s="1"/>
  <c r="Z100" i="3"/>
  <c r="P100" i="3"/>
  <c r="O100" i="3"/>
  <c r="U99" i="3"/>
  <c r="T99" i="3"/>
  <c r="W99" i="3" s="1"/>
  <c r="Z99" i="3"/>
  <c r="P99" i="3"/>
  <c r="O99" i="3"/>
  <c r="U98" i="3"/>
  <c r="T98" i="3"/>
  <c r="W98" i="3" s="1"/>
  <c r="Z98" i="3"/>
  <c r="P98" i="3"/>
  <c r="O98" i="3"/>
  <c r="U97" i="3"/>
  <c r="T97" i="3"/>
  <c r="W97" i="3" s="1"/>
  <c r="Z97" i="3"/>
  <c r="P97" i="3"/>
  <c r="O97" i="3"/>
  <c r="U96" i="3"/>
  <c r="T96" i="3"/>
  <c r="W96" i="3" s="1"/>
  <c r="Z96" i="3"/>
  <c r="P96" i="3"/>
  <c r="O96" i="3"/>
  <c r="U95" i="3"/>
  <c r="T95" i="3"/>
  <c r="W95" i="3" s="1"/>
  <c r="Z95" i="3"/>
  <c r="P95" i="3"/>
  <c r="O95" i="3"/>
  <c r="U94" i="3"/>
  <c r="T94" i="3"/>
  <c r="W94" i="3" s="1"/>
  <c r="Z94" i="3"/>
  <c r="P94" i="3"/>
  <c r="O94" i="3"/>
  <c r="U93" i="3"/>
  <c r="T93" i="3"/>
  <c r="P93" i="3"/>
  <c r="O93" i="3"/>
  <c r="U92" i="3"/>
  <c r="T92" i="3"/>
  <c r="W92" i="3" s="1"/>
  <c r="Z92" i="3"/>
  <c r="P92" i="3"/>
  <c r="O92" i="3"/>
  <c r="U91" i="3"/>
  <c r="T91" i="3"/>
  <c r="W91" i="3" s="1"/>
  <c r="Z91" i="3"/>
  <c r="P91" i="3"/>
  <c r="O91" i="3"/>
  <c r="U90" i="3"/>
  <c r="T90" i="3"/>
  <c r="W90" i="3" s="1"/>
  <c r="Z90" i="3"/>
  <c r="P90" i="3"/>
  <c r="O90" i="3"/>
  <c r="U89" i="3"/>
  <c r="T89" i="3"/>
  <c r="W89" i="3" s="1"/>
  <c r="Z89" i="3"/>
  <c r="P89" i="3"/>
  <c r="O89" i="3"/>
  <c r="U88" i="3"/>
  <c r="T88" i="3"/>
  <c r="W88" i="3" s="1"/>
  <c r="Z88" i="3"/>
  <c r="P88" i="3"/>
  <c r="O88" i="3"/>
  <c r="U87" i="3"/>
  <c r="T87" i="3"/>
  <c r="W87" i="3" s="1"/>
  <c r="Z87" i="3"/>
  <c r="P87" i="3"/>
  <c r="O87" i="3"/>
  <c r="U86" i="3"/>
  <c r="T86" i="3"/>
  <c r="W86" i="3" s="1"/>
  <c r="Z86" i="3"/>
  <c r="P86" i="3"/>
  <c r="O86" i="3"/>
  <c r="U85" i="3"/>
  <c r="T85" i="3"/>
  <c r="W85" i="3" s="1"/>
  <c r="Z85" i="3"/>
  <c r="P85" i="3"/>
  <c r="O85" i="3"/>
  <c r="U84" i="3"/>
  <c r="T84" i="3"/>
  <c r="W84" i="3" s="1"/>
  <c r="Z84" i="3"/>
  <c r="P84" i="3"/>
  <c r="O84" i="3"/>
  <c r="U83" i="3"/>
  <c r="T83" i="3"/>
  <c r="W83" i="3" s="1"/>
  <c r="Z83" i="3"/>
  <c r="P83" i="3"/>
  <c r="O83" i="3"/>
  <c r="U82" i="3"/>
  <c r="T82" i="3"/>
  <c r="W82" i="3" s="1"/>
  <c r="Z82" i="3"/>
  <c r="P82" i="3"/>
  <c r="O82" i="3"/>
  <c r="U81" i="3"/>
  <c r="T81" i="3"/>
  <c r="W81" i="3" s="1"/>
  <c r="Z81" i="3"/>
  <c r="P81" i="3"/>
  <c r="O81" i="3"/>
  <c r="U80" i="3"/>
  <c r="T80" i="3"/>
  <c r="W80" i="3" s="1"/>
  <c r="Z80" i="3"/>
  <c r="P80" i="3"/>
  <c r="O80" i="3"/>
  <c r="U79" i="3"/>
  <c r="T79" i="3"/>
  <c r="W79" i="3" s="1"/>
  <c r="Z79" i="3"/>
  <c r="P79" i="3"/>
  <c r="O79" i="3"/>
  <c r="U78" i="3"/>
  <c r="T78" i="3"/>
  <c r="W78" i="3" s="1"/>
  <c r="Z78" i="3"/>
  <c r="P78" i="3"/>
  <c r="O78" i="3"/>
  <c r="U77" i="3"/>
  <c r="T77" i="3"/>
  <c r="W77" i="3" s="1"/>
  <c r="Z77" i="3"/>
  <c r="P77" i="3"/>
  <c r="O77" i="3"/>
  <c r="U76" i="3"/>
  <c r="T76" i="3"/>
  <c r="W76" i="3" s="1"/>
  <c r="Z76" i="3"/>
  <c r="P76" i="3"/>
  <c r="O76" i="3"/>
  <c r="U75" i="3"/>
  <c r="T75" i="3"/>
  <c r="W75" i="3" s="1"/>
  <c r="Z75" i="3"/>
  <c r="P75" i="3"/>
  <c r="O75" i="3"/>
  <c r="U74" i="3"/>
  <c r="T74" i="3"/>
  <c r="W74" i="3" s="1"/>
  <c r="Z74" i="3"/>
  <c r="P74" i="3"/>
  <c r="O74" i="3"/>
  <c r="U73" i="3"/>
  <c r="T73" i="3"/>
  <c r="W73" i="3" s="1"/>
  <c r="Z73" i="3"/>
  <c r="P73" i="3"/>
  <c r="O73" i="3"/>
  <c r="U72" i="3"/>
  <c r="T72" i="3"/>
  <c r="W72" i="3" s="1"/>
  <c r="Z72" i="3"/>
  <c r="P72" i="3"/>
  <c r="O72" i="3"/>
  <c r="U71" i="3"/>
  <c r="T71" i="3"/>
  <c r="W71" i="3" s="1"/>
  <c r="Z71" i="3"/>
  <c r="P71" i="3"/>
  <c r="O71" i="3"/>
  <c r="U70" i="3"/>
  <c r="T70" i="3"/>
  <c r="W70" i="3" s="1"/>
  <c r="Z70" i="3"/>
  <c r="P70" i="3"/>
  <c r="O70" i="3"/>
  <c r="U69" i="3"/>
  <c r="T69" i="3"/>
  <c r="W69" i="3" s="1"/>
  <c r="Z69" i="3"/>
  <c r="P69" i="3"/>
  <c r="O69" i="3"/>
  <c r="U68" i="3"/>
  <c r="T68" i="3"/>
  <c r="W68" i="3" s="1"/>
  <c r="Z68" i="3"/>
  <c r="P68" i="3"/>
  <c r="O68" i="3"/>
  <c r="U67" i="3"/>
  <c r="T67" i="3"/>
  <c r="W67" i="3" s="1"/>
  <c r="Z67" i="3"/>
  <c r="P67" i="3"/>
  <c r="O67" i="3"/>
  <c r="U66" i="3"/>
  <c r="T66" i="3"/>
  <c r="W66" i="3" s="1"/>
  <c r="Z66" i="3"/>
  <c r="P66" i="3"/>
  <c r="O66" i="3"/>
  <c r="U65" i="3"/>
  <c r="T65" i="3"/>
  <c r="W65" i="3" s="1"/>
  <c r="Z65" i="3"/>
  <c r="P65" i="3"/>
  <c r="O65" i="3"/>
  <c r="U64" i="3"/>
  <c r="T64" i="3"/>
  <c r="W64" i="3" s="1"/>
  <c r="Z64" i="3"/>
  <c r="P64" i="3"/>
  <c r="O64" i="3"/>
  <c r="U63" i="3"/>
  <c r="T63" i="3"/>
  <c r="W63" i="3" s="1"/>
  <c r="Z63" i="3"/>
  <c r="P63" i="3"/>
  <c r="O63" i="3"/>
  <c r="U62" i="3"/>
  <c r="T62" i="3"/>
  <c r="W62" i="3" s="1"/>
  <c r="Z62" i="3"/>
  <c r="P62" i="3"/>
  <c r="O62" i="3"/>
  <c r="U61" i="3"/>
  <c r="T61" i="3"/>
  <c r="W61" i="3" s="1"/>
  <c r="Z61" i="3"/>
  <c r="P61" i="3"/>
  <c r="O61" i="3"/>
  <c r="U60" i="3"/>
  <c r="T60" i="3"/>
  <c r="W60" i="3" s="1"/>
  <c r="Z60" i="3"/>
  <c r="P60" i="3"/>
  <c r="O60" i="3"/>
  <c r="U59" i="3"/>
  <c r="T59" i="3"/>
  <c r="W59" i="3" s="1"/>
  <c r="Z59" i="3"/>
  <c r="P59" i="3"/>
  <c r="O59" i="3"/>
  <c r="U58" i="3"/>
  <c r="T58" i="3"/>
  <c r="W58" i="3" s="1"/>
  <c r="Z58" i="3"/>
  <c r="P58" i="3"/>
  <c r="O58" i="3"/>
  <c r="U57" i="3"/>
  <c r="T57" i="3"/>
  <c r="W57" i="3" s="1"/>
  <c r="Z57" i="3"/>
  <c r="P57" i="3"/>
  <c r="O57" i="3"/>
  <c r="U56" i="3"/>
  <c r="T56" i="3"/>
  <c r="W56" i="3" s="1"/>
  <c r="Z56" i="3"/>
  <c r="P56" i="3"/>
  <c r="O56" i="3"/>
  <c r="U55" i="3"/>
  <c r="T55" i="3"/>
  <c r="W55" i="3" s="1"/>
  <c r="Z55" i="3"/>
  <c r="P55" i="3"/>
  <c r="O55" i="3"/>
  <c r="U54" i="3"/>
  <c r="T54" i="3"/>
  <c r="W54" i="3" s="1"/>
  <c r="Z54" i="3"/>
  <c r="P54" i="3"/>
  <c r="O54" i="3"/>
  <c r="U53" i="3"/>
  <c r="T53" i="3"/>
  <c r="W53" i="3" s="1"/>
  <c r="Z53" i="3"/>
  <c r="P53" i="3"/>
  <c r="O53" i="3"/>
  <c r="U52" i="3"/>
  <c r="T52" i="3"/>
  <c r="W52" i="3" s="1"/>
  <c r="Z52" i="3"/>
  <c r="P52" i="3"/>
  <c r="O52" i="3"/>
  <c r="U51" i="3"/>
  <c r="T51" i="3"/>
  <c r="W51" i="3" s="1"/>
  <c r="Z51" i="3"/>
  <c r="P51" i="3"/>
  <c r="O51" i="3"/>
  <c r="U50" i="3"/>
  <c r="T50" i="3"/>
  <c r="W50" i="3" s="1"/>
  <c r="Z50" i="3"/>
  <c r="P50" i="3"/>
  <c r="O50" i="3"/>
  <c r="U49" i="3"/>
  <c r="T49" i="3"/>
  <c r="W49" i="3" s="1"/>
  <c r="Z49" i="3"/>
  <c r="P49" i="3"/>
  <c r="O49" i="3"/>
  <c r="U48" i="3"/>
  <c r="T48" i="3"/>
  <c r="W48" i="3" s="1"/>
  <c r="Z48" i="3"/>
  <c r="P48" i="3"/>
  <c r="O48" i="3"/>
  <c r="U47" i="3"/>
  <c r="T47" i="3"/>
  <c r="W47" i="3" s="1"/>
  <c r="Z47" i="3"/>
  <c r="P47" i="3"/>
  <c r="O47" i="3"/>
  <c r="U46" i="3"/>
  <c r="T46" i="3"/>
  <c r="W46" i="3" s="1"/>
  <c r="Z46" i="3"/>
  <c r="P46" i="3"/>
  <c r="O46" i="3"/>
  <c r="U45" i="3"/>
  <c r="T45" i="3"/>
  <c r="W45" i="3" s="1"/>
  <c r="Z45" i="3"/>
  <c r="P45" i="3"/>
  <c r="O45" i="3"/>
  <c r="U44" i="3"/>
  <c r="T44" i="3"/>
  <c r="W44" i="3" s="1"/>
  <c r="Z44" i="3"/>
  <c r="P44" i="3"/>
  <c r="O44" i="3"/>
  <c r="U43" i="3"/>
  <c r="T43" i="3"/>
  <c r="W43" i="3" s="1"/>
  <c r="Z43" i="3"/>
  <c r="P43" i="3"/>
  <c r="O43" i="3"/>
  <c r="U42" i="3"/>
  <c r="T42" i="3"/>
  <c r="W42" i="3" s="1"/>
  <c r="Z42" i="3"/>
  <c r="P42" i="3"/>
  <c r="O42" i="3"/>
  <c r="U41" i="3"/>
  <c r="T41" i="3"/>
  <c r="W41" i="3" s="1"/>
  <c r="Z41" i="3"/>
  <c r="P41" i="3"/>
  <c r="O41" i="3"/>
  <c r="U40" i="3"/>
  <c r="T40" i="3"/>
  <c r="W40" i="3" s="1"/>
  <c r="Z40" i="3"/>
  <c r="P40" i="3"/>
  <c r="O40" i="3"/>
  <c r="U39" i="3"/>
  <c r="T39" i="3"/>
  <c r="W39" i="3" s="1"/>
  <c r="Z39" i="3"/>
  <c r="P39" i="3"/>
  <c r="O39" i="3"/>
  <c r="U38" i="3"/>
  <c r="T38" i="3"/>
  <c r="W38" i="3" s="1"/>
  <c r="Z38" i="3"/>
  <c r="P38" i="3"/>
  <c r="O38" i="3"/>
  <c r="U37" i="3"/>
  <c r="T37" i="3"/>
  <c r="W37" i="3" s="1"/>
  <c r="Z37" i="3"/>
  <c r="P37" i="3"/>
  <c r="O37" i="3"/>
  <c r="U36" i="3"/>
  <c r="T36" i="3"/>
  <c r="W36" i="3" s="1"/>
  <c r="Z36" i="3"/>
  <c r="P36" i="3"/>
  <c r="O36" i="3"/>
  <c r="U35" i="3"/>
  <c r="T35" i="3"/>
  <c r="W35" i="3" s="1"/>
  <c r="Z35" i="3"/>
  <c r="P35" i="3"/>
  <c r="O35" i="3"/>
  <c r="U34" i="3"/>
  <c r="T34" i="3"/>
  <c r="W34" i="3" s="1"/>
  <c r="Z34" i="3"/>
  <c r="P34" i="3"/>
  <c r="O34" i="3"/>
  <c r="U33" i="3"/>
  <c r="T33" i="3"/>
  <c r="W33" i="3" s="1"/>
  <c r="Z33" i="3"/>
  <c r="P33" i="3"/>
  <c r="O33" i="3"/>
  <c r="U32" i="3"/>
  <c r="T32" i="3"/>
  <c r="W32" i="3" s="1"/>
  <c r="Z32" i="3"/>
  <c r="P32" i="3"/>
  <c r="O32" i="3"/>
  <c r="U31" i="3"/>
  <c r="T31" i="3"/>
  <c r="W31" i="3" s="1"/>
  <c r="Z31" i="3"/>
  <c r="P31" i="3"/>
  <c r="O31" i="3"/>
  <c r="U30" i="3"/>
  <c r="T30" i="3"/>
  <c r="W30" i="3" s="1"/>
  <c r="Z30" i="3"/>
  <c r="P30" i="3"/>
  <c r="O30" i="3"/>
  <c r="U29" i="3"/>
  <c r="T29" i="3"/>
  <c r="W29" i="3" s="1"/>
  <c r="Z29" i="3"/>
  <c r="P29" i="3"/>
  <c r="O29" i="3"/>
  <c r="U28" i="3"/>
  <c r="T28" i="3"/>
  <c r="W28" i="3" s="1"/>
  <c r="Z28" i="3"/>
  <c r="P28" i="3"/>
  <c r="O28" i="3"/>
  <c r="U27" i="3"/>
  <c r="T27" i="3"/>
  <c r="W27" i="3" s="1"/>
  <c r="Z27" i="3"/>
  <c r="P27" i="3"/>
  <c r="O27" i="3"/>
  <c r="U26" i="3"/>
  <c r="T26" i="3"/>
  <c r="W26" i="3" s="1"/>
  <c r="Z26" i="3"/>
  <c r="P26" i="3"/>
  <c r="O26" i="3"/>
  <c r="U25" i="3"/>
  <c r="T25" i="3"/>
  <c r="W25" i="3" s="1"/>
  <c r="Z25" i="3"/>
  <c r="P25" i="3"/>
  <c r="O25" i="3"/>
  <c r="U24" i="3"/>
  <c r="T24" i="3"/>
  <c r="W24" i="3" s="1"/>
  <c r="Z24" i="3"/>
  <c r="P24" i="3"/>
  <c r="O24" i="3"/>
  <c r="U23" i="3"/>
  <c r="T23" i="3"/>
  <c r="W23" i="3" s="1"/>
  <c r="Z23" i="3"/>
  <c r="P23" i="3"/>
  <c r="O23" i="3"/>
  <c r="U22" i="3"/>
  <c r="T22" i="3"/>
  <c r="W22" i="3" s="1"/>
  <c r="Z22" i="3"/>
  <c r="P22" i="3"/>
  <c r="O22" i="3"/>
  <c r="U21" i="3"/>
  <c r="T21" i="3"/>
  <c r="W21" i="3" s="1"/>
  <c r="Z21" i="3"/>
  <c r="P21" i="3"/>
  <c r="O21" i="3"/>
  <c r="U20" i="3"/>
  <c r="T20" i="3"/>
  <c r="W20" i="3" s="1"/>
  <c r="Z20" i="3"/>
  <c r="P20" i="3"/>
  <c r="O20" i="3"/>
  <c r="U19" i="3"/>
  <c r="T19" i="3"/>
  <c r="W19" i="3" s="1"/>
  <c r="Z19" i="3"/>
  <c r="P19" i="3"/>
  <c r="O19" i="3"/>
  <c r="U18" i="3"/>
  <c r="T18" i="3"/>
  <c r="W18" i="3" s="1"/>
  <c r="Z18" i="3"/>
  <c r="P18" i="3"/>
  <c r="O18" i="3"/>
  <c r="U17" i="3"/>
  <c r="T17" i="3"/>
  <c r="W17" i="3" s="1"/>
  <c r="Z17" i="3"/>
  <c r="P17" i="3"/>
  <c r="O17" i="3"/>
  <c r="U16" i="3"/>
  <c r="T16" i="3"/>
  <c r="W16" i="3" s="1"/>
  <c r="Z16" i="3"/>
  <c r="P16" i="3"/>
  <c r="O16" i="3"/>
  <c r="U15" i="3"/>
  <c r="T15" i="3"/>
  <c r="W15" i="3" s="1"/>
  <c r="Z15" i="3"/>
  <c r="P15" i="3"/>
  <c r="O15" i="3"/>
  <c r="U14" i="3"/>
  <c r="T14" i="3"/>
  <c r="W14" i="3" s="1"/>
  <c r="Z14" i="3"/>
  <c r="P14" i="3"/>
  <c r="O14" i="3"/>
  <c r="U13" i="3"/>
  <c r="T13" i="3"/>
  <c r="W13" i="3" s="1"/>
  <c r="Z13" i="3"/>
  <c r="P13" i="3"/>
  <c r="O13" i="3"/>
  <c r="U12" i="3"/>
  <c r="T12" i="3"/>
  <c r="W12" i="3" s="1"/>
  <c r="Z12" i="3"/>
  <c r="P12" i="3"/>
  <c r="O12" i="3"/>
  <c r="U11" i="3"/>
  <c r="T11" i="3"/>
  <c r="W11" i="3" s="1"/>
  <c r="Z11" i="3"/>
  <c r="P11" i="3"/>
  <c r="O11" i="3"/>
  <c r="U10" i="3"/>
  <c r="T10" i="3"/>
  <c r="W10" i="3" s="1"/>
  <c r="Z10" i="3"/>
  <c r="P10" i="3"/>
  <c r="O10" i="3"/>
  <c r="U9" i="3"/>
  <c r="T9" i="3"/>
  <c r="W9" i="3" s="1"/>
  <c r="Z9" i="3"/>
  <c r="P9" i="3"/>
  <c r="O9" i="3"/>
  <c r="H6" i="4"/>
  <c r="U8" i="3"/>
  <c r="T8" i="3"/>
  <c r="E6" i="4" s="1"/>
  <c r="J6" i="4"/>
  <c r="P8" i="3"/>
  <c r="F6" i="4" s="1"/>
  <c r="O8" i="3"/>
  <c r="H5" i="4"/>
  <c r="U7" i="3"/>
  <c r="T7" i="3"/>
  <c r="E5" i="4" s="1"/>
  <c r="J5" i="4"/>
  <c r="P7" i="3"/>
  <c r="F5" i="4" s="1"/>
  <c r="O7" i="3"/>
  <c r="U6" i="3"/>
  <c r="T6" i="3"/>
  <c r="P6" i="3"/>
  <c r="O6" i="3"/>
  <c r="H3" i="4"/>
  <c r="U5" i="3"/>
  <c r="T5" i="3"/>
  <c r="E3" i="4" s="1"/>
  <c r="J3" i="4"/>
  <c r="P5" i="3"/>
  <c r="F3" i="4" s="1"/>
  <c r="O5" i="3"/>
  <c r="J2" i="4"/>
  <c r="H2" i="4"/>
  <c r="W102" i="3" l="1"/>
  <c r="C104" i="6"/>
  <c r="C104" i="5"/>
  <c r="F4" i="4"/>
  <c r="H4" i="4"/>
  <c r="Z93" i="3"/>
  <c r="J4" i="4"/>
  <c r="W93" i="3"/>
  <c r="E4" i="4"/>
  <c r="W7" i="3"/>
  <c r="Z4" i="3"/>
  <c r="Z7" i="3"/>
  <c r="Z5" i="3"/>
  <c r="W5" i="3"/>
  <c r="Z8" i="3"/>
  <c r="Z6" i="3"/>
  <c r="W8" i="3"/>
  <c r="W6" i="3"/>
  <c r="C59" i="5"/>
  <c r="C58" i="6"/>
  <c r="C67" i="5"/>
  <c r="C66" i="6"/>
  <c r="C99" i="5"/>
  <c r="C98" i="6"/>
  <c r="C18" i="5"/>
  <c r="C17" i="6"/>
  <c r="C19" i="5"/>
  <c r="C18" i="6"/>
  <c r="C27" i="5"/>
  <c r="C26" i="6"/>
  <c r="C43" i="5"/>
  <c r="C42" i="6"/>
  <c r="C83" i="5"/>
  <c r="C82" i="6"/>
  <c r="C34" i="5"/>
  <c r="C33" i="6"/>
  <c r="C98" i="5"/>
  <c r="C97" i="6"/>
  <c r="C16" i="6"/>
  <c r="C17" i="5"/>
  <c r="C32" i="6"/>
  <c r="C33" i="5"/>
  <c r="C56" i="6"/>
  <c r="C57" i="5"/>
  <c r="C72" i="6"/>
  <c r="C73" i="5"/>
  <c r="C88" i="6"/>
  <c r="C89" i="5"/>
  <c r="C96" i="6"/>
  <c r="C97" i="5"/>
  <c r="C8" i="5"/>
  <c r="C7" i="6"/>
  <c r="C55" i="6"/>
  <c r="C56" i="5"/>
  <c r="C79" i="6"/>
  <c r="C80" i="5"/>
  <c r="C88" i="5"/>
  <c r="C87" i="6"/>
  <c r="C6" i="6"/>
  <c r="C7" i="5"/>
  <c r="C30" i="6"/>
  <c r="C31" i="5"/>
  <c r="C46" i="6"/>
  <c r="C47" i="5"/>
  <c r="C54" i="6"/>
  <c r="C55" i="5"/>
  <c r="C62" i="6"/>
  <c r="C63" i="5"/>
  <c r="C70" i="6"/>
  <c r="C71" i="5"/>
  <c r="C78" i="6"/>
  <c r="C79" i="5"/>
  <c r="C86" i="6"/>
  <c r="C87" i="5"/>
  <c r="C46" i="5"/>
  <c r="C45" i="6"/>
  <c r="C70" i="5"/>
  <c r="C69" i="6"/>
  <c r="C86" i="5"/>
  <c r="C85" i="6"/>
  <c r="C35" i="5"/>
  <c r="C34" i="6"/>
  <c r="C51" i="5"/>
  <c r="C50" i="6"/>
  <c r="C75" i="5"/>
  <c r="C74" i="6"/>
  <c r="C10" i="5"/>
  <c r="C9" i="6"/>
  <c r="C50" i="5"/>
  <c r="C49" i="6"/>
  <c r="C58" i="5"/>
  <c r="C57" i="6"/>
  <c r="C74" i="5"/>
  <c r="C73" i="6"/>
  <c r="C90" i="5"/>
  <c r="C89" i="6"/>
  <c r="C8" i="6"/>
  <c r="C9" i="5"/>
  <c r="C48" i="6"/>
  <c r="C49" i="5"/>
  <c r="C80" i="6"/>
  <c r="C81" i="5"/>
  <c r="C15" i="6"/>
  <c r="C16" i="5"/>
  <c r="C31" i="6"/>
  <c r="C32" i="5"/>
  <c r="C48" i="5"/>
  <c r="C47" i="6"/>
  <c r="C63" i="6"/>
  <c r="C64" i="5"/>
  <c r="C71" i="6"/>
  <c r="C72" i="5"/>
  <c r="C96" i="5"/>
  <c r="C95" i="6"/>
  <c r="C22" i="6"/>
  <c r="C23" i="5"/>
  <c r="C38" i="6"/>
  <c r="C39" i="5"/>
  <c r="C94" i="6"/>
  <c r="C95" i="5"/>
  <c r="C6" i="5"/>
  <c r="C5" i="6"/>
  <c r="C14" i="5"/>
  <c r="C13" i="6"/>
  <c r="C22" i="5"/>
  <c r="C21" i="6"/>
  <c r="C30" i="5"/>
  <c r="C29" i="6"/>
  <c r="C38" i="5"/>
  <c r="C37" i="6"/>
  <c r="C54" i="5"/>
  <c r="C53" i="6"/>
  <c r="C62" i="5"/>
  <c r="C61" i="6"/>
  <c r="C78" i="5"/>
  <c r="C77" i="6"/>
  <c r="C94" i="5"/>
  <c r="C93" i="6"/>
  <c r="C5" i="5"/>
  <c r="C4" i="6"/>
  <c r="C13" i="5"/>
  <c r="C12" i="6"/>
  <c r="C20" i="6"/>
  <c r="C21" i="5"/>
  <c r="C29" i="5"/>
  <c r="C28" i="6"/>
  <c r="C37" i="5"/>
  <c r="C36" i="6"/>
  <c r="C45" i="5"/>
  <c r="C44" i="6"/>
  <c r="C53" i="5"/>
  <c r="C52" i="6"/>
  <c r="C61" i="5"/>
  <c r="C60" i="6"/>
  <c r="C69" i="5"/>
  <c r="C68" i="6"/>
  <c r="C77" i="5"/>
  <c r="C76" i="6"/>
  <c r="C84" i="6"/>
  <c r="C85" i="5"/>
  <c r="C93" i="5"/>
  <c r="C92" i="6"/>
  <c r="C11" i="5"/>
  <c r="C10" i="6"/>
  <c r="C91" i="5"/>
  <c r="C90" i="6"/>
  <c r="C26" i="5"/>
  <c r="C25" i="6"/>
  <c r="C42" i="5"/>
  <c r="C41" i="6"/>
  <c r="C66" i="5"/>
  <c r="C65" i="6"/>
  <c r="C82" i="5"/>
  <c r="C81" i="6"/>
  <c r="C24" i="6"/>
  <c r="C25" i="5"/>
  <c r="C40" i="6"/>
  <c r="C41" i="5"/>
  <c r="C64" i="6"/>
  <c r="C65" i="5"/>
  <c r="C23" i="6"/>
  <c r="C24" i="5"/>
  <c r="C40" i="5"/>
  <c r="C39" i="6"/>
  <c r="C14" i="6"/>
  <c r="C15" i="5"/>
  <c r="C3" i="6"/>
  <c r="C4" i="5"/>
  <c r="C11" i="6"/>
  <c r="C12" i="5"/>
  <c r="C19" i="6"/>
  <c r="C20" i="5"/>
  <c r="C27" i="6"/>
  <c r="C28" i="5"/>
  <c r="C35" i="6"/>
  <c r="C36" i="5"/>
  <c r="C43" i="6"/>
  <c r="C44" i="5"/>
  <c r="C51" i="6"/>
  <c r="C52" i="5"/>
  <c r="C59" i="6"/>
  <c r="C60" i="5"/>
  <c r="C67" i="6"/>
  <c r="C68" i="5"/>
  <c r="C75" i="6"/>
  <c r="C76" i="5"/>
  <c r="C83" i="6"/>
  <c r="C84" i="5"/>
  <c r="C99" i="6"/>
  <c r="C100" i="5"/>
  <c r="K3" i="2"/>
  <c r="C92" i="5" l="1"/>
  <c r="C101" i="5"/>
  <c r="C100" i="6"/>
  <c r="C91" i="6"/>
  <c r="K9" i="2"/>
  <c r="O4" i="3" l="1"/>
  <c r="D18" i="1" l="1"/>
  <c r="D19" i="1" s="1"/>
  <c r="F6" i="7" l="1"/>
  <c r="F5" i="7"/>
  <c r="F4" i="7"/>
  <c r="F3" i="7"/>
  <c r="F2" i="7"/>
  <c r="H24" i="1"/>
  <c r="H25" i="1" s="1"/>
  <c r="C13" i="1" s="1"/>
  <c r="D39" i="1"/>
  <c r="D22" i="1"/>
  <c r="D14" i="1"/>
  <c r="D10" i="1"/>
  <c r="D11" i="1" s="1"/>
  <c r="D6" i="1"/>
  <c r="D7" i="1" s="1"/>
  <c r="D3" i="1"/>
  <c r="F6" i="1"/>
  <c r="F2" i="1"/>
  <c r="F10" i="1" l="1"/>
  <c r="F3" i="1"/>
  <c r="F13" i="1"/>
  <c r="F7" i="1"/>
  <c r="D35" i="1"/>
  <c r="D36" i="1" s="1"/>
  <c r="G2" i="7"/>
  <c r="D31" i="1"/>
  <c r="D32" i="1" s="1"/>
  <c r="D27" i="1"/>
  <c r="D28" i="1" s="1"/>
  <c r="G3" i="7"/>
  <c r="G4" i="7"/>
  <c r="G5" i="7"/>
  <c r="G6" i="7"/>
  <c r="U4" i="3"/>
  <c r="T4" i="3"/>
  <c r="E2" i="4" s="1"/>
  <c r="P4" i="3"/>
  <c r="F2" i="4" s="1"/>
  <c r="W4" i="3" l="1"/>
  <c r="C3" i="5"/>
  <c r="C2" i="6"/>
</calcChain>
</file>

<file path=xl/sharedStrings.xml><?xml version="1.0" encoding="utf-8"?>
<sst xmlns="http://schemas.openxmlformats.org/spreadsheetml/2006/main" count="1592" uniqueCount="1063">
  <si>
    <t>TEAM INFO</t>
  </si>
  <si>
    <t>TODAY_TONIGHT_SEL</t>
  </si>
  <si>
    <t>SWATCH SEL</t>
  </si>
  <si>
    <t xml:space="preserve"> TEAM INFO</t>
  </si>
  <si>
    <t>TEAM_RANK</t>
  </si>
  <si>
    <t>SEASON_SEL</t>
  </si>
  <si>
    <t>TEAM_CITY_COLLEGE</t>
  </si>
  <si>
    <t>TODAY_TONIGHT_SEL_COLON</t>
  </si>
  <si>
    <t>TODAY/SEASON SEL</t>
  </si>
  <si>
    <t>TEAM_NICKNAME</t>
  </si>
  <si>
    <t>SEASON_SEL_COLON</t>
  </si>
  <si>
    <t>Season</t>
  </si>
  <si>
    <t>TEAM LOGOS / SWATCH / HEADSHOTS</t>
  </si>
  <si>
    <t>Last Season</t>
  </si>
  <si>
    <t>ALABAMA</t>
  </si>
  <si>
    <t>Swatch Selector</t>
  </si>
  <si>
    <t>TEAM_TRICODE</t>
  </si>
  <si>
    <t>Today</t>
  </si>
  <si>
    <t>Tonight</t>
  </si>
  <si>
    <t>TEAM_FULL_NAME</t>
  </si>
  <si>
    <t>SWATCH_SELECT</t>
  </si>
  <si>
    <t>TEAM_DASH_NAME</t>
  </si>
  <si>
    <t>TODAY / SEASON SELECTION</t>
  </si>
  <si>
    <t>Today / Tonight Selection</t>
  </si>
  <si>
    <t>Season / Last Season</t>
  </si>
  <si>
    <t>TEAM_RANK_NAME</t>
  </si>
  <si>
    <t>TEAM_RANK_NAME_NICKNAME</t>
  </si>
  <si>
    <t>TEAM_RANK_NAME_RECORD</t>
  </si>
  <si>
    <t>TEAM_LOGOTEXT</t>
  </si>
  <si>
    <t>TEAM_RECORD_OVERALL</t>
  </si>
  <si>
    <t>COACH_RESUME_TITLE</t>
  </si>
  <si>
    <t>Title</t>
  </si>
  <si>
    <t>COACH_RESUME_SUBTITLE</t>
  </si>
  <si>
    <t>Line1</t>
  </si>
  <si>
    <t>Line2</t>
  </si>
  <si>
    <t>Line3</t>
  </si>
  <si>
    <t>COACH_RESUME_LINE1</t>
  </si>
  <si>
    <t>COACH_RESUME_LINE2</t>
  </si>
  <si>
    <t>COACH_RESUME_LINE3</t>
  </si>
  <si>
    <t>COACH_RESUME_DROP</t>
  </si>
  <si>
    <t>Roster</t>
  </si>
  <si>
    <t>Date calc - enter as xx/xx/xx</t>
  </si>
  <si>
    <t>Jersey</t>
  </si>
  <si>
    <t>Display</t>
  </si>
  <si>
    <t>First Name</t>
  </si>
  <si>
    <t>Last Name</t>
  </si>
  <si>
    <t>POS</t>
  </si>
  <si>
    <t>Height</t>
  </si>
  <si>
    <t>Weight</t>
  </si>
  <si>
    <t>Birthday</t>
  </si>
  <si>
    <t>Hometown</t>
  </si>
  <si>
    <t>Year</t>
  </si>
  <si>
    <t>Age</t>
  </si>
  <si>
    <t>Position</t>
  </si>
  <si>
    <t>Headshot</t>
  </si>
  <si>
    <t>Full Name</t>
  </si>
  <si>
    <t>Initial Name</t>
  </si>
  <si>
    <t>TEAM STATS</t>
  </si>
  <si>
    <t>AVG</t>
  </si>
  <si>
    <t>RANK</t>
  </si>
  <si>
    <t>SEASON STAT INFO</t>
  </si>
  <si>
    <t>COMBINED</t>
  </si>
  <si>
    <t>0</t>
  </si>
  <si>
    <t>Turnovers</t>
  </si>
  <si>
    <t>Points Allowed</t>
  </si>
  <si>
    <t>TEAM HEADER INFO</t>
  </si>
  <si>
    <t>TEAM INFO LINE 1</t>
  </si>
  <si>
    <t>TEAM 1 LINE DROP</t>
  </si>
  <si>
    <t>TEAM 2-LINE HEADER</t>
  </si>
  <si>
    <t>TEAM 2-LINE INFO LINE 1</t>
  </si>
  <si>
    <t>TEAM 2-LINE INFO LINE 2</t>
  </si>
  <si>
    <t>TEAM 2 LINE DROP</t>
  </si>
  <si>
    <t>1-Line Team lower third</t>
  </si>
  <si>
    <t>Line 1 of 2</t>
  </si>
  <si>
    <t>Line 2 of 2</t>
  </si>
  <si>
    <t>TEAM HEADER INFO HERE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</si>
  <si>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</si>
  <si>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</si>
  <si>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</si>
  <si>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</si>
  <si>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</si>
  <si>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</si>
  <si>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</si>
  <si>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</si>
  <si>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</si>
  <si>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PROMOS/SCHEDULES</t>
  </si>
  <si>
    <t>NETWORK_LOGO_PATH</t>
  </si>
  <si>
    <t>SCHED_NETWORK</t>
  </si>
  <si>
    <t>Upcoming TV Games</t>
  </si>
  <si>
    <t>OPPONENT</t>
  </si>
  <si>
    <t>DATE</t>
  </si>
  <si>
    <t xml:space="preserve">TIME </t>
  </si>
  <si>
    <t>NETWORK LOGO</t>
  </si>
  <si>
    <t>ABC</t>
  </si>
  <si>
    <t>ABC_ESPN2_MIRROR_BLACK</t>
  </si>
  <si>
    <t>ESPNU_LIGHTGRAY</t>
  </si>
  <si>
    <t>ABC_ESPN2_MIRROR_WHITE</t>
  </si>
  <si>
    <t>ACC_ON_ESPN</t>
  </si>
  <si>
    <t>ACC_NETWORK_EXTRA_GRAY</t>
  </si>
  <si>
    <t>TEAM_LOGOS</t>
  </si>
  <si>
    <t>CONFERENCE_LOGOS</t>
  </si>
  <si>
    <t>NETWORK_LOGOS</t>
  </si>
  <si>
    <t>ABILENE_CHRISTIAN</t>
  </si>
  <si>
    <t>AMERICAN</t>
  </si>
  <si>
    <t>AIR_FORCE</t>
  </si>
  <si>
    <t>ABCAPPMIRROR</t>
  </si>
  <si>
    <t>AKRON</t>
  </si>
  <si>
    <t>BIG_12</t>
  </si>
  <si>
    <t>ABCAPPMIRROR_WHITE</t>
  </si>
  <si>
    <t>BIG_SKY</t>
  </si>
  <si>
    <t>ABC_ESPN2_MIRROR</t>
  </si>
  <si>
    <t>ALABAMA_AM</t>
  </si>
  <si>
    <t>BIG_SOUTH</t>
  </si>
  <si>
    <t>ALABAMA_ST</t>
  </si>
  <si>
    <t>BIG_TEN</t>
  </si>
  <si>
    <t>ALCORN_ST</t>
  </si>
  <si>
    <t>CONFERENCE_USA</t>
  </si>
  <si>
    <t>ABC_ESPN3_MIRROR</t>
  </si>
  <si>
    <t>AMERICAN_UNIVERSITY</t>
  </si>
  <si>
    <t>GREAT_WEST</t>
  </si>
  <si>
    <t>ABC_ESPN3_MIRROR_WHITE</t>
  </si>
  <si>
    <t>APPALACHIAN_ST</t>
  </si>
  <si>
    <t>IVY_LEAGUE</t>
  </si>
  <si>
    <t>ABC_ESPN_MIRROR</t>
  </si>
  <si>
    <t>ARIZONA</t>
  </si>
  <si>
    <t>MEAC</t>
  </si>
  <si>
    <t>ABC_ESPN_MIRROR_BLACK</t>
  </si>
  <si>
    <t>ARIZONA_ST</t>
  </si>
  <si>
    <t>ABC_ESPN_MIRROR_WHITE</t>
  </si>
  <si>
    <t>ARKANSAS</t>
  </si>
  <si>
    <t>MISSOURI_VALLEY</t>
  </si>
  <si>
    <t>ABC_GRAY</t>
  </si>
  <si>
    <t>ARKANSAS_PINE_BLUFF</t>
  </si>
  <si>
    <t>MOUNTAIN_WEST</t>
  </si>
  <si>
    <t>ABC_LIGHTGRAY</t>
  </si>
  <si>
    <t>ARKANSAS_ST</t>
  </si>
  <si>
    <t>NORTHEAST</t>
  </si>
  <si>
    <t>ABC_WHITE</t>
  </si>
  <si>
    <t>ARMY</t>
  </si>
  <si>
    <t>OHIO_VALLEY</t>
  </si>
  <si>
    <t>AUBURN</t>
  </si>
  <si>
    <t>AUSTIN_PEAY</t>
  </si>
  <si>
    <t>PATRIOT_LEAGUE</t>
  </si>
  <si>
    <t>BALL_ST</t>
  </si>
  <si>
    <t>BAYLOR</t>
  </si>
  <si>
    <t>SOUTHLAND</t>
  </si>
  <si>
    <t>BELLARMINE</t>
  </si>
  <si>
    <t>BELMONT</t>
  </si>
  <si>
    <t>SWAC</t>
  </si>
  <si>
    <t>BETHUNE_COOKMAN</t>
  </si>
  <si>
    <t>ACC_DIGITALNETWORK</t>
  </si>
  <si>
    <t>BOISE_ST</t>
  </si>
  <si>
    <t>ACC_DIGITAL_NETWORK</t>
  </si>
  <si>
    <t>BOSTON_COLLEGE</t>
  </si>
  <si>
    <t>ACC_ESPN</t>
  </si>
  <si>
    <t>BOSTON_UNIVERSITY</t>
  </si>
  <si>
    <t>ACC_ESPN_NETWORK</t>
  </si>
  <si>
    <t>BOWLING_GREEN</t>
  </si>
  <si>
    <t>ACC_ESPN_NETWORK_BLACK</t>
  </si>
  <si>
    <t>BRADLEY</t>
  </si>
  <si>
    <t>ACC_ESPN_NETWORK_GRAY</t>
  </si>
  <si>
    <t>BROWN</t>
  </si>
  <si>
    <t>ACC_ESPN_NETWORK_LIGHTGRAY</t>
  </si>
  <si>
    <t>BRYANT</t>
  </si>
  <si>
    <t>ACC_ESPN_NETWORK_WHITE</t>
  </si>
  <si>
    <t>BUCKNELL</t>
  </si>
  <si>
    <t>ACC_NETWORK</t>
  </si>
  <si>
    <t>BUFFALO</t>
  </si>
  <si>
    <t>ACC_NETWORK_BLACK</t>
  </si>
  <si>
    <t>BYU</t>
  </si>
  <si>
    <t>CALIFORNIA</t>
  </si>
  <si>
    <t>CALIFORNIA_BAPTIST</t>
  </si>
  <si>
    <t>CAL_POLY</t>
  </si>
  <si>
    <t>ACC_NETWORK_EXTRA</t>
  </si>
  <si>
    <t>CAL_ST_BAKERSFIELD</t>
  </si>
  <si>
    <t>CAL_ST_FULLERTON</t>
  </si>
  <si>
    <t>ACC_NETWORK_EXTRA_BLACK</t>
  </si>
  <si>
    <t>CAL_ST_NORTHRIDGE</t>
  </si>
  <si>
    <t>CAMPBELL</t>
  </si>
  <si>
    <t>ACC_NETWORK_EXTRA_LIGHTGRAY</t>
  </si>
  <si>
    <t>CANISIUS</t>
  </si>
  <si>
    <t>ACC_NETWORK_EXTRA_WHITE</t>
  </si>
  <si>
    <t>CENTRAL_ARKANSAS</t>
  </si>
  <si>
    <t>ACC_NETWORK_GRAY</t>
  </si>
  <si>
    <t>CENTRAL_CONNECTICUT_ST</t>
  </si>
  <si>
    <t>ACC_NETWORK_LIGHTGRAY</t>
  </si>
  <si>
    <t>CENTRAL_MICHIGAN</t>
  </si>
  <si>
    <t>CHARLESTON_SOUTHERN</t>
  </si>
  <si>
    <t>ACC_NETWORK_WHITE</t>
  </si>
  <si>
    <t>CHARLOTTE</t>
  </si>
  <si>
    <t>CHATTANOOGA</t>
  </si>
  <si>
    <t>ACC_WHITE</t>
  </si>
  <si>
    <t>CHICAGO_ST</t>
  </si>
  <si>
    <t>AMERICAN_BLACK</t>
  </si>
  <si>
    <t>CINCINNATI</t>
  </si>
  <si>
    <t>AMERICAN_GRAY</t>
  </si>
  <si>
    <t>CLEMSON</t>
  </si>
  <si>
    <t>AMERICAN_WHITE</t>
  </si>
  <si>
    <t>CLEVELAND_ST</t>
  </si>
  <si>
    <t>AMERICA_EAST_ESPN3</t>
  </si>
  <si>
    <t>COASTAL_CAROLINA</t>
  </si>
  <si>
    <t>COLGATE</t>
  </si>
  <si>
    <t>COLLEGE_OF_CHARLESTON</t>
  </si>
  <si>
    <t>COLORADO</t>
  </si>
  <si>
    <t>BIGEAST_NETWORK</t>
  </si>
  <si>
    <t>COLORADO_ST</t>
  </si>
  <si>
    <t>BIGEAST_NETWORK_GRAY</t>
  </si>
  <si>
    <t>COLUMBIA</t>
  </si>
  <si>
    <t>BIGEAST_NETWORK_LIGHTGRAY</t>
  </si>
  <si>
    <t>CONNECTICUT</t>
  </si>
  <si>
    <t>BIGEAST_NETWORK_WHITE</t>
  </si>
  <si>
    <t>COPPIN_ST</t>
  </si>
  <si>
    <t>BIGTENABC_BLACK</t>
  </si>
  <si>
    <t>CORNELL</t>
  </si>
  <si>
    <t>BIGTENABC_COLORPOSITIVE</t>
  </si>
  <si>
    <t>DARTMOUTH</t>
  </si>
  <si>
    <t>BIGTENABC_GRAY</t>
  </si>
  <si>
    <t>DAVIDSON</t>
  </si>
  <si>
    <t>BIGTENABC_LIGHTGRAY</t>
  </si>
  <si>
    <t>DAYTON</t>
  </si>
  <si>
    <t>BIGTENABC_WHITE</t>
  </si>
  <si>
    <t>DELAWARE</t>
  </si>
  <si>
    <t>BIGTENESPN_BLACK</t>
  </si>
  <si>
    <t>DELAWARE_ST</t>
  </si>
  <si>
    <t>BIGTENESPN_COLORPOSITIVE</t>
  </si>
  <si>
    <t>DENVER</t>
  </si>
  <si>
    <t>BIGTENESPN_GRAY</t>
  </si>
  <si>
    <t>DETROIT_MERCY</t>
  </si>
  <si>
    <t>BIGTENESPN_LIGHTGRAY</t>
  </si>
  <si>
    <t>BIGTENESPN_WHITE</t>
  </si>
  <si>
    <t>DRAKE</t>
  </si>
  <si>
    <t>BIGTEN_ABC</t>
  </si>
  <si>
    <t>DREXEL</t>
  </si>
  <si>
    <t>BIGTEN_ABC_BLACK</t>
  </si>
  <si>
    <t>DUKE</t>
  </si>
  <si>
    <t>BIGTEN_ABC_GRAY</t>
  </si>
  <si>
    <t>DUQUESNE</t>
  </si>
  <si>
    <t>BIGTEN_ABC_LIGHTGRAY</t>
  </si>
  <si>
    <t>EASTERN_ILLINOIS</t>
  </si>
  <si>
    <t>BIGTEN_ABC_WHITE</t>
  </si>
  <si>
    <t>EASTERN_KENTUCKY</t>
  </si>
  <si>
    <t>BIGTEN_ESPN</t>
  </si>
  <si>
    <t>EASTERN_MICHIGAN</t>
  </si>
  <si>
    <t>BIGTEN_ESPN_BLACK</t>
  </si>
  <si>
    <t>EASTERN_WASHINGTON</t>
  </si>
  <si>
    <t>BIGTEN_ESPN_GRAY</t>
  </si>
  <si>
    <t>EAST_CAROLINA</t>
  </si>
  <si>
    <t>BIGTEN_ESPN_LIGHTGRAY</t>
  </si>
  <si>
    <t>EAST_TENNESSEE_ST</t>
  </si>
  <si>
    <t>BIGTEN_ESPN_WHITE</t>
  </si>
  <si>
    <t>ELON</t>
  </si>
  <si>
    <t>EVANSVILLE</t>
  </si>
  <si>
    <t>FAIRFIELD</t>
  </si>
  <si>
    <t>FAIRLEIGH_DICKINSON</t>
  </si>
  <si>
    <t>FLORIDA</t>
  </si>
  <si>
    <t>FLORIDA_AM</t>
  </si>
  <si>
    <t>FLORIDA_ATLANTIC</t>
  </si>
  <si>
    <t>FLORIDA_GULF_COAST</t>
  </si>
  <si>
    <t>FLORIDA_INTERNATIONAL</t>
  </si>
  <si>
    <t>FLORIDA_ST</t>
  </si>
  <si>
    <t>ESPN+</t>
  </si>
  <si>
    <t>FORDHAM</t>
  </si>
  <si>
    <t>ESPN+_BLACK</t>
  </si>
  <si>
    <t>FRESNO_ST</t>
  </si>
  <si>
    <t>ESPN+_COLORNEGATIVE</t>
  </si>
  <si>
    <t>FURMAN</t>
  </si>
  <si>
    <t>ESPN+_GRAY</t>
  </si>
  <si>
    <t>GARDNER_WEBB</t>
  </si>
  <si>
    <t>ESPN+_ICON</t>
  </si>
  <si>
    <t>GEORGETOWN</t>
  </si>
  <si>
    <t>ESPN+_ICON_BLACK</t>
  </si>
  <si>
    <t>GEORGE_MASON</t>
  </si>
  <si>
    <t>ESPN+_ICON_COLORNEGATIVE</t>
  </si>
  <si>
    <t>GEORGE_WASHINGTON</t>
  </si>
  <si>
    <t>ESPN+_ICON_GRAY</t>
  </si>
  <si>
    <t>GEORGIA</t>
  </si>
  <si>
    <t>ESPN+_ICON_LIGHTGRAY</t>
  </si>
  <si>
    <t>GEORGIA_SOUTHERN</t>
  </si>
  <si>
    <t>ESPN+_ICON_WHITE</t>
  </si>
  <si>
    <t>GEORGIA_ST</t>
  </si>
  <si>
    <t>ESPN+_LIGHTGRAY</t>
  </si>
  <si>
    <t>GEORGIA_TECH</t>
  </si>
  <si>
    <t>ESPN+_WHITE</t>
  </si>
  <si>
    <t>GONZAGA</t>
  </si>
  <si>
    <t>ESPN</t>
  </si>
  <si>
    <t>GRAMBLING_ST</t>
  </si>
  <si>
    <t>ESPN2</t>
  </si>
  <si>
    <t>GRAND_CANYON</t>
  </si>
  <si>
    <t>ESPN2_BLACK</t>
  </si>
  <si>
    <t>GREEN_BAY</t>
  </si>
  <si>
    <t>ESPN2_ESPNAPP_MIRROR</t>
  </si>
  <si>
    <t>HAMPTON</t>
  </si>
  <si>
    <t>ESPN2_ESPNAPP_MIRRORWHITE</t>
  </si>
  <si>
    <t>HAMPTON_W</t>
  </si>
  <si>
    <t>ESPN2_ESPNEWS_WHITE</t>
  </si>
  <si>
    <t>HARVARD</t>
  </si>
  <si>
    <t>ESPN2_ESPNU_WHITE</t>
  </si>
  <si>
    <t>HAWAII</t>
  </si>
  <si>
    <t>ESPN2_GRAY</t>
  </si>
  <si>
    <t>ESPN2_GREY</t>
  </si>
  <si>
    <t>HOFSTRA</t>
  </si>
  <si>
    <t>ESPN2_LIGHTGRAY</t>
  </si>
  <si>
    <t>HOLY_CROSS</t>
  </si>
  <si>
    <t>ESPN2_RED</t>
  </si>
  <si>
    <t>HOUSTON</t>
  </si>
  <si>
    <t>ESPN2_WATCHESPN_MIRROR</t>
  </si>
  <si>
    <t>HOUSTON_BAPTIST</t>
  </si>
  <si>
    <t>ESPN2_WATCHESPN_MIRROR_WHITE</t>
  </si>
  <si>
    <t>HOWARD</t>
  </si>
  <si>
    <t>ESPN2_WHITE</t>
  </si>
  <si>
    <t>IDAHO</t>
  </si>
  <si>
    <t>ESPN3</t>
  </si>
  <si>
    <t>IDAHO_ST</t>
  </si>
  <si>
    <t>ESPN3_ESPNAPP_MIRROR</t>
  </si>
  <si>
    <t>ILLINOIS</t>
  </si>
  <si>
    <t>ESPN3_ESPNAPP_MIRRORWHITE</t>
  </si>
  <si>
    <t>ILLINOIS_CHICAGO</t>
  </si>
  <si>
    <t>ESPN3_GRAY</t>
  </si>
  <si>
    <t>ILLINOIS_ST</t>
  </si>
  <si>
    <t>ESPN3_LIGHTGRAY</t>
  </si>
  <si>
    <t>INCARNATE_WORD</t>
  </si>
  <si>
    <t>ESPN3_WATCHESPN_MIRROR</t>
  </si>
  <si>
    <t>INDIANA</t>
  </si>
  <si>
    <t>ESPN3_WATCHESPN_MIRROR_WHITE</t>
  </si>
  <si>
    <t>INDIANA_ST</t>
  </si>
  <si>
    <t>ESPN3_WHITE</t>
  </si>
  <si>
    <t>IONA</t>
  </si>
  <si>
    <t>IOWA</t>
  </si>
  <si>
    <t>IOWA_ST</t>
  </si>
  <si>
    <t>IUPUI</t>
  </si>
  <si>
    <t>JACKSONVILLE</t>
  </si>
  <si>
    <t>ESPNAPP</t>
  </si>
  <si>
    <t>JACKSONVILLE_ST</t>
  </si>
  <si>
    <t>ESPNAPP_1LINE</t>
  </si>
  <si>
    <t>JACKSON_ST</t>
  </si>
  <si>
    <t>ESPNAPP_1LINE_BLACK</t>
  </si>
  <si>
    <t>JAMES_MADISON</t>
  </si>
  <si>
    <t>ESPNAPP_1LINE_BWNEGATIVE</t>
  </si>
  <si>
    <t>KANSAS</t>
  </si>
  <si>
    <t>ESPNAPP_1LINE_BWPOSITIVE</t>
  </si>
  <si>
    <t>KANSAS_ST</t>
  </si>
  <si>
    <t>ESPNAPP_1LINE_COLORNEGATIVE</t>
  </si>
  <si>
    <t>KENNESAW_ST</t>
  </si>
  <si>
    <t>ESPNAPP_1LINE_GRAY</t>
  </si>
  <si>
    <t>KENTUCKY</t>
  </si>
  <si>
    <t>ESPNAPP_1LINE_LIGHTGRAY</t>
  </si>
  <si>
    <t>KENT_ST</t>
  </si>
  <si>
    <t>ESPNAPP_1LINE_WHITE</t>
  </si>
  <si>
    <t>LAFAYETTE</t>
  </si>
  <si>
    <t>ESPNAPP_BLACK</t>
  </si>
  <si>
    <t>LAMAR</t>
  </si>
  <si>
    <t>ESPNAPP_BLACK_512</t>
  </si>
  <si>
    <t>LASALLE</t>
  </si>
  <si>
    <t>ESPNAPP_BWNEGATIVE</t>
  </si>
  <si>
    <t>LEHIGH</t>
  </si>
  <si>
    <t>ESPNAPP_BWPOSITIVE</t>
  </si>
  <si>
    <t>LIBERTY</t>
  </si>
  <si>
    <t>ESPNAPP_COLORNEGATIVE</t>
  </si>
  <si>
    <t>LIPSCOMB</t>
  </si>
  <si>
    <t>ESPNAPP_ENVIVO</t>
  </si>
  <si>
    <t>LITTLE_ROCK</t>
  </si>
  <si>
    <t>ESPNAPP_ENVIVO_BLACK</t>
  </si>
  <si>
    <t>LONGWOOD</t>
  </si>
  <si>
    <t>ESPNAPP_ENVIVO_BWNEGATIVE</t>
  </si>
  <si>
    <t>LONG_BEACH_ST</t>
  </si>
  <si>
    <t>ESPNAPP_ENVIVO_BWPOSITIVE</t>
  </si>
  <si>
    <t>LOUISIANA</t>
  </si>
  <si>
    <t>ESPNAPP_ENVIVO_COLORNEGATIVE</t>
  </si>
  <si>
    <t>LOUISIANA_TECH</t>
  </si>
  <si>
    <t>ESPNAPP_ENVIVO_GRAY</t>
  </si>
  <si>
    <t>LOUISVILLE</t>
  </si>
  <si>
    <t>ESPNAPP_ENVIVO_LIGHTGRAY</t>
  </si>
  <si>
    <t>LOYOLA_CHICAGO</t>
  </si>
  <si>
    <t>ESPNAPP_ENVIVO_WHITE</t>
  </si>
  <si>
    <t>LOYOLA_MARYLAND</t>
  </si>
  <si>
    <t>ESPNAPP_GRAY</t>
  </si>
  <si>
    <t>LOYOLA_MARYMOUNT</t>
  </si>
  <si>
    <t>ESPNAPP_ICON_OVERDARK</t>
  </si>
  <si>
    <t>LSU</t>
  </si>
  <si>
    <t>ESPNAPP_ICON_OVERLIGHT</t>
  </si>
  <si>
    <t>MANHATTAN</t>
  </si>
  <si>
    <t>ESPNAPP_KNOCKOUT</t>
  </si>
  <si>
    <t>MARIST</t>
  </si>
  <si>
    <t>ESPNAPP_LIGHTGRAY</t>
  </si>
  <si>
    <t>MARSHALL</t>
  </si>
  <si>
    <t>ESPNAPP_SPANISH</t>
  </si>
  <si>
    <t>MARYLAND</t>
  </si>
  <si>
    <t>ESPNAPP_WATCHESPN_NOTEXTCOMBO1</t>
  </si>
  <si>
    <t>MARYLAND_EASTERN_SHORE</t>
  </si>
  <si>
    <t>ESPNAPP_WATCHESPN_NOTEXTCOMBO2</t>
  </si>
  <si>
    <t>MASSACHUSETTS</t>
  </si>
  <si>
    <t>ESPNAPP_WHITE</t>
  </si>
  <si>
    <t>MCNEESE_ST</t>
  </si>
  <si>
    <t>MEMPHIS</t>
  </si>
  <si>
    <t>MERCER</t>
  </si>
  <si>
    <t>MIAMI_FL</t>
  </si>
  <si>
    <t>MIAMI_OH</t>
  </si>
  <si>
    <t>MICHIGAN</t>
  </si>
  <si>
    <t>MICHIGAN_ST</t>
  </si>
  <si>
    <t>MIDDLE_TENNESSEE</t>
  </si>
  <si>
    <t>MILWAUKEE</t>
  </si>
  <si>
    <t>MINNESOTA</t>
  </si>
  <si>
    <t>MISSISSIPPI_ST</t>
  </si>
  <si>
    <t>MISSISSIPPI_VALLEY_ST</t>
  </si>
  <si>
    <t>MISSOURI</t>
  </si>
  <si>
    <t>MISSOURI_ST</t>
  </si>
  <si>
    <t>MONMOUTH</t>
  </si>
  <si>
    <t>MONTANA</t>
  </si>
  <si>
    <t>MONTANA_ST</t>
  </si>
  <si>
    <t>MOREHEAD_ST</t>
  </si>
  <si>
    <t>MORGAN_ST</t>
  </si>
  <si>
    <t>MOUNT_ST_MARYS</t>
  </si>
  <si>
    <t>MURRAY_ST</t>
  </si>
  <si>
    <t>NAVY</t>
  </si>
  <si>
    <t>NC_ST</t>
  </si>
  <si>
    <t>NEBRASKA</t>
  </si>
  <si>
    <t>NEVADA</t>
  </si>
  <si>
    <t>NEW_MEXICO</t>
  </si>
  <si>
    <t>NEW_MEXICO_ST</t>
  </si>
  <si>
    <t>NEW_ORLEANS</t>
  </si>
  <si>
    <t>ESPNEWS</t>
  </si>
  <si>
    <t>NIAGARA</t>
  </si>
  <si>
    <t>ESPNEWS_GRAY</t>
  </si>
  <si>
    <t>NICHOLLS_ST</t>
  </si>
  <si>
    <t>ESPNEWS_LIGHTGRAY</t>
  </si>
  <si>
    <t>NJIT</t>
  </si>
  <si>
    <t>ESPNEWS_RED</t>
  </si>
  <si>
    <t>NORFOLK_ST</t>
  </si>
  <si>
    <t>ESPNEWS_WHITE</t>
  </si>
  <si>
    <t>NORTHEASTERN</t>
  </si>
  <si>
    <t>NORTHERN_ARIZONA</t>
  </si>
  <si>
    <t>NORTHERN_COLORADO</t>
  </si>
  <si>
    <t>NORTHERN_ILLINOIS</t>
  </si>
  <si>
    <t>NORTHERN_IOWA</t>
  </si>
  <si>
    <t>ESPNPLUS</t>
  </si>
  <si>
    <t>NORTHERN_KENTUCKY</t>
  </si>
  <si>
    <t>ESPNPLUS_GRAY</t>
  </si>
  <si>
    <t>NORTHWESTERN</t>
  </si>
  <si>
    <t>ESPNPLUS_LIGHTGRAY</t>
  </si>
  <si>
    <t>NORTHWESTERN_ST</t>
  </si>
  <si>
    <t>ESPNPLUS_WHITE</t>
  </si>
  <si>
    <t>NORTH_ALABAMA</t>
  </si>
  <si>
    <t>NORTH_CAROLINA</t>
  </si>
  <si>
    <t>NORTH_CAROLINA_AT</t>
  </si>
  <si>
    <t>NORTH_CAROLINA_CENTRAL</t>
  </si>
  <si>
    <t>NORTH_DAKOTA</t>
  </si>
  <si>
    <t>NORTH_DAKOTA_ST</t>
  </si>
  <si>
    <t>NORTH_FLORIDA</t>
  </si>
  <si>
    <t>NORTH_TEXAS</t>
  </si>
  <si>
    <t>NOTRE_DAME</t>
  </si>
  <si>
    <t>OAKLAND</t>
  </si>
  <si>
    <t>OHIO</t>
  </si>
  <si>
    <t>OHIO_ST</t>
  </si>
  <si>
    <t>OKLAHOMA</t>
  </si>
  <si>
    <t>OKLAHOMA_ST</t>
  </si>
  <si>
    <t>OLD_DOMINION</t>
  </si>
  <si>
    <t>OLE_MISS</t>
  </si>
  <si>
    <t>OMAHA</t>
  </si>
  <si>
    <t>ESPNU</t>
  </si>
  <si>
    <t>ORAL_ROBERTS</t>
  </si>
  <si>
    <t>ESPNU_BLACK</t>
  </si>
  <si>
    <t>OREGON</t>
  </si>
  <si>
    <t>ESPNU_ESPNAPP_MIRROR</t>
  </si>
  <si>
    <t>OREGON_ST</t>
  </si>
  <si>
    <t>ESPNU_ESPNAPP_MIRRORWHITE</t>
  </si>
  <si>
    <t>PACIFIC</t>
  </si>
  <si>
    <t>ESPNU_ESPNEWS_WHITE</t>
  </si>
  <si>
    <t>PENNSYLVANIA</t>
  </si>
  <si>
    <t>ESPNU_GRAY</t>
  </si>
  <si>
    <t>PENN_ST</t>
  </si>
  <si>
    <t>PEPPERDINE</t>
  </si>
  <si>
    <t>ESPNU_VERTICAL</t>
  </si>
  <si>
    <t>PITTSBURGH</t>
  </si>
  <si>
    <t>ESPNU_WATCHESPN_MIRROR</t>
  </si>
  <si>
    <t>PORTLAND</t>
  </si>
  <si>
    <t>ESPNU_WATCHESPN_MIRROR_WHITE</t>
  </si>
  <si>
    <t>PORTLAND_ST</t>
  </si>
  <si>
    <t>ESPNU_WHITE</t>
  </si>
  <si>
    <t>PRAIRIE_VIEW</t>
  </si>
  <si>
    <t>ESPNW</t>
  </si>
  <si>
    <t>PRESBYTERIAN</t>
  </si>
  <si>
    <t>ESPNWCOM_RED_HORIZONTAL</t>
  </si>
  <si>
    <t>PRINCETON</t>
  </si>
  <si>
    <t>ESPNWCOM_RED_STACKED</t>
  </si>
  <si>
    <t>PURDUE</t>
  </si>
  <si>
    <t>ESPNW_GRAY</t>
  </si>
  <si>
    <t>PURDUE_FORT_WAYNE</t>
  </si>
  <si>
    <t>ESPNW_LIGHTGRAY</t>
  </si>
  <si>
    <t>QUINNIPIAC</t>
  </si>
  <si>
    <t>ESPNW_RED_HORIZONTAL</t>
  </si>
  <si>
    <t>RADFORD</t>
  </si>
  <si>
    <t>ESPNW_RED_STACKED</t>
  </si>
  <si>
    <t>RHODE_ISLAND</t>
  </si>
  <si>
    <t>ESPNW_WHITE</t>
  </si>
  <si>
    <t>RICE</t>
  </si>
  <si>
    <t>RICHMOND</t>
  </si>
  <si>
    <t>RIDER</t>
  </si>
  <si>
    <t>ROBERT_MORRIS</t>
  </si>
  <si>
    <t>RUTGERS</t>
  </si>
  <si>
    <t>SACRAMENTO_ST</t>
  </si>
  <si>
    <t>ESPN_APP</t>
  </si>
  <si>
    <t>SACRED_HEART</t>
  </si>
  <si>
    <t>ESPN_APP_ICON</t>
  </si>
  <si>
    <t>SAINT_JOSEPHS</t>
  </si>
  <si>
    <t>ESPN_BLACK</t>
  </si>
  <si>
    <t>SAINT_LOUIS</t>
  </si>
  <si>
    <t>ESPN_COLLEGE_BPI</t>
  </si>
  <si>
    <t>SAINT_MARYS</t>
  </si>
  <si>
    <t>SAMFORD</t>
  </si>
  <si>
    <t>ESPN_DEPORTESRADIO_LIGHTGRAY</t>
  </si>
  <si>
    <t>SAM_HOUSTON_ST</t>
  </si>
  <si>
    <t>ESPN_ESPN2_MIRROR_RED</t>
  </si>
  <si>
    <t>SANTA_CLARA</t>
  </si>
  <si>
    <t>ESPN_ESPN2_MIRROR_WHITE</t>
  </si>
  <si>
    <t>SAN_DIEGO</t>
  </si>
  <si>
    <t>ESPN_ESPN2_WHITE</t>
  </si>
  <si>
    <t>SAN_DIEGO_ST</t>
  </si>
  <si>
    <t>ESPN_ESPNAPP_MIRROR</t>
  </si>
  <si>
    <t>SAN_FRANCISCO</t>
  </si>
  <si>
    <t>ESPN_ESPNAPP_MIRRORWHITE</t>
  </si>
  <si>
    <t>SAN_JOSE_ST</t>
  </si>
  <si>
    <t>ESPN_ESPNEWS_WHITE</t>
  </si>
  <si>
    <t>SAVANNAH_ST</t>
  </si>
  <si>
    <t>ESPN_ESPNU_WHITE</t>
  </si>
  <si>
    <t>SEATTLE</t>
  </si>
  <si>
    <t>ESPN_GRAY</t>
  </si>
  <si>
    <t>SIENA</t>
  </si>
  <si>
    <t>SIU_EDWARDSVILLE</t>
  </si>
  <si>
    <t>SMU</t>
  </si>
  <si>
    <t>ESPN_LIGHTGRAY</t>
  </si>
  <si>
    <t>SOUTHEASTERN_LOUISIANA</t>
  </si>
  <si>
    <t>SOUTHEAST_MISSOURI_ST</t>
  </si>
  <si>
    <t>SOUTHERN</t>
  </si>
  <si>
    <t>SOUTHERN_ILLINOIS</t>
  </si>
  <si>
    <t>SOUTHERN_MISS</t>
  </si>
  <si>
    <t>SOUTHERN_UTAH</t>
  </si>
  <si>
    <t>SOUTH_ALABAMA</t>
  </si>
  <si>
    <t>SOUTH_CAROLINA</t>
  </si>
  <si>
    <t>SOUTH_CAROLINA_ST</t>
  </si>
  <si>
    <t>SOUTH_DAKOTA</t>
  </si>
  <si>
    <t>ESPN_Plus_Bug</t>
  </si>
  <si>
    <t>SOUTH_DAKOTA_ST</t>
  </si>
  <si>
    <t>SOUTH_FLORIDA</t>
  </si>
  <si>
    <t>STANFORD</t>
  </si>
  <si>
    <t>STEPHEN_F_AUSTIN</t>
  </si>
  <si>
    <t>STETSON</t>
  </si>
  <si>
    <t>ST_BONAVENTURE</t>
  </si>
  <si>
    <t>ST_FRANCIS_PA</t>
  </si>
  <si>
    <t>ESPN_SECNETWORK_MIRROR</t>
  </si>
  <si>
    <t>ST_PETERS</t>
  </si>
  <si>
    <t>SYRACUSE</t>
  </si>
  <si>
    <t>TCU</t>
  </si>
  <si>
    <t>TEMPLE</t>
  </si>
  <si>
    <t>ESPN_WHITE</t>
  </si>
  <si>
    <t>TENNESSEE</t>
  </si>
  <si>
    <t>TENNESSEE_MARTIN</t>
  </si>
  <si>
    <t>TENNESSEE_ST</t>
  </si>
  <si>
    <t>TENNESSEE_TECH</t>
  </si>
  <si>
    <t>TEXAS</t>
  </si>
  <si>
    <t>TEXAS_AM</t>
  </si>
  <si>
    <t>TEXAS_AM_CORPUS_CHRISTI</t>
  </si>
  <si>
    <t>TEXAS_SOUTHERN</t>
  </si>
  <si>
    <t>TEXAS_ST</t>
  </si>
  <si>
    <t>TEXAS_TECH</t>
  </si>
  <si>
    <t>THE_CITADEL</t>
  </si>
  <si>
    <t>TOLEDO</t>
  </si>
  <si>
    <t>TOWSON</t>
  </si>
  <si>
    <t>TROY</t>
  </si>
  <si>
    <t>TULANE</t>
  </si>
  <si>
    <t>TULSA</t>
  </si>
  <si>
    <t>UAB</t>
  </si>
  <si>
    <t>UCF</t>
  </si>
  <si>
    <t>UCLA</t>
  </si>
  <si>
    <t>UC_DAVIS</t>
  </si>
  <si>
    <t>UC_IRVINE</t>
  </si>
  <si>
    <t>UC_RIVERSIDE</t>
  </si>
  <si>
    <t>FULLCOURT</t>
  </si>
  <si>
    <t>UC_SANTA_BARBARA</t>
  </si>
  <si>
    <t>FULLCOURT_GRAY</t>
  </si>
  <si>
    <t>UL_MONROE</t>
  </si>
  <si>
    <t>FULLCOURT_LIGHTGRAY</t>
  </si>
  <si>
    <t>UMKC</t>
  </si>
  <si>
    <t>FULLCOURT_WHITE</t>
  </si>
  <si>
    <t>UNC_ASHEVILLE</t>
  </si>
  <si>
    <t>UNC_WILMINGTON</t>
  </si>
  <si>
    <t>UNLV</t>
  </si>
  <si>
    <t>USC</t>
  </si>
  <si>
    <t>USC_UPSTATE</t>
  </si>
  <si>
    <t>UTAH</t>
  </si>
  <si>
    <t>UTAH_ST</t>
  </si>
  <si>
    <t>UTAH_VALLEY</t>
  </si>
  <si>
    <t>UTEP</t>
  </si>
  <si>
    <t>UT_ARLINGTON</t>
  </si>
  <si>
    <t>UT_RIO_GRANDE_VALLEY</t>
  </si>
  <si>
    <t>VALPARAISO</t>
  </si>
  <si>
    <t>VANDERBILT</t>
  </si>
  <si>
    <t>VCU</t>
  </si>
  <si>
    <t>MISSOURIVALLEY_ESPN3_HORIZONTAL</t>
  </si>
  <si>
    <t>VIRGINIA</t>
  </si>
  <si>
    <t>MISSOURIVALLEY_ESPN3_VERTICAL</t>
  </si>
  <si>
    <t>VIRGINIA_TECH</t>
  </si>
  <si>
    <t>VMI</t>
  </si>
  <si>
    <t>WAGNER</t>
  </si>
  <si>
    <t>WAKE_FOREST</t>
  </si>
  <si>
    <t>WASHINGTON</t>
  </si>
  <si>
    <t>WASHINGTON_ST</t>
  </si>
  <si>
    <t>WEBER_ST</t>
  </si>
  <si>
    <t>WESTERN_CAROLINA</t>
  </si>
  <si>
    <t>WESTERN_ILLINOIS</t>
  </si>
  <si>
    <t>WESTERN_KENTUCKY</t>
  </si>
  <si>
    <t>WESTERN_MICHIGAN</t>
  </si>
  <si>
    <t>WEST_VIRGINIA</t>
  </si>
  <si>
    <t>WICHITA_ST</t>
  </si>
  <si>
    <t>WILLIAM_AND_MARY</t>
  </si>
  <si>
    <t>WINTHROP</t>
  </si>
  <si>
    <t>WISCONSIN</t>
  </si>
  <si>
    <t>WOFFORD</t>
  </si>
  <si>
    <t>WRIGHT_ST</t>
  </si>
  <si>
    <t>WYOMING</t>
  </si>
  <si>
    <t>YALE</t>
  </si>
  <si>
    <t>SECNETWORK+</t>
  </si>
  <si>
    <t>YOUNGSTOWN_ST</t>
  </si>
  <si>
    <t>SECNETWORK+_GRAY</t>
  </si>
  <si>
    <t>SECNETWORK+_LIGHTGRAY</t>
  </si>
  <si>
    <t>SECNETWORK+_WHITE</t>
  </si>
  <si>
    <t>SEC_NETWORK+</t>
  </si>
  <si>
    <t>SEC_NETWORK+_GRAY</t>
  </si>
  <si>
    <t>SEC_NETWORK+_LIGHTGRAY</t>
  </si>
  <si>
    <t>SEC_NETWORK+_WHITE</t>
  </si>
  <si>
    <t>SEC_NETWORK</t>
  </si>
  <si>
    <t>SEC_NETWORK_GRAY</t>
  </si>
  <si>
    <t>SEC_NETWORK_HORIZONTAL</t>
  </si>
  <si>
    <t>SEC_NETWORK_HORIZONTAL_GRAY</t>
  </si>
  <si>
    <t>SEC_NETWORK_HORIZONTAL_WHITE</t>
  </si>
  <si>
    <t>SEC_NETWORK_LIGHTGRAY</t>
  </si>
  <si>
    <t>SEC_NETWORK_WHITE</t>
  </si>
  <si>
    <t>SEC_ON_ESPN</t>
  </si>
  <si>
    <t>STREAMINGLIVE_WATCHESPNAPPCOMBO_BLACK</t>
  </si>
  <si>
    <t>STREAMINGLIVE_WATCHESPNAPPCOMBO_BLACKANDWHITE1</t>
  </si>
  <si>
    <t>STREAMINGLIVE_WATCHESPNAPPCOMBO_BLACKANDWHITE2</t>
  </si>
  <si>
    <t>STREAMINGLIVE_WATCHESPNAPPCOMBO_FULLCOLORBLACKTEXT</t>
  </si>
  <si>
    <t>STREAMINGLIVE_WATCHESPNAPPCOMBO_FULLCOLORWHITETEXT</t>
  </si>
  <si>
    <t>STREAMINGLIVE_WATCHESPNAPPCOMBO_WHITE</t>
  </si>
  <si>
    <t>SUNBELT_BLACK</t>
  </si>
  <si>
    <t>SUNBELT_GRAY</t>
  </si>
  <si>
    <t>SUNBELT_WHITE</t>
  </si>
  <si>
    <t>WATCHESPN</t>
  </si>
  <si>
    <t>WATCHESPN_GRAY</t>
  </si>
  <si>
    <t>WATCHESPN_LIGHTGRAY</t>
  </si>
  <si>
    <t>WATCHESPN_WHITE</t>
  </si>
  <si>
    <t>WATCH_ESPN_HORIZONTAL</t>
  </si>
  <si>
    <t>Display Jersey</t>
  </si>
  <si>
    <t>Save #</t>
  </si>
  <si>
    <t>First Name CAPS</t>
  </si>
  <si>
    <t>Last Name CAPS</t>
  </si>
  <si>
    <t>Line 1 Text (Upper/Lower)</t>
  </si>
  <si>
    <t>Sticker only - no dropline</t>
  </si>
  <si>
    <t xml:space="preserve">Stickers only </t>
  </si>
  <si>
    <t xml:space="preserve">Do not delete COLUMNS. Do not Delete rows above here. </t>
  </si>
  <si>
    <t>MIKE</t>
  </si>
  <si>
    <t>STOOPS</t>
  </si>
  <si>
    <t>RUFFIN</t>
  </si>
  <si>
    <t>McNEIL</t>
  </si>
  <si>
    <t>Assistant Head Coach/Defensive Tackles Coach</t>
  </si>
  <si>
    <t>Defensive Coordinator</t>
  </si>
  <si>
    <t>DEF. COACH</t>
  </si>
  <si>
    <t>at</t>
  </si>
  <si>
    <t>X-X</t>
  </si>
  <si>
    <t>ESPN 100 Rank</t>
  </si>
  <si>
    <t xml:space="preserve">ALL STAT INFORMATION WILL POPULATE DROP-DOWN MENUS ON THE SEASON TAB. ON THE SEASON TAB JUST PICK THE THREE CATEGORIES TO POPULATE </t>
  </si>
  <si>
    <t>Player Name</t>
  </si>
  <si>
    <t>POINTS</t>
  </si>
  <si>
    <t>FIELD GOALS</t>
  </si>
  <si>
    <t>3PT%</t>
  </si>
  <si>
    <t>FT%</t>
  </si>
  <si>
    <t>REBOUNDS</t>
  </si>
  <si>
    <t>ASSISTS</t>
  </si>
  <si>
    <t>BLOCKS</t>
  </si>
  <si>
    <t>STEALS</t>
  </si>
  <si>
    <t>MINUTES</t>
  </si>
  <si>
    <t>CAT1</t>
  </si>
  <si>
    <t>CAT1 HILITE</t>
  </si>
  <si>
    <t>CAT2</t>
  </si>
  <si>
    <t>CAT2 HILITE</t>
  </si>
  <si>
    <t>CAT3</t>
  </si>
  <si>
    <t>CAT3 HILITE</t>
  </si>
  <si>
    <t>STAT HILITE NOTE</t>
  </si>
  <si>
    <t>PTS STAT</t>
  </si>
  <si>
    <t>FG STAT</t>
  </si>
  <si>
    <t>3PT% STAT</t>
  </si>
  <si>
    <t>FT% STAT</t>
  </si>
  <si>
    <t>REBS STAT</t>
  </si>
  <si>
    <t>ASSTS STAT</t>
  </si>
  <si>
    <t>BLOCKS STAT</t>
  </si>
  <si>
    <t>STEALS STAT</t>
  </si>
  <si>
    <t>MINUTES STAT</t>
  </si>
  <si>
    <t>AVERAGE STAT</t>
  </si>
  <si>
    <t>SEASON + FT STAT</t>
  </si>
  <si>
    <t>SEASON + 3PT%</t>
  </si>
  <si>
    <t>FG</t>
  </si>
  <si>
    <t>X</t>
  </si>
  <si>
    <t>4.2 PPG</t>
  </si>
  <si>
    <t>45% FG</t>
  </si>
  <si>
    <t>AMERICA_EAST</t>
  </si>
  <si>
    <t>ATLANTIC_10</t>
  </si>
  <si>
    <t>ATLANTIC_SUN</t>
  </si>
  <si>
    <t>BIG_EAST</t>
  </si>
  <si>
    <t>BIG_WEST</t>
  </si>
  <si>
    <t>CIAA</t>
  </si>
  <si>
    <t>COLONIAL</t>
  </si>
  <si>
    <t>HORIZON_LEAGUE</t>
  </si>
  <si>
    <t>MAC</t>
  </si>
  <si>
    <t>MAAC</t>
  </si>
  <si>
    <t>NAIA</t>
  </si>
  <si>
    <t>SEC</t>
  </si>
  <si>
    <t>ACC</t>
  </si>
  <si>
    <t>SOCON</t>
  </si>
  <si>
    <t>SUMMIT_LEAGUE</t>
  </si>
  <si>
    <t>SUN_BELT</t>
  </si>
  <si>
    <t>WEST_COAST</t>
  </si>
  <si>
    <t>WESTERN_ATHLETIC</t>
  </si>
  <si>
    <t>Field Goals</t>
  </si>
  <si>
    <t>Free Throws</t>
  </si>
  <si>
    <t>Rebounds</t>
  </si>
  <si>
    <t>Scoring</t>
  </si>
  <si>
    <t>4th in Big 12</t>
  </si>
  <si>
    <t>5th in Big 12</t>
  </si>
  <si>
    <t>10th in NCAA</t>
  </si>
  <si>
    <t>7th in Big 12</t>
  </si>
  <si>
    <t>5th fewest in NCAA</t>
  </si>
  <si>
    <t>6th in Big 12</t>
  </si>
  <si>
    <t>TOP LINE</t>
  </si>
  <si>
    <t>BOTTOM LINE</t>
  </si>
  <si>
    <t>USER TEXT</t>
  </si>
  <si>
    <t>USER CAT1</t>
  </si>
  <si>
    <t>USER CAT2</t>
  </si>
  <si>
    <t>AWAY/HOME SEL</t>
  </si>
  <si>
    <t>Away</t>
  </si>
  <si>
    <t>Home</t>
  </si>
  <si>
    <t>** MAKE SURE YOU SELECT AWAY OR HOME ON THE TEAM INFO TAB (CELL B2) **</t>
  </si>
  <si>
    <t>Team Rank</t>
  </si>
  <si>
    <t>Team Nickname</t>
  </si>
  <si>
    <t>Team Tricode</t>
  </si>
  <si>
    <t>Note: Fill out information in BLUE cells only and select Away/Home in cell B2</t>
  </si>
  <si>
    <t>COACHING RÉSUMÉ</t>
  </si>
  <si>
    <t>BIOS: 11xx Away, 21xx Home</t>
  </si>
  <si>
    <t>ALL CAPS</t>
  </si>
  <si>
    <t>Optional</t>
  </si>
  <si>
    <t>Offensive Rebounds</t>
  </si>
  <si>
    <t>Rebound Margin</t>
  </si>
  <si>
    <t>Assists</t>
  </si>
  <si>
    <t>Blocks</t>
  </si>
  <si>
    <t>Team Dashboard Name (CAPS)</t>
  </si>
  <si>
    <t>3-PT FG</t>
  </si>
  <si>
    <t>FG Defense</t>
  </si>
  <si>
    <t>Paint Points</t>
  </si>
  <si>
    <t>Points Off TO</t>
  </si>
  <si>
    <t>Away L3</t>
  </si>
  <si>
    <t>Home L3</t>
  </si>
  <si>
    <t>Away User</t>
  </si>
  <si>
    <t>Home User</t>
  </si>
  <si>
    <t>Season/Tonight</t>
  </si>
  <si>
    <t>Dashboard Swatch Selector</t>
  </si>
  <si>
    <t>DASH_SWATCH_SELECT</t>
  </si>
  <si>
    <t>HEADSHOT_ONOFF</t>
  </si>
  <si>
    <t>On/Off</t>
  </si>
  <si>
    <t>Headshots On/Off (0=Off, 1=On)</t>
  </si>
  <si>
    <t>Header</t>
  </si>
  <si>
    <t>CAPS</t>
  </si>
  <si>
    <t>Coach Resume:</t>
  </si>
  <si>
    <t>Note: press ALT-ENTER to break into multiple lines</t>
  </si>
  <si>
    <t>Line1 Test 
Line 1a</t>
  </si>
  <si>
    <t>Line2 Text
Line 2a</t>
  </si>
  <si>
    <t>Line3 Test
Line3a</t>
  </si>
  <si>
    <t>Line4</t>
  </si>
  <si>
    <t>Line4 Text
Line4a</t>
  </si>
  <si>
    <t>COACH_RESUME_LINE4</t>
  </si>
  <si>
    <t>Drop</t>
  </si>
  <si>
    <t>Num Rows (1-4)</t>
  </si>
  <si>
    <t>Bio Dropline</t>
  </si>
  <si>
    <t>Head Coach: Fill in first/last name in cells B3/C3.  This will copy to the remaining head coach shells.</t>
  </si>
  <si>
    <t>Full Name CAPS</t>
  </si>
  <si>
    <t>Year CAPS</t>
  </si>
  <si>
    <t>Actionshot</t>
  </si>
  <si>
    <t>00</t>
  </si>
  <si>
    <t xml:space="preserve"> Team Record (CAPS)</t>
  </si>
  <si>
    <t>Team College</t>
  </si>
  <si>
    <t>LOGO / SWATCH / HEADSHOT / ACTION</t>
  </si>
  <si>
    <t>First Name (CAPS)</t>
  </si>
  <si>
    <t>Last Name (CAPS)</t>
  </si>
  <si>
    <t>COACH_RESUME_ROWS</t>
  </si>
  <si>
    <t/>
  </si>
  <si>
    <t>G / F / C</t>
  </si>
  <si>
    <t>Type in blue cells only</t>
  </si>
  <si>
    <t>USER TEXT (ALL CAPS)</t>
  </si>
  <si>
    <t>TEAM USER MESSAGES</t>
  </si>
  <si>
    <t>2 LINE USERS (5150-59 AWAY / 5250-59 HOME)</t>
  </si>
  <si>
    <t>Dropline goes here</t>
  </si>
  <si>
    <t>Save Ranges</t>
  </si>
  <si>
    <t>ONLY FILL IN THE JERSEY NUMBER. ALL OTHER INFORMATION WILL POPULATE BASED OFF JERSEY NUMBER.</t>
  </si>
  <si>
    <t>HEADSHOT</t>
  </si>
  <si>
    <t>HOMETOWN</t>
  </si>
  <si>
    <t>FULL YEAR</t>
  </si>
  <si>
    <t>HEIGHT</t>
  </si>
  <si>
    <t>YEAR</t>
  </si>
  <si>
    <t>POS SHORT</t>
  </si>
  <si>
    <t>FULL NAME</t>
  </si>
  <si>
    <t>LAST NAME</t>
  </si>
  <si>
    <t>FIRST NAME</t>
  </si>
  <si>
    <t>JERSEY NUMBER</t>
  </si>
  <si>
    <t>*For 1-Line player L3rds w/dropline, enter the data into column I and J.</t>
  </si>
  <si>
    <t>*For 1-Line player L3rds, enter the data into column I.</t>
  </si>
  <si>
    <t>*For Header, enter the data into column G.</t>
  </si>
  <si>
    <t>1-Line &amp; 1-Line w/Drop Instructions (7300s - Away &amp; 8300s - Home)</t>
  </si>
  <si>
    <t>1 LINE DROP</t>
  </si>
  <si>
    <t>1 LINE HERO</t>
  </si>
  <si>
    <t>HEADER</t>
  </si>
  <si>
    <t>Player Heroes - Away: 73xx /Home: 83xx</t>
  </si>
  <si>
    <t>Away: 74xx / Home: 84xx</t>
  </si>
  <si>
    <t>Away: 75xx / Home: 85xx</t>
  </si>
  <si>
    <t>AWAY: 1760 FS</t>
  </si>
  <si>
    <t>Subtitle</t>
  </si>
  <si>
    <t xml:space="preserve">                1761 SLAB</t>
  </si>
  <si>
    <t>HOME: 2760 FS</t>
  </si>
  <si>
    <t xml:space="preserve">                2761 SLAB</t>
  </si>
  <si>
    <t>Upcoming Schedule</t>
  </si>
  <si>
    <t>(Hardcoded in Scene)</t>
  </si>
  <si>
    <t>Player Users (ENTER INFO IN CAPS)</t>
  </si>
  <si>
    <t>Upper/Lower (if needed)</t>
  </si>
  <si>
    <t>Dropline Text</t>
  </si>
  <si>
    <t>Upper / Lower</t>
  </si>
  <si>
    <t>Line 1 Text</t>
  </si>
  <si>
    <t>Stat Note Here zz</t>
  </si>
  <si>
    <t>Headshot Path for XPression Only</t>
  </si>
  <si>
    <t>Upper/Lower</t>
  </si>
  <si>
    <t>FIRST</t>
  </si>
  <si>
    <t>LAST</t>
  </si>
  <si>
    <t>Coach Info Here</t>
  </si>
  <si>
    <t>TEAM_SPLIT</t>
  </si>
  <si>
    <t>TENNESSEE_W</t>
  </si>
  <si>
    <t>BINGHAMTON</t>
  </si>
  <si>
    <t>BUTLER</t>
  </si>
  <si>
    <t>CREIGHTON</t>
  </si>
  <si>
    <t>DEPAUL</t>
  </si>
  <si>
    <t>LONG_ISLAND</t>
  </si>
  <si>
    <t>HIGH_POINT</t>
  </si>
  <si>
    <t>MARQUETTE</t>
  </si>
  <si>
    <t>PROVIDENCE</t>
  </si>
  <si>
    <t>ST_JOHNS</t>
  </si>
  <si>
    <t>STONY_BROOK</t>
  </si>
  <si>
    <t>UNCG</t>
  </si>
  <si>
    <t>ALBANY</t>
  </si>
  <si>
    <t>HARTFORD</t>
  </si>
  <si>
    <t>MAINE</t>
  </si>
  <si>
    <t>UMASS_LOWELL</t>
  </si>
  <si>
    <t>UMASS</t>
  </si>
  <si>
    <t>UCONN</t>
  </si>
  <si>
    <t>NEW_HAMPSHIRE</t>
  </si>
  <si>
    <t>VERMONT</t>
  </si>
  <si>
    <t>VILLANOVA</t>
  </si>
  <si>
    <t>XAVIER</t>
  </si>
  <si>
    <t>UMBC</t>
  </si>
  <si>
    <t>NETWORK_LOGOS_WHITE</t>
  </si>
  <si>
    <t>Enter Player 0/00 info below.  It will autofill rows 90 &amp; 99.</t>
  </si>
  <si>
    <t>Split Locator Name CAPS (LINE1|LINE2)</t>
  </si>
  <si>
    <t>Turnovers Forced</t>
  </si>
  <si>
    <t>Away: 179-199; Home 279-299</t>
  </si>
  <si>
    <t>Turnover Margin</t>
  </si>
  <si>
    <t>Steals</t>
  </si>
  <si>
    <t>xx</t>
  </si>
  <si>
    <t>Major</t>
  </si>
  <si>
    <t>HDR_SEL</t>
  </si>
  <si>
    <t>Choose Header or Major in Cell K3</t>
  </si>
  <si>
    <t>ACCN &amp; SECN Teams = Major</t>
  </si>
  <si>
    <t>0 PPG</t>
  </si>
  <si>
    <t>0 FG</t>
  </si>
  <si>
    <t>0 3-PT</t>
  </si>
  <si>
    <t>MERRIMACK</t>
  </si>
  <si>
    <t>BLANK_DUMMY</t>
  </si>
  <si>
    <t>CHAMINADE</t>
  </si>
  <si>
    <t>WYOMING_W</t>
  </si>
  <si>
    <t>SETON_HALL</t>
  </si>
  <si>
    <t>ST_FRANCIS_BKN</t>
  </si>
  <si>
    <t>UT_SAN_ANTONIO</t>
  </si>
  <si>
    <t>BIG_TEN_COLORNEGATIVE</t>
  </si>
  <si>
    <t>CUNY_ATHLETIC</t>
  </si>
  <si>
    <t>HEART_OF_AMERICA_ATHLETIC</t>
  </si>
  <si>
    <t>LONE_STAR</t>
  </si>
  <si>
    <t>MISSOURI_VALLEY_FOOTBALL</t>
  </si>
  <si>
    <t>NORTHERN_SUN</t>
  </si>
  <si>
    <t>PAC_12</t>
  </si>
  <si>
    <t>PIONEER_FOOTBALL_LEAGUE</t>
  </si>
  <si>
    <t>SOUTHWEST</t>
  </si>
  <si>
    <t>UL_LAFAYETTE</t>
  </si>
  <si>
    <t>COACH_HEAD_FULL</t>
  </si>
  <si>
    <t>COACH_OFF_FULL</t>
  </si>
  <si>
    <t>0.0</t>
  </si>
  <si>
    <t>Jersey No</t>
  </si>
  <si>
    <t>Line 1</t>
  </si>
  <si>
    <t>Use Player Name As Header (Y/N)</t>
  </si>
  <si>
    <t>G</t>
  </si>
  <si>
    <t>5'10"</t>
  </si>
  <si>
    <t>100%</t>
  </si>
  <si>
    <t>1.1</t>
  </si>
  <si>
    <t>43%</t>
  </si>
  <si>
    <t>0.3</t>
  </si>
  <si>
    <t>1.3</t>
  </si>
  <si>
    <t>47%</t>
  </si>
  <si>
    <t>33%</t>
  </si>
  <si>
    <t>75%</t>
  </si>
  <si>
    <t>46%</t>
  </si>
  <si>
    <t>28%</t>
  </si>
  <si>
    <t>3-PT FG Made</t>
  </si>
  <si>
    <t>##</t>
  </si>
  <si>
    <t>AAC_ESPN+_HORIZONTAL</t>
  </si>
  <si>
    <t>AAC_ESPN+_HORIZONTALBLACK</t>
  </si>
  <si>
    <t>AAC_ESPN+_HORIZONTALDARKGRAY</t>
  </si>
  <si>
    <t>AAC_ESPN+_HORIZONTALLIGHTGRAY</t>
  </si>
  <si>
    <t>AAC_ESPN+_HORIZONTALWHITE</t>
  </si>
  <si>
    <t>AAC_ESPN+_VERTICAL</t>
  </si>
  <si>
    <t>AAC_ESPN+_VERTICALBLACK</t>
  </si>
  <si>
    <t>AAC_ESPN+_VERTICALDARKGRAY</t>
  </si>
  <si>
    <t>AAC_ESPN+_VERTICALLIGHTGRAY</t>
  </si>
  <si>
    <t>AAC_ESPN+_VERTICALWHITE</t>
  </si>
  <si>
    <t>AAC_ESPN+_WATERMARK</t>
  </si>
  <si>
    <t>AAC_ESPN_COBRAND</t>
  </si>
  <si>
    <t>ABC_BLACK</t>
  </si>
  <si>
    <t>ACC_NETWORK_ESPN_2019</t>
  </si>
  <si>
    <t>ACC_NETWORK_ESPN_AUGUST2019</t>
  </si>
  <si>
    <t>AMERICAEAST</t>
  </si>
  <si>
    <t>AMERICAEAST_ESPN_BLACK</t>
  </si>
  <si>
    <t>AMERICAEAST_ESPN_DARKGRAY</t>
  </si>
  <si>
    <t>AMERICAEAST_ESPN_LIGHTGRAY</t>
  </si>
  <si>
    <t>AMERICAEAST_ESPN_PRIMARY</t>
  </si>
  <si>
    <t>AMERICAEAST_ESPN_WHITE</t>
  </si>
  <si>
    <t>AMERICAEAST_SECONDARY</t>
  </si>
  <si>
    <t>AMERICAEAST_SECONDARYKNOCKOUT</t>
  </si>
  <si>
    <t>ASUN_ESPN_BLACK</t>
  </si>
  <si>
    <t>ASUN_ESPN_DARKGRAY</t>
  </si>
  <si>
    <t>ASUN_ESPN_LIGHTGRAY</t>
  </si>
  <si>
    <t>ASUN_ESPN_PRIMARY</t>
  </si>
  <si>
    <t>ASUN_ESPN_WHITE</t>
  </si>
  <si>
    <t>BIGSOUTH_ESPN_BLACK</t>
  </si>
  <si>
    <t>BIGSOUTH_ESPN_DARKGRAY</t>
  </si>
  <si>
    <t>BIGSOUTH_ESPN_LIGHTGRAY</t>
  </si>
  <si>
    <t>BIGSOUTH_ESPN_PRIMARY</t>
  </si>
  <si>
    <t>BIGSOUTH_ESPN_WHITE</t>
  </si>
  <si>
    <t>ESPN3_BLACK</t>
  </si>
  <si>
    <t>ESPNEWS_BLACK</t>
  </si>
  <si>
    <t>ESPNPLUS_BLACK</t>
  </si>
  <si>
    <t>ESPNW_NO_KEY</t>
  </si>
  <si>
    <t>HORIZONLEAGUE_ESPN_BLACK</t>
  </si>
  <si>
    <t>HORIZONLEAGUE_ESPN_DARKGRAY</t>
  </si>
  <si>
    <t>HORIZONLEAGUE_ESPN_LIGHTGRAY</t>
  </si>
  <si>
    <t>HORIZONLEAGUE_ESPN_PRIMARY</t>
  </si>
  <si>
    <t>HORIZONLEAGUE_ESPN_WHITE</t>
  </si>
  <si>
    <t>MAAC_ESPN_BLACK</t>
  </si>
  <si>
    <t>MAAC_ESPN_DARKGRAY</t>
  </si>
  <si>
    <t>MAAC_ESPN_LIGHTGRAY</t>
  </si>
  <si>
    <t>MAAC_ESPN_PRIMARY</t>
  </si>
  <si>
    <t>MAAC_ESPN_WHITE</t>
  </si>
  <si>
    <t>MISSOURIVALLEY_ESPN_COBRAND</t>
  </si>
  <si>
    <t>PATRIOTLEAGUE_ESPN_BLACK</t>
  </si>
  <si>
    <t>PATRIOTLEAGUE_ESPN_DARKGRAY</t>
  </si>
  <si>
    <t>PATRIOTLEAGUE_ESPN_LIGHTGRAY</t>
  </si>
  <si>
    <t>PATRIOTLEAGUE_ESPN_PRIMARY</t>
  </si>
  <si>
    <t>PATRIOTLEAGUE_ESPN_WHITE</t>
  </si>
  <si>
    <t>SEC_NETWORK+_BLACK</t>
  </si>
  <si>
    <t>SEC_NETWORK_BLACK</t>
  </si>
  <si>
    <t>SEC_NETWORK_HORIZONTAL_BLACK</t>
  </si>
  <si>
    <t>SOCON_ESPN_BLACK</t>
  </si>
  <si>
    <t>SOCON_ESPN_DARKGRAY</t>
  </si>
  <si>
    <t>SOCON_ESPN_LIGHTGRAY</t>
  </si>
  <si>
    <t>SOCON_ESPN_PRIMARY</t>
  </si>
  <si>
    <t>SOCON_ESPN_WHITE</t>
  </si>
  <si>
    <t>SOUTHLAND_ESPN_BLACK</t>
  </si>
  <si>
    <t>SOUTHLAND_ESPN_DARKGRAY</t>
  </si>
  <si>
    <t>SOUTHLAND_ESPN_LIGHTGRAY</t>
  </si>
  <si>
    <t>SOUTHLAND_ESPN_PRIMARY</t>
  </si>
  <si>
    <t>SOUTHLAND_ESPN_WHITE</t>
  </si>
  <si>
    <t>SUNBELT_ESPN_BLACK</t>
  </si>
  <si>
    <t>SUNBELT_ESPN_DARKGRAY</t>
  </si>
  <si>
    <t>SUNBELT_ESPN_PRIMARY</t>
  </si>
  <si>
    <t>SUNBELT_ESPN_WHITE</t>
  </si>
  <si>
    <t>TARLETON</t>
  </si>
  <si>
    <t>UC_SAN_DIEGO</t>
  </si>
  <si>
    <t>Charlotte, NC</t>
  </si>
  <si>
    <t>33% 3-PT FG</t>
  </si>
  <si>
    <t>OPPONENT LOGO</t>
  </si>
  <si>
    <t>BG_COLOR_SELECT</t>
  </si>
  <si>
    <t>BG Color (0=Color, 1=White)  0=Default</t>
  </si>
  <si>
    <t>ST_THOMAS</t>
  </si>
  <si>
    <t>Away: 76xx / Home: 86xx</t>
  </si>
  <si>
    <t>Away: 77xx / Home: 87xx</t>
  </si>
  <si>
    <t>1</t>
  </si>
  <si>
    <t>LOGO</t>
  </si>
  <si>
    <t>PRIMARY</t>
  </si>
  <si>
    <t>SECONDARY</t>
  </si>
  <si>
    <t>BOTTOMLINE</t>
  </si>
  <si>
    <t>BLACK</t>
  </si>
  <si>
    <t>GRAY</t>
  </si>
  <si>
    <t>GOLD</t>
  </si>
  <si>
    <t>PINK</t>
  </si>
  <si>
    <t>YELLOW</t>
  </si>
  <si>
    <t>LINDENWOOD</t>
  </si>
  <si>
    <t>QUEENS</t>
  </si>
  <si>
    <t>SOUTHERN_INDIANA</t>
  </si>
  <si>
    <t>STONEHILL</t>
  </si>
  <si>
    <t>TEXAS_AM_COMMERCE</t>
  </si>
  <si>
    <t>UTAH_TECH</t>
  </si>
  <si>
    <t>LE MOYNE</t>
  </si>
  <si>
    <t>CUSTOM</t>
  </si>
  <si>
    <t>Custom Dash/Slider Swatch Color</t>
  </si>
  <si>
    <t>GENERIC_SWATCHES</t>
  </si>
  <si>
    <t>BLACK_GENERIC</t>
  </si>
  <si>
    <t>BLUE_GENERIC</t>
  </si>
  <si>
    <t>BLUE_GREY_SWATCH</t>
  </si>
  <si>
    <t>BRIGHT_BLUE_GENERIC</t>
  </si>
  <si>
    <t>BRIGHT_PURPLE_GENERIC</t>
  </si>
  <si>
    <t>BRIGHT_RED_GENERIC</t>
  </si>
  <si>
    <t>BRIGHT_YELLOW_GENERIC</t>
  </si>
  <si>
    <t>BROWN_GENERIC</t>
  </si>
  <si>
    <t>DARK_GREEN_GENERIC</t>
  </si>
  <si>
    <t>DARK_GREY_GENERIC</t>
  </si>
  <si>
    <t>DARK_RED_GENERIC</t>
  </si>
  <si>
    <t>GREEN_BLACK_SWATCH</t>
  </si>
  <si>
    <t>LIGHT_BLUE_GENERIC</t>
  </si>
  <si>
    <t>LIGHT_GREEN_GENERIC</t>
  </si>
  <si>
    <t>LIGHT_GREY_GENERIC</t>
  </si>
  <si>
    <t>LIGHT_ORANGE_GENERIC</t>
  </si>
  <si>
    <t>LIGHT_PURPLE_GENERIC</t>
  </si>
  <si>
    <t>LIGHT_YELLOW_GENERIC</t>
  </si>
  <si>
    <t>NAVY_BLUE_GENERIC</t>
  </si>
  <si>
    <t>ORANGE_BLACK_SWATCH</t>
  </si>
  <si>
    <t>ORANGE_GENERIC</t>
  </si>
  <si>
    <t>PINK_GENERIC</t>
  </si>
  <si>
    <t>PURPLE_GREY_SWATCH</t>
  </si>
  <si>
    <t>RED_BLACK_SWATCH</t>
  </si>
  <si>
    <t>SLATE_GREY_GENERIC</t>
  </si>
  <si>
    <t>WHITE_GENERIC</t>
  </si>
  <si>
    <t>YELLOW_GENERIC</t>
  </si>
  <si>
    <t>YELLOW_GREY_SWATCH</t>
  </si>
  <si>
    <t>DASH_SWATCH</t>
  </si>
  <si>
    <t xml:space="preserve">For Dashboard Jersey colors that are different than typical team colors, </t>
  </si>
  <si>
    <t>and are not using the predefined colors (options 4-8), users should select 9 (CUSTOM)</t>
  </si>
  <si>
    <t xml:space="preserve">and then select a color option in cell B17.  </t>
  </si>
  <si>
    <t>TEAL_GENERIC</t>
  </si>
  <si>
    <t>AQUA_BLUE_GENERIC</t>
  </si>
  <si>
    <t>POWDER_BLUE_GENERIC</t>
  </si>
  <si>
    <t>AAA</t>
  </si>
  <si>
    <t>BBB</t>
  </si>
  <si>
    <t>CCC</t>
  </si>
  <si>
    <t>DDD</t>
  </si>
  <si>
    <t>TEXT COLOR</t>
  </si>
  <si>
    <t>Text Color (Default = 0, Black = 1)</t>
  </si>
  <si>
    <t>7</t>
  </si>
  <si>
    <t>Tigers</t>
  </si>
  <si>
    <t>First</t>
  </si>
  <si>
    <t>Last</t>
  </si>
  <si>
    <t>ESPN Team Sheet - v2024.1.4</t>
  </si>
  <si>
    <t>Updated 10/29/25</t>
  </si>
  <si>
    <t>Enter FR, SO, JR, or SR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</si>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</sst>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b/>
      <sz val="11"/>
      <color indexed="9"/>
      <name val="Arial"/>
      <family val="2"/>
    </font>
    <font>
      <b/>
      <sz val="8"/>
      <color indexed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9"/>
      <name val="Arial"/>
      <family val="2"/>
    </font>
    <font>
      <sz val="11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indexed="53"/>
      <name val="Arial"/>
      <family val="2"/>
    </font>
    <font>
      <b/>
      <sz val="10"/>
      <color indexed="8"/>
      <name val="Arial"/>
      <family val="2"/>
    </font>
    <font>
      <b/>
      <u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293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8" xfId="0" applyFont="1" applyFill="1" applyBorder="1" applyAlignment="1">
      <alignment horizontal="left"/>
    </xf>
    <xf numFmtId="0" fontId="5" fillId="4" borderId="0" xfId="0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3" borderId="8" xfId="0" applyFont="1" applyFill="1" applyBorder="1"/>
    <xf numFmtId="0" fontId="2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0" fillId="0" borderId="0" xfId="0" applyAlignment="1">
      <alignment horizontal="center"/>
    </xf>
    <xf numFmtId="49" fontId="2" fillId="3" borderId="8" xfId="0" applyNumberFormat="1" applyFont="1" applyFill="1" applyBorder="1" applyAlignment="1">
      <alignment horizontal="center" vertical="center"/>
    </xf>
    <xf numFmtId="0" fontId="8" fillId="7" borderId="8" xfId="0" applyFont="1" applyFill="1" applyBorder="1"/>
    <xf numFmtId="0" fontId="10" fillId="0" borderId="0" xfId="0" applyFont="1"/>
    <xf numFmtId="0" fontId="9" fillId="8" borderId="8" xfId="0" applyFont="1" applyFill="1" applyBorder="1"/>
    <xf numFmtId="0" fontId="9" fillId="0" borderId="0" xfId="0" applyFont="1"/>
    <xf numFmtId="0" fontId="2" fillId="9" borderId="8" xfId="0" applyFont="1" applyFill="1" applyBorder="1"/>
    <xf numFmtId="0" fontId="9" fillId="10" borderId="0" xfId="0" applyFont="1" applyFill="1"/>
    <xf numFmtId="0" fontId="11" fillId="0" borderId="0" xfId="0" applyFont="1"/>
    <xf numFmtId="49" fontId="9" fillId="8" borderId="8" xfId="0" quotePrefix="1" applyNumberFormat="1" applyFont="1" applyFill="1" applyBorder="1"/>
    <xf numFmtId="0" fontId="12" fillId="10" borderId="0" xfId="0" applyFont="1" applyFill="1"/>
    <xf numFmtId="0" fontId="1" fillId="9" borderId="8" xfId="0" applyFont="1" applyFill="1" applyBorder="1"/>
    <xf numFmtId="0" fontId="5" fillId="11" borderId="8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left"/>
    </xf>
    <xf numFmtId="0" fontId="9" fillId="13" borderId="0" xfId="0" applyFont="1" applyFill="1"/>
    <xf numFmtId="49" fontId="15" fillId="9" borderId="11" xfId="1" applyNumberFormat="1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/>
    </xf>
    <xf numFmtId="49" fontId="15" fillId="12" borderId="13" xfId="1" applyNumberFormat="1" applyFont="1" applyFill="1" applyBorder="1" applyAlignment="1">
      <alignment horizontal="center" vertical="center"/>
    </xf>
    <xf numFmtId="49" fontId="15" fillId="12" borderId="14" xfId="1" applyNumberFormat="1" applyFont="1" applyFill="1" applyBorder="1" applyAlignment="1">
      <alignment horizontal="center" vertical="center"/>
    </xf>
    <xf numFmtId="49" fontId="15" fillId="12" borderId="4" xfId="1" applyNumberFormat="1" applyFont="1" applyFill="1" applyBorder="1" applyAlignment="1">
      <alignment horizontal="center" vertical="center"/>
    </xf>
    <xf numFmtId="49" fontId="15" fillId="12" borderId="5" xfId="1" applyNumberFormat="1" applyFont="1" applyFill="1" applyBorder="1" applyAlignment="1" applyProtection="1">
      <alignment horizontal="center" vertical="center"/>
      <protection locked="0"/>
    </xf>
    <xf numFmtId="49" fontId="15" fillId="12" borderId="5" xfId="1" applyNumberFormat="1" applyFont="1" applyFill="1" applyBorder="1" applyAlignment="1">
      <alignment horizontal="center" vertical="center"/>
    </xf>
    <xf numFmtId="49" fontId="15" fillId="12" borderId="4" xfId="1" applyNumberFormat="1" applyFont="1" applyFill="1" applyBorder="1" applyAlignment="1">
      <alignment horizontal="center"/>
    </xf>
    <xf numFmtId="49" fontId="15" fillId="12" borderId="5" xfId="1" applyNumberFormat="1" applyFont="1" applyFill="1" applyBorder="1" applyAlignment="1">
      <alignment horizontal="center"/>
    </xf>
    <xf numFmtId="0" fontId="14" fillId="9" borderId="8" xfId="0" applyFont="1" applyFill="1" applyBorder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3" fillId="12" borderId="8" xfId="0" applyFont="1" applyFill="1" applyBorder="1"/>
    <xf numFmtId="0" fontId="16" fillId="10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0" fontId="2" fillId="9" borderId="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9" fontId="15" fillId="0" borderId="0" xfId="1" applyNumberFormat="1" applyFont="1" applyAlignment="1">
      <alignment horizontal="center" vertical="center"/>
    </xf>
    <xf numFmtId="49" fontId="15" fillId="0" borderId="0" xfId="1" applyNumberFormat="1" applyFont="1" applyAlignment="1" applyProtection="1">
      <alignment horizontal="center" vertical="center"/>
      <protection locked="0"/>
    </xf>
    <xf numFmtId="49" fontId="15" fillId="0" borderId="0" xfId="1" applyNumberFormat="1" applyFont="1" applyAlignment="1">
      <alignment horizontal="center"/>
    </xf>
    <xf numFmtId="0" fontId="0" fillId="9" borderId="8" xfId="0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8" xfId="0" applyFont="1" applyFill="1" applyBorder="1" applyAlignment="1" applyProtection="1">
      <alignment horizontal="center"/>
      <protection locked="0"/>
    </xf>
    <xf numFmtId="14" fontId="2" fillId="3" borderId="8" xfId="0" applyNumberFormat="1" applyFont="1" applyFill="1" applyBorder="1" applyAlignment="1">
      <alignment horizontal="center"/>
    </xf>
    <xf numFmtId="49" fontId="2" fillId="3" borderId="8" xfId="0" applyNumberFormat="1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14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14" borderId="17" xfId="0" applyFont="1" applyFill="1" applyBorder="1" applyAlignment="1">
      <alignment horizontal="center"/>
    </xf>
    <xf numFmtId="0" fontId="5" fillId="11" borderId="18" xfId="0" applyFont="1" applyFill="1" applyBorder="1" applyAlignment="1">
      <alignment horizontal="center"/>
    </xf>
    <xf numFmtId="0" fontId="17" fillId="11" borderId="8" xfId="0" applyFont="1" applyFill="1" applyBorder="1"/>
    <xf numFmtId="0" fontId="13" fillId="6" borderId="0" xfId="0" applyFont="1" applyFill="1"/>
    <xf numFmtId="0" fontId="1" fillId="6" borderId="0" xfId="0" applyFont="1" applyFill="1"/>
    <xf numFmtId="0" fontId="0" fillId="6" borderId="0" xfId="0" applyFill="1"/>
    <xf numFmtId="0" fontId="9" fillId="8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left"/>
    </xf>
    <xf numFmtId="49" fontId="2" fillId="0" borderId="8" xfId="0" applyNumberFormat="1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49" fontId="2" fillId="16" borderId="8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0" fontId="0" fillId="0" borderId="8" xfId="0" applyBorder="1"/>
    <xf numFmtId="0" fontId="0" fillId="15" borderId="8" xfId="0" applyFill="1" applyBorder="1"/>
    <xf numFmtId="49" fontId="2" fillId="6" borderId="8" xfId="0" applyNumberFormat="1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left" vertical="center"/>
    </xf>
    <xf numFmtId="0" fontId="2" fillId="9" borderId="17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left"/>
    </xf>
    <xf numFmtId="49" fontId="2" fillId="3" borderId="17" xfId="0" applyNumberFormat="1" applyFont="1" applyFill="1" applyBorder="1" applyAlignment="1">
      <alignment horizontal="center" vertical="center"/>
    </xf>
    <xf numFmtId="49" fontId="2" fillId="6" borderId="17" xfId="0" applyNumberFormat="1" applyFont="1" applyFill="1" applyBorder="1" applyAlignment="1">
      <alignment horizontal="center" vertical="center"/>
    </xf>
    <xf numFmtId="49" fontId="2" fillId="3" borderId="17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12" borderId="17" xfId="0" applyFont="1" applyFill="1" applyBorder="1" applyAlignment="1">
      <alignment horizontal="center"/>
    </xf>
    <xf numFmtId="49" fontId="0" fillId="9" borderId="8" xfId="0" applyNumberFormat="1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10" borderId="20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2" fillId="10" borderId="1" xfId="0" applyFont="1" applyFill="1" applyBorder="1"/>
    <xf numFmtId="0" fontId="9" fillId="10" borderId="1" xfId="0" applyFont="1" applyFill="1" applyBorder="1" applyAlignment="1">
      <alignment horizontal="center"/>
    </xf>
    <xf numFmtId="0" fontId="16" fillId="10" borderId="20" xfId="0" applyFont="1" applyFill="1" applyBorder="1"/>
    <xf numFmtId="0" fontId="0" fillId="12" borderId="27" xfId="0" applyFill="1" applyBorder="1"/>
    <xf numFmtId="0" fontId="0" fillId="12" borderId="28" xfId="0" applyFill="1" applyBorder="1"/>
    <xf numFmtId="0" fontId="1" fillId="9" borderId="24" xfId="0" applyFont="1" applyFill="1" applyBorder="1"/>
    <xf numFmtId="0" fontId="0" fillId="9" borderId="25" xfId="0" applyFill="1" applyBorder="1"/>
    <xf numFmtId="49" fontId="2" fillId="17" borderId="17" xfId="0" applyNumberFormat="1" applyFont="1" applyFill="1" applyBorder="1" applyAlignment="1">
      <alignment horizontal="center" vertical="center"/>
    </xf>
    <xf numFmtId="49" fontId="2" fillId="17" borderId="8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9" fillId="10" borderId="21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8" fillId="6" borderId="1" xfId="0" applyFont="1" applyFill="1" applyBorder="1" applyAlignment="1">
      <alignment horizontal="left"/>
    </xf>
    <xf numFmtId="0" fontId="19" fillId="6" borderId="22" xfId="0" applyFont="1" applyFill="1" applyBorder="1"/>
    <xf numFmtId="0" fontId="19" fillId="6" borderId="23" xfId="0" applyFont="1" applyFill="1" applyBorder="1"/>
    <xf numFmtId="49" fontId="9" fillId="8" borderId="17" xfId="0" quotePrefix="1" applyNumberFormat="1" applyFont="1" applyFill="1" applyBorder="1" applyAlignment="1">
      <alignment shrinkToFit="1"/>
    </xf>
    <xf numFmtId="0" fontId="14" fillId="6" borderId="29" xfId="0" applyFont="1" applyFill="1" applyBorder="1" applyAlignment="1">
      <alignment horizontal="center"/>
    </xf>
    <xf numFmtId="49" fontId="4" fillId="4" borderId="17" xfId="0" applyNumberFormat="1" applyFont="1" applyFill="1" applyBorder="1" applyAlignment="1">
      <alignment horizontal="center" wrapText="1"/>
    </xf>
    <xf numFmtId="0" fontId="5" fillId="4" borderId="17" xfId="0" applyFont="1" applyFill="1" applyBorder="1"/>
    <xf numFmtId="0" fontId="5" fillId="4" borderId="17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left"/>
    </xf>
    <xf numFmtId="0" fontId="0" fillId="6" borderId="9" xfId="0" applyFill="1" applyBorder="1"/>
    <xf numFmtId="0" fontId="0" fillId="6" borderId="30" xfId="0" applyFill="1" applyBorder="1"/>
    <xf numFmtId="0" fontId="1" fillId="6" borderId="30" xfId="0" applyFont="1" applyFill="1" applyBorder="1" applyAlignment="1">
      <alignment horizontal="center"/>
    </xf>
    <xf numFmtId="0" fontId="1" fillId="6" borderId="30" xfId="0" applyFont="1" applyFill="1" applyBorder="1" applyAlignment="1">
      <alignment shrinkToFit="1"/>
    </xf>
    <xf numFmtId="0" fontId="12" fillId="10" borderId="18" xfId="0" applyFont="1" applyFill="1" applyBorder="1"/>
    <xf numFmtId="0" fontId="0" fillId="10" borderId="31" xfId="0" applyFill="1" applyBorder="1"/>
    <xf numFmtId="0" fontId="0" fillId="10" borderId="6" xfId="0" applyFill="1" applyBorder="1"/>
    <xf numFmtId="0" fontId="1" fillId="6" borderId="10" xfId="0" applyFont="1" applyFill="1" applyBorder="1" applyAlignment="1">
      <alignment horizontal="center"/>
    </xf>
    <xf numFmtId="0" fontId="12" fillId="10" borderId="32" xfId="0" applyFont="1" applyFill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/>
    </xf>
    <xf numFmtId="0" fontId="12" fillId="10" borderId="34" xfId="0" applyFont="1" applyFill="1" applyBorder="1" applyAlignment="1">
      <alignment horizontal="center" vertical="center"/>
    </xf>
    <xf numFmtId="0" fontId="0" fillId="19" borderId="24" xfId="0" applyFill="1" applyBorder="1" applyAlignment="1">
      <alignment horizontal="center" vertical="center"/>
    </xf>
    <xf numFmtId="0" fontId="0" fillId="19" borderId="35" xfId="0" applyFill="1" applyBorder="1" applyAlignment="1">
      <alignment horizontal="center" vertical="center"/>
    </xf>
    <xf numFmtId="0" fontId="0" fillId="19" borderId="25" xfId="0" applyFill="1" applyBorder="1" applyAlignment="1">
      <alignment horizontal="center" vertical="center"/>
    </xf>
    <xf numFmtId="0" fontId="0" fillId="20" borderId="24" xfId="0" applyFill="1" applyBorder="1" applyAlignment="1">
      <alignment horizontal="center" vertical="center"/>
    </xf>
    <xf numFmtId="0" fontId="0" fillId="20" borderId="35" xfId="0" applyFill="1" applyBorder="1" applyAlignment="1">
      <alignment horizontal="center" vertical="center"/>
    </xf>
    <xf numFmtId="0" fontId="0" fillId="20" borderId="2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3" fillId="12" borderId="8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20" fillId="6" borderId="22" xfId="0" applyFont="1" applyFill="1" applyBorder="1"/>
    <xf numFmtId="0" fontId="0" fillId="6" borderId="23" xfId="0" applyFill="1" applyBorder="1"/>
    <xf numFmtId="0" fontId="2" fillId="9" borderId="26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9" borderId="37" xfId="0" applyFont="1" applyFill="1" applyBorder="1" applyAlignment="1">
      <alignment horizontal="center"/>
    </xf>
    <xf numFmtId="0" fontId="2" fillId="22" borderId="36" xfId="0" applyFont="1" applyFill="1" applyBorder="1" applyAlignment="1">
      <alignment horizontal="center"/>
    </xf>
    <xf numFmtId="0" fontId="2" fillId="22" borderId="11" xfId="0" applyFont="1" applyFill="1" applyBorder="1" applyAlignment="1">
      <alignment horizontal="center"/>
    </xf>
    <xf numFmtId="0" fontId="2" fillId="22" borderId="37" xfId="0" applyFont="1" applyFill="1" applyBorder="1" applyAlignment="1">
      <alignment horizontal="center"/>
    </xf>
    <xf numFmtId="0" fontId="2" fillId="6" borderId="41" xfId="0" applyFont="1" applyFill="1" applyBorder="1" applyAlignment="1">
      <alignment horizontal="center"/>
    </xf>
    <xf numFmtId="0" fontId="2" fillId="6" borderId="29" xfId="0" applyFont="1" applyFill="1" applyBorder="1" applyAlignment="1">
      <alignment horizontal="center"/>
    </xf>
    <xf numFmtId="0" fontId="2" fillId="21" borderId="24" xfId="0" applyFont="1" applyFill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15" borderId="35" xfId="0" applyFont="1" applyFill="1" applyBorder="1" applyAlignment="1">
      <alignment horizontal="center"/>
    </xf>
    <xf numFmtId="0" fontId="2" fillId="15" borderId="25" xfId="0" applyFont="1" applyFill="1" applyBorder="1" applyAlignment="1">
      <alignment horizontal="center"/>
    </xf>
    <xf numFmtId="0" fontId="22" fillId="24" borderId="8" xfId="0" applyFont="1" applyFill="1" applyBorder="1"/>
    <xf numFmtId="0" fontId="0" fillId="23" borderId="8" xfId="0" applyFill="1" applyBorder="1"/>
    <xf numFmtId="0" fontId="2" fillId="23" borderId="8" xfId="0" applyFont="1" applyFill="1" applyBorder="1" applyAlignment="1">
      <alignment horizontal="left"/>
    </xf>
    <xf numFmtId="0" fontId="2" fillId="23" borderId="8" xfId="0" applyFont="1" applyFill="1" applyBorder="1" applyAlignment="1">
      <alignment horizontal="center"/>
    </xf>
    <xf numFmtId="0" fontId="2" fillId="23" borderId="18" xfId="0" applyFont="1" applyFill="1" applyBorder="1" applyAlignment="1">
      <alignment horizontal="center"/>
    </xf>
    <xf numFmtId="0" fontId="2" fillId="9" borderId="8" xfId="0" quotePrefix="1" applyFont="1" applyFill="1" applyBorder="1" applyAlignment="1">
      <alignment horizontal="center"/>
    </xf>
    <xf numFmtId="0" fontId="9" fillId="8" borderId="18" xfId="0" applyFont="1" applyFill="1" applyBorder="1"/>
    <xf numFmtId="0" fontId="6" fillId="0" borderId="40" xfId="0" applyFont="1" applyBorder="1" applyAlignment="1">
      <alignment horizontal="center"/>
    </xf>
    <xf numFmtId="0" fontId="1" fillId="9" borderId="15" xfId="0" applyFont="1" applyFill="1" applyBorder="1"/>
    <xf numFmtId="0" fontId="13" fillId="9" borderId="15" xfId="0" applyFont="1" applyFill="1" applyBorder="1" applyAlignment="1">
      <alignment horizontal="center"/>
    </xf>
    <xf numFmtId="0" fontId="0" fillId="12" borderId="8" xfId="0" quotePrefix="1" applyFill="1" applyBorder="1"/>
    <xf numFmtId="0" fontId="23" fillId="6" borderId="30" xfId="0" applyFont="1" applyFill="1" applyBorder="1" applyAlignment="1">
      <alignment horizontal="center"/>
    </xf>
    <xf numFmtId="0" fontId="0" fillId="17" borderId="24" xfId="0" applyFill="1" applyBorder="1" applyAlignment="1">
      <alignment horizontal="center" vertical="center"/>
    </xf>
    <xf numFmtId="0" fontId="0" fillId="17" borderId="35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24" fillId="18" borderId="0" xfId="0" applyFont="1" applyFill="1"/>
    <xf numFmtId="0" fontId="25" fillId="18" borderId="0" xfId="0" applyFont="1" applyFill="1"/>
    <xf numFmtId="0" fontId="2" fillId="9" borderId="46" xfId="0" applyFont="1" applyFill="1" applyBorder="1" applyAlignment="1">
      <alignment horizontal="center" vertical="center"/>
    </xf>
    <xf numFmtId="0" fontId="0" fillId="9" borderId="24" xfId="0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8" xfId="0" applyFont="1" applyFill="1" applyBorder="1"/>
    <xf numFmtId="0" fontId="27" fillId="2" borderId="8" xfId="0" applyFont="1" applyFill="1" applyBorder="1" applyAlignment="1">
      <alignment horizontal="center"/>
    </xf>
    <xf numFmtId="0" fontId="2" fillId="21" borderId="8" xfId="0" quotePrefix="1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" fillId="6" borderId="50" xfId="1" applyFont="1" applyFill="1" applyBorder="1" applyAlignment="1">
      <alignment horizontal="center"/>
    </xf>
    <xf numFmtId="0" fontId="2" fillId="6" borderId="49" xfId="1" applyFont="1" applyFill="1" applyBorder="1" applyAlignment="1">
      <alignment horizontal="center"/>
    </xf>
    <xf numFmtId="0" fontId="2" fillId="6" borderId="49" xfId="1" applyFont="1" applyFill="1" applyBorder="1"/>
    <xf numFmtId="0" fontId="2" fillId="6" borderId="48" xfId="1" applyFont="1" applyFill="1" applyBorder="1" applyAlignment="1">
      <alignment horizontal="left"/>
    </xf>
    <xf numFmtId="0" fontId="2" fillId="6" borderId="45" xfId="1" applyFont="1" applyFill="1" applyBorder="1" applyAlignment="1">
      <alignment horizontal="center"/>
    </xf>
    <xf numFmtId="0" fontId="2" fillId="6" borderId="0" xfId="1" applyFont="1" applyFill="1" applyAlignment="1">
      <alignment horizontal="center"/>
    </xf>
    <xf numFmtId="0" fontId="2" fillId="6" borderId="0" xfId="1" applyFont="1" applyFill="1"/>
    <xf numFmtId="0" fontId="2" fillId="6" borderId="51" xfId="1" applyFont="1" applyFill="1" applyBorder="1" applyAlignment="1">
      <alignment horizontal="left"/>
    </xf>
    <xf numFmtId="0" fontId="28" fillId="6" borderId="52" xfId="1" applyFont="1" applyFill="1" applyBorder="1"/>
    <xf numFmtId="0" fontId="28" fillId="6" borderId="53" xfId="1" applyFont="1" applyFill="1" applyBorder="1"/>
    <xf numFmtId="0" fontId="28" fillId="6" borderId="54" xfId="1" applyFont="1" applyFill="1" applyBorder="1" applyAlignment="1">
      <alignment horizontal="left"/>
    </xf>
    <xf numFmtId="0" fontId="0" fillId="21" borderId="8" xfId="0" applyFill="1" applyBorder="1"/>
    <xf numFmtId="0" fontId="0" fillId="9" borderId="8" xfId="0" applyFill="1" applyBorder="1"/>
    <xf numFmtId="0" fontId="16" fillId="18" borderId="8" xfId="0" applyFont="1" applyFill="1" applyBorder="1" applyAlignment="1">
      <alignment horizontal="center"/>
    </xf>
    <xf numFmtId="0" fontId="5" fillId="10" borderId="17" xfId="0" applyFont="1" applyFill="1" applyBorder="1" applyAlignment="1">
      <alignment horizontal="center"/>
    </xf>
    <xf numFmtId="0" fontId="5" fillId="10" borderId="17" xfId="0" applyFont="1" applyFill="1" applyBorder="1"/>
    <xf numFmtId="49" fontId="4" fillId="10" borderId="17" xfId="0" applyNumberFormat="1" applyFont="1" applyFill="1" applyBorder="1" applyAlignment="1">
      <alignment horizontal="center" wrapText="1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center" vertical="center"/>
    </xf>
    <xf numFmtId="0" fontId="13" fillId="6" borderId="54" xfId="0" applyFont="1" applyFill="1" applyBorder="1"/>
    <xf numFmtId="0" fontId="13" fillId="6" borderId="52" xfId="0" applyFont="1" applyFill="1" applyBorder="1"/>
    <xf numFmtId="0" fontId="13" fillId="9" borderId="8" xfId="0" applyFont="1" applyFill="1" applyBorder="1"/>
    <xf numFmtId="0" fontId="2" fillId="9" borderId="29" xfId="0" applyFont="1" applyFill="1" applyBorder="1" applyAlignment="1">
      <alignment horizontal="center" vertical="center"/>
    </xf>
    <xf numFmtId="0" fontId="9" fillId="8" borderId="8" xfId="0" quotePrefix="1" applyFont="1" applyFill="1" applyBorder="1"/>
    <xf numFmtId="0" fontId="0" fillId="14" borderId="0" xfId="0" applyFill="1"/>
    <xf numFmtId="0" fontId="2" fillId="6" borderId="0" xfId="0" applyFont="1" applyFill="1"/>
    <xf numFmtId="0" fontId="4" fillId="4" borderId="15" xfId="0" quotePrefix="1" applyFont="1" applyFill="1" applyBorder="1" applyAlignment="1">
      <alignment horizontal="center"/>
    </xf>
    <xf numFmtId="0" fontId="4" fillId="4" borderId="17" xfId="0" quotePrefix="1" applyFont="1" applyFill="1" applyBorder="1" applyAlignment="1">
      <alignment horizont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center"/>
    </xf>
    <xf numFmtId="14" fontId="2" fillId="3" borderId="17" xfId="0" applyNumberFormat="1" applyFont="1" applyFill="1" applyBorder="1" applyAlignment="1">
      <alignment horizontal="center"/>
    </xf>
    <xf numFmtId="0" fontId="2" fillId="3" borderId="17" xfId="0" applyFont="1" applyFill="1" applyBorder="1" applyAlignment="1">
      <alignment horizontal="left"/>
    </xf>
    <xf numFmtId="0" fontId="13" fillId="6" borderId="21" xfId="0" applyFont="1" applyFill="1" applyBorder="1"/>
    <xf numFmtId="0" fontId="13" fillId="6" borderId="22" xfId="0" applyFont="1" applyFill="1" applyBorder="1"/>
    <xf numFmtId="0" fontId="13" fillId="6" borderId="23" xfId="0" applyFont="1" applyFill="1" applyBorder="1"/>
    <xf numFmtId="0" fontId="2" fillId="22" borderId="8" xfId="0" applyFont="1" applyFill="1" applyBorder="1"/>
    <xf numFmtId="0" fontId="22" fillId="10" borderId="0" xfId="0" applyFont="1" applyFill="1"/>
    <xf numFmtId="0" fontId="12" fillId="10" borderId="31" xfId="0" applyFont="1" applyFill="1" applyBorder="1"/>
    <xf numFmtId="0" fontId="12" fillId="10" borderId="31" xfId="0" applyFont="1" applyFill="1" applyBorder="1" applyAlignment="1">
      <alignment horizontal="left"/>
    </xf>
    <xf numFmtId="49" fontId="2" fillId="9" borderId="8" xfId="0" applyNumberFormat="1" applyFont="1" applyFill="1" applyBorder="1" applyAlignment="1">
      <alignment horizontal="center" vertical="center"/>
    </xf>
    <xf numFmtId="49" fontId="2" fillId="9" borderId="8" xfId="0" applyNumberFormat="1" applyFont="1" applyFill="1" applyBorder="1" applyAlignment="1">
      <alignment horizontal="left" vertical="center"/>
    </xf>
    <xf numFmtId="0" fontId="2" fillId="9" borderId="17" xfId="0" quotePrefix="1" applyFont="1" applyFill="1" applyBorder="1" applyAlignment="1">
      <alignment horizontal="center"/>
    </xf>
    <xf numFmtId="49" fontId="2" fillId="0" borderId="17" xfId="0" applyNumberFormat="1" applyFont="1" applyBorder="1" applyAlignment="1">
      <alignment horizontal="center" vertical="center"/>
    </xf>
    <xf numFmtId="49" fontId="2" fillId="16" borderId="17" xfId="0" applyNumberFormat="1" applyFont="1" applyFill="1" applyBorder="1" applyAlignment="1">
      <alignment horizontal="center" vertical="center"/>
    </xf>
    <xf numFmtId="0" fontId="0" fillId="0" borderId="22" xfId="0" applyBorder="1"/>
    <xf numFmtId="0" fontId="0" fillId="6" borderId="22" xfId="0" applyFill="1" applyBorder="1"/>
    <xf numFmtId="0" fontId="13" fillId="0" borderId="0" xfId="0" applyFont="1"/>
    <xf numFmtId="0" fontId="0" fillId="0" borderId="17" xfId="0" applyBorder="1" applyAlignment="1">
      <alignment horizontal="center"/>
    </xf>
    <xf numFmtId="0" fontId="16" fillId="18" borderId="17" xfId="0" applyFont="1" applyFill="1" applyBorder="1" applyAlignment="1">
      <alignment horizontal="center"/>
    </xf>
    <xf numFmtId="0" fontId="0" fillId="9" borderId="17" xfId="0" applyFill="1" applyBorder="1"/>
    <xf numFmtId="0" fontId="0" fillId="21" borderId="17" xfId="0" applyFill="1" applyBorder="1"/>
    <xf numFmtId="0" fontId="2" fillId="3" borderId="17" xfId="0" quotePrefix="1" applyFont="1" applyFill="1" applyBorder="1"/>
    <xf numFmtId="0" fontId="2" fillId="3" borderId="17" xfId="0" quotePrefix="1" applyFont="1" applyFill="1" applyBorder="1" applyAlignment="1">
      <alignment horizontal="center"/>
    </xf>
    <xf numFmtId="49" fontId="2" fillId="3" borderId="8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9" borderId="37" xfId="1" applyNumberFormat="1" applyFont="1" applyFill="1" applyBorder="1" applyAlignment="1">
      <alignment horizontal="center" vertical="center"/>
    </xf>
    <xf numFmtId="49" fontId="15" fillId="12" borderId="16" xfId="1" applyNumberFormat="1" applyFont="1" applyFill="1" applyBorder="1" applyAlignment="1">
      <alignment horizontal="center"/>
    </xf>
    <xf numFmtId="49" fontId="15" fillId="12" borderId="55" xfId="1" applyNumberFormat="1" applyFont="1" applyFill="1" applyBorder="1" applyAlignment="1">
      <alignment horizontal="center" vertical="center"/>
    </xf>
    <xf numFmtId="49" fontId="0" fillId="9" borderId="15" xfId="0" applyNumberFormat="1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6" fillId="0" borderId="0" xfId="0" applyFont="1"/>
    <xf numFmtId="0" fontId="2" fillId="12" borderId="18" xfId="0" applyFont="1" applyFill="1" applyBorder="1"/>
    <xf numFmtId="49" fontId="4" fillId="4" borderId="8" xfId="0" quotePrefix="1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2" fillId="6" borderId="21" xfId="0" applyFont="1" applyFill="1" applyBorder="1" applyAlignment="1">
      <alignment horizontal="center" shrinkToFit="1"/>
    </xf>
    <xf numFmtId="0" fontId="2" fillId="6" borderId="23" xfId="0" applyFont="1" applyFill="1" applyBorder="1" applyAlignment="1">
      <alignment horizontal="center" shrinkToFit="1"/>
    </xf>
    <xf numFmtId="0" fontId="1" fillId="9" borderId="15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left" vertical="center" wrapText="1"/>
    </xf>
    <xf numFmtId="0" fontId="13" fillId="12" borderId="17" xfId="0" applyFont="1" applyFill="1" applyBorder="1" applyAlignment="1">
      <alignment horizontal="left" vertical="center" wrapText="1"/>
    </xf>
    <xf numFmtId="0" fontId="13" fillId="12" borderId="17" xfId="0" applyFont="1" applyFill="1" applyBorder="1" applyAlignment="1">
      <alignment horizontal="left" vertical="center"/>
    </xf>
    <xf numFmtId="0" fontId="26" fillId="7" borderId="8" xfId="0" applyFont="1" applyFill="1" applyBorder="1" applyAlignment="1">
      <alignment horizontal="center" vertical="center" wrapText="1"/>
    </xf>
    <xf numFmtId="0" fontId="21" fillId="19" borderId="21" xfId="0" applyFont="1" applyFill="1" applyBorder="1" applyAlignment="1">
      <alignment horizontal="center" vertical="center" wrapText="1"/>
    </xf>
    <xf numFmtId="0" fontId="21" fillId="19" borderId="22" xfId="0" applyFont="1" applyFill="1" applyBorder="1" applyAlignment="1">
      <alignment horizontal="center" vertical="center" wrapText="1"/>
    </xf>
    <xf numFmtId="0" fontId="21" fillId="19" borderId="23" xfId="0" applyFont="1" applyFill="1" applyBorder="1" applyAlignment="1">
      <alignment horizontal="center" vertical="center" wrapText="1"/>
    </xf>
    <xf numFmtId="0" fontId="13" fillId="21" borderId="8" xfId="0" applyFont="1" applyFill="1" applyBorder="1" applyAlignment="1">
      <alignment horizontal="center"/>
    </xf>
    <xf numFmtId="0" fontId="13" fillId="9" borderId="8" xfId="0" quotePrefix="1" applyFont="1" applyFill="1" applyBorder="1" applyAlignment="1">
      <alignment horizontal="center"/>
    </xf>
    <xf numFmtId="0" fontId="13" fillId="9" borderId="8" xfId="0" applyFont="1" applyFill="1" applyBorder="1" applyAlignment="1">
      <alignment horizontal="center"/>
    </xf>
    <xf numFmtId="0" fontId="2" fillId="9" borderId="46" xfId="0" applyFont="1" applyFill="1" applyBorder="1" applyAlignment="1">
      <alignment horizontal="center" vertical="center"/>
    </xf>
    <xf numFmtId="0" fontId="2" fillId="9" borderId="47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usernames" Target="revisions/userNam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revisionHeaders" Target="revisions/revisionHeader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3.xml"/><Relationship Id="rId7" Type="http://schemas.openxmlformats.org/officeDocument/2006/relationships/revisionLog" Target="revisionLog2.xml"/><Relationship Id="rId6" Type="http://schemas.openxmlformats.org/officeDocument/2006/relationships/revisionLog" Target="revisionLog1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7001643-C426-4476-B320-03F9920342C4}" diskRevisions="1" revisionId="285" version="8">
  <header guid="{A61E0F0A-1C8F-44F9-9F5D-6676F0269B91}" dateTime="2024-10-14T17:26:11" maxSheetId="16" userName="Bell, Brian D." r:id="rId4" minRId="22" maxRId="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7C23EF-2269-4068-A87D-6A3630E48730}" dateTime="2024-11-08T17:41:35" maxSheetId="16" userName="Brian Bell" r:id="rId5" minRId="35" maxRId="1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71F2126-59C5-4331-BE48-758538668EF2}" dateTime="2024-11-11T15:37:07" maxSheetId="16" userName="Brian Bell" r:id="rId6" minRId="150" maxRId="2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29A0C03-61DA-42B2-B1ED-5B318AE52E18}" dateTime="2024-11-26T09:55:27" maxSheetId="16" userName="Bell, Brian D." r:id="rId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7001643-C426-4476-B320-03F9920342C4}" dateTime="2025-10-29T10:16:55" maxSheetId="16" userName="Bell, Brian D." r:id="rId8" minRId="272" maxRId="2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" sId="3">
    <oc r="V4">
      <f>IF($J4=4,"SR",IF($J4=3,"JR",IF($J4=2,"SO",IF($J4=1,"FR",""))))</f>
    </oc>
    <nc r="V4">
      <f>IF($J4="SR", "SR", IF($J4=4,"SR",IF($J4="JR", "JR", IF($J4=3,"JR",IF($J4="SO", "SO", IF($J4=2,"SO",IF($J4="FR", "FR",IF($J4=1,"FR",""))))))))</f>
    </nc>
  </rcc>
  <rcc rId="151" sId="3">
    <oc r="V5">
      <f>IF($J5=4,"SR",IF($J5=3,"JR",IF($J5=2,"SO",IF($J5=1,"FR",""))))</f>
    </oc>
    <nc r="V5">
      <f>IF($J5="SR", "SR", IF($J5=4,"SR",IF($J5="JR", "JR", IF($J5=3,"JR",IF($J5="SO", "SO", IF($J5=2,"SO",IF($J5="FR", "FR",IF($J5=1,"FR",""))))))))</f>
    </nc>
  </rcc>
  <rcc rId="152" sId="3">
    <oc r="V6">
      <f>IF($J6=4,"SR",IF($J6=3,"JR",IF($J6=2,"SO",IF($J6=1,"FR",""))))</f>
    </oc>
    <nc r="V6">
      <f>IF($J6="SR", "SR", IF($J6=4,"SR",IF($J6="JR", "JR", IF($J6=3,"JR",IF($J6="SO", "SO", IF($J6=2,"SO",IF($J6="FR", "FR",IF($J6=1,"FR",""))))))))</f>
    </nc>
  </rcc>
  <rcc rId="153" sId="3">
    <oc r="V7">
      <f>IF($J7=4,"SR",IF($J7=3,"JR",IF($J7=2,"SO",IF($J7=1,"FR",""))))</f>
    </oc>
    <nc r="V7">
      <f>IF($J7="SR", "SR", IF($J7=4,"SR",IF($J7="JR", "JR", IF($J7=3,"JR",IF($J7="SO", "SO", IF($J7=2,"SO",IF($J7="FR", "FR",IF($J7=1,"FR",""))))))))</f>
    </nc>
  </rcc>
  <rcc rId="154" sId="3">
    <oc r="V8">
      <f>IF($J8=4,"SR",IF($J8=3,"JR",IF($J8=2,"SO",IF($J8=1,"FR",""))))</f>
    </oc>
    <nc r="V8">
      <f>IF($J8="SR", "SR", IF($J8=4,"SR",IF($J8="JR", "JR", IF($J8=3,"JR",IF($J8="SO", "SO", IF($J8=2,"SO",IF($J8="FR", "FR",IF($J8=1,"FR",""))))))))</f>
    </nc>
  </rcc>
  <rcc rId="155" sId="3">
    <oc r="V9">
      <f>IF($J9=4,"SR",IF($J9=3,"JR",IF($J9=2,"SO",IF($J9=1,"FR",""))))</f>
    </oc>
    <nc r="V9">
      <f>IF($J9="SR", "SR", IF($J9=4,"SR",IF($J9="JR", "JR", IF($J9=3,"JR",IF($J9="SO", "SO", IF($J9=2,"SO",IF($J9="FR", "FR",IF($J9=1,"FR",""))))))))</f>
    </nc>
  </rcc>
  <rcc rId="156" sId="3">
    <oc r="V10">
      <f>IF($J10=4,"SR",IF($J10=3,"JR",IF($J10=2,"SO",IF($J10=1,"FR",""))))</f>
    </oc>
    <nc r="V10">
      <f>IF($J10="SR", "SR", IF($J10=4,"SR",IF($J10="JR", "JR", IF($J10=3,"JR",IF($J10="SO", "SO", IF($J10=2,"SO",IF($J10="FR", "FR",IF($J10=1,"FR",""))))))))</f>
    </nc>
  </rcc>
  <rcc rId="157" sId="3">
    <oc r="V11">
      <f>IF($J11=4,"SR",IF($J11=3,"JR",IF($J11=2,"SO",IF($J11=1,"FR",""))))</f>
    </oc>
    <nc r="V11">
      <f>IF($J11="SR", "SR", IF($J11=4,"SR",IF($J11="JR", "JR", IF($J11=3,"JR",IF($J11="SO", "SO", IF($J11=2,"SO",IF($J11="FR", "FR",IF($J11=1,"FR",""))))))))</f>
    </nc>
  </rcc>
  <rcc rId="158" sId="3">
    <oc r="V12">
      <f>IF($J12=4,"SR",IF($J12=3,"JR",IF($J12=2,"SO",IF($J12=1,"FR",""))))</f>
    </oc>
    <nc r="V12">
      <f>IF($J12="SR", "SR", IF($J12=4,"SR",IF($J12="JR", "JR", IF($J12=3,"JR",IF($J12="SO", "SO", IF($J12=2,"SO",IF($J12="FR", "FR",IF($J12=1,"FR",""))))))))</f>
    </nc>
  </rcc>
  <rcc rId="159" sId="3">
    <oc r="V13">
      <f>IF($J13=4,"SR",IF($J13=3,"JR",IF($J13=2,"SO",IF($J13=1,"FR",""))))</f>
    </oc>
    <nc r="V13">
      <f>IF($J13="SR", "SR", IF($J13=4,"SR",IF($J13="JR", "JR", IF($J13=3,"JR",IF($J13="SO", "SO", IF($J13=2,"SO",IF($J13="FR", "FR",IF($J13=1,"FR",""))))))))</f>
    </nc>
  </rcc>
  <rcc rId="160" sId="3">
    <oc r="V14">
      <f>IF($J14=4,"SR",IF($J14=3,"JR",IF($J14=2,"SO",IF($J14=1,"FR",""))))</f>
    </oc>
    <nc r="V14">
      <f>IF($J14="SR", "SR", IF($J14=4,"SR",IF($J14="JR", "JR", IF($J14=3,"JR",IF($J14="SO", "SO", IF($J14=2,"SO",IF($J14="FR", "FR",IF($J14=1,"FR",""))))))))</f>
    </nc>
  </rcc>
  <rcc rId="161" sId="3">
    <oc r="V15">
      <f>IF($J15=4,"SR",IF($J15=3,"JR",IF($J15=2,"SO",IF($J15=1,"FR",""))))</f>
    </oc>
    <nc r="V15">
      <f>IF($J15="SR", "SR", IF($J15=4,"SR",IF($J15="JR", "JR", IF($J15=3,"JR",IF($J15="SO", "SO", IF($J15=2,"SO",IF($J15="FR", "FR",IF($J15=1,"FR",""))))))))</f>
    </nc>
  </rcc>
  <rcc rId="162" sId="3">
    <oc r="V16">
      <f>IF($J16=4,"SR",IF($J16=3,"JR",IF($J16=2,"SO",IF($J16=1,"FR",""))))</f>
    </oc>
    <nc r="V16">
      <f>IF($J16="SR", "SR", IF($J16=4,"SR",IF($J16="JR", "JR", IF($J16=3,"JR",IF($J16="SO", "SO", IF($J16=2,"SO",IF($J16="FR", "FR",IF($J16=1,"FR",""))))))))</f>
    </nc>
  </rcc>
  <rcc rId="163" sId="3">
    <oc r="V17">
      <f>IF($J17=4,"SR",IF($J17=3,"JR",IF($J17=2,"SO",IF($J17=1,"FR",""))))</f>
    </oc>
    <nc r="V17">
      <f>IF($J17="SR", "SR", IF($J17=4,"SR",IF($J17="JR", "JR", IF($J17=3,"JR",IF($J17="SO", "SO", IF($J17=2,"SO",IF($J17="FR", "FR",IF($J17=1,"FR",""))))))))</f>
    </nc>
  </rcc>
  <rcc rId="164" sId="3">
    <oc r="V18">
      <f>IF($J18=4,"SR",IF($J18=3,"JR",IF($J18=2,"SO",IF($J18=1,"FR",""))))</f>
    </oc>
    <nc r="V18">
      <f>IF($J18="SR", "SR", IF($J18=4,"SR",IF($J18="JR", "JR", IF($J18=3,"JR",IF($J18="SO", "SO", IF($J18=2,"SO",IF($J18="FR", "FR",IF($J18=1,"FR",""))))))))</f>
    </nc>
  </rcc>
  <rcc rId="165" sId="3">
    <oc r="V19">
      <f>IF($J19=4,"SR",IF($J19=3,"JR",IF($J19=2,"SO",IF($J19=1,"FR",""))))</f>
    </oc>
    <nc r="V19">
      <f>IF($J19="SR", "SR", IF($J19=4,"SR",IF($J19="JR", "JR", IF($J19=3,"JR",IF($J19="SO", "SO", IF($J19=2,"SO",IF($J19="FR", "FR",IF($J19=1,"FR",""))))))))</f>
    </nc>
  </rcc>
  <rcc rId="166" sId="3">
    <oc r="V20">
      <f>IF($J20=4,"SR",IF($J20=3,"JR",IF($J20=2,"SO",IF($J20=1,"FR",""))))</f>
    </oc>
    <nc r="V20">
      <f>IF($J20="SR", "SR", IF($J20=4,"SR",IF($J20="JR", "JR", IF($J20=3,"JR",IF($J20="SO", "SO", IF($J20=2,"SO",IF($J20="FR", "FR",IF($J20=1,"FR",""))))))))</f>
    </nc>
  </rcc>
  <rcc rId="167" sId="3">
    <oc r="V21">
      <f>IF($J21=4,"SR",IF($J21=3,"JR",IF($J21=2,"SO",IF($J21=1,"FR",""))))</f>
    </oc>
    <nc r="V21">
      <f>IF($J21="SR", "SR", IF($J21=4,"SR",IF($J21="JR", "JR", IF($J21=3,"JR",IF($J21="SO", "SO", IF($J21=2,"SO",IF($J21="FR", "FR",IF($J21=1,"FR",""))))))))</f>
    </nc>
  </rcc>
  <rcc rId="168" sId="3">
    <oc r="V22">
      <f>IF($J22=4,"SR",IF($J22=3,"JR",IF($J22=2,"SO",IF($J22=1,"FR",""))))</f>
    </oc>
    <nc r="V22">
      <f>IF($J22="SR", "SR", IF($J22=4,"SR",IF($J22="JR", "JR", IF($J22=3,"JR",IF($J22="SO", "SO", IF($J22=2,"SO",IF($J22="FR", "FR",IF($J22=1,"FR",""))))))))</f>
    </nc>
  </rcc>
  <rcc rId="169" sId="3">
    <oc r="V23">
      <f>IF($J23=4,"SR",IF($J23=3,"JR",IF($J23=2,"SO",IF($J23=1,"FR",""))))</f>
    </oc>
    <nc r="V23">
      <f>IF($J23="SR", "SR", IF($J23=4,"SR",IF($J23="JR", "JR", IF($J23=3,"JR",IF($J23="SO", "SO", IF($J23=2,"SO",IF($J23="FR", "FR",IF($J23=1,"FR",""))))))))</f>
    </nc>
  </rcc>
  <rcc rId="170" sId="3">
    <oc r="V24">
      <f>IF($J24=4,"SR",IF($J24=3,"JR",IF($J24=2,"SO",IF($J24=1,"FR",""))))</f>
    </oc>
    <nc r="V24">
      <f>IF($J24="SR", "SR", IF($J24=4,"SR",IF($J24="JR", "JR", IF($J24=3,"JR",IF($J24="SO", "SO", IF($J24=2,"SO",IF($J24="FR", "FR",IF($J24=1,"FR",""))))))))</f>
    </nc>
  </rcc>
  <rcc rId="171" sId="3">
    <oc r="V25">
      <f>IF($J25=4,"SR",IF($J25=3,"JR",IF($J25=2,"SO",IF($J25=1,"FR",""))))</f>
    </oc>
    <nc r="V25">
      <f>IF($J25="SR", "SR", IF($J25=4,"SR",IF($J25="JR", "JR", IF($J25=3,"JR",IF($J25="SO", "SO", IF($J25=2,"SO",IF($J25="FR", "FR",IF($J25=1,"FR",""))))))))</f>
    </nc>
  </rcc>
  <rcc rId="172" sId="3">
    <oc r="V26">
      <f>IF($J26=4,"SR",IF($J26=3,"JR",IF($J26=2,"SO",IF($J26=1,"FR",""))))</f>
    </oc>
    <nc r="V26">
      <f>IF($J26="SR", "SR", IF($J26=4,"SR",IF($J26="JR", "JR", IF($J26=3,"JR",IF($J26="SO", "SO", IF($J26=2,"SO",IF($J26="FR", "FR",IF($J26=1,"FR",""))))))))</f>
    </nc>
  </rcc>
  <rcc rId="173" sId="3">
    <oc r="V27">
      <f>IF($J27=4,"SR",IF($J27=3,"JR",IF($J27=2,"SO",IF($J27=1,"FR",""))))</f>
    </oc>
    <nc r="V27">
      <f>IF($J27="SR", "SR", IF($J27=4,"SR",IF($J27="JR", "JR", IF($J27=3,"JR",IF($J27="SO", "SO", IF($J27=2,"SO",IF($J27="FR", "FR",IF($J27=1,"FR",""))))))))</f>
    </nc>
  </rcc>
  <rcc rId="174" sId="3">
    <oc r="V28">
      <f>IF($J28=4,"SR",IF($J28=3,"JR",IF($J28=2,"SO",IF($J28=1,"FR",""))))</f>
    </oc>
    <nc r="V28">
      <f>IF($J28="SR", "SR", IF($J28=4,"SR",IF($J28="JR", "JR", IF($J28=3,"JR",IF($J28="SO", "SO", IF($J28=2,"SO",IF($J28="FR", "FR",IF($J28=1,"FR",""))))))))</f>
    </nc>
  </rcc>
  <rcc rId="175" sId="3">
    <oc r="V29">
      <f>IF($J29=4,"SR",IF($J29=3,"JR",IF($J29=2,"SO",IF($J29=1,"FR",""))))</f>
    </oc>
    <nc r="V29">
      <f>IF($J29="SR", "SR", IF($J29=4,"SR",IF($J29="JR", "JR", IF($J29=3,"JR",IF($J29="SO", "SO", IF($J29=2,"SO",IF($J29="FR", "FR",IF($J29=1,"FR",""))))))))</f>
    </nc>
  </rcc>
  <rcc rId="176" sId="3">
    <oc r="V30">
      <f>IF($J30=4,"SR",IF($J30=3,"JR",IF($J30=2,"SO",IF($J30=1,"FR",""))))</f>
    </oc>
    <nc r="V30">
      <f>IF($J30="SR", "SR", IF($J30=4,"SR",IF($J30="JR", "JR", IF($J30=3,"JR",IF($J30="SO", "SO", IF($J30=2,"SO",IF($J30="FR", "FR",IF($J30=1,"FR",""))))))))</f>
    </nc>
  </rcc>
  <rcc rId="177" sId="3">
    <oc r="V31">
      <f>IF($J31=4,"SR",IF($J31=3,"JR",IF($J31=2,"SO",IF($J31=1,"FR",""))))</f>
    </oc>
    <nc r="V31">
      <f>IF($J31="SR", "SR", IF($J31=4,"SR",IF($J31="JR", "JR", IF($J31=3,"JR",IF($J31="SO", "SO", IF($J31=2,"SO",IF($J31="FR", "FR",IF($J31=1,"FR",""))))))))</f>
    </nc>
  </rcc>
  <rcc rId="178" sId="3">
    <oc r="V32">
      <f>IF($J32=4,"SR",IF($J32=3,"JR",IF($J32=2,"SO",IF($J32=1,"FR",""))))</f>
    </oc>
    <nc r="V32">
      <f>IF($J32="SR", "SR", IF($J32=4,"SR",IF($J32="JR", "JR", IF($J32=3,"JR",IF($J32="SO", "SO", IF($J32=2,"SO",IF($J32="FR", "FR",IF($J32=1,"FR",""))))))))</f>
    </nc>
  </rcc>
  <rcc rId="179" sId="3">
    <oc r="V33">
      <f>IF($J33=4,"SR",IF($J33=3,"JR",IF($J33=2,"SO",IF($J33=1,"FR",""))))</f>
    </oc>
    <nc r="V33">
      <f>IF($J33="SR", "SR", IF($J33=4,"SR",IF($J33="JR", "JR", IF($J33=3,"JR",IF($J33="SO", "SO", IF($J33=2,"SO",IF($J33="FR", "FR",IF($J33=1,"FR",""))))))))</f>
    </nc>
  </rcc>
  <rcc rId="180" sId="3">
    <oc r="V34">
      <f>IF($J34=4,"SR",IF($J34=3,"JR",IF($J34=2,"SO",IF($J34=1,"FR",""))))</f>
    </oc>
    <nc r="V34">
      <f>IF($J34="SR", "SR", IF($J34=4,"SR",IF($J34="JR", "JR", IF($J34=3,"JR",IF($J34="SO", "SO", IF($J34=2,"SO",IF($J34="FR", "FR",IF($J34=1,"FR",""))))))))</f>
    </nc>
  </rcc>
  <rcc rId="181" sId="3">
    <oc r="V35">
      <f>IF($J35=4,"SR",IF($J35=3,"JR",IF($J35=2,"SO",IF($J35=1,"FR",""))))</f>
    </oc>
    <nc r="V35">
      <f>IF($J35="SR", "SR", IF($J35=4,"SR",IF($J35="JR", "JR", IF($J35=3,"JR",IF($J35="SO", "SO", IF($J35=2,"SO",IF($J35="FR", "FR",IF($J35=1,"FR",""))))))))</f>
    </nc>
  </rcc>
  <rcc rId="182" sId="3">
    <oc r="V36">
      <f>IF($J36=4,"SR",IF($J36=3,"JR",IF($J36=2,"SO",IF($J36=1,"FR",""))))</f>
    </oc>
    <nc r="V36">
      <f>IF($J36="SR", "SR", IF($J36=4,"SR",IF($J36="JR", "JR", IF($J36=3,"JR",IF($J36="SO", "SO", IF($J36=2,"SO",IF($J36="FR", "FR",IF($J36=1,"FR",""))))))))</f>
    </nc>
  </rcc>
  <rcc rId="183" sId="3">
    <oc r="V37">
      <f>IF($J37=4,"SR",IF($J37=3,"JR",IF($J37=2,"SO",IF($J37=1,"FR",""))))</f>
    </oc>
    <nc r="V37">
      <f>IF($J37="SR", "SR", IF($J37=4,"SR",IF($J37="JR", "JR", IF($J37=3,"JR",IF($J37="SO", "SO", IF($J37=2,"SO",IF($J37="FR", "FR",IF($J37=1,"FR",""))))))))</f>
    </nc>
  </rcc>
  <rcc rId="184" sId="3">
    <oc r="V38">
      <f>IF($J38=4,"SR",IF($J38=3,"JR",IF($J38=2,"SO",IF($J38=1,"FR",""))))</f>
    </oc>
    <nc r="V38">
      <f>IF($J38="SR", "SR", IF($J38=4,"SR",IF($J38="JR", "JR", IF($J38=3,"JR",IF($J38="SO", "SO", IF($J38=2,"SO",IF($J38="FR", "FR",IF($J38=1,"FR",""))))))))</f>
    </nc>
  </rcc>
  <rcc rId="185" sId="3">
    <oc r="V39">
      <f>IF($J39=4,"SR",IF($J39=3,"JR",IF($J39=2,"SO",IF($J39=1,"FR",""))))</f>
    </oc>
    <nc r="V39">
      <f>IF($J39="SR", "SR", IF($J39=4,"SR",IF($J39="JR", "JR", IF($J39=3,"JR",IF($J39="SO", "SO", IF($J39=2,"SO",IF($J39="FR", "FR",IF($J39=1,"FR",""))))))))</f>
    </nc>
  </rcc>
  <rcc rId="186" sId="3">
    <oc r="V40">
      <f>IF($J40=4,"SR",IF($J40=3,"JR",IF($J40=2,"SO",IF($J40=1,"FR",""))))</f>
    </oc>
    <nc r="V40">
      <f>IF($J40="SR", "SR", IF($J40=4,"SR",IF($J40="JR", "JR", IF($J40=3,"JR",IF($J40="SO", "SO", IF($J40=2,"SO",IF($J40="FR", "FR",IF($J40=1,"FR",""))))))))</f>
    </nc>
  </rcc>
  <rcc rId="187" sId="3">
    <oc r="V41">
      <f>IF($J41=4,"SR",IF($J41=3,"JR",IF($J41=2,"SO",IF($J41=1,"FR",""))))</f>
    </oc>
    <nc r="V41">
      <f>IF($J41="SR", "SR", IF($J41=4,"SR",IF($J41="JR", "JR", IF($J41=3,"JR",IF($J41="SO", "SO", IF($J41=2,"SO",IF($J41="FR", "FR",IF($J41=1,"FR",""))))))))</f>
    </nc>
  </rcc>
  <rcc rId="188" sId="3">
    <oc r="V42">
      <f>IF($J42=4,"SR",IF($J42=3,"JR",IF($J42=2,"SO",IF($J42=1,"FR",""))))</f>
    </oc>
    <nc r="V42">
      <f>IF($J42="SR", "SR", IF($J42=4,"SR",IF($J42="JR", "JR", IF($J42=3,"JR",IF($J42="SO", "SO", IF($J42=2,"SO",IF($J42="FR", "FR",IF($J42=1,"FR",""))))))))</f>
    </nc>
  </rcc>
  <rcc rId="189" sId="3">
    <oc r="V43">
      <f>IF($J43=4,"SR",IF($J43=3,"JR",IF($J43=2,"SO",IF($J43=1,"FR",""))))</f>
    </oc>
    <nc r="V43">
      <f>IF($J43="SR", "SR", IF($J43=4,"SR",IF($J43="JR", "JR", IF($J43=3,"JR",IF($J43="SO", "SO", IF($J43=2,"SO",IF($J43="FR", "FR",IF($J43=1,"FR",""))))))))</f>
    </nc>
  </rcc>
  <rcc rId="190" sId="3">
    <oc r="V44">
      <f>IF($J44=4,"SR",IF($J44=3,"JR",IF($J44=2,"SO",IF($J44=1,"FR",""))))</f>
    </oc>
    <nc r="V44">
      <f>IF($J44="SR", "SR", IF($J44=4,"SR",IF($J44="JR", "JR", IF($J44=3,"JR",IF($J44="SO", "SO", IF($J44=2,"SO",IF($J44="FR", "FR",IF($J44=1,"FR",""))))))))</f>
    </nc>
  </rcc>
  <rcc rId="191" sId="3">
    <oc r="V45">
      <f>IF($J45=4,"SR",IF($J45=3,"JR",IF($J45=2,"SO",IF($J45=1,"FR",""))))</f>
    </oc>
    <nc r="V45">
      <f>IF($J45="SR", "SR", IF($J45=4,"SR",IF($J45="JR", "JR", IF($J45=3,"JR",IF($J45="SO", "SO", IF($J45=2,"SO",IF($J45="FR", "FR",IF($J45=1,"FR",""))))))))</f>
    </nc>
  </rcc>
  <rcc rId="192" sId="3">
    <oc r="V46">
      <f>IF($J46=4,"SR",IF($J46=3,"JR",IF($J46=2,"SO",IF($J46=1,"FR",""))))</f>
    </oc>
    <nc r="V46">
      <f>IF($J46="SR", "SR", IF($J46=4,"SR",IF($J46="JR", "JR", IF($J46=3,"JR",IF($J46="SO", "SO", IF($J46=2,"SO",IF($J46="FR", "FR",IF($J46=1,"FR",""))))))))</f>
    </nc>
  </rcc>
  <rcc rId="193" sId="3">
    <oc r="V47">
      <f>IF($J47=4,"SR",IF($J47=3,"JR",IF($J47=2,"SO",IF($J47=1,"FR",""))))</f>
    </oc>
    <nc r="V47">
      <f>IF($J47="SR", "SR", IF($J47=4,"SR",IF($J47="JR", "JR", IF($J47=3,"JR",IF($J47="SO", "SO", IF($J47=2,"SO",IF($J47="FR", "FR",IF($J47=1,"FR",""))))))))</f>
    </nc>
  </rcc>
  <rcc rId="194" sId="3">
    <oc r="V48">
      <f>IF($J48=4,"SR",IF($J48=3,"JR",IF($J48=2,"SO",IF($J48=1,"FR",""))))</f>
    </oc>
    <nc r="V48">
      <f>IF($J48="SR", "SR", IF($J48=4,"SR",IF($J48="JR", "JR", IF($J48=3,"JR",IF($J48="SO", "SO", IF($J48=2,"SO",IF($J48="FR", "FR",IF($J48=1,"FR",""))))))))</f>
    </nc>
  </rcc>
  <rcc rId="195" sId="3">
    <oc r="V49">
      <f>IF($J49=4,"SR",IF($J49=3,"JR",IF($J49=2,"SO",IF($J49=1,"FR",""))))</f>
    </oc>
    <nc r="V49">
      <f>IF($J49="SR", "SR", IF($J49=4,"SR",IF($J49="JR", "JR", IF($J49=3,"JR",IF($J49="SO", "SO", IF($J49=2,"SO",IF($J49="FR", "FR",IF($J49=1,"FR",""))))))))</f>
    </nc>
  </rcc>
  <rcc rId="196" sId="3">
    <oc r="V50">
      <f>IF($J50=4,"SR",IF($J50=3,"JR",IF($J50=2,"SO",IF($J50=1,"FR",""))))</f>
    </oc>
    <nc r="V50">
      <f>IF($J50="SR", "SR", IF($J50=4,"SR",IF($J50="JR", "JR", IF($J50=3,"JR",IF($J50="SO", "SO", IF($J50=2,"SO",IF($J50="FR", "FR",IF($J50=1,"FR",""))))))))</f>
    </nc>
  </rcc>
  <rcc rId="197" sId="3">
    <oc r="V51">
      <f>IF($J51=4,"SR",IF($J51=3,"JR",IF($J51=2,"SO",IF($J51=1,"FR",""))))</f>
    </oc>
    <nc r="V51">
      <f>IF($J51="SR", "SR", IF($J51=4,"SR",IF($J51="JR", "JR", IF($J51=3,"JR",IF($J51="SO", "SO", IF($J51=2,"SO",IF($J51="FR", "FR",IF($J51=1,"FR",""))))))))</f>
    </nc>
  </rcc>
  <rcc rId="198" sId="3">
    <oc r="V52">
      <f>IF($J52=4,"SR",IF($J52=3,"JR",IF($J52=2,"SO",IF($J52=1,"FR",""))))</f>
    </oc>
    <nc r="V52">
      <f>IF($J52="SR", "SR", IF($J52=4,"SR",IF($J52="JR", "JR", IF($J52=3,"JR",IF($J52="SO", "SO", IF($J52=2,"SO",IF($J52="FR", "FR",IF($J52=1,"FR",""))))))))</f>
    </nc>
  </rcc>
  <rcc rId="199" sId="3">
    <oc r="V53">
      <f>IF($J53=4,"SR",IF($J53=3,"JR",IF($J53=2,"SO",IF($J53=1,"FR",""))))</f>
    </oc>
    <nc r="V53">
      <f>IF($J53="SR", "SR", IF($J53=4,"SR",IF($J53="JR", "JR", IF($J53=3,"JR",IF($J53="SO", "SO", IF($J53=2,"SO",IF($J53="FR", "FR",IF($J53=1,"FR",""))))))))</f>
    </nc>
  </rcc>
  <rcc rId="200" sId="3">
    <oc r="V54">
      <f>IF($J54=4,"SR",IF($J54=3,"JR",IF($J54=2,"SO",IF($J54=1,"FR",""))))</f>
    </oc>
    <nc r="V54">
      <f>IF($J54="SR", "SR", IF($J54=4,"SR",IF($J54="JR", "JR", IF($J54=3,"JR",IF($J54="SO", "SO", IF($J54=2,"SO",IF($J54="FR", "FR",IF($J54=1,"FR",""))))))))</f>
    </nc>
  </rcc>
  <rcc rId="201" sId="3">
    <oc r="V55">
      <f>IF($J55=4,"SR",IF($J55=3,"JR",IF($J55=2,"SO",IF($J55=1,"FR",""))))</f>
    </oc>
    <nc r="V55">
      <f>IF($J55="SR", "SR", IF($J55=4,"SR",IF($J55="JR", "JR", IF($J55=3,"JR",IF($J55="SO", "SO", IF($J55=2,"SO",IF($J55="FR", "FR",IF($J55=1,"FR",""))))))))</f>
    </nc>
  </rcc>
  <rcc rId="202" sId="3">
    <oc r="V56">
      <f>IF($J56=4,"SR",IF($J56=3,"JR",IF($J56=2,"SO",IF($J56=1,"FR",""))))</f>
    </oc>
    <nc r="V56">
      <f>IF($J56="SR", "SR", IF($J56=4,"SR",IF($J56="JR", "JR", IF($J56=3,"JR",IF($J56="SO", "SO", IF($J56=2,"SO",IF($J56="FR", "FR",IF($J56=1,"FR",""))))))))</f>
    </nc>
  </rcc>
  <rcc rId="203" sId="3">
    <oc r="V57">
      <f>IF($J57=4,"SR",IF($J57=3,"JR",IF($J57=2,"SO",IF($J57=1,"FR",""))))</f>
    </oc>
    <nc r="V57">
      <f>IF($J57="SR", "SR", IF($J57=4,"SR",IF($J57="JR", "JR", IF($J57=3,"JR",IF($J57="SO", "SO", IF($J57=2,"SO",IF($J57="FR", "FR",IF($J57=1,"FR",""))))))))</f>
    </nc>
  </rcc>
  <rcc rId="204" sId="3">
    <oc r="V58">
      <f>IF($J58=4,"SR",IF($J58=3,"JR",IF($J58=2,"SO",IF($J58=1,"FR",""))))</f>
    </oc>
    <nc r="V58">
      <f>IF($J58="SR", "SR", IF($J58=4,"SR",IF($J58="JR", "JR", IF($J58=3,"JR",IF($J58="SO", "SO", IF($J58=2,"SO",IF($J58="FR", "FR",IF($J58=1,"FR",""))))))))</f>
    </nc>
  </rcc>
  <rcc rId="205" sId="3">
    <oc r="V59">
      <f>IF($J59=4,"SR",IF($J59=3,"JR",IF($J59=2,"SO",IF($J59=1,"FR",""))))</f>
    </oc>
    <nc r="V59">
      <f>IF($J59="SR", "SR", IF($J59=4,"SR",IF($J59="JR", "JR", IF($J59=3,"JR",IF($J59="SO", "SO", IF($J59=2,"SO",IF($J59="FR", "FR",IF($J59=1,"FR",""))))))))</f>
    </nc>
  </rcc>
  <rcc rId="206" sId="3">
    <oc r="V60">
      <f>IF($J60=4,"SR",IF($J60=3,"JR",IF($J60=2,"SO",IF($J60=1,"FR",""))))</f>
    </oc>
    <nc r="V60">
      <f>IF($J60="SR", "SR", IF($J60=4,"SR",IF($J60="JR", "JR", IF($J60=3,"JR",IF($J60="SO", "SO", IF($J60=2,"SO",IF($J60="FR", "FR",IF($J60=1,"FR",""))))))))</f>
    </nc>
  </rcc>
  <rcc rId="207" sId="3">
    <oc r="V61">
      <f>IF($J61=4,"SR",IF($J61=3,"JR",IF($J61=2,"SO",IF($J61=1,"FR",""))))</f>
    </oc>
    <nc r="V61">
      <f>IF($J61="SR", "SR", IF($J61=4,"SR",IF($J61="JR", "JR", IF($J61=3,"JR",IF($J61="SO", "SO", IF($J61=2,"SO",IF($J61="FR", "FR",IF($J61=1,"FR",""))))))))</f>
    </nc>
  </rcc>
  <rcc rId="208" sId="3">
    <oc r="V62">
      <f>IF($J62=4,"SR",IF($J62=3,"JR",IF($J62=2,"SO",IF($J62=1,"FR",""))))</f>
    </oc>
    <nc r="V62">
      <f>IF($J62="SR", "SR", IF($J62=4,"SR",IF($J62="JR", "JR", IF($J62=3,"JR",IF($J62="SO", "SO", IF($J62=2,"SO",IF($J62="FR", "FR",IF($J62=1,"FR",""))))))))</f>
    </nc>
  </rcc>
  <rcc rId="209" sId="3">
    <oc r="V63">
      <f>IF($J63=4,"SR",IF($J63=3,"JR",IF($J63=2,"SO",IF($J63=1,"FR",""))))</f>
    </oc>
    <nc r="V63">
      <f>IF($J63="SR", "SR", IF($J63=4,"SR",IF($J63="JR", "JR", IF($J63=3,"JR",IF($J63="SO", "SO", IF($J63=2,"SO",IF($J63="FR", "FR",IF($J63=1,"FR",""))))))))</f>
    </nc>
  </rcc>
  <rcc rId="210" sId="3">
    <oc r="V64">
      <f>IF($J64=4,"SR",IF($J64=3,"JR",IF($J64=2,"SO",IF($J64=1,"FR",""))))</f>
    </oc>
    <nc r="V64">
      <f>IF($J64="SR", "SR", IF($J64=4,"SR",IF($J64="JR", "JR", IF($J64=3,"JR",IF($J64="SO", "SO", IF($J64=2,"SO",IF($J64="FR", "FR",IF($J64=1,"FR",""))))))))</f>
    </nc>
  </rcc>
  <rcc rId="211" sId="3">
    <oc r="V65">
      <f>IF($J65=4,"SR",IF($J65=3,"JR",IF($J65=2,"SO",IF($J65=1,"FR",""))))</f>
    </oc>
    <nc r="V65">
      <f>IF($J65="SR", "SR", IF($J65=4,"SR",IF($J65="JR", "JR", IF($J65=3,"JR",IF($J65="SO", "SO", IF($J65=2,"SO",IF($J65="FR", "FR",IF($J65=1,"FR",""))))))))</f>
    </nc>
  </rcc>
  <rcc rId="212" sId="3">
    <oc r="V66">
      <f>IF($J66=4,"SR",IF($J66=3,"JR",IF($J66=2,"SO",IF($J66=1,"FR",""))))</f>
    </oc>
    <nc r="V66">
      <f>IF($J66="SR", "SR", IF($J66=4,"SR",IF($J66="JR", "JR", IF($J66=3,"JR",IF($J66="SO", "SO", IF($J66=2,"SO",IF($J66="FR", "FR",IF($J66=1,"FR",""))))))))</f>
    </nc>
  </rcc>
  <rcc rId="213" sId="3">
    <oc r="V67">
      <f>IF($J67=4,"SR",IF($J67=3,"JR",IF($J67=2,"SO",IF($J67=1,"FR",""))))</f>
    </oc>
    <nc r="V67">
      <f>IF($J67="SR", "SR", IF($J67=4,"SR",IF($J67="JR", "JR", IF($J67=3,"JR",IF($J67="SO", "SO", IF($J67=2,"SO",IF($J67="FR", "FR",IF($J67=1,"FR",""))))))))</f>
    </nc>
  </rcc>
  <rcc rId="214" sId="3">
    <oc r="V68">
      <f>IF($J68=4,"SR",IF($J68=3,"JR",IF($J68=2,"SO",IF($J68=1,"FR",""))))</f>
    </oc>
    <nc r="V68">
      <f>IF($J68="SR", "SR", IF($J68=4,"SR",IF($J68="JR", "JR", IF($J68=3,"JR",IF($J68="SO", "SO", IF($J68=2,"SO",IF($J68="FR", "FR",IF($J68=1,"FR",""))))))))</f>
    </nc>
  </rcc>
  <rcc rId="215" sId="3">
    <oc r="V69">
      <f>IF($J69=4,"SR",IF($J69=3,"JR",IF($J69=2,"SO",IF($J69=1,"FR",""))))</f>
    </oc>
    <nc r="V69">
      <f>IF($J69="SR", "SR", IF($J69=4,"SR",IF($J69="JR", "JR", IF($J69=3,"JR",IF($J69="SO", "SO", IF($J69=2,"SO",IF($J69="FR", "FR",IF($J69=1,"FR",""))))))))</f>
    </nc>
  </rcc>
  <rcc rId="216" sId="3">
    <oc r="V70">
      <f>IF($J70=4,"SR",IF($J70=3,"JR",IF($J70=2,"SO",IF($J70=1,"FR",""))))</f>
    </oc>
    <nc r="V70">
      <f>IF($J70="SR", "SR", IF($J70=4,"SR",IF($J70="JR", "JR", IF($J70=3,"JR",IF($J70="SO", "SO", IF($J70=2,"SO",IF($J70="FR", "FR",IF($J70=1,"FR",""))))))))</f>
    </nc>
  </rcc>
  <rcc rId="217" sId="3">
    <oc r="V71">
      <f>IF($J71=4,"SR",IF($J71=3,"JR",IF($J71=2,"SO",IF($J71=1,"FR",""))))</f>
    </oc>
    <nc r="V71">
      <f>IF($J71="SR", "SR", IF($J71=4,"SR",IF($J71="JR", "JR", IF($J71=3,"JR",IF($J71="SO", "SO", IF($J71=2,"SO",IF($J71="FR", "FR",IF($J71=1,"FR",""))))))))</f>
    </nc>
  </rcc>
  <rcc rId="218" sId="3">
    <oc r="V72">
      <f>IF($J72=4,"SR",IF($J72=3,"JR",IF($J72=2,"SO",IF($J72=1,"FR",""))))</f>
    </oc>
    <nc r="V72">
      <f>IF($J72="SR", "SR", IF($J72=4,"SR",IF($J72="JR", "JR", IF($J72=3,"JR",IF($J72="SO", "SO", IF($J72=2,"SO",IF($J72="FR", "FR",IF($J72=1,"FR",""))))))))</f>
    </nc>
  </rcc>
  <rcc rId="219" sId="3">
    <oc r="V73">
      <f>IF($J73=4,"SR",IF($J73=3,"JR",IF($J73=2,"SO",IF($J73=1,"FR",""))))</f>
    </oc>
    <nc r="V73">
      <f>IF($J73="SR", "SR", IF($J73=4,"SR",IF($J73="JR", "JR", IF($J73=3,"JR",IF($J73="SO", "SO", IF($J73=2,"SO",IF($J73="FR", "FR",IF($J73=1,"FR",""))))))))</f>
    </nc>
  </rcc>
  <rcc rId="220" sId="3">
    <oc r="V74">
      <f>IF($J74=4,"SR",IF($J74=3,"JR",IF($J74=2,"SO",IF($J74=1,"FR",""))))</f>
    </oc>
    <nc r="V74">
      <f>IF($J74="SR", "SR", IF($J74=4,"SR",IF($J74="JR", "JR", IF($J74=3,"JR",IF($J74="SO", "SO", IF($J74=2,"SO",IF($J74="FR", "FR",IF($J74=1,"FR",""))))))))</f>
    </nc>
  </rcc>
  <rcc rId="221" sId="3">
    <oc r="V75">
      <f>IF($J75=4,"SR",IF($J75=3,"JR",IF($J75=2,"SO",IF($J75=1,"FR",""))))</f>
    </oc>
    <nc r="V75">
      <f>IF($J75="SR", "SR", IF($J75=4,"SR",IF($J75="JR", "JR", IF($J75=3,"JR",IF($J75="SO", "SO", IF($J75=2,"SO",IF($J75="FR", "FR",IF($J75=1,"FR",""))))))))</f>
    </nc>
  </rcc>
  <rcc rId="222" sId="3">
    <oc r="V76">
      <f>IF($J76=4,"SR",IF($J76=3,"JR",IF($J76=2,"SO",IF($J76=1,"FR",""))))</f>
    </oc>
    <nc r="V76">
      <f>IF($J76="SR", "SR", IF($J76=4,"SR",IF($J76="JR", "JR", IF($J76=3,"JR",IF($J76="SO", "SO", IF($J76=2,"SO",IF($J76="FR", "FR",IF($J76=1,"FR",""))))))))</f>
    </nc>
  </rcc>
  <rcc rId="223" sId="3">
    <oc r="V77">
      <f>IF($J77=4,"SR",IF($J77=3,"JR",IF($J77=2,"SO",IF($J77=1,"FR",""))))</f>
    </oc>
    <nc r="V77">
      <f>IF($J77="SR", "SR", IF($J77=4,"SR",IF($J77="JR", "JR", IF($J77=3,"JR",IF($J77="SO", "SO", IF($J77=2,"SO",IF($J77="FR", "FR",IF($J77=1,"FR",""))))))))</f>
    </nc>
  </rcc>
  <rcc rId="224" sId="3">
    <oc r="V78">
      <f>IF($J78=4,"SR",IF($J78=3,"JR",IF($J78=2,"SO",IF($J78=1,"FR",""))))</f>
    </oc>
    <nc r="V78">
      <f>IF($J78="SR", "SR", IF($J78=4,"SR",IF($J78="JR", "JR", IF($J78=3,"JR",IF($J78="SO", "SO", IF($J78=2,"SO",IF($J78="FR", "FR",IF($J78=1,"FR",""))))))))</f>
    </nc>
  </rcc>
  <rcc rId="225" sId="3">
    <oc r="V79">
      <f>IF($J79=4,"SR",IF($J79=3,"JR",IF($J79=2,"SO",IF($J79=1,"FR",""))))</f>
    </oc>
    <nc r="V79">
      <f>IF($J79="SR", "SR", IF($J79=4,"SR",IF($J79="JR", "JR", IF($J79=3,"JR",IF($J79="SO", "SO", IF($J79=2,"SO",IF($J79="FR", "FR",IF($J79=1,"FR",""))))))))</f>
    </nc>
  </rcc>
  <rcc rId="226" sId="3">
    <oc r="V80">
      <f>IF($J80=4,"SR",IF($J80=3,"JR",IF($J80=2,"SO",IF($J80=1,"FR",""))))</f>
    </oc>
    <nc r="V80">
      <f>IF($J80="SR", "SR", IF($J80=4,"SR",IF($J80="JR", "JR", IF($J80=3,"JR",IF($J80="SO", "SO", IF($J80=2,"SO",IF($J80="FR", "FR",IF($J80=1,"FR",""))))))))</f>
    </nc>
  </rcc>
  <rcc rId="227" sId="3">
    <oc r="V81">
      <f>IF($J81=4,"SR",IF($J81=3,"JR",IF($J81=2,"SO",IF($J81=1,"FR",""))))</f>
    </oc>
    <nc r="V81">
      <f>IF($J81="SR", "SR", IF($J81=4,"SR",IF($J81="JR", "JR", IF($J81=3,"JR",IF($J81="SO", "SO", IF($J81=2,"SO",IF($J81="FR", "FR",IF($J81=1,"FR",""))))))))</f>
    </nc>
  </rcc>
  <rcc rId="228" sId="3">
    <oc r="V82">
      <f>IF($J82=4,"SR",IF($J82=3,"JR",IF($J82=2,"SO",IF($J82=1,"FR",""))))</f>
    </oc>
    <nc r="V82">
      <f>IF($J82="SR", "SR", IF($J82=4,"SR",IF($J82="JR", "JR", IF($J82=3,"JR",IF($J82="SO", "SO", IF($J82=2,"SO",IF($J82="FR", "FR",IF($J82=1,"FR",""))))))))</f>
    </nc>
  </rcc>
  <rcc rId="229" sId="3">
    <oc r="V83">
      <f>IF($J83=4,"SR",IF($J83=3,"JR",IF($J83=2,"SO",IF($J83=1,"FR",""))))</f>
    </oc>
    <nc r="V83">
      <f>IF($J83="SR", "SR", IF($J83=4,"SR",IF($J83="JR", "JR", IF($J83=3,"JR",IF($J83="SO", "SO", IF($J83=2,"SO",IF($J83="FR", "FR",IF($J83=1,"FR",""))))))))</f>
    </nc>
  </rcc>
  <rcc rId="230" sId="3">
    <oc r="V84">
      <f>IF($J84=4,"SR",IF($J84=3,"JR",IF($J84=2,"SO",IF($J84=1,"FR",""))))</f>
    </oc>
    <nc r="V84">
      <f>IF($J84="SR", "SR", IF($J84=4,"SR",IF($J84="JR", "JR", IF($J84=3,"JR",IF($J84="SO", "SO", IF($J84=2,"SO",IF($J84="FR", "FR",IF($J84=1,"FR",""))))))))</f>
    </nc>
  </rcc>
  <rcc rId="231" sId="3">
    <oc r="V85">
      <f>IF($J85=4,"SR",IF($J85=3,"JR",IF($J85=2,"SO",IF($J85=1,"FR",""))))</f>
    </oc>
    <nc r="V85">
      <f>IF($J85="SR", "SR", IF($J85=4,"SR",IF($J85="JR", "JR", IF($J85=3,"JR",IF($J85="SO", "SO", IF($J85=2,"SO",IF($J85="FR", "FR",IF($J85=1,"FR",""))))))))</f>
    </nc>
  </rcc>
  <rcc rId="232" sId="3">
    <oc r="V86">
      <f>IF($J86=4,"SR",IF($J86=3,"JR",IF($J86=2,"SO",IF($J86=1,"FR",""))))</f>
    </oc>
    <nc r="V86">
      <f>IF($J86="SR", "SR", IF($J86=4,"SR",IF($J86="JR", "JR", IF($J86=3,"JR",IF($J86="SO", "SO", IF($J86=2,"SO",IF($J86="FR", "FR",IF($J86=1,"FR",""))))))))</f>
    </nc>
  </rcc>
  <rcc rId="233" sId="3">
    <oc r="V87">
      <f>IF($J87=4,"SR",IF($J87=3,"JR",IF($J87=2,"SO",IF($J87=1,"FR",""))))</f>
    </oc>
    <nc r="V87">
      <f>IF($J87="SR", "SR", IF($J87=4,"SR",IF($J87="JR", "JR", IF($J87=3,"JR",IF($J87="SO", "SO", IF($J87=2,"SO",IF($J87="FR", "FR",IF($J87=1,"FR",""))))))))</f>
    </nc>
  </rcc>
  <rcc rId="234" sId="3">
    <oc r="V88">
      <f>IF($J88=4,"SR",IF($J88=3,"JR",IF($J88=2,"SO",IF($J88=1,"FR",""))))</f>
    </oc>
    <nc r="V88">
      <f>IF($J88="SR", "SR", IF($J88=4,"SR",IF($J88="JR", "JR", IF($J88=3,"JR",IF($J88="SO", "SO", IF($J88=2,"SO",IF($J88="FR", "FR",IF($J88=1,"FR",""))))))))</f>
    </nc>
  </rcc>
  <rcc rId="235" sId="3">
    <oc r="V89">
      <f>IF($J89=4,"SR",IF($J89=3,"JR",IF($J89=2,"SO",IF($J89=1,"FR",""))))</f>
    </oc>
    <nc r="V89">
      <f>IF($J89="SR", "SR", IF($J89=4,"SR",IF($J89="JR", "JR", IF($J89=3,"JR",IF($J89="SO", "SO", IF($J89=2,"SO",IF($J89="FR", "FR",IF($J89=1,"FR",""))))))))</f>
    </nc>
  </rcc>
  <rcc rId="236" sId="3">
    <oc r="V90">
      <f>IF($J90=4,"SR",IF($J90=3,"JR",IF($J90=2,"SO",IF($J90=1,"FR",""))))</f>
    </oc>
    <nc r="V90">
      <f>IF($J90="SR", "SR", IF($J90=4,"SR",IF($J90="JR", "JR", IF($J90=3,"JR",IF($J90="SO", "SO", IF($J90=2,"SO",IF($J90="FR", "FR",IF($J90=1,"FR",""))))))))</f>
    </nc>
  </rcc>
  <rcc rId="237" sId="3">
    <oc r="V91">
      <f>IF($J91=4,"SR",IF($J91=3,"JR",IF($J91=2,"SO",IF($J91=1,"FR",""))))</f>
    </oc>
    <nc r="V91">
      <f>IF($J91="SR", "SR", IF($J91=4,"SR",IF($J91="JR", "JR", IF($J91=3,"JR",IF($J91="SO", "SO", IF($J91=2,"SO",IF($J91="FR", "FR",IF($J91=1,"FR",""))))))))</f>
    </nc>
  </rcc>
  <rcc rId="238" sId="3">
    <oc r="V92">
      <f>IF($J92=4,"SR",IF($J92=3,"JR",IF($J92=2,"SO",IF($J92=1,"FR",""))))</f>
    </oc>
    <nc r="V92">
      <f>IF($J92="SR", "SR", IF($J92=4,"SR",IF($J92="JR", "JR", IF($J92=3,"JR",IF($J92="SO", "SO", IF($J92=2,"SO",IF($J92="FR", "FR",IF($J92=1,"FR",""))))))))</f>
    </nc>
  </rcc>
  <rcc rId="239" sId="3">
    <oc r="V93">
      <f>IF($J93=4,"SR",IF($J93=3,"JR",IF($J93=2,"SO",IF($J93=1,"FR",""))))</f>
    </oc>
    <nc r="V93">
      <f>IF($J93="SR", "SR", IF($J93=4,"SR",IF($J93="JR", "JR", IF($J93=3,"JR",IF($J93="SO", "SO", IF($J93=2,"SO",IF($J93="FR", "FR",IF($J93=1,"FR",""))))))))</f>
    </nc>
  </rcc>
  <rcc rId="240" sId="3">
    <oc r="V94">
      <f>IF($J94=4,"SR",IF($J94=3,"JR",IF($J94=2,"SO",IF($J94=1,"FR",""))))</f>
    </oc>
    <nc r="V94">
      <f>IF($J94="SR", "SR", IF($J94=4,"SR",IF($J94="JR", "JR", IF($J94=3,"JR",IF($J94="SO", "SO", IF($J94=2,"SO",IF($J94="FR", "FR",IF($J94=1,"FR",""))))))))</f>
    </nc>
  </rcc>
  <rcc rId="241" sId="3">
    <oc r="V95">
      <f>IF($J95=4,"SR",IF($J95=3,"JR",IF($J95=2,"SO",IF($J95=1,"FR",""))))</f>
    </oc>
    <nc r="V95">
      <f>IF($J95="SR", "SR", IF($J95=4,"SR",IF($J95="JR", "JR", IF($J95=3,"JR",IF($J95="SO", "SO", IF($J95=2,"SO",IF($J95="FR", "FR",IF($J95=1,"FR",""))))))))</f>
    </nc>
  </rcc>
  <rcc rId="242" sId="3">
    <oc r="V96">
      <f>IF($J96=4,"SR",IF($J96=3,"JR",IF($J96=2,"SO",IF($J96=1,"FR",""))))</f>
    </oc>
    <nc r="V96">
      <f>IF($J96="SR", "SR", IF($J96=4,"SR",IF($J96="JR", "JR", IF($J96=3,"JR",IF($J96="SO", "SO", IF($J96=2,"SO",IF($J96="FR", "FR",IF($J96=1,"FR",""))))))))</f>
    </nc>
  </rcc>
  <rcc rId="243" sId="3">
    <oc r="V97">
      <f>IF($J97=4,"SR",IF($J97=3,"JR",IF($J97=2,"SO",IF($J97=1,"FR",""))))</f>
    </oc>
    <nc r="V97">
      <f>IF($J97="SR", "SR", IF($J97=4,"SR",IF($J97="JR", "JR", IF($J97=3,"JR",IF($J97="SO", "SO", IF($J97=2,"SO",IF($J97="FR", "FR",IF($J97=1,"FR",""))))))))</f>
    </nc>
  </rcc>
  <rcc rId="244" sId="3">
    <oc r="V98">
      <f>IF($J98=4,"SR",IF($J98=3,"JR",IF($J98=2,"SO",IF($J98=1,"FR",""))))</f>
    </oc>
    <nc r="V98">
      <f>IF($J98="SR", "SR", IF($J98=4,"SR",IF($J98="JR", "JR", IF($J98=3,"JR",IF($J98="SO", "SO", IF($J98=2,"SO",IF($J98="FR", "FR",IF($J98=1,"FR",""))))))))</f>
    </nc>
  </rcc>
  <rcc rId="245" sId="3">
    <oc r="V99">
      <f>IF($J99=4,"SR",IF($J99=3,"JR",IF($J99=2,"SO",IF($J99=1,"FR",""))))</f>
    </oc>
    <nc r="V99">
      <f>IF($J99="SR", "SR", IF($J99=4,"SR",IF($J99="JR", "JR", IF($J99=3,"JR",IF($J99="SO", "SO", IF($J99=2,"SO",IF($J99="FR", "FR",IF($J99=1,"FR",""))))))))</f>
    </nc>
  </rcc>
  <rcc rId="246" sId="3">
    <oc r="V100">
      <f>IF($J100=4,"SR",IF($J100=3,"JR",IF($J100=2,"SO",IF($J100=1,"FR",""))))</f>
    </oc>
    <nc r="V100">
      <f>IF($J100="SR", "SR", IF($J100=4,"SR",IF($J100="JR", "JR", IF($J100=3,"JR",IF($J100="SO", "SO", IF($J100=2,"SO",IF($J100="FR", "FR",IF($J100=1,"FR",""))))))))</f>
    </nc>
  </rcc>
  <rcc rId="247" sId="3">
    <oc r="V101">
      <f>IF($J101=4,"SR",IF($J101=3,"JR",IF($J101=2,"SO",IF($J101=1,"FR",""))))</f>
    </oc>
    <nc r="V101">
      <f>IF($J101="SR", "SR", IF($J101=4,"SR",IF($J101="JR", "JR", IF($J101=3,"JR",IF($J101="SO", "SO", IF($J101=2,"SO",IF($J101="FR", "FR",IF($J101=1,"FR",""))))))))</f>
    </nc>
  </rcc>
  <rcc rId="248" sId="3">
    <oc r="V102">
      <f>IF($J102=4,"SR",IF($J102=3,"JR",IF($J102=2,"SO",IF($J102=1,"FR",""))))</f>
    </oc>
    <nc r="V102">
      <f>IF($J102="SR", "SR", IF($J102=4,"SR",IF($J102="JR", "JR", IF($J102=3,"JR",IF($J102="SO", "SO", IF($J102=2,"SO",IF($J102="FR", "FR",IF($J102=1,"FR",""))))))))</f>
    </nc>
  </rcc>
  <rcc rId="249" sId="1">
    <oc r="A1" t="inlineStr">
      <is>
        <t>ESPN Team Sheet - v2024.1.2</t>
      </is>
    </oc>
    <nc r="A1" t="inlineStr">
      <is>
        <t>ESPN Team Sheet - v2024.1.3</t>
      </is>
    </nc>
  </rcc>
  <rcc rId="250" sId="1">
    <oc r="B1" t="inlineStr">
      <is>
        <t>Updated 11/8/24</t>
      </is>
    </oc>
    <nc r="B1" t="inlineStr">
      <is>
        <t>Updated 11/11/24</t>
      </is>
    </nc>
  </rcc>
  <rcv guid="{BE266B8E-38B0-4631-9C30-67CA48A8BD7F}" action="delete"/>
  <rdn rId="0" localSheetId="1" customView="1" name="Z_BE266B8E_38B0_4631_9C30_67CA48A8BD7F_.wvu.Cols" hidden="1" oldHidden="1">
    <formula>'Team Info'!$D:$I</formula>
    <oldFormula>'Team Info'!$D:$I</oldFormula>
  </rdn>
  <rdn rId="0" localSheetId="2" customView="1" name="Z_BE266B8E_38B0_4631_9C30_67CA48A8BD7F_.wvu.Rows" hidden="1" oldHidden="1">
    <formula>'Team Personnel'!$24:$34</formula>
    <oldFormula>'Team Personnel'!$24:$34</oldFormula>
  </rdn>
  <rdn rId="0" localSheetId="2" customView="1" name="Z_BE266B8E_38B0_4631_9C30_67CA48A8BD7F_.wvu.Cols" hidden="1" oldHidden="1">
    <formula>'Team Personnel'!$H:$K</formula>
    <oldFormula>'Team Personnel'!$H:$K</oldFormula>
  </rdn>
  <rdn rId="0" localSheetId="3" customView="1" name="Z_BE266B8E_38B0_4631_9C30_67CA48A8BD7F_.wvu.Cols" hidden="1" oldHidden="1">
    <formula>Roster!$N:$Z</formula>
    <oldFormula>Roster!$G:$H,Roster!$N:$Z</oldFormula>
  </rdn>
  <rdn rId="0" localSheetId="6" customView="1" name="Z_BE266B8E_38B0_4631_9C30_67CA48A8BD7F_.wvu.PrintArea" hidden="1" oldHidden="1">
    <formula>'Season Stats'!$A$1:$AJ$105</formula>
    <oldFormula>'Season Stats'!$A$1:$AJ$105</oldFormula>
  </rdn>
  <rdn rId="0" localSheetId="6" customView="1" name="Z_BE266B8E_38B0_4631_9C30_67CA48A8BD7F_.wvu.Cols" hidden="1" oldHidden="1">
    <formula>'Season Stats'!$L:$V,'Season Stats'!$Y:$AJ</formula>
    <oldFormula>'Season Stats'!$L:$V,'Season Stats'!$Y:$AJ</oldFormula>
  </rdn>
  <rdn rId="0" localSheetId="7" customView="1" name="Z_BE266B8E_38B0_4631_9C30_67CA48A8BD7F_.wvu.Rows" hidden="1" oldHidden="1">
    <formula>'Team Stats'!$20:$34</formula>
    <oldFormula>'Team Stats'!$20:$34</oldFormula>
  </rdn>
  <rdn rId="0" localSheetId="8" customView="1" name="Z_BE266B8E_38B0_4631_9C30_67CA48A8BD7F_.wvu.Rows" hidden="1" oldHidden="1">
    <formula>'Upcoming Schedule'!$10:$16</formula>
    <oldFormula>'Upcoming Schedule'!$10:$16</oldFormula>
  </rdn>
  <rdn rId="0" localSheetId="8" customView="1" name="Z_BE266B8E_38B0_4631_9C30_67CA48A8BD7F_.wvu.Cols" hidden="1" oldHidden="1">
    <formula>'Upcoming Schedule'!$I:$K</formula>
    <oldFormula>'Upcoming Schedule'!$I:$K</oldFormula>
  </rdn>
  <rdn rId="0" localSheetId="9" customView="1" name="Z_BE266B8E_38B0_4631_9C30_67CA48A8BD7F_.wvu.Rows" hidden="1" oldHidden="1">
    <formula>'Team Heroes'!$22:$52</formula>
    <oldFormula>'Team Heroes'!$22:$52</oldFormula>
  </rdn>
  <rdn rId="0" localSheetId="9" customView="1" name="Z_BE266B8E_38B0_4631_9C30_67CA48A8BD7F_.wvu.Cols" hidden="1" oldHidden="1">
    <formula>'Team Heroes'!$F:$I</formula>
    <oldFormula>'Team Heroes'!$F:$I</oldFormula>
  </rdn>
  <rcv guid="{BE266B8E-38B0-4631-9C30-67CA48A8BD7F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2F19D52-E208-414F-9E2E-506DF902926F}" action="delete"/>
  <rdn rId="0" localSheetId="1" customView="1" name="Z_42F19D52_E208_414F_9E2E_506DF902926F_.wvu.Cols" hidden="1" oldHidden="1">
    <formula>'Team Info'!$D:$I</formula>
    <oldFormula>'Team Info'!$D:$I</oldFormula>
  </rdn>
  <rdn rId="0" localSheetId="2" customView="1" name="Z_42F19D52_E208_414F_9E2E_506DF902926F_.wvu.Rows" hidden="1" oldHidden="1">
    <formula>'Team Personnel'!$24:$34</formula>
    <oldFormula>'Team Personnel'!$24:$34</oldFormula>
  </rdn>
  <rdn rId="0" localSheetId="2" customView="1" name="Z_42F19D52_E208_414F_9E2E_506DF902926F_.wvu.Cols" hidden="1" oldHidden="1">
    <formula>'Team Personnel'!$H:$K</formula>
    <oldFormula>'Team Personnel'!$H:$K</oldFormula>
  </rdn>
  <rdn rId="0" localSheetId="3" customView="1" name="Z_42F19D52_E208_414F_9E2E_506DF902926F_.wvu.Cols" hidden="1" oldHidden="1">
    <formula>Roster!$N:$Z</formula>
    <oldFormula>Roster!$G:$H,Roster!$N:$Z</oldFormula>
  </rdn>
  <rdn rId="0" localSheetId="6" customView="1" name="Z_42F19D52_E208_414F_9E2E_506DF902926F_.wvu.PrintArea" hidden="1" oldHidden="1">
    <formula>'Season Stats'!$A$1:$AJ$105</formula>
    <oldFormula>'Season Stats'!$A$1:$AJ$105</oldFormula>
  </rdn>
  <rdn rId="0" localSheetId="6" customView="1" name="Z_42F19D52_E208_414F_9E2E_506DF902926F_.wvu.Cols" hidden="1" oldHidden="1">
    <formula>'Season Stats'!$L:$V,'Season Stats'!$Y:$AJ</formula>
    <oldFormula>'Season Stats'!$L:$V,'Season Stats'!$Y:$AJ</oldFormula>
  </rdn>
  <rdn rId="0" localSheetId="7" customView="1" name="Z_42F19D52_E208_414F_9E2E_506DF902926F_.wvu.Rows" hidden="1" oldHidden="1">
    <formula>'Team Stats'!$20:$34</formula>
    <oldFormula>'Team Stats'!$20:$34</oldFormula>
  </rdn>
  <rdn rId="0" localSheetId="8" customView="1" name="Z_42F19D52_E208_414F_9E2E_506DF902926F_.wvu.Cols" hidden="1" oldHidden="1">
    <formula>'Upcoming Schedule'!$I:$K</formula>
    <oldFormula>'Upcoming Schedule'!$I:$K</oldFormula>
  </rdn>
  <rdn rId="0" localSheetId="9" customView="1" name="Z_42F19D52_E208_414F_9E2E_506DF902926F_.wvu.Rows" hidden="1" oldHidden="1">
    <formula>'Team Heroes'!$22:$52</formula>
    <oldFormula>'Team Heroes'!$22:$52</oldFormula>
  </rdn>
  <rdn rId="0" localSheetId="9" customView="1" name="Z_42F19D52_E208_414F_9E2E_506DF902926F_.wvu.Cols" hidden="1" oldHidden="1">
    <formula>'Team Heroes'!$F:$I</formula>
    <oldFormula>'Team Heroes'!$F:$I</oldFormula>
  </rdn>
  <rcv guid="{42F19D52-E208-414F-9E2E-506DF902926F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2" sId="1">
    <oc r="A1" t="inlineStr">
      <is>
        <t>ESPN Team Sheet - v2024.1.3</t>
      </is>
    </oc>
    <nc r="A1" t="inlineStr">
      <is>
        <t>ESPN Team Sheet - v2024.1.4</t>
      </is>
    </nc>
  </rcc>
  <rcc rId="273" sId="1">
    <oc r="B1" t="inlineStr">
      <is>
        <t>Updated 11/11/24</t>
      </is>
    </oc>
    <nc r="B1" t="inlineStr">
      <is>
        <t>Updated 10/29/25</t>
      </is>
    </nc>
  </rcc>
  <rcc rId="274" sId="3">
    <oc r="J2" t="inlineStr">
      <is>
        <t>1=FR, 2=SO, 3=JR, 4=SR</t>
      </is>
    </oc>
    <nc r="J2" t="inlineStr">
      <is>
        <t>Enter FR, SO, JR, or SR</t>
      </is>
    </nc>
  </rcc>
  <rcc rId="275" sId="3">
    <oc r="J4">
      <v>1</v>
    </oc>
    <nc r="J4" t="inlineStr">
      <is>
        <t>FR</t>
      </is>
    </nc>
  </rcc>
  <rcv guid="{42F19D52-E208-414F-9E2E-506DF902926F}" action="delete"/>
  <rdn rId="0" localSheetId="1" customView="1" name="Z_42F19D52_E208_414F_9E2E_506DF902926F_.wvu.Cols" hidden="1" oldHidden="1">
    <formula>'Team Info'!$D:$I</formula>
    <oldFormula>'Team Info'!$D:$I</oldFormula>
  </rdn>
  <rdn rId="0" localSheetId="2" customView="1" name="Z_42F19D52_E208_414F_9E2E_506DF902926F_.wvu.Rows" hidden="1" oldHidden="1">
    <formula>'Team Personnel'!$24:$34</formula>
    <oldFormula>'Team Personnel'!$24:$34</oldFormula>
  </rdn>
  <rdn rId="0" localSheetId="2" customView="1" name="Z_42F19D52_E208_414F_9E2E_506DF902926F_.wvu.Cols" hidden="1" oldHidden="1">
    <formula>'Team Personnel'!$H:$K</formula>
    <oldFormula>'Team Personnel'!$H:$K</oldFormula>
  </rdn>
  <rdn rId="0" localSheetId="3" customView="1" name="Z_42F19D52_E208_414F_9E2E_506DF902926F_.wvu.Cols" hidden="1" oldHidden="1">
    <formula>Roster!$N:$Z</formula>
    <oldFormula>Roster!$N:$Z</oldFormula>
  </rdn>
  <rdn rId="0" localSheetId="6" customView="1" name="Z_42F19D52_E208_414F_9E2E_506DF902926F_.wvu.PrintArea" hidden="1" oldHidden="1">
    <formula>'Season Stats'!$A$1:$AJ$105</formula>
    <oldFormula>'Season Stats'!$A$1:$AJ$105</oldFormula>
  </rdn>
  <rdn rId="0" localSheetId="6" customView="1" name="Z_42F19D52_E208_414F_9E2E_506DF902926F_.wvu.Cols" hidden="1" oldHidden="1">
    <formula>'Season Stats'!$L:$V,'Season Stats'!$Y:$AJ</formula>
    <oldFormula>'Season Stats'!$L:$V,'Season Stats'!$Y:$AJ</oldFormula>
  </rdn>
  <rdn rId="0" localSheetId="7" customView="1" name="Z_42F19D52_E208_414F_9E2E_506DF902926F_.wvu.Rows" hidden="1" oldHidden="1">
    <formula>'Team Stats'!$20:$34</formula>
    <oldFormula>'Team Stats'!$20:$34</oldFormula>
  </rdn>
  <rdn rId="0" localSheetId="8" customView="1" name="Z_42F19D52_E208_414F_9E2E_506DF902926F_.wvu.Cols" hidden="1" oldHidden="1">
    <formula>'Upcoming Schedule'!$I:$K</formula>
    <oldFormula>'Upcoming Schedule'!$I:$K</oldFormula>
  </rdn>
  <rdn rId="0" localSheetId="9" customView="1" name="Z_42F19D52_E208_414F_9E2E_506DF902926F_.wvu.Rows" hidden="1" oldHidden="1">
    <formula>'Team Heroes'!$22:$52</formula>
    <oldFormula>'Team Heroes'!$22:$52</oldFormula>
  </rdn>
  <rdn rId="0" localSheetId="9" customView="1" name="Z_42F19D52_E208_414F_9E2E_506DF902926F_.wvu.Cols" hidden="1" oldHidden="1">
    <formula>'Team Heroes'!$F:$I</formula>
    <oldFormula>'Team Heroes'!$F:$I</oldFormula>
  </rdn>
  <rcv guid="{42F19D52-E208-414F-9E2E-506DF902926F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" sId="1">
    <oc r="A1" t="inlineStr">
      <is>
        <t>ESPN Team Sheet - v2024.1.0</t>
      </is>
    </oc>
    <nc r="A1" t="inlineStr">
      <is>
        <t>ESPN Team Sheet - v2024.1.1</t>
      </is>
    </nc>
  </rcc>
  <rm rId="23" sheetId="1" source="D24" destination="D22" sourceSheetId="1">
    <undo index="0" exp="area" ref3D="1" dr="$D$21:$D$24" dn="TEAM_DASH_NAME"/>
    <rfmt sheetId="1" sqref="D22" start="0" length="0">
      <dxf>
        <font>
          <b/>
          <sz val="11"/>
          <color theme="1"/>
          <name val="Calibri"/>
          <scheme val="minor"/>
        </font>
      </dxf>
    </rfmt>
  </rm>
  <rcc rId="24" sId="1">
    <oc r="B1" t="inlineStr">
      <is>
        <t>Updated 10/9/24</t>
      </is>
    </oc>
    <nc r="B1" t="inlineStr">
      <is>
        <t>Updated 10/14/24</t>
      </is>
    </nc>
  </rcc>
  <rcv guid="{42F19D52-E208-414F-9E2E-506DF902926F}" action="delete"/>
  <rdn rId="0" localSheetId="1" customView="1" name="Z_42F19D52_E208_414F_9E2E_506DF902926F_.wvu.Cols" hidden="1" oldHidden="1">
    <formula>'Team Info'!$D:$I</formula>
    <oldFormula>'Team Info'!$D:$J</oldFormula>
  </rdn>
  <rdn rId="0" localSheetId="2" customView="1" name="Z_42F19D52_E208_414F_9E2E_506DF902926F_.wvu.Rows" hidden="1" oldHidden="1">
    <formula>'Team Personnel'!$24:$34</formula>
    <oldFormula>'Team Personnel'!$24:$34</oldFormula>
  </rdn>
  <rdn rId="0" localSheetId="2" customView="1" name="Z_42F19D52_E208_414F_9E2E_506DF902926F_.wvu.Cols" hidden="1" oldHidden="1">
    <formula>'Team Personnel'!$H:$K</formula>
    <oldFormula>'Team Personnel'!$H:$K</oldFormula>
  </rdn>
  <rdn rId="0" localSheetId="3" customView="1" name="Z_42F19D52_E208_414F_9E2E_506DF902926F_.wvu.Cols" hidden="1" oldHidden="1">
    <formula>Roster!$G:$H,Roster!$N:$Z</formula>
    <oldFormula>Roster!$G:$H,Roster!$N:$Z</oldFormula>
  </rdn>
  <rdn rId="0" localSheetId="6" customView="1" name="Z_42F19D52_E208_414F_9E2E_506DF902926F_.wvu.PrintArea" hidden="1" oldHidden="1">
    <formula>'Season Stats'!$A$1:$AJ$105</formula>
    <oldFormula>'Season Stats'!$A$1:$AJ$105</oldFormula>
  </rdn>
  <rdn rId="0" localSheetId="6" customView="1" name="Z_42F19D52_E208_414F_9E2E_506DF902926F_.wvu.Cols" hidden="1" oldHidden="1">
    <formula>'Season Stats'!$L:$V,'Season Stats'!$Y:$AJ</formula>
    <oldFormula>'Season Stats'!$L:$V,'Season Stats'!$Y:$AJ</oldFormula>
  </rdn>
  <rdn rId="0" localSheetId="7" customView="1" name="Z_42F19D52_E208_414F_9E2E_506DF902926F_.wvu.Rows" hidden="1" oldHidden="1">
    <formula>'Team Stats'!$20:$34</formula>
    <oldFormula>'Team Stats'!$20:$34</oldFormula>
  </rdn>
  <rdn rId="0" localSheetId="8" customView="1" name="Z_42F19D52_E208_414F_9E2E_506DF902926F_.wvu.Cols" hidden="1" oldHidden="1">
    <formula>'Upcoming Schedule'!$I:$K</formula>
    <oldFormula>'Upcoming Schedule'!$I:$K</oldFormula>
  </rdn>
  <rdn rId="0" localSheetId="9" customView="1" name="Z_42F19D52_E208_414F_9E2E_506DF902926F_.wvu.Rows" hidden="1" oldHidden="1">
    <formula>'Team Heroes'!$22:$52</formula>
    <oldFormula>'Team Heroes'!$22:$52</oldFormula>
  </rdn>
  <rdn rId="0" localSheetId="9" customView="1" name="Z_42F19D52_E208_414F_9E2E_506DF902926F_.wvu.Cols" hidden="1" oldHidden="1">
    <formula>'Team Heroes'!$F:$I</formula>
    <oldFormula>'Team Heroes'!$F:$I</oldFormula>
  </rdn>
  <rcv guid="{42F19D52-E208-414F-9E2E-506DF902926F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" sId="1">
    <oc r="A1" t="inlineStr">
      <is>
        <t>ESPN Team Sheet - v2024.1.1</t>
      </is>
    </oc>
    <nc r="A1" t="inlineStr">
      <is>
        <t>ESPN Team Sheet - v2024.1.2</t>
      </is>
    </nc>
  </rcc>
  <rcc rId="36" sId="1">
    <oc r="B1" t="inlineStr">
      <is>
        <t>Updated 10/14/24</t>
      </is>
    </oc>
    <nc r="B1" t="inlineStr">
      <is>
        <t>Updated 11/8/24</t>
      </is>
    </nc>
  </rcc>
  <rcc rId="37" sId="3">
    <oc r="Q4">
      <f>IF($J4=4,"Senior",IF($J4=3,"Junior",IF($J4=2,"Sophomore",IF($J4=1,"Freshman",""))))</f>
    </oc>
    <nc r="Q4">
      <f>IF($J4="SR", "Senior", IF($J4=4,"Senior",IF($J4="JR", "Junior", IF($J4=3,"Junior",IF($J4="SO", "Sophomore", IF($J4=2,"Sophomore",IF($J4="FR", "Freshman",IF($J4=1,"Freshman",""))))))))</f>
    </nc>
  </rcc>
  <rcc rId="38" sId="3">
    <oc r="Q5">
      <f>IF($J5=4,"Senior",IF($J5=3,"Junior",IF($J5=2,"Sophomore",IF($J5=1,"Freshman",""))))</f>
    </oc>
    <nc r="Q5">
      <f>IF($J5="SR", "Senior", IF($J5=4,"Senior",IF($J5="JR", "Junior", IF($J5=3,"Junior",IF($J5="SO", "Sophomore", IF($J5=2,"Sophomore",IF($J5="FR", "Freshman",IF($J5=1,"Freshman",""))))))))</f>
    </nc>
  </rcc>
  <rcc rId="39" sId="3">
    <oc r="Q6">
      <f>IF($J6=4,"Senior",IF($J6=3,"Junior",IF($J6=2,"Sophomore",IF($J6=1,"Freshman",""))))</f>
    </oc>
    <nc r="Q6">
      <f>IF($J6="SR", "Senior", IF($J6=4,"Senior",IF($J6="JR", "Junior", IF($J6=3,"Junior",IF($J6="SO", "Sophomore", IF($J6=2,"Sophomore",IF($J6="FR", "Freshman",IF($J6=1,"Freshman",""))))))))</f>
    </nc>
  </rcc>
  <rcc rId="40" sId="3">
    <oc r="Q7">
      <f>IF($J7=4,"Senior",IF($J7=3,"Junior",IF($J7=2,"Sophomore",IF($J7=1,"Freshman",""))))</f>
    </oc>
    <nc r="Q7">
      <f>IF($J7="SR", "Senior", IF($J7=4,"Senior",IF($J7="JR", "Junior", IF($J7=3,"Junior",IF($J7="SO", "Sophomore", IF($J7=2,"Sophomore",IF($J7="FR", "Freshman",IF($J7=1,"Freshman",""))))))))</f>
    </nc>
  </rcc>
  <rcc rId="41" sId="3">
    <oc r="Q8">
      <f>IF($J8=4,"Senior",IF($J8=3,"Junior",IF($J8=2,"Sophomore",IF($J8=1,"Freshman",""))))</f>
    </oc>
    <nc r="Q8">
      <f>IF($J8="SR", "Senior", IF($J8=4,"Senior",IF($J8="JR", "Junior", IF($J8=3,"Junior",IF($J8="SO", "Sophomore", IF($J8=2,"Sophomore",IF($J8="FR", "Freshman",IF($J8=1,"Freshman",""))))))))</f>
    </nc>
  </rcc>
  <rcc rId="42" sId="3">
    <oc r="Q9">
      <f>IF($J9=4,"Senior",IF($J9=3,"Junior",IF($J9=2,"Sophomore",IF($J9=1,"Freshman",""))))</f>
    </oc>
    <nc r="Q9">
      <f>IF($J9="SR", "Senior", IF($J9=4,"Senior",IF($J9="JR", "Junior", IF($J9=3,"Junior",IF($J9="SO", "Sophomore", IF($J9=2,"Sophomore",IF($J9="FR", "Freshman",IF($J9=1,"Freshman",""))))))))</f>
    </nc>
  </rcc>
  <rcc rId="43" sId="3">
    <oc r="Q10">
      <f>IF($J10=4,"Senior",IF($J10=3,"Junior",IF($J10=2,"Sophomore",IF($J10=1,"Freshman",""))))</f>
    </oc>
    <nc r="Q10">
      <f>IF($J10="SR", "Senior", IF($J10=4,"Senior",IF($J10="JR", "Junior", IF($J10=3,"Junior",IF($J10="SO", "Sophomore", IF($J10=2,"Sophomore",IF($J10="FR", "Freshman",IF($J10=1,"Freshman",""))))))))</f>
    </nc>
  </rcc>
  <rcc rId="44" sId="3">
    <oc r="Q11">
      <f>IF($J11=4,"Senior",IF($J11=3,"Junior",IF($J11=2,"Sophomore",IF($J11=1,"Freshman",""))))</f>
    </oc>
    <nc r="Q11">
      <f>IF($J11="SR", "Senior", IF($J11=4,"Senior",IF($J11="JR", "Junior", IF($J11=3,"Junior",IF($J11="SO", "Sophomore", IF($J11=2,"Sophomore",IF($J11="FR", "Freshman",IF($J11=1,"Freshman",""))))))))</f>
    </nc>
  </rcc>
  <rcc rId="45" sId="3">
    <oc r="Q12">
      <f>IF($J12=4,"Senior",IF($J12=3,"Junior",IF($J12=2,"Sophomore",IF($J12=1,"Freshman",""))))</f>
    </oc>
    <nc r="Q12">
      <f>IF($J12="SR", "Senior", IF($J12=4,"Senior",IF($J12="JR", "Junior", IF($J12=3,"Junior",IF($J12="SO", "Sophomore", IF($J12=2,"Sophomore",IF($J12="FR", "Freshman",IF($J12=1,"Freshman",""))))))))</f>
    </nc>
  </rcc>
  <rcc rId="46" sId="3">
    <oc r="Q13">
      <f>IF($J13=4,"Senior",IF($J13=3,"Junior",IF($J13=2,"Sophomore",IF($J13=1,"Freshman",""))))</f>
    </oc>
    <nc r="Q13">
      <f>IF($J13="SR", "Senior", IF($J13=4,"Senior",IF($J13="JR", "Junior", IF($J13=3,"Junior",IF($J13="SO", "Sophomore", IF($J13=2,"Sophomore",IF($J13="FR", "Freshman",IF($J13=1,"Freshman",""))))))))</f>
    </nc>
  </rcc>
  <rcc rId="47" sId="3">
    <oc r="Q14">
      <f>IF($J14=4,"Senior",IF($J14=3,"Junior",IF($J14=2,"Sophomore",IF($J14=1,"Freshman",""))))</f>
    </oc>
    <nc r="Q14">
      <f>IF($J14="SR", "Senior", IF($J14=4,"Senior",IF($J14="JR", "Junior", IF($J14=3,"Junior",IF($J14="SO", "Sophomore", IF($J14=2,"Sophomore",IF($J14="FR", "Freshman",IF($J14=1,"Freshman",""))))))))</f>
    </nc>
  </rcc>
  <rcc rId="48" sId="3">
    <oc r="Q15">
      <f>IF($J15=4,"Senior",IF($J15=3,"Junior",IF($J15=2,"Sophomore",IF($J15=1,"Freshman",""))))</f>
    </oc>
    <nc r="Q15">
      <f>IF($J15="SR", "Senior", IF($J15=4,"Senior",IF($J15="JR", "Junior", IF($J15=3,"Junior",IF($J15="SO", "Sophomore", IF($J15=2,"Sophomore",IF($J15="FR", "Freshman",IF($J15=1,"Freshman",""))))))))</f>
    </nc>
  </rcc>
  <rcc rId="49" sId="3">
    <oc r="Q16">
      <f>IF($J16=4,"Senior",IF($J16=3,"Junior",IF($J16=2,"Sophomore",IF($J16=1,"Freshman",""))))</f>
    </oc>
    <nc r="Q16">
      <f>IF($J16="SR", "Senior", IF($J16=4,"Senior",IF($J16="JR", "Junior", IF($J16=3,"Junior",IF($J16="SO", "Sophomore", IF($J16=2,"Sophomore",IF($J16="FR", "Freshman",IF($J16=1,"Freshman",""))))))))</f>
    </nc>
  </rcc>
  <rcc rId="50" sId="3">
    <oc r="Q17">
      <f>IF($J17=4,"Senior",IF($J17=3,"Junior",IF($J17=2,"Sophomore",IF($J17=1,"Freshman",""))))</f>
    </oc>
    <nc r="Q17">
      <f>IF($J17="SR", "Senior", IF($J17=4,"Senior",IF($J17="JR", "Junior", IF($J17=3,"Junior",IF($J17="SO", "Sophomore", IF($J17=2,"Sophomore",IF($J17="FR", "Freshman",IF($J17=1,"Freshman",""))))))))</f>
    </nc>
  </rcc>
  <rcc rId="51" sId="3">
    <oc r="Q18">
      <f>IF($J18=4,"Senior",IF($J18=3,"Junior",IF($J18=2,"Sophomore",IF($J18=1,"Freshman",""))))</f>
    </oc>
    <nc r="Q18">
      <f>IF($J18="SR", "Senior", IF($J18=4,"Senior",IF($J18="JR", "Junior", IF($J18=3,"Junior",IF($J18="SO", "Sophomore", IF($J18=2,"Sophomore",IF($J18="FR", "Freshman",IF($J18=1,"Freshman",""))))))))</f>
    </nc>
  </rcc>
  <rcc rId="52" sId="3">
    <oc r="Q19">
      <f>IF($J19=4,"Senior",IF($J19=3,"Junior",IF($J19=2,"Sophomore",IF($J19=1,"Freshman",""))))</f>
    </oc>
    <nc r="Q19">
      <f>IF($J19="SR", "Senior", IF($J19=4,"Senior",IF($J19="JR", "Junior", IF($J19=3,"Junior",IF($J19="SO", "Sophomore", IF($J19=2,"Sophomore",IF($J19="FR", "Freshman",IF($J19=1,"Freshman",""))))))))</f>
    </nc>
  </rcc>
  <rcc rId="53" sId="3">
    <oc r="Q20">
      <f>IF($J20=4,"Senior",IF($J20=3,"Junior",IF($J20=2,"Sophomore",IF($J20=1,"Freshman",""))))</f>
    </oc>
    <nc r="Q20">
      <f>IF($J20="SR", "Senior", IF($J20=4,"Senior",IF($J20="JR", "Junior", IF($J20=3,"Junior",IF($J20="SO", "Sophomore", IF($J20=2,"Sophomore",IF($J20="FR", "Freshman",IF($J20=1,"Freshman",""))))))))</f>
    </nc>
  </rcc>
  <rcc rId="54" sId="3">
    <oc r="Q21">
      <f>IF($J21=4,"Senior",IF($J21=3,"Junior",IF($J21=2,"Sophomore",IF($J21=1,"Freshman",""))))</f>
    </oc>
    <nc r="Q21">
      <f>IF($J21="SR", "Senior", IF($J21=4,"Senior",IF($J21="JR", "Junior", IF($J21=3,"Junior",IF($J21="SO", "Sophomore", IF($J21=2,"Sophomore",IF($J21="FR", "Freshman",IF($J21=1,"Freshman",""))))))))</f>
    </nc>
  </rcc>
  <rcc rId="55" sId="3">
    <oc r="Q22">
      <f>IF($J22=4,"Senior",IF($J22=3,"Junior",IF($J22=2,"Sophomore",IF($J22=1,"Freshman",""))))</f>
    </oc>
    <nc r="Q22">
      <f>IF($J22="SR", "Senior", IF($J22=4,"Senior",IF($J22="JR", "Junior", IF($J22=3,"Junior",IF($J22="SO", "Sophomore", IF($J22=2,"Sophomore",IF($J22="FR", "Freshman",IF($J22=1,"Freshman",""))))))))</f>
    </nc>
  </rcc>
  <rcc rId="56" sId="3">
    <oc r="Q23">
      <f>IF($J23=4,"Senior",IF($J23=3,"Junior",IF($J23=2,"Sophomore",IF($J23=1,"Freshman",""))))</f>
    </oc>
    <nc r="Q23">
      <f>IF($J23="SR", "Senior", IF($J23=4,"Senior",IF($J23="JR", "Junior", IF($J23=3,"Junior",IF($J23="SO", "Sophomore", IF($J23=2,"Sophomore",IF($J23="FR", "Freshman",IF($J23=1,"Freshman",""))))))))</f>
    </nc>
  </rcc>
  <rcc rId="57" sId="3">
    <oc r="Q24">
      <f>IF($J24=4,"Senior",IF($J24=3,"Junior",IF($J24=2,"Sophomore",IF($J24=1,"Freshman",""))))</f>
    </oc>
    <nc r="Q24">
      <f>IF($J24="SR", "Senior", IF($J24=4,"Senior",IF($J24="JR", "Junior", IF($J24=3,"Junior",IF($J24="SO", "Sophomore", IF($J24=2,"Sophomore",IF($J24="FR", "Freshman",IF($J24=1,"Freshman",""))))))))</f>
    </nc>
  </rcc>
  <rcc rId="58" sId="3">
    <oc r="Q25">
      <f>IF($J25=4,"Senior",IF($J25=3,"Junior",IF($J25=2,"Sophomore",IF($J25=1,"Freshman",""))))</f>
    </oc>
    <nc r="Q25">
      <f>IF($J25="SR", "Senior", IF($J25=4,"Senior",IF($J25="JR", "Junior", IF($J25=3,"Junior",IF($J25="SO", "Sophomore", IF($J25=2,"Sophomore",IF($J25="FR", "Freshman",IF($J25=1,"Freshman",""))))))))</f>
    </nc>
  </rcc>
  <rcc rId="59" sId="3">
    <oc r="Q26">
      <f>IF($J26=4,"Senior",IF($J26=3,"Junior",IF($J26=2,"Sophomore",IF($J26=1,"Freshman",""))))</f>
    </oc>
    <nc r="Q26">
      <f>IF($J26="SR", "Senior", IF($J26=4,"Senior",IF($J26="JR", "Junior", IF($J26=3,"Junior",IF($J26="SO", "Sophomore", IF($J26=2,"Sophomore",IF($J26="FR", "Freshman",IF($J26=1,"Freshman",""))))))))</f>
    </nc>
  </rcc>
  <rcc rId="60" sId="3">
    <oc r="Q27">
      <f>IF($J27=4,"Senior",IF($J27=3,"Junior",IF($J27=2,"Sophomore",IF($J27=1,"Freshman",""))))</f>
    </oc>
    <nc r="Q27">
      <f>IF($J27="SR", "Senior", IF($J27=4,"Senior",IF($J27="JR", "Junior", IF($J27=3,"Junior",IF($J27="SO", "Sophomore", IF($J27=2,"Sophomore",IF($J27="FR", "Freshman",IF($J27=1,"Freshman",""))))))))</f>
    </nc>
  </rcc>
  <rcc rId="61" sId="3">
    <oc r="Q28">
      <f>IF($J28=4,"Senior",IF($J28=3,"Junior",IF($J28=2,"Sophomore",IF($J28=1,"Freshman",""))))</f>
    </oc>
    <nc r="Q28">
      <f>IF($J28="SR", "Senior", IF($J28=4,"Senior",IF($J28="JR", "Junior", IF($J28=3,"Junior",IF($J28="SO", "Sophomore", IF($J28=2,"Sophomore",IF($J28="FR", "Freshman",IF($J28=1,"Freshman",""))))))))</f>
    </nc>
  </rcc>
  <rcc rId="62" sId="3">
    <oc r="Q29">
      <f>IF($J29=4,"Senior",IF($J29=3,"Junior",IF($J29=2,"Sophomore",IF($J29=1,"Freshman",""))))</f>
    </oc>
    <nc r="Q29">
      <f>IF($J29="SR", "Senior", IF($J29=4,"Senior",IF($J29="JR", "Junior", IF($J29=3,"Junior",IF($J29="SO", "Sophomore", IF($J29=2,"Sophomore",IF($J29="FR", "Freshman",IF($J29=1,"Freshman",""))))))))</f>
    </nc>
  </rcc>
  <rcc rId="63" sId="3">
    <oc r="Q30">
      <f>IF($J30=4,"Senior",IF($J30=3,"Junior",IF($J30=2,"Sophomore",IF($J30=1,"Freshman",""))))</f>
    </oc>
    <nc r="Q30">
      <f>IF($J30="SR", "Senior", IF($J30=4,"Senior",IF($J30="JR", "Junior", IF($J30=3,"Junior",IF($J30="SO", "Sophomore", IF($J30=2,"Sophomore",IF($J30="FR", "Freshman",IF($J30=1,"Freshman",""))))))))</f>
    </nc>
  </rcc>
  <rcc rId="64" sId="3">
    <oc r="Q31">
      <f>IF($J31=4,"Senior",IF($J31=3,"Junior",IF($J31=2,"Sophomore",IF($J31=1,"Freshman",""))))</f>
    </oc>
    <nc r="Q31">
      <f>IF($J31="SR", "Senior", IF($J31=4,"Senior",IF($J31="JR", "Junior", IF($J31=3,"Junior",IF($J31="SO", "Sophomore", IF($J31=2,"Sophomore",IF($J31="FR", "Freshman",IF($J31=1,"Freshman",""))))))))</f>
    </nc>
  </rcc>
  <rcc rId="65" sId="3">
    <oc r="Q32">
      <f>IF($J32=4,"Senior",IF($J32=3,"Junior",IF($J32=2,"Sophomore",IF($J32=1,"Freshman",""))))</f>
    </oc>
    <nc r="Q32">
      <f>IF($J32="SR", "Senior", IF($J32=4,"Senior",IF($J32="JR", "Junior", IF($J32=3,"Junior",IF($J32="SO", "Sophomore", IF($J32=2,"Sophomore",IF($J32="FR", "Freshman",IF($J32=1,"Freshman",""))))))))</f>
    </nc>
  </rcc>
  <rcc rId="66" sId="3">
    <oc r="Q33">
      <f>IF($J33=4,"Senior",IF($J33=3,"Junior",IF($J33=2,"Sophomore",IF($J33=1,"Freshman",""))))</f>
    </oc>
    <nc r="Q33">
      <f>IF($J33="SR", "Senior", IF($J33=4,"Senior",IF($J33="JR", "Junior", IF($J33=3,"Junior",IF($J33="SO", "Sophomore", IF($J33=2,"Sophomore",IF($J33="FR", "Freshman",IF($J33=1,"Freshman",""))))))))</f>
    </nc>
  </rcc>
  <rcc rId="67" sId="3">
    <oc r="Q34">
      <f>IF($J34=4,"Senior",IF($J34=3,"Junior",IF($J34=2,"Sophomore",IF($J34=1,"Freshman",""))))</f>
    </oc>
    <nc r="Q34">
      <f>IF($J34="SR", "Senior", IF($J34=4,"Senior",IF($J34="JR", "Junior", IF($J34=3,"Junior",IF($J34="SO", "Sophomore", IF($J34=2,"Sophomore",IF($J34="FR", "Freshman",IF($J34=1,"Freshman",""))))))))</f>
    </nc>
  </rcc>
  <rcc rId="68" sId="3">
    <oc r="Q35">
      <f>IF($J35=4,"Senior",IF($J35=3,"Junior",IF($J35=2,"Sophomore",IF($J35=1,"Freshman",""))))</f>
    </oc>
    <nc r="Q35">
      <f>IF($J35="SR", "Senior", IF($J35=4,"Senior",IF($J35="JR", "Junior", IF($J35=3,"Junior",IF($J35="SO", "Sophomore", IF($J35=2,"Sophomore",IF($J35="FR", "Freshman",IF($J35=1,"Freshman",""))))))))</f>
    </nc>
  </rcc>
  <rcc rId="69" sId="3">
    <oc r="Q36">
      <f>IF($J36=4,"Senior",IF($J36=3,"Junior",IF($J36=2,"Sophomore",IF($J36=1,"Freshman",""))))</f>
    </oc>
    <nc r="Q36">
      <f>IF($J36="SR", "Senior", IF($J36=4,"Senior",IF($J36="JR", "Junior", IF($J36=3,"Junior",IF($J36="SO", "Sophomore", IF($J36=2,"Sophomore",IF($J36="FR", "Freshman",IF($J36=1,"Freshman",""))))))))</f>
    </nc>
  </rcc>
  <rcc rId="70" sId="3">
    <oc r="Q37">
      <f>IF($J37=4,"Senior",IF($J37=3,"Junior",IF($J37=2,"Sophomore",IF($J37=1,"Freshman",""))))</f>
    </oc>
    <nc r="Q37">
      <f>IF($J37="SR", "Senior", IF($J37=4,"Senior",IF($J37="JR", "Junior", IF($J37=3,"Junior",IF($J37="SO", "Sophomore", IF($J37=2,"Sophomore",IF($J37="FR", "Freshman",IF($J37=1,"Freshman",""))))))))</f>
    </nc>
  </rcc>
  <rcc rId="71" sId="3">
    <oc r="Q38">
      <f>IF($J38=4,"Senior",IF($J38=3,"Junior",IF($J38=2,"Sophomore",IF($J38=1,"Freshman",""))))</f>
    </oc>
    <nc r="Q38">
      <f>IF($J38="SR", "Senior", IF($J38=4,"Senior",IF($J38="JR", "Junior", IF($J38=3,"Junior",IF($J38="SO", "Sophomore", IF($J38=2,"Sophomore",IF($J38="FR", "Freshman",IF($J38=1,"Freshman",""))))))))</f>
    </nc>
  </rcc>
  <rcc rId="72" sId="3">
    <oc r="Q39">
      <f>IF($J39=4,"Senior",IF($J39=3,"Junior",IF($J39=2,"Sophomore",IF($J39=1,"Freshman",""))))</f>
    </oc>
    <nc r="Q39">
      <f>IF($J39="SR", "Senior", IF($J39=4,"Senior",IF($J39="JR", "Junior", IF($J39=3,"Junior",IF($J39="SO", "Sophomore", IF($J39=2,"Sophomore",IF($J39="FR", "Freshman",IF($J39=1,"Freshman",""))))))))</f>
    </nc>
  </rcc>
  <rcc rId="73" sId="3">
    <oc r="Q40">
      <f>IF($J40=4,"Senior",IF($J40=3,"Junior",IF($J40=2,"Sophomore",IF($J40=1,"Freshman",""))))</f>
    </oc>
    <nc r="Q40">
      <f>IF($J40="SR", "Senior", IF($J40=4,"Senior",IF($J40="JR", "Junior", IF($J40=3,"Junior",IF($J40="SO", "Sophomore", IF($J40=2,"Sophomore",IF($J40="FR", "Freshman",IF($J40=1,"Freshman",""))))))))</f>
    </nc>
  </rcc>
  <rcc rId="74" sId="3">
    <oc r="Q41">
      <f>IF($J41=4,"Senior",IF($J41=3,"Junior",IF($J41=2,"Sophomore",IF($J41=1,"Freshman",""))))</f>
    </oc>
    <nc r="Q41">
      <f>IF($J41="SR", "Senior", IF($J41=4,"Senior",IF($J41="JR", "Junior", IF($J41=3,"Junior",IF($J41="SO", "Sophomore", IF($J41=2,"Sophomore",IF($J41="FR", "Freshman",IF($J41=1,"Freshman",""))))))))</f>
    </nc>
  </rcc>
  <rcc rId="75" sId="3">
    <oc r="Q42">
      <f>IF($J42=4,"Senior",IF($J42=3,"Junior",IF($J42=2,"Sophomore",IF($J42=1,"Freshman",""))))</f>
    </oc>
    <nc r="Q42">
      <f>IF($J42="SR", "Senior", IF($J42=4,"Senior",IF($J42="JR", "Junior", IF($J42=3,"Junior",IF($J42="SO", "Sophomore", IF($J42=2,"Sophomore",IF($J42="FR", "Freshman",IF($J42=1,"Freshman",""))))))))</f>
    </nc>
  </rcc>
  <rcc rId="76" sId="3">
    <oc r="Q43">
      <f>IF($J43=4,"Senior",IF($J43=3,"Junior",IF($J43=2,"Sophomore",IF($J43=1,"Freshman",""))))</f>
    </oc>
    <nc r="Q43">
      <f>IF($J43="SR", "Senior", IF($J43=4,"Senior",IF($J43="JR", "Junior", IF($J43=3,"Junior",IF($J43="SO", "Sophomore", IF($J43=2,"Sophomore",IF($J43="FR", "Freshman",IF($J43=1,"Freshman",""))))))))</f>
    </nc>
  </rcc>
  <rcc rId="77" sId="3">
    <oc r="Q44">
      <f>IF($J44=4,"Senior",IF($J44=3,"Junior",IF($J44=2,"Sophomore",IF($J44=1,"Freshman",""))))</f>
    </oc>
    <nc r="Q44">
      <f>IF($J44="SR", "Senior", IF($J44=4,"Senior",IF($J44="JR", "Junior", IF($J44=3,"Junior",IF($J44="SO", "Sophomore", IF($J44=2,"Sophomore",IF($J44="FR", "Freshman",IF($J44=1,"Freshman",""))))))))</f>
    </nc>
  </rcc>
  <rcc rId="78" sId="3">
    <oc r="Q45">
      <f>IF($J45=4,"Senior",IF($J45=3,"Junior",IF($J45=2,"Sophomore",IF($J45=1,"Freshman",""))))</f>
    </oc>
    <nc r="Q45">
      <f>IF($J45="SR", "Senior", IF($J45=4,"Senior",IF($J45="JR", "Junior", IF($J45=3,"Junior",IF($J45="SO", "Sophomore", IF($J45=2,"Sophomore",IF($J45="FR", "Freshman",IF($J45=1,"Freshman",""))))))))</f>
    </nc>
  </rcc>
  <rcc rId="79" sId="3">
    <oc r="Q46">
      <f>IF($J46=4,"Senior",IF($J46=3,"Junior",IF($J46=2,"Sophomore",IF($J46=1,"Freshman",""))))</f>
    </oc>
    <nc r="Q46">
      <f>IF($J46="SR", "Senior", IF($J46=4,"Senior",IF($J46="JR", "Junior", IF($J46=3,"Junior",IF($J46="SO", "Sophomore", IF($J46=2,"Sophomore",IF($J46="FR", "Freshman",IF($J46=1,"Freshman",""))))))))</f>
    </nc>
  </rcc>
  <rcc rId="80" sId="3">
    <oc r="Q47">
      <f>IF($J47=4,"Senior",IF($J47=3,"Junior",IF($J47=2,"Sophomore",IF($J47=1,"Freshman",""))))</f>
    </oc>
    <nc r="Q47">
      <f>IF($J47="SR", "Senior", IF($J47=4,"Senior",IF($J47="JR", "Junior", IF($J47=3,"Junior",IF($J47="SO", "Sophomore", IF($J47=2,"Sophomore",IF($J47="FR", "Freshman",IF($J47=1,"Freshman",""))))))))</f>
    </nc>
  </rcc>
  <rcc rId="81" sId="3">
    <oc r="Q48">
      <f>IF($J48=4,"Senior",IF($J48=3,"Junior",IF($J48=2,"Sophomore",IF($J48=1,"Freshman",""))))</f>
    </oc>
    <nc r="Q48">
      <f>IF($J48="SR", "Senior", IF($J48=4,"Senior",IF($J48="JR", "Junior", IF($J48=3,"Junior",IF($J48="SO", "Sophomore", IF($J48=2,"Sophomore",IF($J48="FR", "Freshman",IF($J48=1,"Freshman",""))))))))</f>
    </nc>
  </rcc>
  <rcc rId="82" sId="3">
    <oc r="Q49">
      <f>IF($J49=4,"Senior",IF($J49=3,"Junior",IF($J49=2,"Sophomore",IF($J49=1,"Freshman",""))))</f>
    </oc>
    <nc r="Q49">
      <f>IF($J49="SR", "Senior", IF($J49=4,"Senior",IF($J49="JR", "Junior", IF($J49=3,"Junior",IF($J49="SO", "Sophomore", IF($J49=2,"Sophomore",IF($J49="FR", "Freshman",IF($J49=1,"Freshman",""))))))))</f>
    </nc>
  </rcc>
  <rcc rId="83" sId="3">
    <oc r="Q50">
      <f>IF($J50=4,"Senior",IF($J50=3,"Junior",IF($J50=2,"Sophomore",IF($J50=1,"Freshman",""))))</f>
    </oc>
    <nc r="Q50">
      <f>IF($J50="SR", "Senior", IF($J50=4,"Senior",IF($J50="JR", "Junior", IF($J50=3,"Junior",IF($J50="SO", "Sophomore", IF($J50=2,"Sophomore",IF($J50="FR", "Freshman",IF($J50=1,"Freshman",""))))))))</f>
    </nc>
  </rcc>
  <rcc rId="84" sId="3">
    <oc r="Q51">
      <f>IF($J51=4,"Senior",IF($J51=3,"Junior",IF($J51=2,"Sophomore",IF($J51=1,"Freshman",""))))</f>
    </oc>
    <nc r="Q51">
      <f>IF($J51="SR", "Senior", IF($J51=4,"Senior",IF($J51="JR", "Junior", IF($J51=3,"Junior",IF($J51="SO", "Sophomore", IF($J51=2,"Sophomore",IF($J51="FR", "Freshman",IF($J51=1,"Freshman",""))))))))</f>
    </nc>
  </rcc>
  <rcc rId="85" sId="3">
    <oc r="Q52">
      <f>IF($J52=4,"Senior",IF($J52=3,"Junior",IF($J52=2,"Sophomore",IF($J52=1,"Freshman",""))))</f>
    </oc>
    <nc r="Q52">
      <f>IF($J52="SR", "Senior", IF($J52=4,"Senior",IF($J52="JR", "Junior", IF($J52=3,"Junior",IF($J52="SO", "Sophomore", IF($J52=2,"Sophomore",IF($J52="FR", "Freshman",IF($J52=1,"Freshman",""))))))))</f>
    </nc>
  </rcc>
  <rcc rId="86" sId="3">
    <oc r="Q53">
      <f>IF($J53=4,"Senior",IF($J53=3,"Junior",IF($J53=2,"Sophomore",IF($J53=1,"Freshman",""))))</f>
    </oc>
    <nc r="Q53">
      <f>IF($J53="SR", "Senior", IF($J53=4,"Senior",IF($J53="JR", "Junior", IF($J53=3,"Junior",IF($J53="SO", "Sophomore", IF($J53=2,"Sophomore",IF($J53="FR", "Freshman",IF($J53=1,"Freshman",""))))))))</f>
    </nc>
  </rcc>
  <rcc rId="87" sId="3">
    <oc r="Q54">
      <f>IF($J54=4,"Senior",IF($J54=3,"Junior",IF($J54=2,"Sophomore",IF($J54=1,"Freshman",""))))</f>
    </oc>
    <nc r="Q54">
      <f>IF($J54="SR", "Senior", IF($J54=4,"Senior",IF($J54="JR", "Junior", IF($J54=3,"Junior",IF($J54="SO", "Sophomore", IF($J54=2,"Sophomore",IF($J54="FR", "Freshman",IF($J54=1,"Freshman",""))))))))</f>
    </nc>
  </rcc>
  <rcc rId="88" sId="3">
    <oc r="Q55">
      <f>IF($J55=4,"Senior",IF($J55=3,"Junior",IF($J55=2,"Sophomore",IF($J55=1,"Freshman",""))))</f>
    </oc>
    <nc r="Q55">
      <f>IF($J55="SR", "Senior", IF($J55=4,"Senior",IF($J55="JR", "Junior", IF($J55=3,"Junior",IF($J55="SO", "Sophomore", IF($J55=2,"Sophomore",IF($J55="FR", "Freshman",IF($J55=1,"Freshman",""))))))))</f>
    </nc>
  </rcc>
  <rcc rId="89" sId="3">
    <oc r="Q56">
      <f>IF($J56=4,"Senior",IF($J56=3,"Junior",IF($J56=2,"Sophomore",IF($J56=1,"Freshman",""))))</f>
    </oc>
    <nc r="Q56">
      <f>IF($J56="SR", "Senior", IF($J56=4,"Senior",IF($J56="JR", "Junior", IF($J56=3,"Junior",IF($J56="SO", "Sophomore", IF($J56=2,"Sophomore",IF($J56="FR", "Freshman",IF($J56=1,"Freshman",""))))))))</f>
    </nc>
  </rcc>
  <rcc rId="90" sId="3">
    <oc r="Q57">
      <f>IF($J57=4,"Senior",IF($J57=3,"Junior",IF($J57=2,"Sophomore",IF($J57=1,"Freshman",""))))</f>
    </oc>
    <nc r="Q57">
      <f>IF($J57="SR", "Senior", IF($J57=4,"Senior",IF($J57="JR", "Junior", IF($J57=3,"Junior",IF($J57="SO", "Sophomore", IF($J57=2,"Sophomore",IF($J57="FR", "Freshman",IF($J57=1,"Freshman",""))))))))</f>
    </nc>
  </rcc>
  <rcc rId="91" sId="3">
    <oc r="Q58">
      <f>IF($J58=4,"Senior",IF($J58=3,"Junior",IF($J58=2,"Sophomore",IF($J58=1,"Freshman",""))))</f>
    </oc>
    <nc r="Q58">
      <f>IF($J58="SR", "Senior", IF($J58=4,"Senior",IF($J58="JR", "Junior", IF($J58=3,"Junior",IF($J58="SO", "Sophomore", IF($J58=2,"Sophomore",IF($J58="FR", "Freshman",IF($J58=1,"Freshman",""))))))))</f>
    </nc>
  </rcc>
  <rcc rId="92" sId="3">
    <oc r="Q59">
      <f>IF($J59=4,"Senior",IF($J59=3,"Junior",IF($J59=2,"Sophomore",IF($J59=1,"Freshman",""))))</f>
    </oc>
    <nc r="Q59">
      <f>IF($J59="SR", "Senior", IF($J59=4,"Senior",IF($J59="JR", "Junior", IF($J59=3,"Junior",IF($J59="SO", "Sophomore", IF($J59=2,"Sophomore",IF($J59="FR", "Freshman",IF($J59=1,"Freshman",""))))))))</f>
    </nc>
  </rcc>
  <rcc rId="93" sId="3">
    <oc r="Q60">
      <f>IF($J60=4,"Senior",IF($J60=3,"Junior",IF($J60=2,"Sophomore",IF($J60=1,"Freshman",""))))</f>
    </oc>
    <nc r="Q60">
      <f>IF($J60="SR", "Senior", IF($J60=4,"Senior",IF($J60="JR", "Junior", IF($J60=3,"Junior",IF($J60="SO", "Sophomore", IF($J60=2,"Sophomore",IF($J60="FR", "Freshman",IF($J60=1,"Freshman",""))))))))</f>
    </nc>
  </rcc>
  <rcc rId="94" sId="3">
    <oc r="Q61">
      <f>IF($J61=4,"Senior",IF($J61=3,"Junior",IF($J61=2,"Sophomore",IF($J61=1,"Freshman",""))))</f>
    </oc>
    <nc r="Q61">
      <f>IF($J61="SR", "Senior", IF($J61=4,"Senior",IF($J61="JR", "Junior", IF($J61=3,"Junior",IF($J61="SO", "Sophomore", IF($J61=2,"Sophomore",IF($J61="FR", "Freshman",IF($J61=1,"Freshman",""))))))))</f>
    </nc>
  </rcc>
  <rcc rId="95" sId="3">
    <oc r="Q62">
      <f>IF($J62=4,"Senior",IF($J62=3,"Junior",IF($J62=2,"Sophomore",IF($J62=1,"Freshman",""))))</f>
    </oc>
    <nc r="Q62">
      <f>IF($J62="SR", "Senior", IF($J62=4,"Senior",IF($J62="JR", "Junior", IF($J62=3,"Junior",IF($J62="SO", "Sophomore", IF($J62=2,"Sophomore",IF($J62="FR", "Freshman",IF($J62=1,"Freshman",""))))))))</f>
    </nc>
  </rcc>
  <rcc rId="96" sId="3">
    <oc r="Q63">
      <f>IF($J63=4,"Senior",IF($J63=3,"Junior",IF($J63=2,"Sophomore",IF($J63=1,"Freshman",""))))</f>
    </oc>
    <nc r="Q63">
      <f>IF($J63="SR", "Senior", IF($J63=4,"Senior",IF($J63="JR", "Junior", IF($J63=3,"Junior",IF($J63="SO", "Sophomore", IF($J63=2,"Sophomore",IF($J63="FR", "Freshman",IF($J63=1,"Freshman",""))))))))</f>
    </nc>
  </rcc>
  <rcc rId="97" sId="3">
    <oc r="Q64">
      <f>IF($J64=4,"Senior",IF($J64=3,"Junior",IF($J64=2,"Sophomore",IF($J64=1,"Freshman",""))))</f>
    </oc>
    <nc r="Q64">
      <f>IF($J64="SR", "Senior", IF($J64=4,"Senior",IF($J64="JR", "Junior", IF($J64=3,"Junior",IF($J64="SO", "Sophomore", IF($J64=2,"Sophomore",IF($J64="FR", "Freshman",IF($J64=1,"Freshman",""))))))))</f>
    </nc>
  </rcc>
  <rcc rId="98" sId="3">
    <oc r="Q65">
      <f>IF($J65=4,"Senior",IF($J65=3,"Junior",IF($J65=2,"Sophomore",IF($J65=1,"Freshman",""))))</f>
    </oc>
    <nc r="Q65">
      <f>IF($J65="SR", "Senior", IF($J65=4,"Senior",IF($J65="JR", "Junior", IF($J65=3,"Junior",IF($J65="SO", "Sophomore", IF($J65=2,"Sophomore",IF($J65="FR", "Freshman",IF($J65=1,"Freshman",""))))))))</f>
    </nc>
  </rcc>
  <rcc rId="99" sId="3">
    <oc r="Q66">
      <f>IF($J66=4,"Senior",IF($J66=3,"Junior",IF($J66=2,"Sophomore",IF($J66=1,"Freshman",""))))</f>
    </oc>
    <nc r="Q66">
      <f>IF($J66="SR", "Senior", IF($J66=4,"Senior",IF($J66="JR", "Junior", IF($J66=3,"Junior",IF($J66="SO", "Sophomore", IF($J66=2,"Sophomore",IF($J66="FR", "Freshman",IF($J66=1,"Freshman",""))))))))</f>
    </nc>
  </rcc>
  <rcc rId="100" sId="3">
    <oc r="Q67">
      <f>IF($J67=4,"Senior",IF($J67=3,"Junior",IF($J67=2,"Sophomore",IF($J67=1,"Freshman",""))))</f>
    </oc>
    <nc r="Q67">
      <f>IF($J67="SR", "Senior", IF($J67=4,"Senior",IF($J67="JR", "Junior", IF($J67=3,"Junior",IF($J67="SO", "Sophomore", IF($J67=2,"Sophomore",IF($J67="FR", "Freshman",IF($J67=1,"Freshman",""))))))))</f>
    </nc>
  </rcc>
  <rcc rId="101" sId="3">
    <oc r="Q68">
      <f>IF($J68=4,"Senior",IF($J68=3,"Junior",IF($J68=2,"Sophomore",IF($J68=1,"Freshman",""))))</f>
    </oc>
    <nc r="Q68">
      <f>IF($J68="SR", "Senior", IF($J68=4,"Senior",IF($J68="JR", "Junior", IF($J68=3,"Junior",IF($J68="SO", "Sophomore", IF($J68=2,"Sophomore",IF($J68="FR", "Freshman",IF($J68=1,"Freshman",""))))))))</f>
    </nc>
  </rcc>
  <rcc rId="102" sId="3">
    <oc r="Q69">
      <f>IF($J69=4,"Senior",IF($J69=3,"Junior",IF($J69=2,"Sophomore",IF($J69=1,"Freshman",""))))</f>
    </oc>
    <nc r="Q69">
      <f>IF($J69="SR", "Senior", IF($J69=4,"Senior",IF($J69="JR", "Junior", IF($J69=3,"Junior",IF($J69="SO", "Sophomore", IF($J69=2,"Sophomore",IF($J69="FR", "Freshman",IF($J69=1,"Freshman",""))))))))</f>
    </nc>
  </rcc>
  <rcc rId="103" sId="3">
    <oc r="Q70">
      <f>IF($J70=4,"Senior",IF($J70=3,"Junior",IF($J70=2,"Sophomore",IF($J70=1,"Freshman",""))))</f>
    </oc>
    <nc r="Q70">
      <f>IF($J70="SR", "Senior", IF($J70=4,"Senior",IF($J70="JR", "Junior", IF($J70=3,"Junior",IF($J70="SO", "Sophomore", IF($J70=2,"Sophomore",IF($J70="FR", "Freshman",IF($J70=1,"Freshman",""))))))))</f>
    </nc>
  </rcc>
  <rcc rId="104" sId="3">
    <oc r="Q71">
      <f>IF($J71=4,"Senior",IF($J71=3,"Junior",IF($J71=2,"Sophomore",IF($J71=1,"Freshman",""))))</f>
    </oc>
    <nc r="Q71">
      <f>IF($J71="SR", "Senior", IF($J71=4,"Senior",IF($J71="JR", "Junior", IF($J71=3,"Junior",IF($J71="SO", "Sophomore", IF($J71=2,"Sophomore",IF($J71="FR", "Freshman",IF($J71=1,"Freshman",""))))))))</f>
    </nc>
  </rcc>
  <rcc rId="105" sId="3">
    <oc r="Q72">
      <f>IF($J72=4,"Senior",IF($J72=3,"Junior",IF($J72=2,"Sophomore",IF($J72=1,"Freshman",""))))</f>
    </oc>
    <nc r="Q72">
      <f>IF($J72="SR", "Senior", IF($J72=4,"Senior",IF($J72="JR", "Junior", IF($J72=3,"Junior",IF($J72="SO", "Sophomore", IF($J72=2,"Sophomore",IF($J72="FR", "Freshman",IF($J72=1,"Freshman",""))))))))</f>
    </nc>
  </rcc>
  <rcc rId="106" sId="3">
    <oc r="Q73">
      <f>IF($J73=4,"Senior",IF($J73=3,"Junior",IF($J73=2,"Sophomore",IF($J73=1,"Freshman",""))))</f>
    </oc>
    <nc r="Q73">
      <f>IF($J73="SR", "Senior", IF($J73=4,"Senior",IF($J73="JR", "Junior", IF($J73=3,"Junior",IF($J73="SO", "Sophomore", IF($J73=2,"Sophomore",IF($J73="FR", "Freshman",IF($J73=1,"Freshman",""))))))))</f>
    </nc>
  </rcc>
  <rcc rId="107" sId="3">
    <oc r="Q74">
      <f>IF($J74=4,"Senior",IF($J74=3,"Junior",IF($J74=2,"Sophomore",IF($J74=1,"Freshman",""))))</f>
    </oc>
    <nc r="Q74">
      <f>IF($J74="SR", "Senior", IF($J74=4,"Senior",IF($J74="JR", "Junior", IF($J74=3,"Junior",IF($J74="SO", "Sophomore", IF($J74=2,"Sophomore",IF($J74="FR", "Freshman",IF($J74=1,"Freshman",""))))))))</f>
    </nc>
  </rcc>
  <rcc rId="108" sId="3">
    <oc r="Q75">
      <f>IF($J75=4,"Senior",IF($J75=3,"Junior",IF($J75=2,"Sophomore",IF($J75=1,"Freshman",""))))</f>
    </oc>
    <nc r="Q75">
      <f>IF($J75="SR", "Senior", IF($J75=4,"Senior",IF($J75="JR", "Junior", IF($J75=3,"Junior",IF($J75="SO", "Sophomore", IF($J75=2,"Sophomore",IF($J75="FR", "Freshman",IF($J75=1,"Freshman",""))))))))</f>
    </nc>
  </rcc>
  <rcc rId="109" sId="3">
    <oc r="Q76">
      <f>IF($J76=4,"Senior",IF($J76=3,"Junior",IF($J76=2,"Sophomore",IF($J76=1,"Freshman",""))))</f>
    </oc>
    <nc r="Q76">
      <f>IF($J76="SR", "Senior", IF($J76=4,"Senior",IF($J76="JR", "Junior", IF($J76=3,"Junior",IF($J76="SO", "Sophomore", IF($J76=2,"Sophomore",IF($J76="FR", "Freshman",IF($J76=1,"Freshman",""))))))))</f>
    </nc>
  </rcc>
  <rcc rId="110" sId="3">
    <oc r="Q77">
      <f>IF($J77=4,"Senior",IF($J77=3,"Junior",IF($J77=2,"Sophomore",IF($J77=1,"Freshman",""))))</f>
    </oc>
    <nc r="Q77">
      <f>IF($J77="SR", "Senior", IF($J77=4,"Senior",IF($J77="JR", "Junior", IF($J77=3,"Junior",IF($J77="SO", "Sophomore", IF($J77=2,"Sophomore",IF($J77="FR", "Freshman",IF($J77=1,"Freshman",""))))))))</f>
    </nc>
  </rcc>
  <rcc rId="111" sId="3">
    <oc r="Q78">
      <f>IF($J78=4,"Senior",IF($J78=3,"Junior",IF($J78=2,"Sophomore",IF($J78=1,"Freshman",""))))</f>
    </oc>
    <nc r="Q78">
      <f>IF($J78="SR", "Senior", IF($J78=4,"Senior",IF($J78="JR", "Junior", IF($J78=3,"Junior",IF($J78="SO", "Sophomore", IF($J78=2,"Sophomore",IF($J78="FR", "Freshman",IF($J78=1,"Freshman",""))))))))</f>
    </nc>
  </rcc>
  <rcc rId="112" sId="3">
    <oc r="Q79">
      <f>IF($J79=4,"Senior",IF($J79=3,"Junior",IF($J79=2,"Sophomore",IF($J79=1,"Freshman",""))))</f>
    </oc>
    <nc r="Q79">
      <f>IF($J79="SR", "Senior", IF($J79=4,"Senior",IF($J79="JR", "Junior", IF($J79=3,"Junior",IF($J79="SO", "Sophomore", IF($J79=2,"Sophomore",IF($J79="FR", "Freshman",IF($J79=1,"Freshman",""))))))))</f>
    </nc>
  </rcc>
  <rcc rId="113" sId="3">
    <oc r="Q80">
      <f>IF($J80=4,"Senior",IF($J80=3,"Junior",IF($J80=2,"Sophomore",IF($J80=1,"Freshman",""))))</f>
    </oc>
    <nc r="Q80">
      <f>IF($J80="SR", "Senior", IF($J80=4,"Senior",IF($J80="JR", "Junior", IF($J80=3,"Junior",IF($J80="SO", "Sophomore", IF($J80=2,"Sophomore",IF($J80="FR", "Freshman",IF($J80=1,"Freshman",""))))))))</f>
    </nc>
  </rcc>
  <rcc rId="114" sId="3">
    <oc r="Q81">
      <f>IF($J81=4,"Senior",IF($J81=3,"Junior",IF($J81=2,"Sophomore",IF($J81=1,"Freshman",""))))</f>
    </oc>
    <nc r="Q81">
      <f>IF($J81="SR", "Senior", IF($J81=4,"Senior",IF($J81="JR", "Junior", IF($J81=3,"Junior",IF($J81="SO", "Sophomore", IF($J81=2,"Sophomore",IF($J81="FR", "Freshman",IF($J81=1,"Freshman",""))))))))</f>
    </nc>
  </rcc>
  <rcc rId="115" sId="3">
    <oc r="Q82">
      <f>IF($J82=4,"Senior",IF($J82=3,"Junior",IF($J82=2,"Sophomore",IF($J82=1,"Freshman",""))))</f>
    </oc>
    <nc r="Q82">
      <f>IF($J82="SR", "Senior", IF($J82=4,"Senior",IF($J82="JR", "Junior", IF($J82=3,"Junior",IF($J82="SO", "Sophomore", IF($J82=2,"Sophomore",IF($J82="FR", "Freshman",IF($J82=1,"Freshman",""))))))))</f>
    </nc>
  </rcc>
  <rcc rId="116" sId="3">
    <oc r="Q83">
      <f>IF($J83=4,"Senior",IF($J83=3,"Junior",IF($J83=2,"Sophomore",IF($J83=1,"Freshman",""))))</f>
    </oc>
    <nc r="Q83">
      <f>IF($J83="SR", "Senior", IF($J83=4,"Senior",IF($J83="JR", "Junior", IF($J83=3,"Junior",IF($J83="SO", "Sophomore", IF($J83=2,"Sophomore",IF($J83="FR", "Freshman",IF($J83=1,"Freshman",""))))))))</f>
    </nc>
  </rcc>
  <rcc rId="117" sId="3">
    <oc r="Q84">
      <f>IF($J84=4,"Senior",IF($J84=3,"Junior",IF($J84=2,"Sophomore",IF($J84=1,"Freshman",""))))</f>
    </oc>
    <nc r="Q84">
      <f>IF($J84="SR", "Senior", IF($J84=4,"Senior",IF($J84="JR", "Junior", IF($J84=3,"Junior",IF($J84="SO", "Sophomore", IF($J84=2,"Sophomore",IF($J84="FR", "Freshman",IF($J84=1,"Freshman",""))))))))</f>
    </nc>
  </rcc>
  <rcc rId="118" sId="3">
    <oc r="Q85">
      <f>IF($J85=4,"Senior",IF($J85=3,"Junior",IF($J85=2,"Sophomore",IF($J85=1,"Freshman",""))))</f>
    </oc>
    <nc r="Q85">
      <f>IF($J85="SR", "Senior", IF($J85=4,"Senior",IF($J85="JR", "Junior", IF($J85=3,"Junior",IF($J85="SO", "Sophomore", IF($J85=2,"Sophomore",IF($J85="FR", "Freshman",IF($J85=1,"Freshman",""))))))))</f>
    </nc>
  </rcc>
  <rcc rId="119" sId="3">
    <oc r="Q86">
      <f>IF($J86=4,"Senior",IF($J86=3,"Junior",IF($J86=2,"Sophomore",IF($J86=1,"Freshman",""))))</f>
    </oc>
    <nc r="Q86">
      <f>IF($J86="SR", "Senior", IF($J86=4,"Senior",IF($J86="JR", "Junior", IF($J86=3,"Junior",IF($J86="SO", "Sophomore", IF($J86=2,"Sophomore",IF($J86="FR", "Freshman",IF($J86=1,"Freshman",""))))))))</f>
    </nc>
  </rcc>
  <rcc rId="120" sId="3">
    <oc r="Q87">
      <f>IF($J87=4,"Senior",IF($J87=3,"Junior",IF($J87=2,"Sophomore",IF($J87=1,"Freshman",""))))</f>
    </oc>
    <nc r="Q87">
      <f>IF($J87="SR", "Senior", IF($J87=4,"Senior",IF($J87="JR", "Junior", IF($J87=3,"Junior",IF($J87="SO", "Sophomore", IF($J87=2,"Sophomore",IF($J87="FR", "Freshman",IF($J87=1,"Freshman",""))))))))</f>
    </nc>
  </rcc>
  <rcc rId="121" sId="3">
    <oc r="Q88">
      <f>IF($J88=4,"Senior",IF($J88=3,"Junior",IF($J88=2,"Sophomore",IF($J88=1,"Freshman",""))))</f>
    </oc>
    <nc r="Q88">
      <f>IF($J88="SR", "Senior", IF($J88=4,"Senior",IF($J88="JR", "Junior", IF($J88=3,"Junior",IF($J88="SO", "Sophomore", IF($J88=2,"Sophomore",IF($J88="FR", "Freshman",IF($J88=1,"Freshman",""))))))))</f>
    </nc>
  </rcc>
  <rcc rId="122" sId="3">
    <oc r="Q89">
      <f>IF($J89=4,"Senior",IF($J89=3,"Junior",IF($J89=2,"Sophomore",IF($J89=1,"Freshman",""))))</f>
    </oc>
    <nc r="Q89">
      <f>IF($J89="SR", "Senior", IF($J89=4,"Senior",IF($J89="JR", "Junior", IF($J89=3,"Junior",IF($J89="SO", "Sophomore", IF($J89=2,"Sophomore",IF($J89="FR", "Freshman",IF($J89=1,"Freshman",""))))))))</f>
    </nc>
  </rcc>
  <rcc rId="123" sId="3">
    <oc r="Q90">
      <f>IF($J90=4,"Senior",IF($J90=3,"Junior",IF($J90=2,"Sophomore",IF($J90=1,"Freshman",""))))</f>
    </oc>
    <nc r="Q90">
      <f>IF($J90="SR", "Senior", IF($J90=4,"Senior",IF($J90="JR", "Junior", IF($J90=3,"Junior",IF($J90="SO", "Sophomore", IF($J90=2,"Sophomore",IF($J90="FR", "Freshman",IF($J90=1,"Freshman",""))))))))</f>
    </nc>
  </rcc>
  <rcc rId="124" sId="3">
    <oc r="Q91">
      <f>IF($J91=4,"Senior",IF($J91=3,"Junior",IF($J91=2,"Sophomore",IF($J91=1,"Freshman",""))))</f>
    </oc>
    <nc r="Q91">
      <f>IF($J91="SR", "Senior", IF($J91=4,"Senior",IF($J91="JR", "Junior", IF($J91=3,"Junior",IF($J91="SO", "Sophomore", IF($J91=2,"Sophomore",IF($J91="FR", "Freshman",IF($J91=1,"Freshman",""))))))))</f>
    </nc>
  </rcc>
  <rcc rId="125" sId="3">
    <oc r="Q92">
      <f>IF($J92=4,"Senior",IF($J92=3,"Junior",IF($J92=2,"Sophomore",IF($J92=1,"Freshman",""))))</f>
    </oc>
    <nc r="Q92">
      <f>IF($J92="SR", "Senior", IF($J92=4,"Senior",IF($J92="JR", "Junior", IF($J92=3,"Junior",IF($J92="SO", "Sophomore", IF($J92=2,"Sophomore",IF($J92="FR", "Freshman",IF($J92=1,"Freshman",""))))))))</f>
    </nc>
  </rcc>
  <rcc rId="126" sId="3">
    <oc r="Q93">
      <f>IF($J93=4,"Senior",IF($J93=3,"Junior",IF($J93=2,"Sophomore",IF($J93=1,"Freshman",""))))</f>
    </oc>
    <nc r="Q93">
      <f>IF($J93="SR", "Senior", IF($J93=4,"Senior",IF($J93="JR", "Junior", IF($J93=3,"Junior",IF($J93="SO", "Sophomore", IF($J93=2,"Sophomore",IF($J93="FR", "Freshman",IF($J93=1,"Freshman",""))))))))</f>
    </nc>
  </rcc>
  <rcc rId="127" sId="3">
    <oc r="Q94">
      <f>IF($J94=4,"Senior",IF($J94=3,"Junior",IF($J94=2,"Sophomore",IF($J94=1,"Freshman",""))))</f>
    </oc>
    <nc r="Q94">
      <f>IF($J94="SR", "Senior", IF($J94=4,"Senior",IF($J94="JR", "Junior", IF($J94=3,"Junior",IF($J94="SO", "Sophomore", IF($J94=2,"Sophomore",IF($J94="FR", "Freshman",IF($J94=1,"Freshman",""))))))))</f>
    </nc>
  </rcc>
  <rcc rId="128" sId="3">
    <oc r="Q95">
      <f>IF($J95=4,"Senior",IF($J95=3,"Junior",IF($J95=2,"Sophomore",IF($J95=1,"Freshman",""))))</f>
    </oc>
    <nc r="Q95">
      <f>IF($J95="SR", "Senior", IF($J95=4,"Senior",IF($J95="JR", "Junior", IF($J95=3,"Junior",IF($J95="SO", "Sophomore", IF($J95=2,"Sophomore",IF($J95="FR", "Freshman",IF($J95=1,"Freshman",""))))))))</f>
    </nc>
  </rcc>
  <rcc rId="129" sId="3">
    <oc r="Q96">
      <f>IF($J96=4,"Senior",IF($J96=3,"Junior",IF($J96=2,"Sophomore",IF($J96=1,"Freshman",""))))</f>
    </oc>
    <nc r="Q96">
      <f>IF($J96="SR", "Senior", IF($J96=4,"Senior",IF($J96="JR", "Junior", IF($J96=3,"Junior",IF($J96="SO", "Sophomore", IF($J96=2,"Sophomore",IF($J96="FR", "Freshman",IF($J96=1,"Freshman",""))))))))</f>
    </nc>
  </rcc>
  <rcc rId="130" sId="3">
    <oc r="Q97">
      <f>IF($J97=4,"Senior",IF($J97=3,"Junior",IF($J97=2,"Sophomore",IF($J97=1,"Freshman",""))))</f>
    </oc>
    <nc r="Q97">
      <f>IF($J97="SR", "Senior", IF($J97=4,"Senior",IF($J97="JR", "Junior", IF($J97=3,"Junior",IF($J97="SO", "Sophomore", IF($J97=2,"Sophomore",IF($J97="FR", "Freshman",IF($J97=1,"Freshman",""))))))))</f>
    </nc>
  </rcc>
  <rcc rId="131" sId="3">
    <oc r="Q98">
      <f>IF($J98=4,"Senior",IF($J98=3,"Junior",IF($J98=2,"Sophomore",IF($J98=1,"Freshman",""))))</f>
    </oc>
    <nc r="Q98">
      <f>IF($J98="SR", "Senior", IF($J98=4,"Senior",IF($J98="JR", "Junior", IF($J98=3,"Junior",IF($J98="SO", "Sophomore", IF($J98=2,"Sophomore",IF($J98="FR", "Freshman",IF($J98=1,"Freshman",""))))))))</f>
    </nc>
  </rcc>
  <rcc rId="132" sId="3">
    <oc r="Q99">
      <f>IF($J99=4,"Senior",IF($J99=3,"Junior",IF($J99=2,"Sophomore",IF($J99=1,"Freshman",""))))</f>
    </oc>
    <nc r="Q99">
      <f>IF($J99="SR", "Senior", IF($J99=4,"Senior",IF($J99="JR", "Junior", IF($J99=3,"Junior",IF($J99="SO", "Sophomore", IF($J99=2,"Sophomore",IF($J99="FR", "Freshman",IF($J99=1,"Freshman",""))))))))</f>
    </nc>
  </rcc>
  <rcc rId="133" sId="3">
    <oc r="Q100">
      <f>IF($J100=4,"Senior",IF($J100=3,"Junior",IF($J100=2,"Sophomore",IF($J100=1,"Freshman",""))))</f>
    </oc>
    <nc r="Q100">
      <f>IF($J100="SR", "Senior", IF($J100=4,"Senior",IF($J100="JR", "Junior", IF($J100=3,"Junior",IF($J100="SO", "Sophomore", IF($J100=2,"Sophomore",IF($J100="FR", "Freshman",IF($J100=1,"Freshman",""))))))))</f>
    </nc>
  </rcc>
  <rcc rId="134" sId="3">
    <oc r="Q101">
      <f>IF($J101=4,"Senior",IF($J101=3,"Junior",IF($J101=2,"Sophomore",IF($J101=1,"Freshman",""))))</f>
    </oc>
    <nc r="Q101">
      <f>IF($J101="SR", "Senior", IF($J101=4,"Senior",IF($J101="JR", "Junior", IF($J101=3,"Junior",IF($J101="SO", "Sophomore", IF($J101=2,"Sophomore",IF($J101="FR", "Freshman",IF($J101=1,"Freshman",""))))))))</f>
    </nc>
  </rcc>
  <rcc rId="135" sId="3">
    <oc r="Q102">
      <f>IF($J102=4,"Senior",IF($J102=3,"Junior",IF($J102=2,"Sophomore",IF($J102=1,"Freshman",""))))</f>
    </oc>
    <nc r="Q102">
      <f>IF($J102="SR", "Senior", IF($J102=4,"Senior",IF($J102="JR", "Junior", IF($J102=3,"Junior",IF($J102="SO", "Sophomore", IF($J102=2,"Sophomore",IF($J102="FR", "Freshman",IF($J102=1,"Freshman",""))))))))</f>
    </nc>
  </rcc>
  <rcc rId="136" sId="3" odxf="1" dxf="1">
    <nc r="Q103">
      <f>IF($J103="SR", "Senior", IF($J103=4,"Senior",IF($J103="JR", "Junior", IF($J103=3,"Junior",IF($J103="SO", "Sophomore", IF($J103=2,"Sophomore",IF($J103="FR", "Freshman",IF($J103=1,"Freshman",""))))))))</f>
    </nc>
    <odxf>
      <font>
        <b val="0"/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top/>
        <bottom/>
      </border>
    </odxf>
    <ndxf>
      <font>
        <b/>
        <sz val="10"/>
        <color auto="1"/>
        <name val="Arial"/>
        <family val="2"/>
        <scheme val="none"/>
      </font>
      <fill>
        <patternFill patternType="solid">
          <bgColor theme="0" tint="-0.34998626667073579"/>
        </patternFill>
      </fill>
      <alignment horizontal="center" vertical="top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7" sId="3" odxf="1" dxf="1">
    <nc r="Q104">
      <f>IF($J104="SR", "Senior", IF($J104=4,"Senior",IF($J104="JR", "Junior", IF($J104=3,"Junior",IF($J104="SO", "Sophomore", IF($J104=2,"Sophomore",IF($J104="FR", "Freshman",IF($J104=1,"Freshman",""))))))))</f>
    </nc>
    <odxf>
      <font>
        <b val="0"/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top/>
        <bottom/>
      </border>
    </odxf>
    <ndxf>
      <font>
        <b/>
        <sz val="10"/>
        <color auto="1"/>
        <name val="Arial"/>
        <family val="2"/>
        <scheme val="none"/>
      </font>
      <fill>
        <patternFill patternType="solid">
          <bgColor theme="0" tint="-0.34998626667073579"/>
        </patternFill>
      </fill>
      <alignment horizontal="center" vertical="top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8" sId="3">
    <oc r="J4">
      <v>3</v>
    </oc>
    <nc r="J4">
      <v>1</v>
    </nc>
  </rcc>
  <rcv guid="{BE266B8E-38B0-4631-9C30-67CA48A8BD7F}" action="delete"/>
  <rdn rId="0" localSheetId="1" customView="1" name="Z_BE266B8E_38B0_4631_9C30_67CA48A8BD7F_.wvu.Cols" hidden="1" oldHidden="1">
    <formula>'Team Info'!$D:$I</formula>
  </rdn>
  <rdn rId="0" localSheetId="2" customView="1" name="Z_BE266B8E_38B0_4631_9C30_67CA48A8BD7F_.wvu.Rows" hidden="1" oldHidden="1">
    <formula>'Team Personnel'!$24:$34</formula>
    <oldFormula>'Team Personnel'!$24:$34</oldFormula>
  </rdn>
  <rdn rId="0" localSheetId="2" customView="1" name="Z_BE266B8E_38B0_4631_9C30_67CA48A8BD7F_.wvu.Cols" hidden="1" oldHidden="1">
    <formula>'Team Personnel'!$H:$K</formula>
    <oldFormula>'Team Personnel'!$H:$K</oldFormula>
  </rdn>
  <rdn rId="0" localSheetId="3" customView="1" name="Z_BE266B8E_38B0_4631_9C30_67CA48A8BD7F_.wvu.Cols" hidden="1" oldHidden="1">
    <formula>Roster!$G:$H,Roster!$N:$Z</formula>
    <oldFormula>Roster!$G:$H,Roster!$N:$Z</oldFormula>
  </rdn>
  <rdn rId="0" localSheetId="6" customView="1" name="Z_BE266B8E_38B0_4631_9C30_67CA48A8BD7F_.wvu.PrintArea" hidden="1" oldHidden="1">
    <formula>'Season Stats'!$A$1:$AJ$105</formula>
    <oldFormula>'Season Stats'!$A$1:$AJ$105</oldFormula>
  </rdn>
  <rdn rId="0" localSheetId="6" customView="1" name="Z_BE266B8E_38B0_4631_9C30_67CA48A8BD7F_.wvu.Cols" hidden="1" oldHidden="1">
    <formula>'Season Stats'!$L:$V,'Season Stats'!$Y:$AJ</formula>
    <oldFormula>'Season Stats'!$L:$V,'Season Stats'!$Y:$AJ</oldFormula>
  </rdn>
  <rdn rId="0" localSheetId="7" customView="1" name="Z_BE266B8E_38B0_4631_9C30_67CA48A8BD7F_.wvu.Rows" hidden="1" oldHidden="1">
    <formula>'Team Stats'!$20:$34</formula>
    <oldFormula>'Team Stats'!$20:$34</oldFormula>
  </rdn>
  <rdn rId="0" localSheetId="8" customView="1" name="Z_BE266B8E_38B0_4631_9C30_67CA48A8BD7F_.wvu.Rows" hidden="1" oldHidden="1">
    <formula>'Upcoming Schedule'!$10:$16</formula>
    <oldFormula>'Upcoming Schedule'!$10:$16</oldFormula>
  </rdn>
  <rdn rId="0" localSheetId="8" customView="1" name="Z_BE266B8E_38B0_4631_9C30_67CA48A8BD7F_.wvu.Cols" hidden="1" oldHidden="1">
    <formula>'Upcoming Schedule'!$I:$K</formula>
    <oldFormula>'Upcoming Schedule'!$I:$K</oldFormula>
  </rdn>
  <rdn rId="0" localSheetId="9" customView="1" name="Z_BE266B8E_38B0_4631_9C30_67CA48A8BD7F_.wvu.Rows" hidden="1" oldHidden="1">
    <formula>'Team Heroes'!$22:$52</formula>
    <oldFormula>'Team Heroes'!$22:$52</oldFormula>
  </rdn>
  <rdn rId="0" localSheetId="9" customView="1" name="Z_BE266B8E_38B0_4631_9C30_67CA48A8BD7F_.wvu.Cols" hidden="1" oldHidden="1">
    <formula>'Team Heroes'!$F:$I</formula>
    <oldFormula>'Team Heroes'!$F:$I</oldFormula>
  </rdn>
  <rcv guid="{BE266B8E-38B0-4631-9C30-67CA48A8BD7F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A61E0F0A-1C8F-44F9-9F5D-6676F0269B91}" name="Bell, Brian D." id="-1301066671" dateTime="2024-10-14T17:24:38"/>
  <userInfo guid="{771F2126-59C5-4331-BE48-758538668EF2}" name="Brian Bell" id="-476607931" dateTime="2024-11-11T15:35:11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0.bin"/><Relationship Id="rId3" Type="http://schemas.openxmlformats.org/officeDocument/2006/relationships/printerSettings" Target="../printerSettings/printerSettings15.bin"/><Relationship Id="rId7" Type="http://schemas.openxmlformats.org/officeDocument/2006/relationships/printerSettings" Target="../printerSettings/printerSettings19.bin"/><Relationship Id="rId12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11" Type="http://schemas.openxmlformats.org/officeDocument/2006/relationships/printerSettings" Target="../printerSettings/printerSettings23.bin"/><Relationship Id="rId5" Type="http://schemas.openxmlformats.org/officeDocument/2006/relationships/printerSettings" Target="../printerSettings/printerSettings17.bin"/><Relationship Id="rId10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16.bin"/><Relationship Id="rId9" Type="http://schemas.openxmlformats.org/officeDocument/2006/relationships/printerSettings" Target="../printerSettings/printerSettings2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2.bin"/><Relationship Id="rId3" Type="http://schemas.openxmlformats.org/officeDocument/2006/relationships/printerSettings" Target="../printerSettings/printerSettings27.bin"/><Relationship Id="rId7" Type="http://schemas.openxmlformats.org/officeDocument/2006/relationships/printerSettings" Target="../printerSettings/printerSettings31.bin"/><Relationship Id="rId12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6" Type="http://schemas.openxmlformats.org/officeDocument/2006/relationships/printerSettings" Target="../printerSettings/printerSettings30.bin"/><Relationship Id="rId11" Type="http://schemas.openxmlformats.org/officeDocument/2006/relationships/printerSettings" Target="../printerSettings/printerSettings35.bin"/><Relationship Id="rId5" Type="http://schemas.openxmlformats.org/officeDocument/2006/relationships/printerSettings" Target="../printerSettings/printerSettings29.bin"/><Relationship Id="rId10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28.bin"/><Relationship Id="rId9" Type="http://schemas.openxmlformats.org/officeDocument/2006/relationships/printerSettings" Target="../printerSettings/printerSettings3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4.bin"/><Relationship Id="rId3" Type="http://schemas.openxmlformats.org/officeDocument/2006/relationships/printerSettings" Target="../printerSettings/printerSettings39.bin"/><Relationship Id="rId7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6" Type="http://schemas.openxmlformats.org/officeDocument/2006/relationships/printerSettings" Target="../printerSettings/printerSettings42.bin"/><Relationship Id="rId5" Type="http://schemas.openxmlformats.org/officeDocument/2006/relationships/printerSettings" Target="../printerSettings/printerSettings41.bin"/><Relationship Id="rId4" Type="http://schemas.openxmlformats.org/officeDocument/2006/relationships/printerSettings" Target="../printerSettings/printerSettings40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2.bin"/><Relationship Id="rId3" Type="http://schemas.openxmlformats.org/officeDocument/2006/relationships/printerSettings" Target="../printerSettings/printerSettings47.bin"/><Relationship Id="rId7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Relationship Id="rId6" Type="http://schemas.openxmlformats.org/officeDocument/2006/relationships/printerSettings" Target="../printerSettings/printerSettings50.bin"/><Relationship Id="rId5" Type="http://schemas.openxmlformats.org/officeDocument/2006/relationships/printerSettings" Target="../printerSettings/printerSettings49.bin"/><Relationship Id="rId4" Type="http://schemas.openxmlformats.org/officeDocument/2006/relationships/printerSettings" Target="../printerSettings/printerSettings48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59.bin"/><Relationship Id="rId2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53.bin"/><Relationship Id="rId6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7.bin"/><Relationship Id="rId4" Type="http://schemas.openxmlformats.org/officeDocument/2006/relationships/printerSettings" Target="../printerSettings/printerSettings5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7.bin"/><Relationship Id="rId3" Type="http://schemas.openxmlformats.org/officeDocument/2006/relationships/printerSettings" Target="../printerSettings/printerSettings62.bin"/><Relationship Id="rId7" Type="http://schemas.openxmlformats.org/officeDocument/2006/relationships/printerSettings" Target="../printerSettings/printerSettings66.bin"/><Relationship Id="rId12" Type="http://schemas.openxmlformats.org/officeDocument/2006/relationships/printerSettings" Target="../printerSettings/printerSettings71.bin"/><Relationship Id="rId2" Type="http://schemas.openxmlformats.org/officeDocument/2006/relationships/printerSettings" Target="../printerSettings/printerSettings61.bin"/><Relationship Id="rId1" Type="http://schemas.openxmlformats.org/officeDocument/2006/relationships/printerSettings" Target="../printerSettings/printerSettings60.bin"/><Relationship Id="rId6" Type="http://schemas.openxmlformats.org/officeDocument/2006/relationships/printerSettings" Target="../printerSettings/printerSettings65.bin"/><Relationship Id="rId11" Type="http://schemas.openxmlformats.org/officeDocument/2006/relationships/printerSettings" Target="../printerSettings/printerSettings70.bin"/><Relationship Id="rId5" Type="http://schemas.openxmlformats.org/officeDocument/2006/relationships/printerSettings" Target="../printerSettings/printerSettings64.bin"/><Relationship Id="rId10" Type="http://schemas.openxmlformats.org/officeDocument/2006/relationships/printerSettings" Target="../printerSettings/printerSettings69.bin"/><Relationship Id="rId4" Type="http://schemas.openxmlformats.org/officeDocument/2006/relationships/printerSettings" Target="../printerSettings/printerSettings63.bin"/><Relationship Id="rId9" Type="http://schemas.openxmlformats.org/officeDocument/2006/relationships/printerSettings" Target="../printerSettings/printerSettings68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9.bin"/><Relationship Id="rId3" Type="http://schemas.openxmlformats.org/officeDocument/2006/relationships/printerSettings" Target="../printerSettings/printerSettings74.bin"/><Relationship Id="rId7" Type="http://schemas.openxmlformats.org/officeDocument/2006/relationships/printerSettings" Target="../printerSettings/printerSettings78.bin"/><Relationship Id="rId12" Type="http://schemas.openxmlformats.org/officeDocument/2006/relationships/printerSettings" Target="../printerSettings/printerSettings83.bin"/><Relationship Id="rId2" Type="http://schemas.openxmlformats.org/officeDocument/2006/relationships/printerSettings" Target="../printerSettings/printerSettings73.bin"/><Relationship Id="rId1" Type="http://schemas.openxmlformats.org/officeDocument/2006/relationships/printerSettings" Target="../printerSettings/printerSettings72.bin"/><Relationship Id="rId6" Type="http://schemas.openxmlformats.org/officeDocument/2006/relationships/printerSettings" Target="../printerSettings/printerSettings77.bin"/><Relationship Id="rId11" Type="http://schemas.openxmlformats.org/officeDocument/2006/relationships/printerSettings" Target="../printerSettings/printerSettings82.bin"/><Relationship Id="rId5" Type="http://schemas.openxmlformats.org/officeDocument/2006/relationships/printerSettings" Target="../printerSettings/printerSettings76.bin"/><Relationship Id="rId10" Type="http://schemas.openxmlformats.org/officeDocument/2006/relationships/printerSettings" Target="../printerSettings/printerSettings81.bin"/><Relationship Id="rId4" Type="http://schemas.openxmlformats.org/officeDocument/2006/relationships/printerSettings" Target="../printerSettings/printerSettings75.bin"/><Relationship Id="rId9" Type="http://schemas.openxmlformats.org/officeDocument/2006/relationships/printerSettings" Target="../printerSettings/printerSettings8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6.bin"/><Relationship Id="rId2" Type="http://schemas.openxmlformats.org/officeDocument/2006/relationships/printerSettings" Target="../printerSettings/printerSettings85.bin"/><Relationship Id="rId1" Type="http://schemas.openxmlformats.org/officeDocument/2006/relationships/printerSettings" Target="../printerSettings/printerSettings84.bin"/><Relationship Id="rId4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40.7109375" customWidth="1"/>
    <col min="2" max="2" width="30.7109375" customWidth="1"/>
    <col min="3" max="3" width="12.7109375" style="9" customWidth="1"/>
    <col min="4" max="4" width="36.7109375" hidden="1" customWidth="1"/>
    <col min="5" max="5" width="5.7109375" hidden="1" customWidth="1"/>
    <col min="6" max="6" width="30.7109375" hidden="1" customWidth="1"/>
    <col min="7" max="7" width="5.7109375" hidden="1" customWidth="1"/>
    <col min="8" max="8" width="30.7109375" hidden="1" customWidth="1"/>
    <col min="9" max="9" width="9.140625" hidden="1" customWidth="1"/>
    <col min="10" max="10" width="9.140625" customWidth="1"/>
  </cols>
  <sheetData>
    <row r="1" spans="1:9" ht="15.75" thickBot="1" x14ac:dyDescent="0.3">
      <c r="A1" s="23" t="s">
        <v>1059</v>
      </c>
      <c r="B1" s="23" t="s">
        <v>1060</v>
      </c>
      <c r="D1" s="37" t="s">
        <v>0</v>
      </c>
      <c r="F1" s="1" t="s">
        <v>1</v>
      </c>
      <c r="H1" s="37" t="s">
        <v>2</v>
      </c>
    </row>
    <row r="2" spans="1:9" ht="15.75" thickBot="1" x14ac:dyDescent="0.3">
      <c r="A2" s="16" t="s">
        <v>3</v>
      </c>
      <c r="B2" s="118" t="s">
        <v>738</v>
      </c>
      <c r="D2" s="1" t="s">
        <v>4</v>
      </c>
      <c r="F2" t="str">
        <f>$B$19</f>
        <v>Tonight</v>
      </c>
      <c r="H2" s="39">
        <v>0</v>
      </c>
      <c r="I2" t="s">
        <v>995</v>
      </c>
    </row>
    <row r="3" spans="1:9" x14ac:dyDescent="0.25">
      <c r="A3" s="15" t="s">
        <v>740</v>
      </c>
      <c r="B3" s="117" t="s">
        <v>1055</v>
      </c>
      <c r="D3" s="38" t="str">
        <f>$B$3</f>
        <v>7</v>
      </c>
      <c r="F3" t="str">
        <f>UPPER(F2)</f>
        <v>TONIGHT</v>
      </c>
      <c r="H3" s="39">
        <v>1</v>
      </c>
      <c r="I3" t="s">
        <v>996</v>
      </c>
    </row>
    <row r="4" spans="1:9" x14ac:dyDescent="0.25">
      <c r="A4" s="15" t="s">
        <v>786</v>
      </c>
      <c r="B4" s="13" t="s">
        <v>378</v>
      </c>
      <c r="H4" s="39">
        <v>2</v>
      </c>
      <c r="I4" t="s">
        <v>997</v>
      </c>
    </row>
    <row r="5" spans="1:9" x14ac:dyDescent="0.25">
      <c r="A5" s="15" t="s">
        <v>741</v>
      </c>
      <c r="B5" s="13" t="s">
        <v>1056</v>
      </c>
      <c r="D5" s="1" t="s">
        <v>6</v>
      </c>
      <c r="F5" s="1" t="s">
        <v>5</v>
      </c>
      <c r="H5" s="39">
        <v>3</v>
      </c>
      <c r="I5" t="s">
        <v>998</v>
      </c>
    </row>
    <row r="6" spans="1:9" x14ac:dyDescent="0.25">
      <c r="A6" s="15" t="s">
        <v>742</v>
      </c>
      <c r="B6" s="13" t="s">
        <v>378</v>
      </c>
      <c r="D6" t="str">
        <f>$B$4</f>
        <v>LSU</v>
      </c>
      <c r="F6" t="str">
        <f>$B$20</f>
        <v>Last Season</v>
      </c>
      <c r="H6" s="39">
        <v>4</v>
      </c>
      <c r="I6" t="s">
        <v>999</v>
      </c>
    </row>
    <row r="7" spans="1:9" x14ac:dyDescent="0.25">
      <c r="A7" s="15" t="s">
        <v>752</v>
      </c>
      <c r="B7" s="13" t="s">
        <v>378</v>
      </c>
      <c r="D7" t="str">
        <f>UPPER(D6)</f>
        <v>LSU</v>
      </c>
      <c r="F7" t="str">
        <f>UPPER(F6)</f>
        <v>LAST SEASON</v>
      </c>
      <c r="H7" s="39">
        <v>5</v>
      </c>
      <c r="I7" t="s">
        <v>1000</v>
      </c>
    </row>
    <row r="8" spans="1:9" x14ac:dyDescent="0.25">
      <c r="A8" s="15" t="s">
        <v>864</v>
      </c>
      <c r="B8" s="233" t="s">
        <v>378</v>
      </c>
      <c r="H8" s="39">
        <v>6</v>
      </c>
      <c r="I8" t="s">
        <v>1001</v>
      </c>
    </row>
    <row r="9" spans="1:9" x14ac:dyDescent="0.25">
      <c r="A9" s="15" t="s">
        <v>785</v>
      </c>
      <c r="B9" s="18" t="s">
        <v>667</v>
      </c>
      <c r="D9" s="1" t="s">
        <v>9</v>
      </c>
      <c r="F9" s="1" t="s">
        <v>7</v>
      </c>
      <c r="H9" s="39">
        <v>7</v>
      </c>
      <c r="I9" t="s">
        <v>1002</v>
      </c>
    </row>
    <row r="10" spans="1:9" x14ac:dyDescent="0.25">
      <c r="A10" s="2"/>
      <c r="B10" s="14"/>
      <c r="D10" t="str">
        <f>$B$5</f>
        <v>Tigers</v>
      </c>
      <c r="F10" t="str">
        <f>$F$2&amp;":"</f>
        <v>Tonight:</v>
      </c>
      <c r="H10" s="39">
        <v>8</v>
      </c>
      <c r="I10" t="s">
        <v>1003</v>
      </c>
    </row>
    <row r="11" spans="1:9" x14ac:dyDescent="0.25">
      <c r="A11" s="16" t="s">
        <v>12</v>
      </c>
      <c r="B11" s="17"/>
      <c r="D11" t="str">
        <f>UPPER(D10)</f>
        <v>TIGERS</v>
      </c>
      <c r="H11" s="39">
        <v>9</v>
      </c>
      <c r="I11" t="s">
        <v>1011</v>
      </c>
    </row>
    <row r="12" spans="1:9" x14ac:dyDescent="0.25">
      <c r="A12" s="15" t="s">
        <v>787</v>
      </c>
      <c r="B12" s="185" t="s">
        <v>378</v>
      </c>
      <c r="F12" s="1" t="s">
        <v>10</v>
      </c>
    </row>
    <row r="13" spans="1:9" x14ac:dyDescent="0.25">
      <c r="A13" s="15" t="s">
        <v>15</v>
      </c>
      <c r="B13" s="76">
        <v>0</v>
      </c>
      <c r="C13" s="140" t="str">
        <f>H25</f>
        <v>LOGO</v>
      </c>
      <c r="D13" s="1" t="s">
        <v>16</v>
      </c>
      <c r="F13" t="str">
        <f>$F$6&amp;":"</f>
        <v>Last Season:</v>
      </c>
      <c r="H13" s="37" t="s">
        <v>8</v>
      </c>
    </row>
    <row r="14" spans="1:9" x14ac:dyDescent="0.25">
      <c r="A14" s="15" t="s">
        <v>762</v>
      </c>
      <c r="B14" s="76">
        <v>0</v>
      </c>
      <c r="C14" s="140" t="str">
        <f>H30</f>
        <v>LOGO</v>
      </c>
      <c r="D14" t="str">
        <f>$B$6</f>
        <v>LSU</v>
      </c>
      <c r="H14" t="s">
        <v>11</v>
      </c>
    </row>
    <row r="15" spans="1:9" x14ac:dyDescent="0.25">
      <c r="A15" s="15" t="s">
        <v>990</v>
      </c>
      <c r="B15" s="76">
        <v>0</v>
      </c>
      <c r="C15" s="140" t="str">
        <f>H34</f>
        <v>COLOR</v>
      </c>
      <c r="H15" t="s">
        <v>13</v>
      </c>
    </row>
    <row r="16" spans="1:9" x14ac:dyDescent="0.25">
      <c r="A16" s="15" t="s">
        <v>766</v>
      </c>
      <c r="B16" s="76">
        <v>0</v>
      </c>
      <c r="C16" s="140" t="str">
        <f>F25</f>
        <v>Off</v>
      </c>
    </row>
    <row r="17" spans="1:8" x14ac:dyDescent="0.25">
      <c r="A17" s="15" t="s">
        <v>1012</v>
      </c>
      <c r="B17" s="76" t="s">
        <v>1047</v>
      </c>
      <c r="D17" s="1" t="s">
        <v>19</v>
      </c>
      <c r="F17" s="37" t="s">
        <v>736</v>
      </c>
    </row>
    <row r="18" spans="1:8" x14ac:dyDescent="0.25">
      <c r="A18" s="16" t="s">
        <v>22</v>
      </c>
      <c r="B18" s="12"/>
      <c r="D18" t="str">
        <f>B4&amp;" "&amp;B5</f>
        <v>LSU Tigers</v>
      </c>
      <c r="F18" t="s">
        <v>737</v>
      </c>
      <c r="H18" t="s">
        <v>17</v>
      </c>
    </row>
    <row r="19" spans="1:8" x14ac:dyDescent="0.25">
      <c r="A19" s="33" t="s">
        <v>23</v>
      </c>
      <c r="B19" s="13" t="s">
        <v>18</v>
      </c>
      <c r="D19" t="str">
        <f>UPPER(D18)</f>
        <v>LSU TIGERS</v>
      </c>
      <c r="F19" t="s">
        <v>738</v>
      </c>
      <c r="H19" t="s">
        <v>18</v>
      </c>
    </row>
    <row r="20" spans="1:8" x14ac:dyDescent="0.25">
      <c r="A20" s="33" t="s">
        <v>24</v>
      </c>
      <c r="B20" s="13" t="s">
        <v>13</v>
      </c>
    </row>
    <row r="21" spans="1:8" x14ac:dyDescent="0.25">
      <c r="D21" s="1" t="s">
        <v>21</v>
      </c>
      <c r="F21" s="37" t="s">
        <v>764</v>
      </c>
      <c r="H21" s="19" t="s">
        <v>20</v>
      </c>
    </row>
    <row r="22" spans="1:8" x14ac:dyDescent="0.25">
      <c r="A22" s="16" t="s">
        <v>1053</v>
      </c>
      <c r="B22" s="12"/>
      <c r="D22" t="str">
        <f>$B$7</f>
        <v>LSU</v>
      </c>
      <c r="F22" s="37"/>
      <c r="H22" s="19"/>
    </row>
    <row r="23" spans="1:8" ht="15.75" thickBot="1" x14ac:dyDescent="0.3">
      <c r="A23" s="33" t="s">
        <v>1054</v>
      </c>
      <c r="B23" s="76">
        <v>0</v>
      </c>
      <c r="C23" s="140" t="str">
        <f>F33</f>
        <v>Default</v>
      </c>
      <c r="D23" s="1"/>
      <c r="F23" s="37"/>
      <c r="H23" s="19"/>
    </row>
    <row r="24" spans="1:8" ht="15.75" thickBot="1" x14ac:dyDescent="0.3">
      <c r="A24" s="275" t="s">
        <v>743</v>
      </c>
      <c r="B24" s="276"/>
      <c r="F24" s="39">
        <f>$B$16</f>
        <v>0</v>
      </c>
      <c r="H24" s="9">
        <f>B$13</f>
        <v>0</v>
      </c>
    </row>
    <row r="25" spans="1:8" x14ac:dyDescent="0.25">
      <c r="A25" s="2"/>
      <c r="B25" s="113"/>
      <c r="F25" s="39" t="str">
        <f>IF(F24=1,"On","Off")</f>
        <v>Off</v>
      </c>
      <c r="H25" s="9" t="str">
        <f>IF(H24=1,"PRIMARY",IF(H24=2,"SECONDARY",IF(H24=3,"BOTTOMLINE",IF(H24=0,"LOGO"))))</f>
        <v>LOGO</v>
      </c>
    </row>
    <row r="26" spans="1:8" x14ac:dyDescent="0.25">
      <c r="A26" s="2" t="s">
        <v>1043</v>
      </c>
      <c r="B26" s="113"/>
      <c r="D26" s="1" t="s">
        <v>25</v>
      </c>
    </row>
    <row r="27" spans="1:8" x14ac:dyDescent="0.25">
      <c r="A27" s="2" t="s">
        <v>1044</v>
      </c>
      <c r="D27" t="str">
        <f>D3&amp;" "&amp;D6</f>
        <v>7 LSU</v>
      </c>
      <c r="F27" s="37" t="s">
        <v>765</v>
      </c>
    </row>
    <row r="28" spans="1:8" x14ac:dyDescent="0.25">
      <c r="A28" s="2" t="s">
        <v>1045</v>
      </c>
      <c r="B28" s="274"/>
      <c r="D28" t="str">
        <f>UPPER(D27)</f>
        <v>7 LSU</v>
      </c>
      <c r="F28" s="39">
        <v>0</v>
      </c>
      <c r="H28" s="19" t="s">
        <v>763</v>
      </c>
    </row>
    <row r="29" spans="1:8" x14ac:dyDescent="0.25">
      <c r="A29" s="2"/>
      <c r="B29" s="274"/>
      <c r="F29" s="39">
        <v>1</v>
      </c>
      <c r="H29" s="9">
        <f>$B$14</f>
        <v>0</v>
      </c>
    </row>
    <row r="30" spans="1:8" x14ac:dyDescent="0.25">
      <c r="D30" s="1" t="s">
        <v>26</v>
      </c>
      <c r="H30" s="9" t="str">
        <f>IF(H29=1,"PRIMARY",IF(H29=2,"SECONDARY",IF(H29=3,"BOTTOMLINE",IF(H29=4,"BLACK",IF(H29=5,"GRAY",IF(H29=6,"GOLD",IF(H29=7,"PINK",IF(H29=8,"YELLOW",IF(H29=9,"CUSTOM",IF(H29=0,"LOGO"))))))))))</f>
        <v>LOGO</v>
      </c>
    </row>
    <row r="31" spans="1:8" x14ac:dyDescent="0.25">
      <c r="D31" t="str">
        <f>D3&amp;" "&amp;D6&amp;" "&amp;D10</f>
        <v>7 LSU Tigers</v>
      </c>
      <c r="F31" s="19" t="s">
        <v>1053</v>
      </c>
      <c r="H31" s="9"/>
    </row>
    <row r="32" spans="1:8" x14ac:dyDescent="0.25">
      <c r="D32" t="str">
        <f>UPPER(D31)</f>
        <v>7 LSU TIGERS</v>
      </c>
      <c r="F32" s="9">
        <f>$B$23</f>
        <v>0</v>
      </c>
      <c r="H32" s="19" t="s">
        <v>989</v>
      </c>
    </row>
    <row r="33" spans="4:8" x14ac:dyDescent="0.25">
      <c r="F33" s="9" t="str">
        <f>IF(F32=1,"Black","Default")</f>
        <v>Default</v>
      </c>
      <c r="H33" s="9">
        <f>$B$15</f>
        <v>0</v>
      </c>
    </row>
    <row r="34" spans="4:8" x14ac:dyDescent="0.25">
      <c r="D34" s="1" t="s">
        <v>27</v>
      </c>
      <c r="H34" s="9" t="str">
        <f>IF(B15=0,"COLOR","WHITE")</f>
        <v>COLOR</v>
      </c>
    </row>
    <row r="35" spans="4:8" x14ac:dyDescent="0.25">
      <c r="D35" t="str">
        <f>D3&amp;" "&amp;D6&amp;" "&amp; "(" &amp; D42 &amp;")"</f>
        <v>7 LSU (X-X)</v>
      </c>
    </row>
    <row r="36" spans="4:8" x14ac:dyDescent="0.25">
      <c r="D36" t="str">
        <f>UPPER(D35)</f>
        <v>7 LSU (X-X)</v>
      </c>
      <c r="H36" s="19" t="s">
        <v>1042</v>
      </c>
    </row>
    <row r="37" spans="4:8" x14ac:dyDescent="0.25">
      <c r="H37" s="9" t="str">
        <f>B17</f>
        <v>AQUA_BLUE_GENERIC</v>
      </c>
    </row>
    <row r="38" spans="4:8" x14ac:dyDescent="0.25">
      <c r="D38" s="1" t="s">
        <v>28</v>
      </c>
    </row>
    <row r="39" spans="4:8" x14ac:dyDescent="0.25">
      <c r="D39" t="str">
        <f>$B$12</f>
        <v>LSU</v>
      </c>
    </row>
    <row r="41" spans="4:8" x14ac:dyDescent="0.25">
      <c r="D41" s="1" t="s">
        <v>29</v>
      </c>
    </row>
    <row r="42" spans="4:8" x14ac:dyDescent="0.25">
      <c r="D42" s="38" t="str">
        <f>B9</f>
        <v>X-X</v>
      </c>
    </row>
    <row r="44" spans="4:8" x14ac:dyDescent="0.25">
      <c r="D44" s="1" t="s">
        <v>838</v>
      </c>
    </row>
    <row r="45" spans="4:8" x14ac:dyDescent="0.25">
      <c r="D45" t="str">
        <f>B8</f>
        <v>LSU</v>
      </c>
    </row>
    <row r="47" spans="4:8" x14ac:dyDescent="0.25">
      <c r="D47" s="1"/>
    </row>
    <row r="48" spans="4:8" x14ac:dyDescent="0.25">
      <c r="D48" s="38"/>
    </row>
  </sheetData>
  <customSheetViews>
    <customSheetView guid="{42F19D52-E208-414F-9E2E-506DF902926F}" hiddenColumns="1">
      <selection activeCell="B1" sqref="B1"/>
      <pageMargins left="0.7" right="0.7" top="0.75" bottom="0.75" header="0.3" footer="0.3"/>
      <pageSetup orientation="portrait" r:id="rId1"/>
    </customSheetView>
    <customSheetView guid="{BE266B8E-38B0-4631-9C30-67CA48A8BD7F}" hiddenColumns="1">
      <selection activeCell="B1" sqref="B1"/>
      <pageMargins left="0.7" right="0.7" top="0.75" bottom="0.75" header="0.3" footer="0.3"/>
      <pageSetup orientation="portrait" r:id="rId2"/>
    </customSheetView>
    <customSheetView guid="{BD1DF852-269B-4C2F-AF89-1FA576EA4603}" hiddenColumns="1">
      <selection activeCell="B1" sqref="B1"/>
      <pageMargins left="0.7" right="0.7" top="0.75" bottom="0.75" header="0.3" footer="0.3"/>
      <pageSetup orientation="portrait" r:id="rId3"/>
    </customSheetView>
    <customSheetView guid="{C8D72D7B-AEA0-45E3-A14B-3F039B04C62C}" hiddenColumns="1">
      <selection activeCell="C21" sqref="A1:C21"/>
      <pageMargins left="0.7" right="0.7" top="0.75" bottom="0.75" header="0.3" footer="0.3"/>
      <pageSetup orientation="portrait" r:id="rId4"/>
    </customSheetView>
    <customSheetView guid="{6A3B2C41-2DBC-4B17-AB58-12C85E3A6B8A}" hiddenColumns="1">
      <selection activeCell="B1" sqref="B1"/>
      <pageMargins left="0.7" right="0.7" top="0.75" bottom="0.75" header="0.3" footer="0.3"/>
      <pageSetup orientation="portrait" r:id="rId5"/>
    </customSheetView>
    <customSheetView guid="{9DC468DE-D883-45B4-B188-265B9DA68425}" hiddenColumns="1">
      <selection activeCell="B20" sqref="B20"/>
      <pageMargins left="0.7" right="0.7" top="0.75" bottom="0.75" header="0.3" footer="0.3"/>
      <pageSetup orientation="portrait" r:id="rId6"/>
    </customSheetView>
    <customSheetView guid="{6960175A-17E1-4BDD-98F7-6E9A590B8B7F}" hiddenColumns="1">
      <selection activeCell="B2" sqref="B2"/>
      <pageMargins left="0.7" right="0.7" top="0.75" bottom="0.75" header="0.3" footer="0.3"/>
      <pageSetup orientation="portrait" r:id="rId7"/>
    </customSheetView>
    <customSheetView guid="{DB365F32-166D-4348-BCE9-F0F1DB0B73A9}" hiddenColumns="1">
      <selection activeCell="B2" sqref="B2"/>
      <pageMargins left="0.7" right="0.7" top="0.75" bottom="0.75" header="0.3" footer="0.3"/>
      <pageSetup orientation="portrait" r:id="rId8"/>
    </customSheetView>
    <customSheetView guid="{6EDF2E63-E51E-449A-B1C5-EFB1FD6A259C}" hiddenColumns="1">
      <selection activeCell="B2" sqref="B2"/>
      <pageMargins left="0.7" right="0.7" top="0.75" bottom="0.75" header="0.3" footer="0.3"/>
      <pageSetup orientation="portrait" r:id="rId9"/>
    </customSheetView>
    <customSheetView guid="{46B088B4-7F51-4D35-9F00-2268626FA819}" hiddenColumns="1">
      <selection activeCell="A28" sqref="A28"/>
      <pageMargins left="0.7" right="0.7" top="0.75" bottom="0.75" header="0.3" footer="0.3"/>
      <pageSetup orientation="portrait" r:id="rId10"/>
    </customSheetView>
    <customSheetView guid="{BC153CFA-E879-4863-BF97-64855FD940E5}" hiddenColumns="1">
      <selection activeCell="C21" sqref="A1:C21"/>
      <pageMargins left="0.7" right="0.7" top="0.75" bottom="0.75" header="0.3" footer="0.3"/>
      <pageSetup orientation="portrait" r:id="rId11"/>
    </customSheetView>
  </customSheetViews>
  <mergeCells count="1">
    <mergeCell ref="A24:B24"/>
  </mergeCells>
  <dataValidations count="8">
    <dataValidation type="list" allowBlank="1" showInputMessage="1" showErrorMessage="1" sqref="B20">
      <formula1>$H$14:$H$15</formula1>
    </dataValidation>
    <dataValidation type="list" allowBlank="1" showInputMessage="1" showErrorMessage="1" sqref="B19">
      <formula1>$H$18:$H$19</formula1>
    </dataValidation>
    <dataValidation type="list" allowBlank="1" showInputMessage="1" showErrorMessage="1" sqref="B26">
      <formula1>$H$29:$H$34</formula1>
    </dataValidation>
    <dataValidation type="list" allowBlank="1" showInputMessage="1" showErrorMessage="1" sqref="B2">
      <formula1>$F$18:$F$19</formula1>
    </dataValidation>
    <dataValidation type="list" allowBlank="1" showInputMessage="1" showErrorMessage="1" sqref="B13">
      <formula1>$H$2:$H$5</formula1>
    </dataValidation>
    <dataValidation type="list" allowBlank="1" showInputMessage="1" showErrorMessage="1" sqref="B15:B16 B23">
      <formula1>$F$28:$F$29</formula1>
    </dataValidation>
    <dataValidation type="list" allowBlank="1" showInputMessage="1" showErrorMessage="1" sqref="B14 B28">
      <formula1>$H$2:$H$11</formula1>
    </dataValidation>
    <dataValidation type="list" allowBlank="1" showInputMessage="1" showErrorMessage="1" sqref="B29 B17">
      <formula1>GENERIC_SWATCHES</formula1>
    </dataValidation>
  </dataValidations>
  <pageMargins left="0.7" right="0.7" top="0.75" bottom="0.75" header="0.3" footer="0.3"/>
  <pageSetup orientation="portrait" r:id="rId1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Missing Logo" error="Add missing logo(s) to the bottom of Column A in the LOGOS tab">
          <x14:formula1>
            <xm:f>LOGOS!$A$2:$A$381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selection activeCell="H1" sqref="H1:K1048576"/>
    </sheetView>
  </sheetViews>
  <sheetFormatPr defaultRowHeight="15" x14ac:dyDescent="0.25"/>
  <cols>
    <col min="1" max="1" width="20.7109375" customWidth="1"/>
    <col min="2" max="2" width="24.140625" customWidth="1"/>
    <col min="3" max="4" width="27" customWidth="1"/>
    <col min="5" max="5" width="59.42578125" customWidth="1"/>
    <col min="6" max="6" width="40.42578125" customWidth="1"/>
    <col min="7" max="7" width="54.85546875" bestFit="1" customWidth="1"/>
    <col min="8" max="8" width="9.140625" hidden="1" customWidth="1"/>
    <col min="9" max="9" width="15.85546875" hidden="1" customWidth="1"/>
    <col min="10" max="10" width="9.140625" hidden="1" customWidth="1"/>
    <col min="11" max="11" width="24.7109375" hidden="1" customWidth="1"/>
  </cols>
  <sheetData>
    <row r="1" spans="1:11" ht="15.75" thickBot="1" x14ac:dyDescent="0.3">
      <c r="A1" s="246" t="s">
        <v>866</v>
      </c>
      <c r="B1" s="25" t="s">
        <v>768</v>
      </c>
      <c r="C1" s="25" t="s">
        <v>768</v>
      </c>
      <c r="D1" s="25" t="s">
        <v>768</v>
      </c>
      <c r="E1" s="25" t="s">
        <v>830</v>
      </c>
      <c r="F1" s="25" t="s">
        <v>828</v>
      </c>
    </row>
    <row r="2" spans="1:11" ht="15.75" thickBot="1" x14ac:dyDescent="0.3">
      <c r="A2" s="150" t="s">
        <v>652</v>
      </c>
      <c r="B2" s="163" t="s">
        <v>653</v>
      </c>
      <c r="C2" s="163" t="s">
        <v>654</v>
      </c>
      <c r="D2" s="163" t="s">
        <v>767</v>
      </c>
      <c r="E2" s="162" t="s">
        <v>831</v>
      </c>
      <c r="F2" s="148" t="s">
        <v>829</v>
      </c>
      <c r="I2" s="149" t="s">
        <v>894</v>
      </c>
      <c r="K2" t="s">
        <v>30</v>
      </c>
    </row>
    <row r="3" spans="1:11" x14ac:dyDescent="0.25">
      <c r="A3" s="156">
        <f>IF('Team Info'!$B$2 = "Away",180,280)</f>
        <v>280</v>
      </c>
      <c r="B3" s="164" t="s">
        <v>835</v>
      </c>
      <c r="C3" s="164" t="s">
        <v>836</v>
      </c>
      <c r="D3" s="175"/>
      <c r="E3" s="169" t="s">
        <v>837</v>
      </c>
      <c r="F3" s="57" t="s">
        <v>656</v>
      </c>
      <c r="I3" t="str">
        <f>B3 &amp;" " &amp; C3</f>
        <v>FIRST LAST</v>
      </c>
      <c r="K3" t="str">
        <f>B37</f>
        <v>COACHING RÉSUMÉ</v>
      </c>
    </row>
    <row r="4" spans="1:11" x14ac:dyDescent="0.25">
      <c r="A4" s="157">
        <f>A3+1</f>
        <v>281</v>
      </c>
      <c r="B4" s="177" t="str">
        <f>$B$3</f>
        <v>FIRST</v>
      </c>
      <c r="C4" s="177" t="str">
        <f>$C$3</f>
        <v>LAST</v>
      </c>
      <c r="D4" s="165"/>
      <c r="E4" s="143"/>
      <c r="F4" s="56"/>
      <c r="I4" t="str">
        <f t="shared" ref="I4:I23" si="0">B4 &amp;" " &amp; C4</f>
        <v>FIRST LAST</v>
      </c>
    </row>
    <row r="5" spans="1:11" x14ac:dyDescent="0.25">
      <c r="A5" s="157">
        <f>A3+2</f>
        <v>282</v>
      </c>
      <c r="B5" s="177" t="str">
        <f t="shared" ref="B5:B12" si="1">$B$3</f>
        <v>FIRST</v>
      </c>
      <c r="C5" s="177" t="str">
        <f t="shared" ref="C5:C12" si="2">$C$3</f>
        <v>LAST</v>
      </c>
      <c r="D5" s="165"/>
      <c r="E5" s="143"/>
      <c r="F5" s="56"/>
      <c r="I5" t="str">
        <f t="shared" si="0"/>
        <v>FIRST LAST</v>
      </c>
      <c r="K5" t="s">
        <v>32</v>
      </c>
    </row>
    <row r="6" spans="1:11" x14ac:dyDescent="0.25">
      <c r="A6" s="157">
        <f>A3+3</f>
        <v>283</v>
      </c>
      <c r="B6" s="177" t="str">
        <f t="shared" si="1"/>
        <v>FIRST</v>
      </c>
      <c r="C6" s="177" t="str">
        <f t="shared" si="2"/>
        <v>LAST</v>
      </c>
      <c r="D6" s="165"/>
      <c r="E6" s="143"/>
      <c r="F6" s="56"/>
      <c r="I6" t="str">
        <f t="shared" si="0"/>
        <v>FIRST LAST</v>
      </c>
    </row>
    <row r="7" spans="1:11" x14ac:dyDescent="0.25">
      <c r="A7" s="157">
        <f>A3+4</f>
        <v>284</v>
      </c>
      <c r="B7" s="177" t="str">
        <f t="shared" si="1"/>
        <v>FIRST</v>
      </c>
      <c r="C7" s="177" t="str">
        <f t="shared" si="2"/>
        <v>LAST</v>
      </c>
      <c r="D7" s="165"/>
      <c r="E7" s="143"/>
      <c r="F7" s="56"/>
      <c r="I7" t="str">
        <f t="shared" si="0"/>
        <v>FIRST LAST</v>
      </c>
    </row>
    <row r="8" spans="1:11" x14ac:dyDescent="0.25">
      <c r="A8" s="157">
        <f>A3+5</f>
        <v>285</v>
      </c>
      <c r="B8" s="177" t="str">
        <f t="shared" si="1"/>
        <v>FIRST</v>
      </c>
      <c r="C8" s="177" t="str">
        <f t="shared" si="2"/>
        <v>LAST</v>
      </c>
      <c r="D8" s="165"/>
      <c r="E8" s="143"/>
      <c r="F8" s="56"/>
      <c r="I8" t="str">
        <f t="shared" si="0"/>
        <v>FIRST LAST</v>
      </c>
      <c r="K8" t="s">
        <v>36</v>
      </c>
    </row>
    <row r="9" spans="1:11" x14ac:dyDescent="0.25">
      <c r="A9" s="157">
        <f>A3+6</f>
        <v>286</v>
      </c>
      <c r="B9" s="177" t="str">
        <f t="shared" si="1"/>
        <v>FIRST</v>
      </c>
      <c r="C9" s="177" t="str">
        <f t="shared" si="2"/>
        <v>LAST</v>
      </c>
      <c r="D9" s="165"/>
      <c r="E9" s="143"/>
      <c r="F9" s="56"/>
      <c r="I9" t="str">
        <f t="shared" si="0"/>
        <v>FIRST LAST</v>
      </c>
      <c r="K9" t="str">
        <f>B41</f>
        <v>Line1 Test 
Line 1a</v>
      </c>
    </row>
    <row r="10" spans="1:11" x14ac:dyDescent="0.25">
      <c r="A10" s="157">
        <f>A3+7</f>
        <v>287</v>
      </c>
      <c r="B10" s="177" t="str">
        <f t="shared" si="1"/>
        <v>FIRST</v>
      </c>
      <c r="C10" s="177" t="str">
        <f t="shared" si="2"/>
        <v>LAST</v>
      </c>
      <c r="D10" s="165"/>
      <c r="E10" s="143"/>
      <c r="F10" s="56"/>
      <c r="I10" t="str">
        <f t="shared" si="0"/>
        <v>FIRST LAST</v>
      </c>
    </row>
    <row r="11" spans="1:11" x14ac:dyDescent="0.25">
      <c r="A11" s="157">
        <f>A3+8</f>
        <v>288</v>
      </c>
      <c r="B11" s="177" t="str">
        <f t="shared" si="1"/>
        <v>FIRST</v>
      </c>
      <c r="C11" s="177" t="str">
        <f t="shared" si="2"/>
        <v>LAST</v>
      </c>
      <c r="D11" s="165"/>
      <c r="E11" s="143"/>
      <c r="F11" s="56"/>
      <c r="I11" t="str">
        <f t="shared" si="0"/>
        <v>FIRST LAST</v>
      </c>
      <c r="K11" t="s">
        <v>37</v>
      </c>
    </row>
    <row r="12" spans="1:11" ht="15.75" thickBot="1" x14ac:dyDescent="0.3">
      <c r="A12" s="158">
        <f>A3+9</f>
        <v>289</v>
      </c>
      <c r="B12" s="178" t="str">
        <f t="shared" si="1"/>
        <v>FIRST</v>
      </c>
      <c r="C12" s="178" t="str">
        <f t="shared" si="2"/>
        <v>LAST</v>
      </c>
      <c r="D12" s="176"/>
      <c r="E12" s="170"/>
      <c r="F12" s="66"/>
      <c r="I12" t="str">
        <f t="shared" si="0"/>
        <v>FIRST LAST</v>
      </c>
      <c r="K12" t="str">
        <f>B43</f>
        <v>Line2 Text
Line 2a</v>
      </c>
    </row>
    <row r="13" spans="1:11" ht="15.75" thickBot="1" x14ac:dyDescent="0.3">
      <c r="A13" s="150" t="s">
        <v>652</v>
      </c>
      <c r="B13" s="163" t="s">
        <v>653</v>
      </c>
      <c r="C13" s="163" t="s">
        <v>654</v>
      </c>
      <c r="D13" s="163" t="s">
        <v>767</v>
      </c>
      <c r="E13" s="162" t="s">
        <v>831</v>
      </c>
      <c r="F13" s="148" t="s">
        <v>829</v>
      </c>
      <c r="G13" s="149" t="s">
        <v>658</v>
      </c>
      <c r="I13" s="149" t="s">
        <v>895</v>
      </c>
    </row>
    <row r="14" spans="1:11" ht="15.75" thickBot="1" x14ac:dyDescent="0.3">
      <c r="A14" s="159">
        <f>IF('Team Info'!$B$2 = "Away",190,290)</f>
        <v>290</v>
      </c>
      <c r="B14" s="146" t="s">
        <v>835</v>
      </c>
      <c r="C14" s="146" t="s">
        <v>836</v>
      </c>
      <c r="D14" s="165"/>
      <c r="E14" s="171"/>
      <c r="F14" s="186"/>
      <c r="I14" t="str">
        <f t="shared" si="0"/>
        <v>FIRST LAST</v>
      </c>
      <c r="K14" t="s">
        <v>38</v>
      </c>
    </row>
    <row r="15" spans="1:11" ht="15.75" thickBot="1" x14ac:dyDescent="0.3">
      <c r="A15" s="160">
        <f>A14+1</f>
        <v>291</v>
      </c>
      <c r="B15" s="146" t="s">
        <v>835</v>
      </c>
      <c r="C15" s="146" t="s">
        <v>836</v>
      </c>
      <c r="D15" s="166"/>
      <c r="E15" s="172"/>
      <c r="F15" s="147"/>
      <c r="I15" t="str">
        <f t="shared" si="0"/>
        <v>FIRST LAST</v>
      </c>
      <c r="K15" t="str">
        <f>B45</f>
        <v>Line3 Test
Line3a</v>
      </c>
    </row>
    <row r="16" spans="1:11" ht="15.75" thickBot="1" x14ac:dyDescent="0.3">
      <c r="A16" s="160">
        <f>A14+2</f>
        <v>292</v>
      </c>
      <c r="B16" s="146" t="s">
        <v>835</v>
      </c>
      <c r="C16" s="146" t="s">
        <v>836</v>
      </c>
      <c r="D16" s="167"/>
      <c r="E16" s="173"/>
      <c r="F16" s="144"/>
      <c r="I16" t="str">
        <f t="shared" si="0"/>
        <v>FIRST LAST</v>
      </c>
    </row>
    <row r="17" spans="1:11" ht="15.75" thickBot="1" x14ac:dyDescent="0.3">
      <c r="A17" s="160">
        <f>A14+3</f>
        <v>293</v>
      </c>
      <c r="B17" s="146" t="s">
        <v>835</v>
      </c>
      <c r="C17" s="146" t="s">
        <v>836</v>
      </c>
      <c r="D17" s="167"/>
      <c r="E17" s="173"/>
      <c r="F17" s="144"/>
      <c r="I17" t="str">
        <f t="shared" si="0"/>
        <v>FIRST LAST</v>
      </c>
      <c r="K17" t="s">
        <v>39</v>
      </c>
    </row>
    <row r="18" spans="1:11" ht="15.75" thickBot="1" x14ac:dyDescent="0.3">
      <c r="A18" s="160">
        <f>A14+4</f>
        <v>294</v>
      </c>
      <c r="B18" s="146" t="s">
        <v>835</v>
      </c>
      <c r="C18" s="146" t="s">
        <v>836</v>
      </c>
      <c r="D18" s="167"/>
      <c r="E18" s="173"/>
      <c r="F18" s="144"/>
      <c r="I18" t="str">
        <f t="shared" si="0"/>
        <v>FIRST LAST</v>
      </c>
      <c r="K18" t="str">
        <f>B49</f>
        <v/>
      </c>
    </row>
    <row r="19" spans="1:11" ht="15.75" thickBot="1" x14ac:dyDescent="0.3">
      <c r="A19" s="160">
        <f>A14+5</f>
        <v>295</v>
      </c>
      <c r="B19" s="146" t="s">
        <v>835</v>
      </c>
      <c r="C19" s="146" t="s">
        <v>836</v>
      </c>
      <c r="D19" s="167"/>
      <c r="E19" s="173"/>
      <c r="F19" s="144"/>
      <c r="I19" t="str">
        <f t="shared" si="0"/>
        <v>FIRST LAST</v>
      </c>
    </row>
    <row r="20" spans="1:11" ht="15.75" thickBot="1" x14ac:dyDescent="0.3">
      <c r="A20" s="160">
        <f>A14+6</f>
        <v>296</v>
      </c>
      <c r="B20" s="146" t="s">
        <v>835</v>
      </c>
      <c r="C20" s="146" t="s">
        <v>836</v>
      </c>
      <c r="D20" s="167"/>
      <c r="E20" s="173"/>
      <c r="F20" s="144"/>
      <c r="I20" t="str">
        <f t="shared" si="0"/>
        <v>FIRST LAST</v>
      </c>
      <c r="K20" t="s">
        <v>776</v>
      </c>
    </row>
    <row r="21" spans="1:11" ht="15.75" thickBot="1" x14ac:dyDescent="0.3">
      <c r="A21" s="160">
        <f>A14+7</f>
        <v>297</v>
      </c>
      <c r="B21" s="146" t="s">
        <v>835</v>
      </c>
      <c r="C21" s="146" t="s">
        <v>836</v>
      </c>
      <c r="D21" s="167"/>
      <c r="E21" s="173"/>
      <c r="F21" s="144"/>
      <c r="I21" t="str">
        <f t="shared" si="0"/>
        <v>FIRST LAST</v>
      </c>
      <c r="K21" t="str">
        <f>B47</f>
        <v>Line4 Text
Line4a</v>
      </c>
    </row>
    <row r="22" spans="1:11" ht="15.75" thickBot="1" x14ac:dyDescent="0.3">
      <c r="A22" s="160">
        <f>A14+8</f>
        <v>298</v>
      </c>
      <c r="B22" s="146" t="s">
        <v>835</v>
      </c>
      <c r="C22" s="146" t="s">
        <v>836</v>
      </c>
      <c r="D22" s="167"/>
      <c r="E22" s="173"/>
      <c r="F22" s="144"/>
      <c r="I22" t="str">
        <f t="shared" si="0"/>
        <v>FIRST LAST</v>
      </c>
    </row>
    <row r="23" spans="1:11" ht="15.75" thickBot="1" x14ac:dyDescent="0.3">
      <c r="A23" s="161">
        <f>A14+9</f>
        <v>299</v>
      </c>
      <c r="B23" s="146" t="s">
        <v>835</v>
      </c>
      <c r="C23" s="146" t="s">
        <v>836</v>
      </c>
      <c r="D23" s="168"/>
      <c r="E23" s="174"/>
      <c r="F23" s="145"/>
      <c r="I23" t="str">
        <f t="shared" si="0"/>
        <v>FIRST LAST</v>
      </c>
      <c r="K23" t="s">
        <v>790</v>
      </c>
    </row>
    <row r="24" spans="1:11" hidden="1" x14ac:dyDescent="0.25">
      <c r="A24" s="67" t="s">
        <v>652</v>
      </c>
      <c r="B24" s="67" t="s">
        <v>653</v>
      </c>
      <c r="C24" s="67" t="s">
        <v>654</v>
      </c>
      <c r="D24" s="67"/>
      <c r="E24" s="67" t="s">
        <v>655</v>
      </c>
      <c r="F24" s="67" t="s">
        <v>657</v>
      </c>
      <c r="K24">
        <f>B56</f>
        <v>0</v>
      </c>
    </row>
    <row r="25" spans="1:11" hidden="1" x14ac:dyDescent="0.25">
      <c r="A25" s="68">
        <f>IF('Team Info'!$B$2 = "Away",190,290)</f>
        <v>290</v>
      </c>
      <c r="B25" s="68" t="s">
        <v>659</v>
      </c>
      <c r="C25" s="68" t="s">
        <v>660</v>
      </c>
      <c r="D25" s="68"/>
      <c r="E25" s="69" t="s">
        <v>664</v>
      </c>
      <c r="F25" s="70"/>
    </row>
    <row r="26" spans="1:11" hidden="1" x14ac:dyDescent="0.25">
      <c r="A26" s="55">
        <f>A25+1</f>
        <v>291</v>
      </c>
      <c r="B26" s="52" t="s">
        <v>661</v>
      </c>
      <c r="C26" s="52" t="s">
        <v>662</v>
      </c>
      <c r="D26" s="52"/>
      <c r="E26" s="59" t="s">
        <v>663</v>
      </c>
      <c r="F26" s="60"/>
    </row>
    <row r="27" spans="1:11" hidden="1" x14ac:dyDescent="0.25">
      <c r="A27" s="55">
        <f>A25+2</f>
        <v>292</v>
      </c>
      <c r="B27" s="52" t="s">
        <v>665</v>
      </c>
      <c r="C27" s="52" t="s">
        <v>665</v>
      </c>
      <c r="D27" s="52"/>
      <c r="E27" s="59"/>
      <c r="F27" s="60"/>
    </row>
    <row r="28" spans="1:11" hidden="1" x14ac:dyDescent="0.25">
      <c r="A28" s="55">
        <f>A25+3</f>
        <v>293</v>
      </c>
      <c r="B28" s="52" t="s">
        <v>665</v>
      </c>
      <c r="C28" s="52" t="s">
        <v>665</v>
      </c>
      <c r="D28" s="52"/>
      <c r="E28" s="59"/>
      <c r="F28" s="60"/>
    </row>
    <row r="29" spans="1:11" hidden="1" x14ac:dyDescent="0.25">
      <c r="A29" s="55">
        <f>A25+4</f>
        <v>294</v>
      </c>
      <c r="B29" s="52" t="s">
        <v>665</v>
      </c>
      <c r="C29" s="52" t="s">
        <v>665</v>
      </c>
      <c r="D29" s="52"/>
      <c r="E29" s="59"/>
      <c r="F29" s="60"/>
    </row>
    <row r="30" spans="1:11" hidden="1" x14ac:dyDescent="0.25">
      <c r="A30" s="55">
        <f>A25+5</f>
        <v>295</v>
      </c>
      <c r="B30" s="52" t="s">
        <v>665</v>
      </c>
      <c r="C30" s="52" t="s">
        <v>665</v>
      </c>
      <c r="D30" s="52"/>
      <c r="E30" s="59"/>
      <c r="F30" s="60"/>
    </row>
    <row r="31" spans="1:11" hidden="1" x14ac:dyDescent="0.25">
      <c r="A31" s="55">
        <f>A25+6</f>
        <v>296</v>
      </c>
      <c r="B31" s="52" t="s">
        <v>665</v>
      </c>
      <c r="C31" s="52" t="s">
        <v>665</v>
      </c>
      <c r="D31" s="52"/>
      <c r="E31" s="59"/>
      <c r="F31" s="60"/>
    </row>
    <row r="32" spans="1:11" hidden="1" x14ac:dyDescent="0.25">
      <c r="A32" s="55">
        <f>A25+7</f>
        <v>297</v>
      </c>
      <c r="B32" s="52" t="s">
        <v>665</v>
      </c>
      <c r="C32" s="52" t="s">
        <v>665</v>
      </c>
      <c r="D32" s="52"/>
      <c r="E32" s="61"/>
      <c r="F32" s="64"/>
    </row>
    <row r="33" spans="1:11" hidden="1" x14ac:dyDescent="0.25">
      <c r="A33" s="55">
        <f>A25+8</f>
        <v>298</v>
      </c>
      <c r="B33" s="52" t="s">
        <v>665</v>
      </c>
      <c r="C33" s="52" t="s">
        <v>665</v>
      </c>
      <c r="D33" s="52"/>
      <c r="E33" s="61"/>
      <c r="F33" s="64"/>
    </row>
    <row r="34" spans="1:11" ht="15.75" hidden="1" thickBot="1" x14ac:dyDescent="0.3">
      <c r="A34" s="65">
        <f>A25+9</f>
        <v>299</v>
      </c>
      <c r="B34" s="151" t="s">
        <v>665</v>
      </c>
      <c r="C34" s="151" t="s">
        <v>665</v>
      </c>
      <c r="D34" s="151"/>
      <c r="E34" s="152"/>
      <c r="F34" s="153"/>
    </row>
    <row r="35" spans="1:11" ht="15.75" thickBot="1" x14ac:dyDescent="0.3">
      <c r="A35" s="114" t="s">
        <v>739</v>
      </c>
      <c r="B35" s="115"/>
      <c r="C35" s="115"/>
      <c r="D35" s="115"/>
      <c r="E35" s="154"/>
      <c r="F35" s="155"/>
      <c r="K35">
        <f>B38</f>
        <v>3</v>
      </c>
    </row>
    <row r="36" spans="1:11" x14ac:dyDescent="0.25">
      <c r="A36" s="19" t="s">
        <v>769</v>
      </c>
      <c r="B36" s="25">
        <f>IF('Team Info'!$B$2 = "Away",179,279)</f>
        <v>279</v>
      </c>
    </row>
    <row r="37" spans="1:11" x14ac:dyDescent="0.25">
      <c r="A37" s="20" t="s">
        <v>31</v>
      </c>
      <c r="B37" s="36" t="s">
        <v>744</v>
      </c>
      <c r="D37" t="s">
        <v>780</v>
      </c>
    </row>
    <row r="38" spans="1:11" x14ac:dyDescent="0.25">
      <c r="A38" s="20" t="s">
        <v>778</v>
      </c>
      <c r="B38" s="142">
        <v>3</v>
      </c>
    </row>
    <row r="39" spans="1:11" x14ac:dyDescent="0.25">
      <c r="A39" s="187" t="s">
        <v>788</v>
      </c>
      <c r="B39" s="188" t="str">
        <f>B3</f>
        <v>FIRST</v>
      </c>
    </row>
    <row r="40" spans="1:11" x14ac:dyDescent="0.25">
      <c r="A40" s="187" t="s">
        <v>789</v>
      </c>
      <c r="B40" s="188" t="str">
        <f>C3</f>
        <v>LAST</v>
      </c>
    </row>
    <row r="41" spans="1:11" x14ac:dyDescent="0.25">
      <c r="A41" s="277" t="s">
        <v>33</v>
      </c>
      <c r="B41" s="279" t="s">
        <v>771</v>
      </c>
    </row>
    <row r="42" spans="1:11" x14ac:dyDescent="0.25">
      <c r="A42" s="278"/>
      <c r="B42" s="281"/>
    </row>
    <row r="43" spans="1:11" x14ac:dyDescent="0.25">
      <c r="A43" s="277" t="s">
        <v>34</v>
      </c>
      <c r="B43" s="279" t="s">
        <v>772</v>
      </c>
    </row>
    <row r="44" spans="1:11" x14ac:dyDescent="0.25">
      <c r="A44" s="278"/>
      <c r="B44" s="281"/>
    </row>
    <row r="45" spans="1:11" x14ac:dyDescent="0.25">
      <c r="A45" s="277" t="s">
        <v>35</v>
      </c>
      <c r="B45" s="279" t="s">
        <v>773</v>
      </c>
    </row>
    <row r="46" spans="1:11" x14ac:dyDescent="0.25">
      <c r="A46" s="278"/>
      <c r="B46" s="281"/>
    </row>
    <row r="47" spans="1:11" ht="15" customHeight="1" x14ac:dyDescent="0.25">
      <c r="A47" s="277" t="s">
        <v>774</v>
      </c>
      <c r="B47" s="279" t="s">
        <v>775</v>
      </c>
    </row>
    <row r="48" spans="1:11" x14ac:dyDescent="0.25">
      <c r="A48" s="278"/>
      <c r="B48" s="280"/>
    </row>
    <row r="49" spans="1:2" x14ac:dyDescent="0.25">
      <c r="A49" s="141" t="s">
        <v>777</v>
      </c>
      <c r="B49" s="189" t="s">
        <v>791</v>
      </c>
    </row>
    <row r="52" spans="1:2" x14ac:dyDescent="0.25">
      <c r="A52" t="s">
        <v>770</v>
      </c>
    </row>
  </sheetData>
  <customSheetViews>
    <customSheetView guid="{42F19D52-E208-414F-9E2E-506DF902926F}" hiddenRows="1" hiddenColumns="1">
      <selection activeCell="H1" sqref="H1:K1048576"/>
      <pageMargins left="0.7" right="0.7" top="0.75" bottom="0.75" header="0.3" footer="0.3"/>
      <pageSetup orientation="portrait" r:id="rId1"/>
    </customSheetView>
    <customSheetView guid="{BE266B8E-38B0-4631-9C30-67CA48A8BD7F}" hiddenRows="1" hiddenColumns="1">
      <selection activeCell="H1" sqref="H1:K1048576"/>
      <pageMargins left="0.7" right="0.7" top="0.75" bottom="0.75" header="0.3" footer="0.3"/>
      <pageSetup orientation="portrait" r:id="rId2"/>
    </customSheetView>
    <customSheetView guid="{BD1DF852-269B-4C2F-AF89-1FA576EA4603}" hiddenRows="1">
      <selection activeCell="B45" sqref="B45:B46"/>
      <pageMargins left="0.7" right="0.7" top="0.75" bottom="0.75" header="0.3" footer="0.3"/>
      <pageSetup orientation="portrait" r:id="rId3"/>
    </customSheetView>
    <customSheetView guid="{C8D72D7B-AEA0-45E3-A14B-3F039B04C62C}" hiddenRows="1" hiddenColumns="1">
      <selection activeCell="H1" sqref="H1:K1048576"/>
      <pageMargins left="0.7" right="0.7" top="0.75" bottom="0.75" header="0.3" footer="0.3"/>
      <pageSetup orientation="portrait" r:id="rId4"/>
    </customSheetView>
    <customSheetView guid="{6A3B2C41-2DBC-4B17-AB58-12C85E3A6B8A}" hiddenRows="1">
      <selection activeCell="C2" sqref="C2"/>
      <pageMargins left="0.7" right="0.7" top="0.75" bottom="0.75" header="0.3" footer="0.3"/>
      <pageSetup orientation="portrait" r:id="rId5"/>
    </customSheetView>
    <customSheetView guid="{9DC468DE-D883-45B4-B188-265B9DA68425}" hiddenColumns="1">
      <selection activeCell="D23" sqref="D23:D33"/>
      <pageMargins left="0.7" right="0.7" top="0.75" bottom="0.75" header="0.3" footer="0.3"/>
      <pageSetup orientation="portrait" r:id="rId6"/>
    </customSheetView>
    <customSheetView guid="{6960175A-17E1-4BDD-98F7-6E9A590B8B7F}" hiddenColumns="1">
      <selection activeCell="H25" sqref="H25"/>
      <pageMargins left="0.7" right="0.7" top="0.75" bottom="0.75" header="0.3" footer="0.3"/>
      <pageSetup orientation="portrait" r:id="rId7"/>
    </customSheetView>
    <customSheetView guid="{DB365F32-166D-4348-BCE9-F0F1DB0B73A9}" hiddenColumns="1">
      <selection activeCell="D23" sqref="D23:D33"/>
      <pageMargins left="0.7" right="0.7" top="0.75" bottom="0.75" header="0.3" footer="0.3"/>
      <pageSetup orientation="portrait" r:id="rId8"/>
    </customSheetView>
    <customSheetView guid="{6EDF2E63-E51E-449A-B1C5-EFB1FD6A259C}" hiddenColumns="1">
      <selection activeCell="D23" sqref="D23:D33"/>
      <pageMargins left="0.7" right="0.7" top="0.75" bottom="0.75" header="0.3" footer="0.3"/>
      <pageSetup orientation="portrait" r:id="rId9"/>
    </customSheetView>
    <customSheetView guid="{46B088B4-7F51-4D35-9F00-2268626FA819}" hiddenRows="1">
      <selection activeCell="E13" sqref="E13"/>
      <pageMargins left="0.7" right="0.7" top="0.75" bottom="0.75" header="0.3" footer="0.3"/>
      <pageSetup orientation="portrait" r:id="rId10"/>
    </customSheetView>
    <customSheetView guid="{BC153CFA-E879-4863-BF97-64855FD940E5}" hiddenRows="1" hiddenColumns="1">
      <selection activeCell="H1" sqref="H1:K1048576"/>
      <pageMargins left="0.7" right="0.7" top="0.75" bottom="0.75" header="0.3" footer="0.3"/>
      <pageSetup orientation="portrait" r:id="rId11"/>
    </customSheetView>
  </customSheetViews>
  <mergeCells count="8">
    <mergeCell ref="A47:A48"/>
    <mergeCell ref="B47:B48"/>
    <mergeCell ref="A41:A42"/>
    <mergeCell ref="B41:B42"/>
    <mergeCell ref="A43:A44"/>
    <mergeCell ref="B43:B44"/>
    <mergeCell ref="A45:A46"/>
    <mergeCell ref="B45:B46"/>
  </mergeCells>
  <pageMargins left="0.7" right="0.7" top="0.75" bottom="0.75" header="0.3" footer="0.3"/>
  <pageSetup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"/>
  <sheetViews>
    <sheetView zoomScaleNormal="100" zoomScaleSheetLayoutView="100" workbookViewId="0">
      <pane ySplit="3" topLeftCell="A4" activePane="bottomLeft" state="frozen"/>
      <selection pane="bottomLeft" activeCell="J5" sqref="J5"/>
    </sheetView>
  </sheetViews>
  <sheetFormatPr defaultColWidth="9.140625" defaultRowHeight="15" x14ac:dyDescent="0.25"/>
  <cols>
    <col min="3" max="8" width="12.7109375" customWidth="1"/>
    <col min="9" max="9" width="20.7109375" customWidth="1"/>
    <col min="10" max="10" width="15.85546875" customWidth="1"/>
    <col min="11" max="11" width="12.7109375" customWidth="1"/>
    <col min="12" max="13" width="20.7109375" customWidth="1"/>
    <col min="14" max="14" width="9.140625" style="9" hidden="1" customWidth="1"/>
    <col min="15" max="15" width="9.140625" hidden="1" customWidth="1"/>
    <col min="16" max="16" width="8.5703125" hidden="1" customWidth="1"/>
    <col min="17" max="17" width="11.5703125" hidden="1" customWidth="1"/>
    <col min="18" max="19" width="60.7109375" hidden="1" customWidth="1"/>
    <col min="20" max="20" width="15.7109375" hidden="1" customWidth="1"/>
    <col min="21" max="21" width="11.140625" hidden="1" customWidth="1"/>
    <col min="22" max="22" width="9.140625" hidden="1" customWidth="1"/>
    <col min="23" max="23" width="20.7109375" hidden="1" customWidth="1"/>
    <col min="24" max="26" width="12.7109375" hidden="1" customWidth="1"/>
  </cols>
  <sheetData>
    <row r="1" spans="1:26" x14ac:dyDescent="0.25">
      <c r="A1" s="19" t="s">
        <v>40</v>
      </c>
      <c r="B1" s="127" t="s">
        <v>745</v>
      </c>
      <c r="C1" s="128"/>
      <c r="D1" s="128"/>
      <c r="E1" s="128"/>
      <c r="F1" s="128"/>
      <c r="G1" s="128"/>
      <c r="H1" s="128"/>
      <c r="I1" s="247" t="s">
        <v>872</v>
      </c>
      <c r="J1" s="128"/>
      <c r="K1" s="248" t="s">
        <v>873</v>
      </c>
      <c r="L1" s="128"/>
      <c r="M1" s="129"/>
    </row>
    <row r="2" spans="1:26" x14ac:dyDescent="0.25">
      <c r="A2" s="75"/>
      <c r="B2" s="123"/>
      <c r="C2" s="124"/>
      <c r="D2" s="124"/>
      <c r="E2" s="190" t="s">
        <v>792</v>
      </c>
      <c r="F2" s="124"/>
      <c r="G2" s="124"/>
      <c r="H2" s="124" t="s">
        <v>41</v>
      </c>
      <c r="I2" s="124"/>
      <c r="J2" s="126" t="s">
        <v>1061</v>
      </c>
      <c r="K2" s="125" t="s">
        <v>746</v>
      </c>
      <c r="L2" s="125"/>
      <c r="M2" s="130" t="s">
        <v>747</v>
      </c>
    </row>
    <row r="3" spans="1:26" x14ac:dyDescent="0.25">
      <c r="A3" s="34" t="s">
        <v>42</v>
      </c>
      <c r="B3" s="119" t="s">
        <v>43</v>
      </c>
      <c r="C3" s="120" t="s">
        <v>44</v>
      </c>
      <c r="D3" s="120" t="s">
        <v>45</v>
      </c>
      <c r="E3" s="121" t="s">
        <v>46</v>
      </c>
      <c r="F3" s="121" t="s">
        <v>47</v>
      </c>
      <c r="G3" s="121" t="s">
        <v>48</v>
      </c>
      <c r="H3" s="121" t="s">
        <v>49</v>
      </c>
      <c r="I3" s="122" t="s">
        <v>50</v>
      </c>
      <c r="J3" s="121" t="s">
        <v>51</v>
      </c>
      <c r="K3" s="121" t="s">
        <v>870</v>
      </c>
      <c r="L3" s="4" t="s">
        <v>779</v>
      </c>
      <c r="M3" s="4" t="s">
        <v>668</v>
      </c>
      <c r="N3" s="4" t="s">
        <v>816</v>
      </c>
      <c r="O3" s="21" t="s">
        <v>52</v>
      </c>
      <c r="P3" s="21" t="s">
        <v>53</v>
      </c>
      <c r="Q3" s="71" t="s">
        <v>51</v>
      </c>
      <c r="R3" s="22" t="s">
        <v>54</v>
      </c>
      <c r="S3" s="22" t="s">
        <v>783</v>
      </c>
      <c r="T3" s="3" t="s">
        <v>55</v>
      </c>
      <c r="U3" s="3" t="s">
        <v>56</v>
      </c>
      <c r="V3" s="72" t="s">
        <v>51</v>
      </c>
      <c r="W3" s="179" t="s">
        <v>781</v>
      </c>
      <c r="X3" s="179" t="s">
        <v>653</v>
      </c>
      <c r="Y3" s="179" t="s">
        <v>654</v>
      </c>
      <c r="Z3" s="179" t="s">
        <v>782</v>
      </c>
    </row>
    <row r="4" spans="1:26" x14ac:dyDescent="0.25">
      <c r="A4" s="35">
        <v>1</v>
      </c>
      <c r="B4" s="273" t="s">
        <v>994</v>
      </c>
      <c r="C4" s="6" t="s">
        <v>1057</v>
      </c>
      <c r="D4" s="6" t="s">
        <v>1058</v>
      </c>
      <c r="E4" s="7" t="s">
        <v>900</v>
      </c>
      <c r="F4" s="7" t="s">
        <v>901</v>
      </c>
      <c r="G4" s="7">
        <v>195</v>
      </c>
      <c r="H4" s="49"/>
      <c r="I4" s="8" t="s">
        <v>986</v>
      </c>
      <c r="J4" s="7" t="s">
        <v>1062</v>
      </c>
      <c r="K4" s="7"/>
      <c r="L4" s="7"/>
      <c r="M4" s="7"/>
      <c r="N4" s="9">
        <f>IF(K3="Header", 0, 1)</f>
        <v>1</v>
      </c>
      <c r="O4" s="182">
        <f ca="1">INT(YEARFRAC($H4, TODAY()))</f>
        <v>125</v>
      </c>
      <c r="P4" s="182" t="str">
        <f>IF($E4="G", "Guard", IF($E4="F", "Forward", IF($E4="C", "Center", "")))</f>
        <v>Guard</v>
      </c>
      <c r="Q4" s="183" t="str">
        <f>IF($J4="SR", "Senior", IF($J4=4,"Senior",IF($J4="JR", "Junior", IF($J4=3,"Junior",IF($J4="SO", "Sophomore", IF($J4=2,"Sophomore",IF($J4="FR", "Freshman",IF($J4=1,"Freshman",""))))))))</f>
        <v>Freshman</v>
      </c>
      <c r="R4" s="181" t="str">
        <f>"D:\IMS Images\Headshots\CBB\"&amp;'Team Info'!$B$12&amp;"\"&amp;D4&amp;"_"&amp;C4&amp;".png"</f>
        <v>D:\IMS Images\Headshots\CBB\LSU\Last_First.png</v>
      </c>
      <c r="S4" s="181" t="str">
        <f>"D:\IMS Images\ActionShots\CBB\"&amp;'Team Info'!$B$12&amp;"\"&amp;D4&amp;"_"&amp;C4&amp;".png"</f>
        <v>D:\IMS Images\ActionShots\CBB\LSU\Last_First.png</v>
      </c>
      <c r="T4" s="180" t="str">
        <f t="shared" ref="T4:T35" si="0">C4&amp;" "&amp;D4</f>
        <v>First Last</v>
      </c>
      <c r="U4" s="180" t="str">
        <f t="shared" ref="U4:U35" si="1">LEFT(C4,1)&amp;". "&amp;D4</f>
        <v>F. Last</v>
      </c>
      <c r="V4" s="180" t="str">
        <f>IF($J4="SR", "SR", IF($J4=4,"SR",IF($J4="JR", "JR", IF($J4=3,"JR",IF($J4="SO", "SO", IF($J4=2,"SO",IF($J4="FR", "FR",IF($J4=1,"FR",""))))))))</f>
        <v>FR</v>
      </c>
      <c r="W4" s="180" t="str">
        <f>UPPER(T4)</f>
        <v>FIRST LAST</v>
      </c>
      <c r="X4" s="180" t="str">
        <f>UPPER(C4)</f>
        <v>FIRST</v>
      </c>
      <c r="Y4" s="180" t="str">
        <f>UPPER(D4)</f>
        <v>LAST</v>
      </c>
      <c r="Z4" s="180" t="str">
        <f>UPPER(Q4)</f>
        <v>FRESHMAN</v>
      </c>
    </row>
    <row r="5" spans="1:26" x14ac:dyDescent="0.25">
      <c r="A5" s="35">
        <v>2</v>
      </c>
      <c r="B5" s="5">
        <v>2</v>
      </c>
      <c r="C5" s="6"/>
      <c r="D5" s="6"/>
      <c r="E5" s="7"/>
      <c r="F5" s="7"/>
      <c r="G5" s="7"/>
      <c r="H5" s="49"/>
      <c r="I5" s="8"/>
      <c r="J5" s="7"/>
      <c r="K5" s="7"/>
      <c r="L5" s="7"/>
      <c r="M5" s="7"/>
      <c r="O5" s="182">
        <f t="shared" ref="O5:O68" ca="1" si="2">INT(YEARFRAC($H5, TODAY()))</f>
        <v>125</v>
      </c>
      <c r="P5" s="182" t="str">
        <f t="shared" ref="P5:P68" si="3">IF($E5="G", "Guard", IF($E5="F", "Forward", IF($E5="C", "Center", "")))</f>
        <v/>
      </c>
      <c r="Q5" s="183" t="str">
        <f t="shared" ref="Q5:Q68" si="4">IF($J5="SR", "Senior", IF($J5=4,"Senior",IF($J5="JR", "Junior", IF($J5=3,"Junior",IF($J5="SO", "Sophomore", IF($J5=2,"Sophomore",IF($J5="FR", "Freshman",IF($J5=1,"Freshman",""))))))))</f>
        <v/>
      </c>
      <c r="R5" s="181" t="str">
        <f>"D:\IMS Images\Headshots\CBB\"&amp;'Team Info'!$B$12&amp;"\"&amp;D5&amp;"_"&amp;C5&amp;".png"</f>
        <v>D:\IMS Images\Headshots\CBB\LSU\_.png</v>
      </c>
      <c r="S5" s="181" t="str">
        <f>"D:\IMS Images\ActionShots\CBB\"&amp;'Team Info'!$B$12&amp;"\"&amp;D5&amp;"_"&amp;C5&amp;".png"</f>
        <v>D:\IMS Images\ActionShots\CBB\LSU\_.png</v>
      </c>
      <c r="T5" s="180" t="str">
        <f t="shared" si="0"/>
        <v xml:space="preserve"> </v>
      </c>
      <c r="U5" s="180" t="str">
        <f t="shared" si="1"/>
        <v xml:space="preserve">. </v>
      </c>
      <c r="V5" s="180" t="str">
        <f t="shared" ref="V5:V68" si="5">IF($J5="SR", "SR", IF($J5=4,"SR",IF($J5="JR", "JR", IF($J5=3,"JR",IF($J5="SO", "SO", IF($J5=2,"SO",IF($J5="FR", "FR",IF($J5=1,"FR",""))))))))</f>
        <v/>
      </c>
      <c r="W5" s="180" t="str">
        <f t="shared" ref="W5:W68" si="6">UPPER(T5)</f>
        <v xml:space="preserve"> </v>
      </c>
      <c r="X5" s="180" t="str">
        <f t="shared" ref="X5:X68" si="7">UPPER(C5)</f>
        <v/>
      </c>
      <c r="Y5" s="180" t="str">
        <f t="shared" ref="Y5:Y68" si="8">UPPER(D5)</f>
        <v/>
      </c>
      <c r="Z5" s="180" t="str">
        <f t="shared" ref="Z5:Z68" si="9">UPPER(Q5)</f>
        <v/>
      </c>
    </row>
    <row r="6" spans="1:26" x14ac:dyDescent="0.25">
      <c r="A6" s="35">
        <v>3</v>
      </c>
      <c r="B6" s="5">
        <v>3</v>
      </c>
      <c r="C6" s="6"/>
      <c r="D6" s="6"/>
      <c r="E6" s="7"/>
      <c r="F6" s="7"/>
      <c r="G6" s="7"/>
      <c r="H6" s="49"/>
      <c r="I6" s="8"/>
      <c r="J6" s="7"/>
      <c r="K6" s="7"/>
      <c r="L6" s="7"/>
      <c r="M6" s="7"/>
      <c r="O6" s="182">
        <f t="shared" ca="1" si="2"/>
        <v>125</v>
      </c>
      <c r="P6" s="182" t="str">
        <f t="shared" si="3"/>
        <v/>
      </c>
      <c r="Q6" s="183" t="str">
        <f t="shared" si="4"/>
        <v/>
      </c>
      <c r="R6" s="181" t="str">
        <f>"D:\IMS Images\Headshots\CBB\"&amp;'Team Info'!$B$12&amp;"\"&amp;D6&amp;"_"&amp;C6&amp;".png"</f>
        <v>D:\IMS Images\Headshots\CBB\LSU\_.png</v>
      </c>
      <c r="S6" s="181" t="str">
        <f>"D:\IMS Images\ActionShots\CBB\"&amp;'Team Info'!$B$12&amp;"\"&amp;D6&amp;"_"&amp;C6&amp;".png"</f>
        <v>D:\IMS Images\ActionShots\CBB\LSU\_.png</v>
      </c>
      <c r="T6" s="180" t="str">
        <f t="shared" si="0"/>
        <v xml:space="preserve"> </v>
      </c>
      <c r="U6" s="180" t="str">
        <f t="shared" si="1"/>
        <v xml:space="preserve">. </v>
      </c>
      <c r="V6" s="180" t="str">
        <f t="shared" si="5"/>
        <v/>
      </c>
      <c r="W6" s="180" t="str">
        <f t="shared" si="6"/>
        <v xml:space="preserve"> </v>
      </c>
      <c r="X6" s="180" t="str">
        <f t="shared" si="7"/>
        <v/>
      </c>
      <c r="Y6" s="180" t="str">
        <f t="shared" si="8"/>
        <v/>
      </c>
      <c r="Z6" s="180" t="str">
        <f t="shared" si="9"/>
        <v/>
      </c>
    </row>
    <row r="7" spans="1:26" x14ac:dyDescent="0.25">
      <c r="A7" s="35">
        <v>4</v>
      </c>
      <c r="B7" s="5">
        <v>4</v>
      </c>
      <c r="C7" s="6"/>
      <c r="D7" s="6"/>
      <c r="E7" s="7"/>
      <c r="F7" s="7"/>
      <c r="G7" s="7"/>
      <c r="H7" s="49"/>
      <c r="I7" s="8"/>
      <c r="J7" s="7"/>
      <c r="K7" s="7"/>
      <c r="L7" s="7"/>
      <c r="M7" s="7"/>
      <c r="N7" s="9" t="s">
        <v>871</v>
      </c>
      <c r="O7" s="182">
        <f t="shared" ca="1" si="2"/>
        <v>125</v>
      </c>
      <c r="P7" s="182" t="str">
        <f t="shared" si="3"/>
        <v/>
      </c>
      <c r="Q7" s="183" t="str">
        <f t="shared" si="4"/>
        <v/>
      </c>
      <c r="R7" s="181" t="str">
        <f>"D:\IMS Images\Headshots\CBB\"&amp;'Team Info'!$B$12&amp;"\"&amp;D7&amp;"_"&amp;C7&amp;".png"</f>
        <v>D:\IMS Images\Headshots\CBB\LSU\_.png</v>
      </c>
      <c r="S7" s="181" t="str">
        <f>"D:\IMS Images\ActionShots\CBB\"&amp;'Team Info'!$B$12&amp;"\"&amp;D7&amp;"_"&amp;C7&amp;".png"</f>
        <v>D:\IMS Images\ActionShots\CBB\LSU\_.png</v>
      </c>
      <c r="T7" s="180" t="str">
        <f t="shared" si="0"/>
        <v xml:space="preserve"> </v>
      </c>
      <c r="U7" s="180" t="str">
        <f t="shared" si="1"/>
        <v xml:space="preserve">. </v>
      </c>
      <c r="V7" s="180" t="str">
        <f t="shared" si="5"/>
        <v/>
      </c>
      <c r="W7" s="180" t="str">
        <f t="shared" si="6"/>
        <v xml:space="preserve"> </v>
      </c>
      <c r="X7" s="180" t="str">
        <f t="shared" si="7"/>
        <v/>
      </c>
      <c r="Y7" s="180" t="str">
        <f t="shared" si="8"/>
        <v/>
      </c>
      <c r="Z7" s="180" t="str">
        <f t="shared" si="9"/>
        <v/>
      </c>
    </row>
    <row r="8" spans="1:26" x14ac:dyDescent="0.25">
      <c r="A8" s="35">
        <v>5</v>
      </c>
      <c r="B8" s="5">
        <v>5</v>
      </c>
      <c r="C8" s="6"/>
      <c r="D8" s="6"/>
      <c r="E8" s="7"/>
      <c r="F8" s="7"/>
      <c r="G8" s="7"/>
      <c r="H8" s="49"/>
      <c r="I8" s="8"/>
      <c r="J8" s="7"/>
      <c r="K8" s="7"/>
      <c r="L8" s="7"/>
      <c r="M8" s="7"/>
      <c r="N8" s="9" t="s">
        <v>767</v>
      </c>
      <c r="O8" s="182">
        <f t="shared" ca="1" si="2"/>
        <v>125</v>
      </c>
      <c r="P8" s="182" t="str">
        <f t="shared" si="3"/>
        <v/>
      </c>
      <c r="Q8" s="183" t="str">
        <f t="shared" si="4"/>
        <v/>
      </c>
      <c r="R8" s="181" t="str">
        <f>"D:\IMS Images\Headshots\CBB\"&amp;'Team Info'!$B$12&amp;"\"&amp;D8&amp;"_"&amp;C8&amp;".png"</f>
        <v>D:\IMS Images\Headshots\CBB\LSU\_.png</v>
      </c>
      <c r="S8" s="181" t="str">
        <f>"D:\IMS Images\ActionShots\CBB\"&amp;'Team Info'!$B$12&amp;"\"&amp;D8&amp;"_"&amp;C8&amp;".png"</f>
        <v>D:\IMS Images\ActionShots\CBB\LSU\_.png</v>
      </c>
      <c r="T8" s="180" t="str">
        <f t="shared" si="0"/>
        <v xml:space="preserve"> </v>
      </c>
      <c r="U8" s="180" t="str">
        <f t="shared" si="1"/>
        <v xml:space="preserve">. </v>
      </c>
      <c r="V8" s="180" t="str">
        <f t="shared" si="5"/>
        <v/>
      </c>
      <c r="W8" s="180" t="str">
        <f t="shared" si="6"/>
        <v xml:space="preserve"> </v>
      </c>
      <c r="X8" s="180" t="str">
        <f t="shared" si="7"/>
        <v/>
      </c>
      <c r="Y8" s="180" t="str">
        <f t="shared" si="8"/>
        <v/>
      </c>
      <c r="Z8" s="180" t="str">
        <f t="shared" si="9"/>
        <v/>
      </c>
    </row>
    <row r="9" spans="1:26" x14ac:dyDescent="0.25">
      <c r="A9" s="35">
        <v>6</v>
      </c>
      <c r="B9" s="5">
        <v>6</v>
      </c>
      <c r="C9" s="6"/>
      <c r="D9" s="6"/>
      <c r="E9" s="7"/>
      <c r="F9" s="7"/>
      <c r="G9" s="7"/>
      <c r="H9" s="7"/>
      <c r="I9" s="8"/>
      <c r="J9" s="7"/>
      <c r="K9" s="7"/>
      <c r="L9" s="7"/>
      <c r="M9" s="7"/>
      <c r="N9" s="9" t="s">
        <v>870</v>
      </c>
      <c r="O9" s="182">
        <f t="shared" ca="1" si="2"/>
        <v>125</v>
      </c>
      <c r="P9" s="182" t="str">
        <f t="shared" si="3"/>
        <v/>
      </c>
      <c r="Q9" s="183" t="str">
        <f t="shared" si="4"/>
        <v/>
      </c>
      <c r="R9" s="181" t="str">
        <f>"D:\IMS Images\Headshots\CBB\"&amp;'Team Info'!$B$12&amp;"\"&amp;D9&amp;"_"&amp;C9&amp;".png"</f>
        <v>D:\IMS Images\Headshots\CBB\LSU\_.png</v>
      </c>
      <c r="S9" s="181" t="str">
        <f>"D:\IMS Images\ActionShots\CBB\"&amp;'Team Info'!$B$12&amp;"\"&amp;D9&amp;"_"&amp;C9&amp;".png"</f>
        <v>D:\IMS Images\ActionShots\CBB\LSU\_.png</v>
      </c>
      <c r="T9" s="180" t="str">
        <f t="shared" si="0"/>
        <v xml:space="preserve"> </v>
      </c>
      <c r="U9" s="180" t="str">
        <f t="shared" si="1"/>
        <v xml:space="preserve">. </v>
      </c>
      <c r="V9" s="180" t="str">
        <f t="shared" si="5"/>
        <v/>
      </c>
      <c r="W9" s="180" t="str">
        <f t="shared" si="6"/>
        <v xml:space="preserve"> </v>
      </c>
      <c r="X9" s="180" t="str">
        <f t="shared" si="7"/>
        <v/>
      </c>
      <c r="Y9" s="180" t="str">
        <f t="shared" si="8"/>
        <v/>
      </c>
      <c r="Z9" s="180" t="str">
        <f t="shared" si="9"/>
        <v/>
      </c>
    </row>
    <row r="10" spans="1:26" x14ac:dyDescent="0.25">
      <c r="A10" s="35">
        <v>7</v>
      </c>
      <c r="B10" s="5">
        <v>7</v>
      </c>
      <c r="C10" s="6"/>
      <c r="D10" s="6"/>
      <c r="E10" s="7"/>
      <c r="F10" s="7"/>
      <c r="G10" s="7"/>
      <c r="H10" s="7"/>
      <c r="I10" s="8"/>
      <c r="J10" s="7"/>
      <c r="K10" s="7"/>
      <c r="L10" s="7"/>
      <c r="M10" s="7"/>
      <c r="O10" s="182">
        <f t="shared" ca="1" si="2"/>
        <v>125</v>
      </c>
      <c r="P10" s="182" t="str">
        <f t="shared" si="3"/>
        <v/>
      </c>
      <c r="Q10" s="183" t="str">
        <f t="shared" si="4"/>
        <v/>
      </c>
      <c r="R10" s="181" t="str">
        <f>"D:\IMS Images\Headshots\CBB\"&amp;'Team Info'!$B$12&amp;"\"&amp;D10&amp;"_"&amp;C10&amp;".png"</f>
        <v>D:\IMS Images\Headshots\CBB\LSU\_.png</v>
      </c>
      <c r="S10" s="181" t="str">
        <f>"D:\IMS Images\ActionShots\CBB\"&amp;'Team Info'!$B$12&amp;"\"&amp;D10&amp;"_"&amp;C10&amp;".png"</f>
        <v>D:\IMS Images\ActionShots\CBB\LSU\_.png</v>
      </c>
      <c r="T10" s="180" t="str">
        <f t="shared" si="0"/>
        <v xml:space="preserve"> </v>
      </c>
      <c r="U10" s="180" t="str">
        <f t="shared" si="1"/>
        <v xml:space="preserve">. </v>
      </c>
      <c r="V10" s="180" t="str">
        <f t="shared" si="5"/>
        <v/>
      </c>
      <c r="W10" s="180" t="str">
        <f t="shared" si="6"/>
        <v xml:space="preserve"> </v>
      </c>
      <c r="X10" s="180" t="str">
        <f t="shared" si="7"/>
        <v/>
      </c>
      <c r="Y10" s="180" t="str">
        <f t="shared" si="8"/>
        <v/>
      </c>
      <c r="Z10" s="180" t="str">
        <f t="shared" si="9"/>
        <v/>
      </c>
    </row>
    <row r="11" spans="1:26" x14ac:dyDescent="0.25">
      <c r="A11" s="35">
        <v>8</v>
      </c>
      <c r="B11" s="5">
        <v>8</v>
      </c>
      <c r="C11" s="6"/>
      <c r="D11" s="6"/>
      <c r="E11" s="7"/>
      <c r="F11" s="7"/>
      <c r="G11" s="7"/>
      <c r="H11" s="7"/>
      <c r="I11" s="8"/>
      <c r="J11" s="7"/>
      <c r="K11" s="7"/>
      <c r="L11" s="7"/>
      <c r="M11" s="7"/>
      <c r="O11" s="182">
        <f t="shared" ca="1" si="2"/>
        <v>125</v>
      </c>
      <c r="P11" s="182" t="str">
        <f t="shared" si="3"/>
        <v/>
      </c>
      <c r="Q11" s="183" t="str">
        <f t="shared" si="4"/>
        <v/>
      </c>
      <c r="R11" s="181" t="str">
        <f>"D:\IMS Images\Headshots\CBB\"&amp;'Team Info'!$B$12&amp;"\"&amp;D11&amp;"_"&amp;C11&amp;".png"</f>
        <v>D:\IMS Images\Headshots\CBB\LSU\_.png</v>
      </c>
      <c r="S11" s="181" t="str">
        <f>"D:\IMS Images\ActionShots\CBB\"&amp;'Team Info'!$B$12&amp;"\"&amp;D11&amp;"_"&amp;C11&amp;".png"</f>
        <v>D:\IMS Images\ActionShots\CBB\LSU\_.png</v>
      </c>
      <c r="T11" s="180" t="str">
        <f t="shared" si="0"/>
        <v xml:space="preserve"> </v>
      </c>
      <c r="U11" s="180" t="str">
        <f t="shared" si="1"/>
        <v xml:space="preserve">. </v>
      </c>
      <c r="V11" s="180" t="str">
        <f t="shared" si="5"/>
        <v/>
      </c>
      <c r="W11" s="180" t="str">
        <f t="shared" si="6"/>
        <v xml:space="preserve"> </v>
      </c>
      <c r="X11" s="180" t="str">
        <f t="shared" si="7"/>
        <v/>
      </c>
      <c r="Y11" s="180" t="str">
        <f t="shared" si="8"/>
        <v/>
      </c>
      <c r="Z11" s="180" t="str">
        <f t="shared" si="9"/>
        <v/>
      </c>
    </row>
    <row r="12" spans="1:26" x14ac:dyDescent="0.25">
      <c r="A12" s="35">
        <v>9</v>
      </c>
      <c r="B12" s="5">
        <v>9</v>
      </c>
      <c r="C12" s="6"/>
      <c r="D12" s="6"/>
      <c r="E12" s="7"/>
      <c r="F12" s="7"/>
      <c r="G12" s="7"/>
      <c r="H12" s="7"/>
      <c r="I12" s="8"/>
      <c r="J12" s="7"/>
      <c r="K12" s="7"/>
      <c r="L12" s="7"/>
      <c r="M12" s="7"/>
      <c r="O12" s="182">
        <f t="shared" ca="1" si="2"/>
        <v>125</v>
      </c>
      <c r="P12" s="182" t="str">
        <f t="shared" si="3"/>
        <v/>
      </c>
      <c r="Q12" s="183" t="str">
        <f t="shared" si="4"/>
        <v/>
      </c>
      <c r="R12" s="181" t="str">
        <f>"D:\IMS Images\Headshots\CBB\"&amp;'Team Info'!$B$12&amp;"\"&amp;D12&amp;"_"&amp;C12&amp;".png"</f>
        <v>D:\IMS Images\Headshots\CBB\LSU\_.png</v>
      </c>
      <c r="S12" s="181" t="str">
        <f>"D:\IMS Images\ActionShots\CBB\"&amp;'Team Info'!$B$12&amp;"\"&amp;D12&amp;"_"&amp;C12&amp;".png"</f>
        <v>D:\IMS Images\ActionShots\CBB\LSU\_.png</v>
      </c>
      <c r="T12" s="180" t="str">
        <f t="shared" si="0"/>
        <v xml:space="preserve"> </v>
      </c>
      <c r="U12" s="180" t="str">
        <f t="shared" si="1"/>
        <v xml:space="preserve">. </v>
      </c>
      <c r="V12" s="180" t="str">
        <f t="shared" si="5"/>
        <v/>
      </c>
      <c r="W12" s="180" t="str">
        <f t="shared" si="6"/>
        <v xml:space="preserve"> </v>
      </c>
      <c r="X12" s="180" t="str">
        <f t="shared" si="7"/>
        <v/>
      </c>
      <c r="Y12" s="180" t="str">
        <f t="shared" si="8"/>
        <v/>
      </c>
      <c r="Z12" s="180" t="str">
        <f t="shared" si="9"/>
        <v/>
      </c>
    </row>
    <row r="13" spans="1:26" x14ac:dyDescent="0.25">
      <c r="A13" s="35">
        <v>10</v>
      </c>
      <c r="B13" s="5">
        <v>10</v>
      </c>
      <c r="C13" s="6"/>
      <c r="D13" s="6"/>
      <c r="E13" s="7"/>
      <c r="F13" s="7"/>
      <c r="G13" s="7"/>
      <c r="H13" s="7"/>
      <c r="I13" s="8"/>
      <c r="J13" s="7"/>
      <c r="K13" s="7"/>
      <c r="L13" s="7"/>
      <c r="M13" s="7"/>
      <c r="O13" s="182">
        <f t="shared" ca="1" si="2"/>
        <v>125</v>
      </c>
      <c r="P13" s="182" t="str">
        <f t="shared" si="3"/>
        <v/>
      </c>
      <c r="Q13" s="183" t="str">
        <f t="shared" si="4"/>
        <v/>
      </c>
      <c r="R13" s="181" t="str">
        <f>"D:\IMS Images\Headshots\CBB\"&amp;'Team Info'!$B$12&amp;"\"&amp;D13&amp;"_"&amp;C13&amp;".png"</f>
        <v>D:\IMS Images\Headshots\CBB\LSU\_.png</v>
      </c>
      <c r="S13" s="181" t="str">
        <f>"D:\IMS Images\ActionShots\CBB\"&amp;'Team Info'!$B$12&amp;"\"&amp;D13&amp;"_"&amp;C13&amp;".png"</f>
        <v>D:\IMS Images\ActionShots\CBB\LSU\_.png</v>
      </c>
      <c r="T13" s="180" t="str">
        <f t="shared" si="0"/>
        <v xml:space="preserve"> </v>
      </c>
      <c r="U13" s="180" t="str">
        <f t="shared" si="1"/>
        <v xml:space="preserve">. </v>
      </c>
      <c r="V13" s="180" t="str">
        <f t="shared" si="5"/>
        <v/>
      </c>
      <c r="W13" s="180" t="str">
        <f t="shared" si="6"/>
        <v xml:space="preserve"> </v>
      </c>
      <c r="X13" s="180" t="str">
        <f t="shared" si="7"/>
        <v/>
      </c>
      <c r="Y13" s="180" t="str">
        <f t="shared" si="8"/>
        <v/>
      </c>
      <c r="Z13" s="180" t="str">
        <f t="shared" si="9"/>
        <v/>
      </c>
    </row>
    <row r="14" spans="1:26" x14ac:dyDescent="0.25">
      <c r="A14" s="35">
        <v>11</v>
      </c>
      <c r="B14" s="5">
        <v>11</v>
      </c>
      <c r="C14" s="6"/>
      <c r="D14" s="6"/>
      <c r="E14" s="7"/>
      <c r="F14" s="7"/>
      <c r="G14" s="7"/>
      <c r="H14" s="50"/>
      <c r="I14" s="8"/>
      <c r="J14" s="7"/>
      <c r="K14" s="7"/>
      <c r="L14" s="7"/>
      <c r="M14" s="7"/>
      <c r="O14" s="182">
        <f t="shared" ca="1" si="2"/>
        <v>125</v>
      </c>
      <c r="P14" s="182" t="str">
        <f t="shared" si="3"/>
        <v/>
      </c>
      <c r="Q14" s="183" t="str">
        <f t="shared" si="4"/>
        <v/>
      </c>
      <c r="R14" s="181" t="str">
        <f>"D:\IMS Images\Headshots\CBB\"&amp;'Team Info'!$B$12&amp;"\"&amp;D14&amp;"_"&amp;C14&amp;".png"</f>
        <v>D:\IMS Images\Headshots\CBB\LSU\_.png</v>
      </c>
      <c r="S14" s="181" t="str">
        <f>"D:\IMS Images\ActionShots\CBB\"&amp;'Team Info'!$B$12&amp;"\"&amp;D14&amp;"_"&amp;C14&amp;".png"</f>
        <v>D:\IMS Images\ActionShots\CBB\LSU\_.png</v>
      </c>
      <c r="T14" s="180" t="str">
        <f t="shared" si="0"/>
        <v xml:space="preserve"> </v>
      </c>
      <c r="U14" s="180" t="str">
        <f t="shared" si="1"/>
        <v xml:space="preserve">. </v>
      </c>
      <c r="V14" s="180" t="str">
        <f t="shared" si="5"/>
        <v/>
      </c>
      <c r="W14" s="180" t="str">
        <f t="shared" si="6"/>
        <v xml:space="preserve"> </v>
      </c>
      <c r="X14" s="180" t="str">
        <f t="shared" si="7"/>
        <v/>
      </c>
      <c r="Y14" s="180" t="str">
        <f t="shared" si="8"/>
        <v/>
      </c>
      <c r="Z14" s="180" t="str">
        <f t="shared" si="9"/>
        <v/>
      </c>
    </row>
    <row r="15" spans="1:26" x14ac:dyDescent="0.25">
      <c r="A15" s="35">
        <v>12</v>
      </c>
      <c r="B15" s="5">
        <v>12</v>
      </c>
      <c r="C15" s="6"/>
      <c r="D15" s="6"/>
      <c r="E15" s="7"/>
      <c r="F15" s="7"/>
      <c r="G15" s="7"/>
      <c r="H15" s="7"/>
      <c r="I15" s="8"/>
      <c r="J15" s="7"/>
      <c r="K15" s="7"/>
      <c r="L15" s="7"/>
      <c r="M15" s="7"/>
      <c r="O15" s="182">
        <f t="shared" ca="1" si="2"/>
        <v>125</v>
      </c>
      <c r="P15" s="182" t="str">
        <f t="shared" si="3"/>
        <v/>
      </c>
      <c r="Q15" s="183" t="str">
        <f t="shared" si="4"/>
        <v/>
      </c>
      <c r="R15" s="181" t="str">
        <f>"D:\IMS Images\Headshots\CBB\"&amp;'Team Info'!$B$12&amp;"\"&amp;D15&amp;"_"&amp;C15&amp;".png"</f>
        <v>D:\IMS Images\Headshots\CBB\LSU\_.png</v>
      </c>
      <c r="S15" s="181" t="str">
        <f>"D:\IMS Images\ActionShots\CBB\"&amp;'Team Info'!$B$12&amp;"\"&amp;D15&amp;"_"&amp;C15&amp;".png"</f>
        <v>D:\IMS Images\ActionShots\CBB\LSU\_.png</v>
      </c>
      <c r="T15" s="180" t="str">
        <f t="shared" si="0"/>
        <v xml:space="preserve"> </v>
      </c>
      <c r="U15" s="180" t="str">
        <f t="shared" si="1"/>
        <v xml:space="preserve">. </v>
      </c>
      <c r="V15" s="180" t="str">
        <f t="shared" si="5"/>
        <v/>
      </c>
      <c r="W15" s="180" t="str">
        <f t="shared" si="6"/>
        <v xml:space="preserve"> </v>
      </c>
      <c r="X15" s="180" t="str">
        <f t="shared" si="7"/>
        <v/>
      </c>
      <c r="Y15" s="180" t="str">
        <f t="shared" si="8"/>
        <v/>
      </c>
      <c r="Z15" s="180" t="str">
        <f t="shared" si="9"/>
        <v/>
      </c>
    </row>
    <row r="16" spans="1:26" x14ac:dyDescent="0.25">
      <c r="A16" s="35">
        <v>13</v>
      </c>
      <c r="B16" s="5">
        <v>13</v>
      </c>
      <c r="C16" s="6"/>
      <c r="D16" s="6"/>
      <c r="E16" s="7"/>
      <c r="F16" s="7"/>
      <c r="G16" s="7"/>
      <c r="H16" s="7"/>
      <c r="I16" s="8"/>
      <c r="J16" s="7"/>
      <c r="K16" s="7"/>
      <c r="L16" s="7"/>
      <c r="M16" s="7"/>
      <c r="O16" s="182">
        <f t="shared" ca="1" si="2"/>
        <v>125</v>
      </c>
      <c r="P16" s="182" t="str">
        <f t="shared" si="3"/>
        <v/>
      </c>
      <c r="Q16" s="183" t="str">
        <f t="shared" si="4"/>
        <v/>
      </c>
      <c r="R16" s="181" t="str">
        <f>"D:\IMS Images\Headshots\CBB\"&amp;'Team Info'!$B$12&amp;"\"&amp;D16&amp;"_"&amp;C16&amp;".png"</f>
        <v>D:\IMS Images\Headshots\CBB\LSU\_.png</v>
      </c>
      <c r="S16" s="181" t="str">
        <f>"D:\IMS Images\ActionShots\CBB\"&amp;'Team Info'!$B$12&amp;"\"&amp;D16&amp;"_"&amp;C16&amp;".png"</f>
        <v>D:\IMS Images\ActionShots\CBB\LSU\_.png</v>
      </c>
      <c r="T16" s="180" t="str">
        <f t="shared" si="0"/>
        <v xml:space="preserve"> </v>
      </c>
      <c r="U16" s="180" t="str">
        <f t="shared" si="1"/>
        <v xml:space="preserve">. </v>
      </c>
      <c r="V16" s="180" t="str">
        <f t="shared" si="5"/>
        <v/>
      </c>
      <c r="W16" s="180" t="str">
        <f t="shared" si="6"/>
        <v xml:space="preserve"> </v>
      </c>
      <c r="X16" s="180" t="str">
        <f t="shared" si="7"/>
        <v/>
      </c>
      <c r="Y16" s="180" t="str">
        <f t="shared" si="8"/>
        <v/>
      </c>
      <c r="Z16" s="180" t="str">
        <f t="shared" si="9"/>
        <v/>
      </c>
    </row>
    <row r="17" spans="1:26" x14ac:dyDescent="0.25">
      <c r="A17" s="35">
        <v>14</v>
      </c>
      <c r="B17" s="5">
        <v>14</v>
      </c>
      <c r="C17" s="6"/>
      <c r="D17" s="6"/>
      <c r="E17" s="7"/>
      <c r="F17" s="7"/>
      <c r="G17" s="7"/>
      <c r="H17" s="7"/>
      <c r="I17" s="8"/>
      <c r="J17" s="7"/>
      <c r="K17" s="7"/>
      <c r="L17" s="7"/>
      <c r="M17" s="7"/>
      <c r="O17" s="182">
        <f t="shared" ca="1" si="2"/>
        <v>125</v>
      </c>
      <c r="P17" s="182" t="str">
        <f t="shared" si="3"/>
        <v/>
      </c>
      <c r="Q17" s="183" t="str">
        <f t="shared" si="4"/>
        <v/>
      </c>
      <c r="R17" s="181" t="str">
        <f>"D:\IMS Images\Headshots\CBB\"&amp;'Team Info'!$B$12&amp;"\"&amp;D17&amp;"_"&amp;C17&amp;".png"</f>
        <v>D:\IMS Images\Headshots\CBB\LSU\_.png</v>
      </c>
      <c r="S17" s="181" t="str">
        <f>"D:\IMS Images\ActionShots\CBB\"&amp;'Team Info'!$B$12&amp;"\"&amp;D17&amp;"_"&amp;C17&amp;".png"</f>
        <v>D:\IMS Images\ActionShots\CBB\LSU\_.png</v>
      </c>
      <c r="T17" s="180" t="str">
        <f t="shared" si="0"/>
        <v xml:space="preserve"> </v>
      </c>
      <c r="U17" s="180" t="str">
        <f t="shared" si="1"/>
        <v xml:space="preserve">. </v>
      </c>
      <c r="V17" s="180" t="str">
        <f t="shared" si="5"/>
        <v/>
      </c>
      <c r="W17" s="180" t="str">
        <f t="shared" si="6"/>
        <v xml:space="preserve"> </v>
      </c>
      <c r="X17" s="180" t="str">
        <f t="shared" si="7"/>
        <v/>
      </c>
      <c r="Y17" s="180" t="str">
        <f t="shared" si="8"/>
        <v/>
      </c>
      <c r="Z17" s="180" t="str">
        <f t="shared" si="9"/>
        <v/>
      </c>
    </row>
    <row r="18" spans="1:26" x14ac:dyDescent="0.25">
      <c r="A18" s="35">
        <v>15</v>
      </c>
      <c r="B18" s="5">
        <v>15</v>
      </c>
      <c r="C18" s="6"/>
      <c r="D18" s="6"/>
      <c r="E18" s="7"/>
      <c r="F18" s="7"/>
      <c r="G18" s="7"/>
      <c r="H18" s="7"/>
      <c r="I18" s="8"/>
      <c r="J18" s="7"/>
      <c r="K18" s="7"/>
      <c r="L18" s="7"/>
      <c r="M18" s="7"/>
      <c r="O18" s="182">
        <f t="shared" ca="1" si="2"/>
        <v>125</v>
      </c>
      <c r="P18" s="182" t="str">
        <f t="shared" si="3"/>
        <v/>
      </c>
      <c r="Q18" s="183" t="str">
        <f t="shared" si="4"/>
        <v/>
      </c>
      <c r="R18" s="181" t="str">
        <f>"D:\IMS Images\Headshots\CBB\"&amp;'Team Info'!$B$12&amp;"\"&amp;D18&amp;"_"&amp;C18&amp;".png"</f>
        <v>D:\IMS Images\Headshots\CBB\LSU\_.png</v>
      </c>
      <c r="S18" s="181" t="str">
        <f>"D:\IMS Images\ActionShots\CBB\"&amp;'Team Info'!$B$12&amp;"\"&amp;D18&amp;"_"&amp;C18&amp;".png"</f>
        <v>D:\IMS Images\ActionShots\CBB\LSU\_.png</v>
      </c>
      <c r="T18" s="180" t="str">
        <f t="shared" si="0"/>
        <v xml:space="preserve"> </v>
      </c>
      <c r="U18" s="180" t="str">
        <f t="shared" si="1"/>
        <v xml:space="preserve">. </v>
      </c>
      <c r="V18" s="180" t="str">
        <f t="shared" si="5"/>
        <v/>
      </c>
      <c r="W18" s="180" t="str">
        <f t="shared" si="6"/>
        <v xml:space="preserve"> </v>
      </c>
      <c r="X18" s="180" t="str">
        <f t="shared" si="7"/>
        <v/>
      </c>
      <c r="Y18" s="180" t="str">
        <f t="shared" si="8"/>
        <v/>
      </c>
      <c r="Z18" s="180" t="str">
        <f t="shared" si="9"/>
        <v/>
      </c>
    </row>
    <row r="19" spans="1:26" x14ac:dyDescent="0.25">
      <c r="A19" s="35">
        <v>16</v>
      </c>
      <c r="B19" s="5">
        <v>16</v>
      </c>
      <c r="C19" s="6"/>
      <c r="D19" s="6"/>
      <c r="E19" s="7"/>
      <c r="F19" s="7"/>
      <c r="G19" s="7"/>
      <c r="H19" s="7"/>
      <c r="I19" s="8"/>
      <c r="J19" s="7"/>
      <c r="K19" s="7"/>
      <c r="L19" s="7"/>
      <c r="M19" s="7"/>
      <c r="O19" s="182">
        <f t="shared" ca="1" si="2"/>
        <v>125</v>
      </c>
      <c r="P19" s="182" t="str">
        <f t="shared" si="3"/>
        <v/>
      </c>
      <c r="Q19" s="183" t="str">
        <f t="shared" si="4"/>
        <v/>
      </c>
      <c r="R19" s="181" t="str">
        <f>"D:\IMS Images\Headshots\CBB\"&amp;'Team Info'!$B$12&amp;"\"&amp;D19&amp;"_"&amp;C19&amp;".png"</f>
        <v>D:\IMS Images\Headshots\CBB\LSU\_.png</v>
      </c>
      <c r="S19" s="181" t="str">
        <f>"D:\IMS Images\ActionShots\CBB\"&amp;'Team Info'!$B$12&amp;"\"&amp;D19&amp;"_"&amp;C19&amp;".png"</f>
        <v>D:\IMS Images\ActionShots\CBB\LSU\_.png</v>
      </c>
      <c r="T19" s="180" t="str">
        <f t="shared" si="0"/>
        <v xml:space="preserve"> </v>
      </c>
      <c r="U19" s="180" t="str">
        <f t="shared" si="1"/>
        <v xml:space="preserve">. </v>
      </c>
      <c r="V19" s="180" t="str">
        <f t="shared" si="5"/>
        <v/>
      </c>
      <c r="W19" s="180" t="str">
        <f t="shared" si="6"/>
        <v xml:space="preserve"> </v>
      </c>
      <c r="X19" s="180" t="str">
        <f t="shared" si="7"/>
        <v/>
      </c>
      <c r="Y19" s="180" t="str">
        <f t="shared" si="8"/>
        <v/>
      </c>
      <c r="Z19" s="180" t="str">
        <f t="shared" si="9"/>
        <v/>
      </c>
    </row>
    <row r="20" spans="1:26" x14ac:dyDescent="0.25">
      <c r="A20" s="35">
        <v>17</v>
      </c>
      <c r="B20" s="5">
        <v>17</v>
      </c>
      <c r="C20" s="6"/>
      <c r="D20" s="6"/>
      <c r="E20" s="7"/>
      <c r="F20" s="7"/>
      <c r="G20" s="7"/>
      <c r="H20" s="7"/>
      <c r="I20" s="8"/>
      <c r="J20" s="7"/>
      <c r="K20" s="7"/>
      <c r="L20" s="7"/>
      <c r="M20" s="7"/>
      <c r="O20" s="182">
        <f t="shared" ca="1" si="2"/>
        <v>125</v>
      </c>
      <c r="P20" s="182" t="str">
        <f t="shared" si="3"/>
        <v/>
      </c>
      <c r="Q20" s="183" t="str">
        <f t="shared" si="4"/>
        <v/>
      </c>
      <c r="R20" s="181" t="str">
        <f>"D:\IMS Images\Headshots\CBB\"&amp;'Team Info'!$B$12&amp;"\"&amp;D20&amp;"_"&amp;C20&amp;".png"</f>
        <v>D:\IMS Images\Headshots\CBB\LSU\_.png</v>
      </c>
      <c r="S20" s="181" t="str">
        <f>"D:\IMS Images\ActionShots\CBB\"&amp;'Team Info'!$B$12&amp;"\"&amp;D20&amp;"_"&amp;C20&amp;".png"</f>
        <v>D:\IMS Images\ActionShots\CBB\LSU\_.png</v>
      </c>
      <c r="T20" s="180" t="str">
        <f t="shared" si="0"/>
        <v xml:space="preserve"> </v>
      </c>
      <c r="U20" s="180" t="str">
        <f t="shared" si="1"/>
        <v xml:space="preserve">. </v>
      </c>
      <c r="V20" s="180" t="str">
        <f t="shared" si="5"/>
        <v/>
      </c>
      <c r="W20" s="180" t="str">
        <f t="shared" si="6"/>
        <v xml:space="preserve"> </v>
      </c>
      <c r="X20" s="180" t="str">
        <f t="shared" si="7"/>
        <v/>
      </c>
      <c r="Y20" s="180" t="str">
        <f t="shared" si="8"/>
        <v/>
      </c>
      <c r="Z20" s="180" t="str">
        <f t="shared" si="9"/>
        <v/>
      </c>
    </row>
    <row r="21" spans="1:26" x14ac:dyDescent="0.25">
      <c r="A21" s="35">
        <v>18</v>
      </c>
      <c r="B21" s="5">
        <v>18</v>
      </c>
      <c r="C21" s="6"/>
      <c r="D21" s="6"/>
      <c r="E21" s="7"/>
      <c r="F21" s="7"/>
      <c r="G21" s="7"/>
      <c r="H21" s="7"/>
      <c r="I21" s="8"/>
      <c r="J21" s="7"/>
      <c r="K21" s="7"/>
      <c r="L21" s="7"/>
      <c r="M21" s="7"/>
      <c r="O21" s="182">
        <f t="shared" ca="1" si="2"/>
        <v>125</v>
      </c>
      <c r="P21" s="182" t="str">
        <f t="shared" si="3"/>
        <v/>
      </c>
      <c r="Q21" s="183" t="str">
        <f t="shared" si="4"/>
        <v/>
      </c>
      <c r="R21" s="181" t="str">
        <f>"D:\IMS Images\Headshots\CBB\"&amp;'Team Info'!$B$12&amp;"\"&amp;D21&amp;"_"&amp;C21&amp;".png"</f>
        <v>D:\IMS Images\Headshots\CBB\LSU\_.png</v>
      </c>
      <c r="S21" s="181" t="str">
        <f>"D:\IMS Images\ActionShots\CBB\"&amp;'Team Info'!$B$12&amp;"\"&amp;D21&amp;"_"&amp;C21&amp;".png"</f>
        <v>D:\IMS Images\ActionShots\CBB\LSU\_.png</v>
      </c>
      <c r="T21" s="180" t="str">
        <f t="shared" si="0"/>
        <v xml:space="preserve"> </v>
      </c>
      <c r="U21" s="180" t="str">
        <f t="shared" si="1"/>
        <v xml:space="preserve">. </v>
      </c>
      <c r="V21" s="180" t="str">
        <f t="shared" si="5"/>
        <v/>
      </c>
      <c r="W21" s="180" t="str">
        <f t="shared" si="6"/>
        <v xml:space="preserve"> </v>
      </c>
      <c r="X21" s="180" t="str">
        <f t="shared" si="7"/>
        <v/>
      </c>
      <c r="Y21" s="180" t="str">
        <f t="shared" si="8"/>
        <v/>
      </c>
      <c r="Z21" s="180" t="str">
        <f t="shared" si="9"/>
        <v/>
      </c>
    </row>
    <row r="22" spans="1:26" x14ac:dyDescent="0.25">
      <c r="A22" s="35">
        <v>19</v>
      </c>
      <c r="B22" s="5">
        <v>19</v>
      </c>
      <c r="C22" s="6"/>
      <c r="D22" s="6"/>
      <c r="E22" s="7"/>
      <c r="F22" s="7"/>
      <c r="G22" s="7"/>
      <c r="H22" s="7"/>
      <c r="I22" s="8"/>
      <c r="J22" s="7"/>
      <c r="K22" s="7"/>
      <c r="L22" s="7"/>
      <c r="M22" s="7"/>
      <c r="O22" s="182">
        <f t="shared" ca="1" si="2"/>
        <v>125</v>
      </c>
      <c r="P22" s="182" t="str">
        <f t="shared" si="3"/>
        <v/>
      </c>
      <c r="Q22" s="183" t="str">
        <f t="shared" si="4"/>
        <v/>
      </c>
      <c r="R22" s="181" t="str">
        <f>"D:\IMS Images\Headshots\CBB\"&amp;'Team Info'!$B$12&amp;"\"&amp;D22&amp;"_"&amp;C22&amp;".png"</f>
        <v>D:\IMS Images\Headshots\CBB\LSU\_.png</v>
      </c>
      <c r="S22" s="181" t="str">
        <f>"D:\IMS Images\ActionShots\CBB\"&amp;'Team Info'!$B$12&amp;"\"&amp;D22&amp;"_"&amp;C22&amp;".png"</f>
        <v>D:\IMS Images\ActionShots\CBB\LSU\_.png</v>
      </c>
      <c r="T22" s="180" t="str">
        <f t="shared" si="0"/>
        <v xml:space="preserve"> </v>
      </c>
      <c r="U22" s="180" t="str">
        <f t="shared" si="1"/>
        <v xml:space="preserve">. </v>
      </c>
      <c r="V22" s="180" t="str">
        <f t="shared" si="5"/>
        <v/>
      </c>
      <c r="W22" s="180" t="str">
        <f t="shared" si="6"/>
        <v xml:space="preserve"> </v>
      </c>
      <c r="X22" s="180" t="str">
        <f t="shared" si="7"/>
        <v/>
      </c>
      <c r="Y22" s="180" t="str">
        <f t="shared" si="8"/>
        <v/>
      </c>
      <c r="Z22" s="180" t="str">
        <f t="shared" si="9"/>
        <v/>
      </c>
    </row>
    <row r="23" spans="1:26" x14ac:dyDescent="0.25">
      <c r="A23" s="35">
        <v>20</v>
      </c>
      <c r="B23" s="5">
        <v>20</v>
      </c>
      <c r="C23" s="6"/>
      <c r="D23" s="6"/>
      <c r="E23" s="7"/>
      <c r="F23" s="7"/>
      <c r="G23" s="7"/>
      <c r="H23" s="7"/>
      <c r="I23" s="8"/>
      <c r="J23" s="7"/>
      <c r="K23" s="7"/>
      <c r="L23" s="7"/>
      <c r="M23" s="7"/>
      <c r="O23" s="182">
        <f t="shared" ca="1" si="2"/>
        <v>125</v>
      </c>
      <c r="P23" s="182" t="str">
        <f t="shared" si="3"/>
        <v/>
      </c>
      <c r="Q23" s="183" t="str">
        <f t="shared" si="4"/>
        <v/>
      </c>
      <c r="R23" s="181" t="str">
        <f>"D:\IMS Images\Headshots\CBB\"&amp;'Team Info'!$B$12&amp;"\"&amp;D23&amp;"_"&amp;C23&amp;".png"</f>
        <v>D:\IMS Images\Headshots\CBB\LSU\_.png</v>
      </c>
      <c r="S23" s="181" t="str">
        <f>"D:\IMS Images\ActionShots\CBB\"&amp;'Team Info'!$B$12&amp;"\"&amp;D23&amp;"_"&amp;C23&amp;".png"</f>
        <v>D:\IMS Images\ActionShots\CBB\LSU\_.png</v>
      </c>
      <c r="T23" s="180" t="str">
        <f t="shared" si="0"/>
        <v xml:space="preserve"> </v>
      </c>
      <c r="U23" s="180" t="str">
        <f t="shared" si="1"/>
        <v xml:space="preserve">. </v>
      </c>
      <c r="V23" s="180" t="str">
        <f t="shared" si="5"/>
        <v/>
      </c>
      <c r="W23" s="180" t="str">
        <f t="shared" si="6"/>
        <v xml:space="preserve"> </v>
      </c>
      <c r="X23" s="180" t="str">
        <f t="shared" si="7"/>
        <v/>
      </c>
      <c r="Y23" s="180" t="str">
        <f t="shared" si="8"/>
        <v/>
      </c>
      <c r="Z23" s="180" t="str">
        <f t="shared" si="9"/>
        <v/>
      </c>
    </row>
    <row r="24" spans="1:26" x14ac:dyDescent="0.25">
      <c r="A24" s="35">
        <v>21</v>
      </c>
      <c r="B24" s="5">
        <v>21</v>
      </c>
      <c r="C24" s="6"/>
      <c r="D24" s="6"/>
      <c r="E24" s="7"/>
      <c r="F24" s="7"/>
      <c r="G24" s="7"/>
      <c r="H24" s="7"/>
      <c r="I24" s="8"/>
      <c r="J24" s="7"/>
      <c r="K24" s="7"/>
      <c r="L24" s="7"/>
      <c r="M24" s="7"/>
      <c r="O24" s="182">
        <f t="shared" ca="1" si="2"/>
        <v>125</v>
      </c>
      <c r="P24" s="182" t="str">
        <f t="shared" si="3"/>
        <v/>
      </c>
      <c r="Q24" s="183" t="str">
        <f t="shared" si="4"/>
        <v/>
      </c>
      <c r="R24" s="181" t="str">
        <f>"D:\IMS Images\Headshots\CBB\"&amp;'Team Info'!$B$12&amp;"\"&amp;D24&amp;"_"&amp;C24&amp;".png"</f>
        <v>D:\IMS Images\Headshots\CBB\LSU\_.png</v>
      </c>
      <c r="S24" s="181" t="str">
        <f>"D:\IMS Images\ActionShots\CBB\"&amp;'Team Info'!$B$12&amp;"\"&amp;D24&amp;"_"&amp;C24&amp;".png"</f>
        <v>D:\IMS Images\ActionShots\CBB\LSU\_.png</v>
      </c>
      <c r="T24" s="180" t="str">
        <f t="shared" si="0"/>
        <v xml:space="preserve"> </v>
      </c>
      <c r="U24" s="180" t="str">
        <f t="shared" si="1"/>
        <v xml:space="preserve">. </v>
      </c>
      <c r="V24" s="180" t="str">
        <f t="shared" si="5"/>
        <v/>
      </c>
      <c r="W24" s="180" t="str">
        <f t="shared" si="6"/>
        <v xml:space="preserve"> </v>
      </c>
      <c r="X24" s="180" t="str">
        <f t="shared" si="7"/>
        <v/>
      </c>
      <c r="Y24" s="180" t="str">
        <f t="shared" si="8"/>
        <v/>
      </c>
      <c r="Z24" s="180" t="str">
        <f t="shared" si="9"/>
        <v/>
      </c>
    </row>
    <row r="25" spans="1:26" x14ac:dyDescent="0.25">
      <c r="A25" s="35">
        <v>22</v>
      </c>
      <c r="B25" s="5">
        <v>22</v>
      </c>
      <c r="C25" s="6"/>
      <c r="D25" s="6"/>
      <c r="E25" s="7"/>
      <c r="F25" s="7"/>
      <c r="G25" s="7"/>
      <c r="H25" s="7"/>
      <c r="I25" s="8"/>
      <c r="J25" s="7"/>
      <c r="K25" s="7"/>
      <c r="L25" s="7"/>
      <c r="M25" s="7"/>
      <c r="O25" s="182">
        <f t="shared" ca="1" si="2"/>
        <v>125</v>
      </c>
      <c r="P25" s="182" t="str">
        <f t="shared" si="3"/>
        <v/>
      </c>
      <c r="Q25" s="183" t="str">
        <f t="shared" si="4"/>
        <v/>
      </c>
      <c r="R25" s="181" t="str">
        <f>"D:\IMS Images\Headshots\CBB\"&amp;'Team Info'!$B$12&amp;"\"&amp;D25&amp;"_"&amp;C25&amp;".png"</f>
        <v>D:\IMS Images\Headshots\CBB\LSU\_.png</v>
      </c>
      <c r="S25" s="181" t="str">
        <f>"D:\IMS Images\ActionShots\CBB\"&amp;'Team Info'!$B$12&amp;"\"&amp;D25&amp;"_"&amp;C25&amp;".png"</f>
        <v>D:\IMS Images\ActionShots\CBB\LSU\_.png</v>
      </c>
      <c r="T25" s="180" t="str">
        <f t="shared" si="0"/>
        <v xml:space="preserve"> </v>
      </c>
      <c r="U25" s="180" t="str">
        <f t="shared" si="1"/>
        <v xml:space="preserve">. </v>
      </c>
      <c r="V25" s="180" t="str">
        <f t="shared" si="5"/>
        <v/>
      </c>
      <c r="W25" s="180" t="str">
        <f t="shared" si="6"/>
        <v xml:space="preserve"> </v>
      </c>
      <c r="X25" s="180" t="str">
        <f t="shared" si="7"/>
        <v/>
      </c>
      <c r="Y25" s="180" t="str">
        <f t="shared" si="8"/>
        <v/>
      </c>
      <c r="Z25" s="180" t="str">
        <f t="shared" si="9"/>
        <v/>
      </c>
    </row>
    <row r="26" spans="1:26" x14ac:dyDescent="0.25">
      <c r="A26" s="35">
        <v>23</v>
      </c>
      <c r="B26" s="5">
        <v>23</v>
      </c>
      <c r="C26" s="6"/>
      <c r="D26" s="6"/>
      <c r="E26" s="7"/>
      <c r="F26" s="7"/>
      <c r="G26" s="7"/>
      <c r="H26" s="7"/>
      <c r="I26" s="8"/>
      <c r="J26" s="7"/>
      <c r="K26" s="7"/>
      <c r="L26" s="7"/>
      <c r="M26" s="7"/>
      <c r="O26" s="182">
        <f t="shared" ca="1" si="2"/>
        <v>125</v>
      </c>
      <c r="P26" s="182" t="str">
        <f t="shared" si="3"/>
        <v/>
      </c>
      <c r="Q26" s="183" t="str">
        <f t="shared" si="4"/>
        <v/>
      </c>
      <c r="R26" s="181" t="str">
        <f>"D:\IMS Images\Headshots\CBB\"&amp;'Team Info'!$B$12&amp;"\"&amp;D26&amp;"_"&amp;C26&amp;".png"</f>
        <v>D:\IMS Images\Headshots\CBB\LSU\_.png</v>
      </c>
      <c r="S26" s="181" t="str">
        <f>"D:\IMS Images\ActionShots\CBB\"&amp;'Team Info'!$B$12&amp;"\"&amp;D26&amp;"_"&amp;C26&amp;".png"</f>
        <v>D:\IMS Images\ActionShots\CBB\LSU\_.png</v>
      </c>
      <c r="T26" s="180" t="str">
        <f t="shared" si="0"/>
        <v xml:space="preserve"> </v>
      </c>
      <c r="U26" s="180" t="str">
        <f t="shared" si="1"/>
        <v xml:space="preserve">. </v>
      </c>
      <c r="V26" s="180" t="str">
        <f t="shared" si="5"/>
        <v/>
      </c>
      <c r="W26" s="180" t="str">
        <f t="shared" si="6"/>
        <v xml:space="preserve"> </v>
      </c>
      <c r="X26" s="180" t="str">
        <f t="shared" si="7"/>
        <v/>
      </c>
      <c r="Y26" s="180" t="str">
        <f t="shared" si="8"/>
        <v/>
      </c>
      <c r="Z26" s="180" t="str">
        <f t="shared" si="9"/>
        <v/>
      </c>
    </row>
    <row r="27" spans="1:26" x14ac:dyDescent="0.25">
      <c r="A27" s="35">
        <v>24</v>
      </c>
      <c r="B27" s="5">
        <v>24</v>
      </c>
      <c r="C27" s="6"/>
      <c r="D27" s="6"/>
      <c r="E27" s="7"/>
      <c r="F27" s="7"/>
      <c r="G27" s="7"/>
      <c r="H27" s="7"/>
      <c r="I27" s="8"/>
      <c r="J27" s="7"/>
      <c r="K27" s="7"/>
      <c r="L27" s="7"/>
      <c r="M27" s="7"/>
      <c r="O27" s="182">
        <f t="shared" ca="1" si="2"/>
        <v>125</v>
      </c>
      <c r="P27" s="182" t="str">
        <f t="shared" si="3"/>
        <v/>
      </c>
      <c r="Q27" s="183" t="str">
        <f t="shared" si="4"/>
        <v/>
      </c>
      <c r="R27" s="181" t="str">
        <f>"D:\IMS Images\Headshots\CBB\"&amp;'Team Info'!$B$12&amp;"\"&amp;D27&amp;"_"&amp;C27&amp;".png"</f>
        <v>D:\IMS Images\Headshots\CBB\LSU\_.png</v>
      </c>
      <c r="S27" s="181" t="str">
        <f>"D:\IMS Images\ActionShots\CBB\"&amp;'Team Info'!$B$12&amp;"\"&amp;D27&amp;"_"&amp;C27&amp;".png"</f>
        <v>D:\IMS Images\ActionShots\CBB\LSU\_.png</v>
      </c>
      <c r="T27" s="180" t="str">
        <f t="shared" si="0"/>
        <v xml:space="preserve"> </v>
      </c>
      <c r="U27" s="180" t="str">
        <f t="shared" si="1"/>
        <v xml:space="preserve">. </v>
      </c>
      <c r="V27" s="180" t="str">
        <f t="shared" si="5"/>
        <v/>
      </c>
      <c r="W27" s="180" t="str">
        <f t="shared" si="6"/>
        <v xml:space="preserve"> </v>
      </c>
      <c r="X27" s="180" t="str">
        <f t="shared" si="7"/>
        <v/>
      </c>
      <c r="Y27" s="180" t="str">
        <f t="shared" si="8"/>
        <v/>
      </c>
      <c r="Z27" s="180" t="str">
        <f t="shared" si="9"/>
        <v/>
      </c>
    </row>
    <row r="28" spans="1:26" x14ac:dyDescent="0.25">
      <c r="A28" s="35">
        <v>25</v>
      </c>
      <c r="B28" s="5">
        <v>25</v>
      </c>
      <c r="C28" s="6"/>
      <c r="D28" s="6"/>
      <c r="E28" s="7"/>
      <c r="F28" s="7"/>
      <c r="G28" s="7"/>
      <c r="H28" s="7"/>
      <c r="I28" s="8"/>
      <c r="J28" s="7"/>
      <c r="K28" s="7"/>
      <c r="L28" s="7"/>
      <c r="M28" s="7"/>
      <c r="O28" s="182">
        <f t="shared" ca="1" si="2"/>
        <v>125</v>
      </c>
      <c r="P28" s="182" t="str">
        <f t="shared" si="3"/>
        <v/>
      </c>
      <c r="Q28" s="183" t="str">
        <f t="shared" si="4"/>
        <v/>
      </c>
      <c r="R28" s="181" t="str">
        <f>"D:\IMS Images\Headshots\CBB\"&amp;'Team Info'!$B$12&amp;"\"&amp;D28&amp;"_"&amp;C28&amp;".png"</f>
        <v>D:\IMS Images\Headshots\CBB\LSU\_.png</v>
      </c>
      <c r="S28" s="181" t="str">
        <f>"D:\IMS Images\ActionShots\CBB\"&amp;'Team Info'!$B$12&amp;"\"&amp;D28&amp;"_"&amp;C28&amp;".png"</f>
        <v>D:\IMS Images\ActionShots\CBB\LSU\_.png</v>
      </c>
      <c r="T28" s="180" t="str">
        <f t="shared" si="0"/>
        <v xml:space="preserve"> </v>
      </c>
      <c r="U28" s="180" t="str">
        <f t="shared" si="1"/>
        <v xml:space="preserve">. </v>
      </c>
      <c r="V28" s="180" t="str">
        <f t="shared" si="5"/>
        <v/>
      </c>
      <c r="W28" s="180" t="str">
        <f t="shared" si="6"/>
        <v xml:space="preserve"> </v>
      </c>
      <c r="X28" s="180" t="str">
        <f t="shared" si="7"/>
        <v/>
      </c>
      <c r="Y28" s="180" t="str">
        <f t="shared" si="8"/>
        <v/>
      </c>
      <c r="Z28" s="180" t="str">
        <f t="shared" si="9"/>
        <v/>
      </c>
    </row>
    <row r="29" spans="1:26" x14ac:dyDescent="0.25">
      <c r="A29" s="35">
        <v>26</v>
      </c>
      <c r="B29" s="5">
        <v>26</v>
      </c>
      <c r="C29" s="6"/>
      <c r="D29" s="6"/>
      <c r="E29" s="7"/>
      <c r="F29" s="7"/>
      <c r="G29" s="7"/>
      <c r="H29" s="7"/>
      <c r="I29" s="8"/>
      <c r="J29" s="7"/>
      <c r="K29" s="7"/>
      <c r="L29" s="7"/>
      <c r="M29" s="7"/>
      <c r="O29" s="182">
        <f t="shared" ca="1" si="2"/>
        <v>125</v>
      </c>
      <c r="P29" s="182" t="str">
        <f t="shared" si="3"/>
        <v/>
      </c>
      <c r="Q29" s="183" t="str">
        <f t="shared" si="4"/>
        <v/>
      </c>
      <c r="R29" s="181" t="str">
        <f>"D:\IMS Images\Headshots\CBB\"&amp;'Team Info'!$B$12&amp;"\"&amp;D29&amp;"_"&amp;C29&amp;".png"</f>
        <v>D:\IMS Images\Headshots\CBB\LSU\_.png</v>
      </c>
      <c r="S29" s="181" t="str">
        <f>"D:\IMS Images\ActionShots\CBB\"&amp;'Team Info'!$B$12&amp;"\"&amp;D29&amp;"_"&amp;C29&amp;".png"</f>
        <v>D:\IMS Images\ActionShots\CBB\LSU\_.png</v>
      </c>
      <c r="T29" s="180" t="str">
        <f t="shared" si="0"/>
        <v xml:space="preserve"> </v>
      </c>
      <c r="U29" s="180" t="str">
        <f t="shared" si="1"/>
        <v xml:space="preserve">. </v>
      </c>
      <c r="V29" s="180" t="str">
        <f t="shared" si="5"/>
        <v/>
      </c>
      <c r="W29" s="180" t="str">
        <f t="shared" si="6"/>
        <v xml:space="preserve"> </v>
      </c>
      <c r="X29" s="180" t="str">
        <f t="shared" si="7"/>
        <v/>
      </c>
      <c r="Y29" s="180" t="str">
        <f t="shared" si="8"/>
        <v/>
      </c>
      <c r="Z29" s="180" t="str">
        <f t="shared" si="9"/>
        <v/>
      </c>
    </row>
    <row r="30" spans="1:26" x14ac:dyDescent="0.25">
      <c r="A30" s="35">
        <v>27</v>
      </c>
      <c r="B30" s="5">
        <v>27</v>
      </c>
      <c r="C30" s="6"/>
      <c r="D30" s="6"/>
      <c r="E30" s="7"/>
      <c r="F30" s="7"/>
      <c r="G30" s="7"/>
      <c r="H30" s="7"/>
      <c r="I30" s="8"/>
      <c r="J30" s="7"/>
      <c r="K30" s="7"/>
      <c r="L30" s="7"/>
      <c r="M30" s="7"/>
      <c r="O30" s="182">
        <f t="shared" ca="1" si="2"/>
        <v>125</v>
      </c>
      <c r="P30" s="182" t="str">
        <f t="shared" si="3"/>
        <v/>
      </c>
      <c r="Q30" s="183" t="str">
        <f t="shared" si="4"/>
        <v/>
      </c>
      <c r="R30" s="181" t="str">
        <f>"D:\IMS Images\Headshots\CBB\"&amp;'Team Info'!$B$12&amp;"\"&amp;D30&amp;"_"&amp;C30&amp;".png"</f>
        <v>D:\IMS Images\Headshots\CBB\LSU\_.png</v>
      </c>
      <c r="S30" s="181" t="str">
        <f>"D:\IMS Images\ActionShots\CBB\"&amp;'Team Info'!$B$12&amp;"\"&amp;D30&amp;"_"&amp;C30&amp;".png"</f>
        <v>D:\IMS Images\ActionShots\CBB\LSU\_.png</v>
      </c>
      <c r="T30" s="180" t="str">
        <f t="shared" si="0"/>
        <v xml:space="preserve"> </v>
      </c>
      <c r="U30" s="180" t="str">
        <f t="shared" si="1"/>
        <v xml:space="preserve">. </v>
      </c>
      <c r="V30" s="180" t="str">
        <f t="shared" si="5"/>
        <v/>
      </c>
      <c r="W30" s="180" t="str">
        <f t="shared" si="6"/>
        <v xml:space="preserve"> </v>
      </c>
      <c r="X30" s="180" t="str">
        <f t="shared" si="7"/>
        <v/>
      </c>
      <c r="Y30" s="180" t="str">
        <f t="shared" si="8"/>
        <v/>
      </c>
      <c r="Z30" s="180" t="str">
        <f t="shared" si="9"/>
        <v/>
      </c>
    </row>
    <row r="31" spans="1:26" x14ac:dyDescent="0.25">
      <c r="A31" s="35">
        <v>28</v>
      </c>
      <c r="B31" s="5">
        <v>28</v>
      </c>
      <c r="C31" s="6"/>
      <c r="D31" s="6"/>
      <c r="E31" s="7"/>
      <c r="F31" s="7"/>
      <c r="G31" s="7"/>
      <c r="H31" s="7"/>
      <c r="I31" s="8"/>
      <c r="J31" s="7"/>
      <c r="K31" s="7"/>
      <c r="L31" s="7"/>
      <c r="M31" s="7"/>
      <c r="O31" s="182">
        <f t="shared" ca="1" si="2"/>
        <v>125</v>
      </c>
      <c r="P31" s="182" t="str">
        <f t="shared" si="3"/>
        <v/>
      </c>
      <c r="Q31" s="183" t="str">
        <f t="shared" si="4"/>
        <v/>
      </c>
      <c r="R31" s="181" t="str">
        <f>"D:\IMS Images\Headshots\CBB\"&amp;'Team Info'!$B$12&amp;"\"&amp;D31&amp;"_"&amp;C31&amp;".png"</f>
        <v>D:\IMS Images\Headshots\CBB\LSU\_.png</v>
      </c>
      <c r="S31" s="181" t="str">
        <f>"D:\IMS Images\ActionShots\CBB\"&amp;'Team Info'!$B$12&amp;"\"&amp;D31&amp;"_"&amp;C31&amp;".png"</f>
        <v>D:\IMS Images\ActionShots\CBB\LSU\_.png</v>
      </c>
      <c r="T31" s="180" t="str">
        <f t="shared" si="0"/>
        <v xml:space="preserve"> </v>
      </c>
      <c r="U31" s="180" t="str">
        <f t="shared" si="1"/>
        <v xml:space="preserve">. </v>
      </c>
      <c r="V31" s="180" t="str">
        <f t="shared" si="5"/>
        <v/>
      </c>
      <c r="W31" s="180" t="str">
        <f t="shared" si="6"/>
        <v xml:space="preserve"> </v>
      </c>
      <c r="X31" s="180" t="str">
        <f t="shared" si="7"/>
        <v/>
      </c>
      <c r="Y31" s="180" t="str">
        <f t="shared" si="8"/>
        <v/>
      </c>
      <c r="Z31" s="180" t="str">
        <f t="shared" si="9"/>
        <v/>
      </c>
    </row>
    <row r="32" spans="1:26" x14ac:dyDescent="0.25">
      <c r="A32" s="35">
        <v>29</v>
      </c>
      <c r="B32" s="5">
        <v>29</v>
      </c>
      <c r="C32" s="6"/>
      <c r="D32" s="6"/>
      <c r="E32" s="7"/>
      <c r="F32" s="7"/>
      <c r="G32" s="7"/>
      <c r="H32" s="7"/>
      <c r="I32" s="8"/>
      <c r="J32" s="7"/>
      <c r="K32" s="7"/>
      <c r="L32" s="7"/>
      <c r="M32" s="7"/>
      <c r="O32" s="182">
        <f t="shared" ca="1" si="2"/>
        <v>125</v>
      </c>
      <c r="P32" s="182" t="str">
        <f t="shared" si="3"/>
        <v/>
      </c>
      <c r="Q32" s="183" t="str">
        <f t="shared" si="4"/>
        <v/>
      </c>
      <c r="R32" s="181" t="str">
        <f>"D:\IMS Images\Headshots\CBB\"&amp;'Team Info'!$B$12&amp;"\"&amp;D32&amp;"_"&amp;C32&amp;".png"</f>
        <v>D:\IMS Images\Headshots\CBB\LSU\_.png</v>
      </c>
      <c r="S32" s="181" t="str">
        <f>"D:\IMS Images\ActionShots\CBB\"&amp;'Team Info'!$B$12&amp;"\"&amp;D32&amp;"_"&amp;C32&amp;".png"</f>
        <v>D:\IMS Images\ActionShots\CBB\LSU\_.png</v>
      </c>
      <c r="T32" s="180" t="str">
        <f t="shared" si="0"/>
        <v xml:space="preserve"> </v>
      </c>
      <c r="U32" s="180" t="str">
        <f t="shared" si="1"/>
        <v xml:space="preserve">. </v>
      </c>
      <c r="V32" s="180" t="str">
        <f t="shared" si="5"/>
        <v/>
      </c>
      <c r="W32" s="180" t="str">
        <f t="shared" si="6"/>
        <v xml:space="preserve"> </v>
      </c>
      <c r="X32" s="180" t="str">
        <f t="shared" si="7"/>
        <v/>
      </c>
      <c r="Y32" s="180" t="str">
        <f t="shared" si="8"/>
        <v/>
      </c>
      <c r="Z32" s="180" t="str">
        <f t="shared" si="9"/>
        <v/>
      </c>
    </row>
    <row r="33" spans="1:26" x14ac:dyDescent="0.25">
      <c r="A33" s="35">
        <v>30</v>
      </c>
      <c r="B33" s="5">
        <v>30</v>
      </c>
      <c r="C33" s="6"/>
      <c r="D33" s="6"/>
      <c r="E33" s="7"/>
      <c r="F33" s="7"/>
      <c r="G33" s="7"/>
      <c r="H33" s="7"/>
      <c r="I33" s="8"/>
      <c r="J33" s="7"/>
      <c r="K33" s="7"/>
      <c r="L33" s="7"/>
      <c r="M33" s="7"/>
      <c r="O33" s="182">
        <f t="shared" ca="1" si="2"/>
        <v>125</v>
      </c>
      <c r="P33" s="182" t="str">
        <f t="shared" si="3"/>
        <v/>
      </c>
      <c r="Q33" s="183" t="str">
        <f t="shared" si="4"/>
        <v/>
      </c>
      <c r="R33" s="181" t="str">
        <f>"D:\IMS Images\Headshots\CBB\"&amp;'Team Info'!$B$12&amp;"\"&amp;D33&amp;"_"&amp;C33&amp;".png"</f>
        <v>D:\IMS Images\Headshots\CBB\LSU\_.png</v>
      </c>
      <c r="S33" s="181" t="str">
        <f>"D:\IMS Images\ActionShots\CBB\"&amp;'Team Info'!$B$12&amp;"\"&amp;D33&amp;"_"&amp;C33&amp;".png"</f>
        <v>D:\IMS Images\ActionShots\CBB\LSU\_.png</v>
      </c>
      <c r="T33" s="180" t="str">
        <f t="shared" si="0"/>
        <v xml:space="preserve"> </v>
      </c>
      <c r="U33" s="180" t="str">
        <f t="shared" si="1"/>
        <v xml:space="preserve">. </v>
      </c>
      <c r="V33" s="180" t="str">
        <f t="shared" si="5"/>
        <v/>
      </c>
      <c r="W33" s="180" t="str">
        <f t="shared" si="6"/>
        <v xml:space="preserve"> </v>
      </c>
      <c r="X33" s="180" t="str">
        <f t="shared" si="7"/>
        <v/>
      </c>
      <c r="Y33" s="180" t="str">
        <f t="shared" si="8"/>
        <v/>
      </c>
      <c r="Z33" s="180" t="str">
        <f t="shared" si="9"/>
        <v/>
      </c>
    </row>
    <row r="34" spans="1:26" x14ac:dyDescent="0.25">
      <c r="A34" s="35">
        <v>31</v>
      </c>
      <c r="B34" s="5">
        <v>31</v>
      </c>
      <c r="C34" s="6"/>
      <c r="D34" s="6"/>
      <c r="E34" s="7"/>
      <c r="F34" s="7"/>
      <c r="G34" s="7"/>
      <c r="H34" s="7"/>
      <c r="I34" s="8"/>
      <c r="J34" s="7"/>
      <c r="K34" s="7"/>
      <c r="L34" s="7"/>
      <c r="M34" s="7"/>
      <c r="O34" s="182">
        <f t="shared" ca="1" si="2"/>
        <v>125</v>
      </c>
      <c r="P34" s="182" t="str">
        <f t="shared" si="3"/>
        <v/>
      </c>
      <c r="Q34" s="183" t="str">
        <f t="shared" si="4"/>
        <v/>
      </c>
      <c r="R34" s="181" t="str">
        <f>"D:\IMS Images\Headshots\CBB\"&amp;'Team Info'!$B$12&amp;"\"&amp;D34&amp;"_"&amp;C34&amp;".png"</f>
        <v>D:\IMS Images\Headshots\CBB\LSU\_.png</v>
      </c>
      <c r="S34" s="181" t="str">
        <f>"D:\IMS Images\ActionShots\CBB\"&amp;'Team Info'!$B$12&amp;"\"&amp;D34&amp;"_"&amp;C34&amp;".png"</f>
        <v>D:\IMS Images\ActionShots\CBB\LSU\_.png</v>
      </c>
      <c r="T34" s="180" t="str">
        <f t="shared" si="0"/>
        <v xml:space="preserve"> </v>
      </c>
      <c r="U34" s="180" t="str">
        <f t="shared" si="1"/>
        <v xml:space="preserve">. </v>
      </c>
      <c r="V34" s="180" t="str">
        <f t="shared" si="5"/>
        <v/>
      </c>
      <c r="W34" s="180" t="str">
        <f t="shared" si="6"/>
        <v xml:space="preserve"> </v>
      </c>
      <c r="X34" s="180" t="str">
        <f t="shared" si="7"/>
        <v/>
      </c>
      <c r="Y34" s="180" t="str">
        <f t="shared" si="8"/>
        <v/>
      </c>
      <c r="Z34" s="180" t="str">
        <f t="shared" si="9"/>
        <v/>
      </c>
    </row>
    <row r="35" spans="1:26" x14ac:dyDescent="0.25">
      <c r="A35" s="35">
        <v>32</v>
      </c>
      <c r="B35" s="5">
        <v>32</v>
      </c>
      <c r="C35" s="6"/>
      <c r="D35" s="6"/>
      <c r="E35" s="7"/>
      <c r="F35" s="7"/>
      <c r="G35" s="7"/>
      <c r="H35" s="7"/>
      <c r="I35" s="8"/>
      <c r="J35" s="7"/>
      <c r="K35" s="7"/>
      <c r="L35" s="7"/>
      <c r="M35" s="7"/>
      <c r="O35" s="182">
        <f t="shared" ca="1" si="2"/>
        <v>125</v>
      </c>
      <c r="P35" s="182" t="str">
        <f t="shared" si="3"/>
        <v/>
      </c>
      <c r="Q35" s="183" t="str">
        <f t="shared" si="4"/>
        <v/>
      </c>
      <c r="R35" s="181" t="str">
        <f>"D:\IMS Images\Headshots\CBB\"&amp;'Team Info'!$B$12&amp;"\"&amp;D35&amp;"_"&amp;C35&amp;".png"</f>
        <v>D:\IMS Images\Headshots\CBB\LSU\_.png</v>
      </c>
      <c r="S35" s="181" t="str">
        <f>"D:\IMS Images\ActionShots\CBB\"&amp;'Team Info'!$B$12&amp;"\"&amp;D35&amp;"_"&amp;C35&amp;".png"</f>
        <v>D:\IMS Images\ActionShots\CBB\LSU\_.png</v>
      </c>
      <c r="T35" s="180" t="str">
        <f t="shared" si="0"/>
        <v xml:space="preserve"> </v>
      </c>
      <c r="U35" s="180" t="str">
        <f t="shared" si="1"/>
        <v xml:space="preserve">. </v>
      </c>
      <c r="V35" s="180" t="str">
        <f t="shared" si="5"/>
        <v/>
      </c>
      <c r="W35" s="180" t="str">
        <f t="shared" si="6"/>
        <v xml:space="preserve"> </v>
      </c>
      <c r="X35" s="180" t="str">
        <f t="shared" si="7"/>
        <v/>
      </c>
      <c r="Y35" s="180" t="str">
        <f t="shared" si="8"/>
        <v/>
      </c>
      <c r="Z35" s="180" t="str">
        <f t="shared" si="9"/>
        <v/>
      </c>
    </row>
    <row r="36" spans="1:26" x14ac:dyDescent="0.25">
      <c r="A36" s="35">
        <v>33</v>
      </c>
      <c r="B36" s="5">
        <v>33</v>
      </c>
      <c r="C36" s="6"/>
      <c r="D36" s="6"/>
      <c r="E36" s="7"/>
      <c r="F36" s="7"/>
      <c r="G36" s="7"/>
      <c r="H36" s="7"/>
      <c r="I36" s="8"/>
      <c r="J36" s="7"/>
      <c r="K36" s="7"/>
      <c r="L36" s="7"/>
      <c r="M36" s="7"/>
      <c r="O36" s="182">
        <f t="shared" ca="1" si="2"/>
        <v>125</v>
      </c>
      <c r="P36" s="182" t="str">
        <f t="shared" si="3"/>
        <v/>
      </c>
      <c r="Q36" s="183" t="str">
        <f t="shared" si="4"/>
        <v/>
      </c>
      <c r="R36" s="181" t="str">
        <f>"D:\IMS Images\Headshots\CBB\"&amp;'Team Info'!$B$12&amp;"\"&amp;D36&amp;"_"&amp;C36&amp;".png"</f>
        <v>D:\IMS Images\Headshots\CBB\LSU\_.png</v>
      </c>
      <c r="S36" s="181" t="str">
        <f>"D:\IMS Images\ActionShots\CBB\"&amp;'Team Info'!$B$12&amp;"\"&amp;D36&amp;"_"&amp;C36&amp;".png"</f>
        <v>D:\IMS Images\ActionShots\CBB\LSU\_.png</v>
      </c>
      <c r="T36" s="180" t="str">
        <f t="shared" ref="T36:T67" si="10">C36&amp;" "&amp;D36</f>
        <v xml:space="preserve"> </v>
      </c>
      <c r="U36" s="180" t="str">
        <f t="shared" ref="U36:U67" si="11">LEFT(C36,1)&amp;". "&amp;D36</f>
        <v xml:space="preserve">. </v>
      </c>
      <c r="V36" s="180" t="str">
        <f t="shared" si="5"/>
        <v/>
      </c>
      <c r="W36" s="180" t="str">
        <f t="shared" si="6"/>
        <v xml:space="preserve"> </v>
      </c>
      <c r="X36" s="180" t="str">
        <f t="shared" si="7"/>
        <v/>
      </c>
      <c r="Y36" s="180" t="str">
        <f t="shared" si="8"/>
        <v/>
      </c>
      <c r="Z36" s="180" t="str">
        <f t="shared" si="9"/>
        <v/>
      </c>
    </row>
    <row r="37" spans="1:26" x14ac:dyDescent="0.25">
      <c r="A37" s="35">
        <v>34</v>
      </c>
      <c r="B37" s="5">
        <v>34</v>
      </c>
      <c r="C37" s="6"/>
      <c r="D37" s="6"/>
      <c r="E37" s="7"/>
      <c r="F37" s="7"/>
      <c r="G37" s="7"/>
      <c r="H37" s="7"/>
      <c r="I37" s="8"/>
      <c r="J37" s="7"/>
      <c r="K37" s="7"/>
      <c r="L37" s="7"/>
      <c r="M37" s="7"/>
      <c r="O37" s="182">
        <f t="shared" ca="1" si="2"/>
        <v>125</v>
      </c>
      <c r="P37" s="182" t="str">
        <f t="shared" si="3"/>
        <v/>
      </c>
      <c r="Q37" s="183" t="str">
        <f t="shared" si="4"/>
        <v/>
      </c>
      <c r="R37" s="181" t="str">
        <f>"D:\IMS Images\Headshots\CBB\"&amp;'Team Info'!$B$12&amp;"\"&amp;D37&amp;"_"&amp;C37&amp;".png"</f>
        <v>D:\IMS Images\Headshots\CBB\LSU\_.png</v>
      </c>
      <c r="S37" s="181" t="str">
        <f>"D:\IMS Images\ActionShots\CBB\"&amp;'Team Info'!$B$12&amp;"\"&amp;D37&amp;"_"&amp;C37&amp;".png"</f>
        <v>D:\IMS Images\ActionShots\CBB\LSU\_.png</v>
      </c>
      <c r="T37" s="180" t="str">
        <f t="shared" si="10"/>
        <v xml:space="preserve"> </v>
      </c>
      <c r="U37" s="180" t="str">
        <f t="shared" si="11"/>
        <v xml:space="preserve">. </v>
      </c>
      <c r="V37" s="180" t="str">
        <f t="shared" si="5"/>
        <v/>
      </c>
      <c r="W37" s="180" t="str">
        <f t="shared" si="6"/>
        <v xml:space="preserve"> </v>
      </c>
      <c r="X37" s="180" t="str">
        <f t="shared" si="7"/>
        <v/>
      </c>
      <c r="Y37" s="180" t="str">
        <f t="shared" si="8"/>
        <v/>
      </c>
      <c r="Z37" s="180" t="str">
        <f t="shared" si="9"/>
        <v/>
      </c>
    </row>
    <row r="38" spans="1:26" x14ac:dyDescent="0.25">
      <c r="A38" s="35">
        <v>35</v>
      </c>
      <c r="B38" s="5">
        <v>35</v>
      </c>
      <c r="C38" s="6"/>
      <c r="D38" s="6"/>
      <c r="E38" s="7"/>
      <c r="F38" s="7"/>
      <c r="G38" s="7"/>
      <c r="H38" s="7"/>
      <c r="I38" s="8"/>
      <c r="J38" s="7"/>
      <c r="K38" s="7"/>
      <c r="L38" s="7"/>
      <c r="M38" s="7"/>
      <c r="O38" s="182">
        <f t="shared" ca="1" si="2"/>
        <v>125</v>
      </c>
      <c r="P38" s="182" t="str">
        <f t="shared" si="3"/>
        <v/>
      </c>
      <c r="Q38" s="183" t="str">
        <f t="shared" si="4"/>
        <v/>
      </c>
      <c r="R38" s="181" t="str">
        <f>"D:\IMS Images\Headshots\CBB\"&amp;'Team Info'!$B$12&amp;"\"&amp;D38&amp;"_"&amp;C38&amp;".png"</f>
        <v>D:\IMS Images\Headshots\CBB\LSU\_.png</v>
      </c>
      <c r="S38" s="181" t="str">
        <f>"D:\IMS Images\ActionShots\CBB\"&amp;'Team Info'!$B$12&amp;"\"&amp;D38&amp;"_"&amp;C38&amp;".png"</f>
        <v>D:\IMS Images\ActionShots\CBB\LSU\_.png</v>
      </c>
      <c r="T38" s="180" t="str">
        <f t="shared" si="10"/>
        <v xml:space="preserve"> </v>
      </c>
      <c r="U38" s="180" t="str">
        <f t="shared" si="11"/>
        <v xml:space="preserve">. </v>
      </c>
      <c r="V38" s="180" t="str">
        <f t="shared" si="5"/>
        <v/>
      </c>
      <c r="W38" s="180" t="str">
        <f t="shared" si="6"/>
        <v xml:space="preserve"> </v>
      </c>
      <c r="X38" s="180" t="str">
        <f t="shared" si="7"/>
        <v/>
      </c>
      <c r="Y38" s="180" t="str">
        <f t="shared" si="8"/>
        <v/>
      </c>
      <c r="Z38" s="180" t="str">
        <f t="shared" si="9"/>
        <v/>
      </c>
    </row>
    <row r="39" spans="1:26" x14ac:dyDescent="0.25">
      <c r="A39" s="35">
        <v>36</v>
      </c>
      <c r="B39" s="5">
        <v>36</v>
      </c>
      <c r="C39" s="6"/>
      <c r="D39" s="6"/>
      <c r="E39" s="7"/>
      <c r="F39" s="7"/>
      <c r="G39" s="7"/>
      <c r="H39" s="7"/>
      <c r="I39" s="8"/>
      <c r="J39" s="7"/>
      <c r="K39" s="7"/>
      <c r="L39" s="7"/>
      <c r="M39" s="7"/>
      <c r="O39" s="182">
        <f t="shared" ca="1" si="2"/>
        <v>125</v>
      </c>
      <c r="P39" s="182" t="str">
        <f t="shared" si="3"/>
        <v/>
      </c>
      <c r="Q39" s="183" t="str">
        <f t="shared" si="4"/>
        <v/>
      </c>
      <c r="R39" s="181" t="str">
        <f>"D:\IMS Images\Headshots\CBB\"&amp;'Team Info'!$B$12&amp;"\"&amp;D39&amp;"_"&amp;C39&amp;".png"</f>
        <v>D:\IMS Images\Headshots\CBB\LSU\_.png</v>
      </c>
      <c r="S39" s="181" t="str">
        <f>"D:\IMS Images\ActionShots\CBB\"&amp;'Team Info'!$B$12&amp;"\"&amp;D39&amp;"_"&amp;C39&amp;".png"</f>
        <v>D:\IMS Images\ActionShots\CBB\LSU\_.png</v>
      </c>
      <c r="T39" s="180" t="str">
        <f t="shared" si="10"/>
        <v xml:space="preserve"> </v>
      </c>
      <c r="U39" s="180" t="str">
        <f t="shared" si="11"/>
        <v xml:space="preserve">. </v>
      </c>
      <c r="V39" s="180" t="str">
        <f t="shared" si="5"/>
        <v/>
      </c>
      <c r="W39" s="180" t="str">
        <f t="shared" si="6"/>
        <v xml:space="preserve"> </v>
      </c>
      <c r="X39" s="180" t="str">
        <f t="shared" si="7"/>
        <v/>
      </c>
      <c r="Y39" s="180" t="str">
        <f t="shared" si="8"/>
        <v/>
      </c>
      <c r="Z39" s="180" t="str">
        <f t="shared" si="9"/>
        <v/>
      </c>
    </row>
    <row r="40" spans="1:26" x14ac:dyDescent="0.25">
      <c r="A40" s="35">
        <v>37</v>
      </c>
      <c r="B40" s="5">
        <v>37</v>
      </c>
      <c r="C40" s="6"/>
      <c r="D40" s="6"/>
      <c r="E40" s="7"/>
      <c r="F40" s="7"/>
      <c r="G40" s="7"/>
      <c r="H40" s="7"/>
      <c r="I40" s="8"/>
      <c r="J40" s="7"/>
      <c r="K40" s="7"/>
      <c r="L40" s="7"/>
      <c r="M40" s="7"/>
      <c r="O40" s="182">
        <f t="shared" ca="1" si="2"/>
        <v>125</v>
      </c>
      <c r="P40" s="182" t="str">
        <f t="shared" si="3"/>
        <v/>
      </c>
      <c r="Q40" s="183" t="str">
        <f t="shared" si="4"/>
        <v/>
      </c>
      <c r="R40" s="181" t="str">
        <f>"D:\IMS Images\Headshots\CBB\"&amp;'Team Info'!$B$12&amp;"\"&amp;D40&amp;"_"&amp;C40&amp;".png"</f>
        <v>D:\IMS Images\Headshots\CBB\LSU\_.png</v>
      </c>
      <c r="S40" s="181" t="str">
        <f>"D:\IMS Images\ActionShots\CBB\"&amp;'Team Info'!$B$12&amp;"\"&amp;D40&amp;"_"&amp;C40&amp;".png"</f>
        <v>D:\IMS Images\ActionShots\CBB\LSU\_.png</v>
      </c>
      <c r="T40" s="180" t="str">
        <f t="shared" si="10"/>
        <v xml:space="preserve"> </v>
      </c>
      <c r="U40" s="180" t="str">
        <f t="shared" si="11"/>
        <v xml:space="preserve">. </v>
      </c>
      <c r="V40" s="180" t="str">
        <f t="shared" si="5"/>
        <v/>
      </c>
      <c r="W40" s="180" t="str">
        <f t="shared" si="6"/>
        <v xml:space="preserve"> </v>
      </c>
      <c r="X40" s="180" t="str">
        <f t="shared" si="7"/>
        <v/>
      </c>
      <c r="Y40" s="180" t="str">
        <f t="shared" si="8"/>
        <v/>
      </c>
      <c r="Z40" s="180" t="str">
        <f t="shared" si="9"/>
        <v/>
      </c>
    </row>
    <row r="41" spans="1:26" x14ac:dyDescent="0.25">
      <c r="A41" s="35">
        <v>38</v>
      </c>
      <c r="B41" s="5">
        <v>38</v>
      </c>
      <c r="C41" s="6"/>
      <c r="D41" s="6"/>
      <c r="E41" s="7"/>
      <c r="F41" s="7"/>
      <c r="G41" s="7"/>
      <c r="H41" s="7"/>
      <c r="I41" s="8"/>
      <c r="J41" s="7"/>
      <c r="K41" s="7"/>
      <c r="L41" s="7"/>
      <c r="M41" s="7"/>
      <c r="O41" s="182">
        <f t="shared" ca="1" si="2"/>
        <v>125</v>
      </c>
      <c r="P41" s="182" t="str">
        <f t="shared" si="3"/>
        <v/>
      </c>
      <c r="Q41" s="183" t="str">
        <f t="shared" si="4"/>
        <v/>
      </c>
      <c r="R41" s="181" t="str">
        <f>"D:\IMS Images\Headshots\CBB\"&amp;'Team Info'!$B$12&amp;"\"&amp;D41&amp;"_"&amp;C41&amp;".png"</f>
        <v>D:\IMS Images\Headshots\CBB\LSU\_.png</v>
      </c>
      <c r="S41" s="181" t="str">
        <f>"D:\IMS Images\ActionShots\CBB\"&amp;'Team Info'!$B$12&amp;"\"&amp;D41&amp;"_"&amp;C41&amp;".png"</f>
        <v>D:\IMS Images\ActionShots\CBB\LSU\_.png</v>
      </c>
      <c r="T41" s="180" t="str">
        <f t="shared" si="10"/>
        <v xml:space="preserve"> </v>
      </c>
      <c r="U41" s="180" t="str">
        <f t="shared" si="11"/>
        <v xml:space="preserve">. </v>
      </c>
      <c r="V41" s="180" t="str">
        <f t="shared" si="5"/>
        <v/>
      </c>
      <c r="W41" s="180" t="str">
        <f t="shared" si="6"/>
        <v xml:space="preserve"> </v>
      </c>
      <c r="X41" s="180" t="str">
        <f t="shared" si="7"/>
        <v/>
      </c>
      <c r="Y41" s="180" t="str">
        <f t="shared" si="8"/>
        <v/>
      </c>
      <c r="Z41" s="180" t="str">
        <f t="shared" si="9"/>
        <v/>
      </c>
    </row>
    <row r="42" spans="1:26" x14ac:dyDescent="0.25">
      <c r="A42" s="35">
        <v>39</v>
      </c>
      <c r="B42" s="5">
        <v>39</v>
      </c>
      <c r="C42" s="6"/>
      <c r="D42" s="6"/>
      <c r="E42" s="7"/>
      <c r="F42" s="7"/>
      <c r="G42" s="7"/>
      <c r="H42" s="7"/>
      <c r="I42" s="8"/>
      <c r="J42" s="7"/>
      <c r="K42" s="7"/>
      <c r="L42" s="7"/>
      <c r="M42" s="7"/>
      <c r="O42" s="182">
        <f t="shared" ca="1" si="2"/>
        <v>125</v>
      </c>
      <c r="P42" s="182" t="str">
        <f t="shared" si="3"/>
        <v/>
      </c>
      <c r="Q42" s="183" t="str">
        <f t="shared" si="4"/>
        <v/>
      </c>
      <c r="R42" s="181" t="str">
        <f>"D:\IMS Images\Headshots\CBB\"&amp;'Team Info'!$B$12&amp;"\"&amp;D42&amp;"_"&amp;C42&amp;".png"</f>
        <v>D:\IMS Images\Headshots\CBB\LSU\_.png</v>
      </c>
      <c r="S42" s="181" t="str">
        <f>"D:\IMS Images\ActionShots\CBB\"&amp;'Team Info'!$B$12&amp;"\"&amp;D42&amp;"_"&amp;C42&amp;".png"</f>
        <v>D:\IMS Images\ActionShots\CBB\LSU\_.png</v>
      </c>
      <c r="T42" s="180" t="str">
        <f t="shared" si="10"/>
        <v xml:space="preserve"> </v>
      </c>
      <c r="U42" s="180" t="str">
        <f t="shared" si="11"/>
        <v xml:space="preserve">. </v>
      </c>
      <c r="V42" s="180" t="str">
        <f t="shared" si="5"/>
        <v/>
      </c>
      <c r="W42" s="180" t="str">
        <f t="shared" si="6"/>
        <v xml:space="preserve"> </v>
      </c>
      <c r="X42" s="180" t="str">
        <f t="shared" si="7"/>
        <v/>
      </c>
      <c r="Y42" s="180" t="str">
        <f t="shared" si="8"/>
        <v/>
      </c>
      <c r="Z42" s="180" t="str">
        <f t="shared" si="9"/>
        <v/>
      </c>
    </row>
    <row r="43" spans="1:26" x14ac:dyDescent="0.25">
      <c r="A43" s="35">
        <v>40</v>
      </c>
      <c r="B43" s="5">
        <v>40</v>
      </c>
      <c r="C43" s="6"/>
      <c r="D43" s="6"/>
      <c r="E43" s="7"/>
      <c r="F43" s="7"/>
      <c r="G43" s="7"/>
      <c r="H43" s="7"/>
      <c r="I43" s="8"/>
      <c r="J43" s="7"/>
      <c r="K43" s="7"/>
      <c r="L43" s="7"/>
      <c r="M43" s="7"/>
      <c r="O43" s="182">
        <f t="shared" ca="1" si="2"/>
        <v>125</v>
      </c>
      <c r="P43" s="182" t="str">
        <f t="shared" si="3"/>
        <v/>
      </c>
      <c r="Q43" s="183" t="str">
        <f t="shared" si="4"/>
        <v/>
      </c>
      <c r="R43" s="181" t="str">
        <f>"D:\IMS Images\Headshots\CBB\"&amp;'Team Info'!$B$12&amp;"\"&amp;D43&amp;"_"&amp;C43&amp;".png"</f>
        <v>D:\IMS Images\Headshots\CBB\LSU\_.png</v>
      </c>
      <c r="S43" s="181" t="str">
        <f>"D:\IMS Images\ActionShots\CBB\"&amp;'Team Info'!$B$12&amp;"\"&amp;D43&amp;"_"&amp;C43&amp;".png"</f>
        <v>D:\IMS Images\ActionShots\CBB\LSU\_.png</v>
      </c>
      <c r="T43" s="180" t="str">
        <f t="shared" si="10"/>
        <v xml:space="preserve"> </v>
      </c>
      <c r="U43" s="180" t="str">
        <f t="shared" si="11"/>
        <v xml:space="preserve">. </v>
      </c>
      <c r="V43" s="180" t="str">
        <f t="shared" si="5"/>
        <v/>
      </c>
      <c r="W43" s="180" t="str">
        <f t="shared" si="6"/>
        <v xml:space="preserve"> </v>
      </c>
      <c r="X43" s="180" t="str">
        <f t="shared" si="7"/>
        <v/>
      </c>
      <c r="Y43" s="180" t="str">
        <f t="shared" si="8"/>
        <v/>
      </c>
      <c r="Z43" s="180" t="str">
        <f t="shared" si="9"/>
        <v/>
      </c>
    </row>
    <row r="44" spans="1:26" x14ac:dyDescent="0.25">
      <c r="A44" s="35">
        <v>41</v>
      </c>
      <c r="B44" s="5">
        <v>41</v>
      </c>
      <c r="C44" s="6"/>
      <c r="D44" s="6"/>
      <c r="E44" s="7"/>
      <c r="F44" s="7"/>
      <c r="G44" s="7"/>
      <c r="H44" s="7"/>
      <c r="I44" s="8"/>
      <c r="J44" s="7"/>
      <c r="K44" s="7"/>
      <c r="L44" s="7"/>
      <c r="M44" s="7"/>
      <c r="O44" s="182">
        <f t="shared" ca="1" si="2"/>
        <v>125</v>
      </c>
      <c r="P44" s="182" t="str">
        <f t="shared" si="3"/>
        <v/>
      </c>
      <c r="Q44" s="183" t="str">
        <f t="shared" si="4"/>
        <v/>
      </c>
      <c r="R44" s="181" t="str">
        <f>"D:\IMS Images\Headshots\CBB\"&amp;'Team Info'!$B$12&amp;"\"&amp;D44&amp;"_"&amp;C44&amp;".png"</f>
        <v>D:\IMS Images\Headshots\CBB\LSU\_.png</v>
      </c>
      <c r="S44" s="181" t="str">
        <f>"D:\IMS Images\ActionShots\CBB\"&amp;'Team Info'!$B$12&amp;"\"&amp;D44&amp;"_"&amp;C44&amp;".png"</f>
        <v>D:\IMS Images\ActionShots\CBB\LSU\_.png</v>
      </c>
      <c r="T44" s="180" t="str">
        <f t="shared" si="10"/>
        <v xml:space="preserve"> </v>
      </c>
      <c r="U44" s="180" t="str">
        <f t="shared" si="11"/>
        <v xml:space="preserve">. </v>
      </c>
      <c r="V44" s="180" t="str">
        <f t="shared" si="5"/>
        <v/>
      </c>
      <c r="W44" s="180" t="str">
        <f t="shared" si="6"/>
        <v xml:space="preserve"> </v>
      </c>
      <c r="X44" s="180" t="str">
        <f t="shared" si="7"/>
        <v/>
      </c>
      <c r="Y44" s="180" t="str">
        <f t="shared" si="8"/>
        <v/>
      </c>
      <c r="Z44" s="180" t="str">
        <f t="shared" si="9"/>
        <v/>
      </c>
    </row>
    <row r="45" spans="1:26" x14ac:dyDescent="0.25">
      <c r="A45" s="35">
        <v>42</v>
      </c>
      <c r="B45" s="5">
        <v>42</v>
      </c>
      <c r="C45" s="6"/>
      <c r="D45" s="6"/>
      <c r="E45" s="7"/>
      <c r="F45" s="7"/>
      <c r="G45" s="7"/>
      <c r="H45" s="7"/>
      <c r="I45" s="8"/>
      <c r="J45" s="7"/>
      <c r="K45" s="7"/>
      <c r="L45" s="7"/>
      <c r="M45" s="7"/>
      <c r="O45" s="182">
        <f t="shared" ca="1" si="2"/>
        <v>125</v>
      </c>
      <c r="P45" s="182" t="str">
        <f t="shared" si="3"/>
        <v/>
      </c>
      <c r="Q45" s="183" t="str">
        <f t="shared" si="4"/>
        <v/>
      </c>
      <c r="R45" s="181" t="str">
        <f>"D:\IMS Images\Headshots\CBB\"&amp;'Team Info'!$B$12&amp;"\"&amp;D45&amp;"_"&amp;C45&amp;".png"</f>
        <v>D:\IMS Images\Headshots\CBB\LSU\_.png</v>
      </c>
      <c r="S45" s="181" t="str">
        <f>"D:\IMS Images\ActionShots\CBB\"&amp;'Team Info'!$B$12&amp;"\"&amp;D45&amp;"_"&amp;C45&amp;".png"</f>
        <v>D:\IMS Images\ActionShots\CBB\LSU\_.png</v>
      </c>
      <c r="T45" s="180" t="str">
        <f t="shared" si="10"/>
        <v xml:space="preserve"> </v>
      </c>
      <c r="U45" s="180" t="str">
        <f t="shared" si="11"/>
        <v xml:space="preserve">. </v>
      </c>
      <c r="V45" s="180" t="str">
        <f t="shared" si="5"/>
        <v/>
      </c>
      <c r="W45" s="180" t="str">
        <f t="shared" si="6"/>
        <v xml:space="preserve"> </v>
      </c>
      <c r="X45" s="180" t="str">
        <f t="shared" si="7"/>
        <v/>
      </c>
      <c r="Y45" s="180" t="str">
        <f t="shared" si="8"/>
        <v/>
      </c>
      <c r="Z45" s="180" t="str">
        <f t="shared" si="9"/>
        <v/>
      </c>
    </row>
    <row r="46" spans="1:26" x14ac:dyDescent="0.25">
      <c r="A46" s="35">
        <v>43</v>
      </c>
      <c r="B46" s="5">
        <v>43</v>
      </c>
      <c r="C46" s="6"/>
      <c r="D46" s="6"/>
      <c r="E46" s="7"/>
      <c r="F46" s="7"/>
      <c r="G46" s="7"/>
      <c r="H46" s="7"/>
      <c r="I46" s="8"/>
      <c r="J46" s="7"/>
      <c r="K46" s="7"/>
      <c r="L46" s="7"/>
      <c r="M46" s="7"/>
      <c r="O46" s="182">
        <f t="shared" ca="1" si="2"/>
        <v>125</v>
      </c>
      <c r="P46" s="182" t="str">
        <f t="shared" si="3"/>
        <v/>
      </c>
      <c r="Q46" s="183" t="str">
        <f t="shared" si="4"/>
        <v/>
      </c>
      <c r="R46" s="181" t="str">
        <f>"D:\IMS Images\Headshots\CBB\"&amp;'Team Info'!$B$12&amp;"\"&amp;D46&amp;"_"&amp;C46&amp;".png"</f>
        <v>D:\IMS Images\Headshots\CBB\LSU\_.png</v>
      </c>
      <c r="S46" s="181" t="str">
        <f>"D:\IMS Images\ActionShots\CBB\"&amp;'Team Info'!$B$12&amp;"\"&amp;D46&amp;"_"&amp;C46&amp;".png"</f>
        <v>D:\IMS Images\ActionShots\CBB\LSU\_.png</v>
      </c>
      <c r="T46" s="180" t="str">
        <f t="shared" si="10"/>
        <v xml:space="preserve"> </v>
      </c>
      <c r="U46" s="180" t="str">
        <f t="shared" si="11"/>
        <v xml:space="preserve">. </v>
      </c>
      <c r="V46" s="180" t="str">
        <f t="shared" si="5"/>
        <v/>
      </c>
      <c r="W46" s="180" t="str">
        <f t="shared" si="6"/>
        <v xml:space="preserve"> </v>
      </c>
      <c r="X46" s="180" t="str">
        <f t="shared" si="7"/>
        <v/>
      </c>
      <c r="Y46" s="180" t="str">
        <f t="shared" si="8"/>
        <v/>
      </c>
      <c r="Z46" s="180" t="str">
        <f t="shared" si="9"/>
        <v/>
      </c>
    </row>
    <row r="47" spans="1:26" x14ac:dyDescent="0.25">
      <c r="A47" s="35">
        <v>44</v>
      </c>
      <c r="B47" s="5">
        <v>44</v>
      </c>
      <c r="C47" s="6"/>
      <c r="D47" s="6"/>
      <c r="E47" s="7"/>
      <c r="F47" s="7"/>
      <c r="G47" s="7"/>
      <c r="H47" s="7"/>
      <c r="I47" s="8"/>
      <c r="J47" s="7"/>
      <c r="K47" s="7"/>
      <c r="L47" s="7"/>
      <c r="M47" s="7"/>
      <c r="O47" s="182">
        <f t="shared" ca="1" si="2"/>
        <v>125</v>
      </c>
      <c r="P47" s="182" t="str">
        <f t="shared" si="3"/>
        <v/>
      </c>
      <c r="Q47" s="183" t="str">
        <f t="shared" si="4"/>
        <v/>
      </c>
      <c r="R47" s="181" t="str">
        <f>"D:\IMS Images\Headshots\CBB\"&amp;'Team Info'!$B$12&amp;"\"&amp;D47&amp;"_"&amp;C47&amp;".png"</f>
        <v>D:\IMS Images\Headshots\CBB\LSU\_.png</v>
      </c>
      <c r="S47" s="181" t="str">
        <f>"D:\IMS Images\ActionShots\CBB\"&amp;'Team Info'!$B$12&amp;"\"&amp;D47&amp;"_"&amp;C47&amp;".png"</f>
        <v>D:\IMS Images\ActionShots\CBB\LSU\_.png</v>
      </c>
      <c r="T47" s="180" t="str">
        <f t="shared" si="10"/>
        <v xml:space="preserve"> </v>
      </c>
      <c r="U47" s="180" t="str">
        <f t="shared" si="11"/>
        <v xml:space="preserve">. </v>
      </c>
      <c r="V47" s="180" t="str">
        <f t="shared" si="5"/>
        <v/>
      </c>
      <c r="W47" s="180" t="str">
        <f t="shared" si="6"/>
        <v xml:space="preserve"> </v>
      </c>
      <c r="X47" s="180" t="str">
        <f t="shared" si="7"/>
        <v/>
      </c>
      <c r="Y47" s="180" t="str">
        <f t="shared" si="8"/>
        <v/>
      </c>
      <c r="Z47" s="180" t="str">
        <f t="shared" si="9"/>
        <v/>
      </c>
    </row>
    <row r="48" spans="1:26" x14ac:dyDescent="0.25">
      <c r="A48" s="35">
        <v>45</v>
      </c>
      <c r="B48" s="5">
        <v>45</v>
      </c>
      <c r="C48" s="6"/>
      <c r="D48" s="6"/>
      <c r="E48" s="7"/>
      <c r="F48" s="7"/>
      <c r="G48" s="7"/>
      <c r="H48" s="7"/>
      <c r="I48" s="8"/>
      <c r="J48" s="7"/>
      <c r="K48" s="7"/>
      <c r="L48" s="7"/>
      <c r="M48" s="7"/>
      <c r="O48" s="182">
        <f t="shared" ca="1" si="2"/>
        <v>125</v>
      </c>
      <c r="P48" s="182" t="str">
        <f t="shared" si="3"/>
        <v/>
      </c>
      <c r="Q48" s="183" t="str">
        <f t="shared" si="4"/>
        <v/>
      </c>
      <c r="R48" s="181" t="str">
        <f>"D:\IMS Images\Headshots\CBB\"&amp;'Team Info'!$B$12&amp;"\"&amp;D48&amp;"_"&amp;C48&amp;".png"</f>
        <v>D:\IMS Images\Headshots\CBB\LSU\_.png</v>
      </c>
      <c r="S48" s="181" t="str">
        <f>"D:\IMS Images\ActionShots\CBB\"&amp;'Team Info'!$B$12&amp;"\"&amp;D48&amp;"_"&amp;C48&amp;".png"</f>
        <v>D:\IMS Images\ActionShots\CBB\LSU\_.png</v>
      </c>
      <c r="T48" s="180" t="str">
        <f t="shared" si="10"/>
        <v xml:space="preserve"> </v>
      </c>
      <c r="U48" s="180" t="str">
        <f t="shared" si="11"/>
        <v xml:space="preserve">. </v>
      </c>
      <c r="V48" s="180" t="str">
        <f t="shared" si="5"/>
        <v/>
      </c>
      <c r="W48" s="180" t="str">
        <f t="shared" si="6"/>
        <v xml:space="preserve"> </v>
      </c>
      <c r="X48" s="180" t="str">
        <f t="shared" si="7"/>
        <v/>
      </c>
      <c r="Y48" s="180" t="str">
        <f t="shared" si="8"/>
        <v/>
      </c>
      <c r="Z48" s="180" t="str">
        <f t="shared" si="9"/>
        <v/>
      </c>
    </row>
    <row r="49" spans="1:26" x14ac:dyDescent="0.25">
      <c r="A49" s="35">
        <v>46</v>
      </c>
      <c r="B49" s="5">
        <v>46</v>
      </c>
      <c r="C49" s="6"/>
      <c r="D49" s="6"/>
      <c r="E49" s="7"/>
      <c r="F49" s="7"/>
      <c r="G49" s="7"/>
      <c r="H49" s="7"/>
      <c r="I49" s="8"/>
      <c r="J49" s="7"/>
      <c r="K49" s="7"/>
      <c r="L49" s="7"/>
      <c r="M49" s="7"/>
      <c r="O49" s="182">
        <f t="shared" ca="1" si="2"/>
        <v>125</v>
      </c>
      <c r="P49" s="182" t="str">
        <f t="shared" si="3"/>
        <v/>
      </c>
      <c r="Q49" s="183" t="str">
        <f t="shared" si="4"/>
        <v/>
      </c>
      <c r="R49" s="181" t="str">
        <f>"D:\IMS Images\Headshots\CBB\"&amp;'Team Info'!$B$12&amp;"\"&amp;D49&amp;"_"&amp;C49&amp;".png"</f>
        <v>D:\IMS Images\Headshots\CBB\LSU\_.png</v>
      </c>
      <c r="S49" s="181" t="str">
        <f>"D:\IMS Images\ActionShots\CBB\"&amp;'Team Info'!$B$12&amp;"\"&amp;D49&amp;"_"&amp;C49&amp;".png"</f>
        <v>D:\IMS Images\ActionShots\CBB\LSU\_.png</v>
      </c>
      <c r="T49" s="180" t="str">
        <f t="shared" si="10"/>
        <v xml:space="preserve"> </v>
      </c>
      <c r="U49" s="180" t="str">
        <f t="shared" si="11"/>
        <v xml:space="preserve">. </v>
      </c>
      <c r="V49" s="180" t="str">
        <f t="shared" si="5"/>
        <v/>
      </c>
      <c r="W49" s="180" t="str">
        <f t="shared" si="6"/>
        <v xml:space="preserve"> </v>
      </c>
      <c r="X49" s="180" t="str">
        <f t="shared" si="7"/>
        <v/>
      </c>
      <c r="Y49" s="180" t="str">
        <f t="shared" si="8"/>
        <v/>
      </c>
      <c r="Z49" s="180" t="str">
        <f t="shared" si="9"/>
        <v/>
      </c>
    </row>
    <row r="50" spans="1:26" x14ac:dyDescent="0.25">
      <c r="A50" s="35">
        <v>47</v>
      </c>
      <c r="B50" s="5">
        <v>47</v>
      </c>
      <c r="C50" s="6"/>
      <c r="D50" s="6"/>
      <c r="E50" s="7"/>
      <c r="F50" s="7"/>
      <c r="G50" s="7"/>
      <c r="H50" s="7"/>
      <c r="I50" s="8"/>
      <c r="J50" s="7"/>
      <c r="K50" s="7"/>
      <c r="L50" s="7"/>
      <c r="M50" s="7"/>
      <c r="O50" s="182">
        <f t="shared" ca="1" si="2"/>
        <v>125</v>
      </c>
      <c r="P50" s="182" t="str">
        <f t="shared" si="3"/>
        <v/>
      </c>
      <c r="Q50" s="183" t="str">
        <f t="shared" si="4"/>
        <v/>
      </c>
      <c r="R50" s="181" t="str">
        <f>"D:\IMS Images\Headshots\CBB\"&amp;'Team Info'!$B$12&amp;"\"&amp;D50&amp;"_"&amp;C50&amp;".png"</f>
        <v>D:\IMS Images\Headshots\CBB\LSU\_.png</v>
      </c>
      <c r="S50" s="181" t="str">
        <f>"D:\IMS Images\ActionShots\CBB\"&amp;'Team Info'!$B$12&amp;"\"&amp;D50&amp;"_"&amp;C50&amp;".png"</f>
        <v>D:\IMS Images\ActionShots\CBB\LSU\_.png</v>
      </c>
      <c r="T50" s="180" t="str">
        <f t="shared" si="10"/>
        <v xml:space="preserve"> </v>
      </c>
      <c r="U50" s="180" t="str">
        <f t="shared" si="11"/>
        <v xml:space="preserve">. </v>
      </c>
      <c r="V50" s="180" t="str">
        <f t="shared" si="5"/>
        <v/>
      </c>
      <c r="W50" s="180" t="str">
        <f t="shared" si="6"/>
        <v xml:space="preserve"> </v>
      </c>
      <c r="X50" s="180" t="str">
        <f t="shared" si="7"/>
        <v/>
      </c>
      <c r="Y50" s="180" t="str">
        <f t="shared" si="8"/>
        <v/>
      </c>
      <c r="Z50" s="180" t="str">
        <f t="shared" si="9"/>
        <v/>
      </c>
    </row>
    <row r="51" spans="1:26" x14ac:dyDescent="0.25">
      <c r="A51" s="35">
        <v>48</v>
      </c>
      <c r="B51" s="5">
        <v>48</v>
      </c>
      <c r="C51" s="6"/>
      <c r="D51" s="6"/>
      <c r="E51" s="7"/>
      <c r="F51" s="7"/>
      <c r="G51" s="7"/>
      <c r="H51" s="7"/>
      <c r="I51" s="8"/>
      <c r="J51" s="7"/>
      <c r="K51" s="7"/>
      <c r="L51" s="7"/>
      <c r="M51" s="7"/>
      <c r="O51" s="182">
        <f t="shared" ca="1" si="2"/>
        <v>125</v>
      </c>
      <c r="P51" s="182" t="str">
        <f t="shared" si="3"/>
        <v/>
      </c>
      <c r="Q51" s="183" t="str">
        <f t="shared" si="4"/>
        <v/>
      </c>
      <c r="R51" s="181" t="str">
        <f>"D:\IMS Images\Headshots\CBB\"&amp;'Team Info'!$B$12&amp;"\"&amp;D51&amp;"_"&amp;C51&amp;".png"</f>
        <v>D:\IMS Images\Headshots\CBB\LSU\_.png</v>
      </c>
      <c r="S51" s="181" t="str">
        <f>"D:\IMS Images\ActionShots\CBB\"&amp;'Team Info'!$B$12&amp;"\"&amp;D51&amp;"_"&amp;C51&amp;".png"</f>
        <v>D:\IMS Images\ActionShots\CBB\LSU\_.png</v>
      </c>
      <c r="T51" s="180" t="str">
        <f t="shared" si="10"/>
        <v xml:space="preserve"> </v>
      </c>
      <c r="U51" s="180" t="str">
        <f t="shared" si="11"/>
        <v xml:space="preserve">. </v>
      </c>
      <c r="V51" s="180" t="str">
        <f t="shared" si="5"/>
        <v/>
      </c>
      <c r="W51" s="180" t="str">
        <f t="shared" si="6"/>
        <v xml:space="preserve"> </v>
      </c>
      <c r="X51" s="180" t="str">
        <f t="shared" si="7"/>
        <v/>
      </c>
      <c r="Y51" s="180" t="str">
        <f t="shared" si="8"/>
        <v/>
      </c>
      <c r="Z51" s="180" t="str">
        <f t="shared" si="9"/>
        <v/>
      </c>
    </row>
    <row r="52" spans="1:26" x14ac:dyDescent="0.25">
      <c r="A52" s="35">
        <v>49</v>
      </c>
      <c r="B52" s="5">
        <v>49</v>
      </c>
      <c r="C52" s="6"/>
      <c r="D52" s="6"/>
      <c r="E52" s="7"/>
      <c r="F52" s="7"/>
      <c r="G52" s="7"/>
      <c r="H52" s="7"/>
      <c r="I52" s="8"/>
      <c r="J52" s="7"/>
      <c r="K52" s="7"/>
      <c r="L52" s="7"/>
      <c r="M52" s="7"/>
      <c r="O52" s="182">
        <f t="shared" ca="1" si="2"/>
        <v>125</v>
      </c>
      <c r="P52" s="182" t="str">
        <f t="shared" si="3"/>
        <v/>
      </c>
      <c r="Q52" s="183" t="str">
        <f t="shared" si="4"/>
        <v/>
      </c>
      <c r="R52" s="181" t="str">
        <f>"D:\IMS Images\Headshots\CBB\"&amp;'Team Info'!$B$12&amp;"\"&amp;D52&amp;"_"&amp;C52&amp;".png"</f>
        <v>D:\IMS Images\Headshots\CBB\LSU\_.png</v>
      </c>
      <c r="S52" s="181" t="str">
        <f>"D:\IMS Images\ActionShots\CBB\"&amp;'Team Info'!$B$12&amp;"\"&amp;D52&amp;"_"&amp;C52&amp;".png"</f>
        <v>D:\IMS Images\ActionShots\CBB\LSU\_.png</v>
      </c>
      <c r="T52" s="180" t="str">
        <f t="shared" si="10"/>
        <v xml:space="preserve"> </v>
      </c>
      <c r="U52" s="180" t="str">
        <f t="shared" si="11"/>
        <v xml:space="preserve">. </v>
      </c>
      <c r="V52" s="180" t="str">
        <f t="shared" si="5"/>
        <v/>
      </c>
      <c r="W52" s="180" t="str">
        <f t="shared" si="6"/>
        <v xml:space="preserve"> </v>
      </c>
      <c r="X52" s="180" t="str">
        <f t="shared" si="7"/>
        <v/>
      </c>
      <c r="Y52" s="180" t="str">
        <f t="shared" si="8"/>
        <v/>
      </c>
      <c r="Z52" s="180" t="str">
        <f t="shared" si="9"/>
        <v/>
      </c>
    </row>
    <row r="53" spans="1:26" x14ac:dyDescent="0.25">
      <c r="A53" s="35">
        <v>50</v>
      </c>
      <c r="B53" s="5">
        <v>50</v>
      </c>
      <c r="C53" s="6"/>
      <c r="D53" s="6"/>
      <c r="E53" s="7"/>
      <c r="F53" s="7"/>
      <c r="G53" s="7"/>
      <c r="H53" s="7"/>
      <c r="I53" s="8"/>
      <c r="J53" s="7"/>
      <c r="K53" s="7"/>
      <c r="L53" s="7"/>
      <c r="M53" s="7"/>
      <c r="O53" s="182">
        <f t="shared" ca="1" si="2"/>
        <v>125</v>
      </c>
      <c r="P53" s="182" t="str">
        <f t="shared" si="3"/>
        <v/>
      </c>
      <c r="Q53" s="183" t="str">
        <f t="shared" si="4"/>
        <v/>
      </c>
      <c r="R53" s="181" t="str">
        <f>"D:\IMS Images\Headshots\CBB\"&amp;'Team Info'!$B$12&amp;"\"&amp;D53&amp;"_"&amp;C53&amp;".png"</f>
        <v>D:\IMS Images\Headshots\CBB\LSU\_.png</v>
      </c>
      <c r="S53" s="181" t="str">
        <f>"D:\IMS Images\ActionShots\CBB\"&amp;'Team Info'!$B$12&amp;"\"&amp;D53&amp;"_"&amp;C53&amp;".png"</f>
        <v>D:\IMS Images\ActionShots\CBB\LSU\_.png</v>
      </c>
      <c r="T53" s="180" t="str">
        <f t="shared" si="10"/>
        <v xml:space="preserve"> </v>
      </c>
      <c r="U53" s="180" t="str">
        <f t="shared" si="11"/>
        <v xml:space="preserve">. </v>
      </c>
      <c r="V53" s="180" t="str">
        <f t="shared" si="5"/>
        <v/>
      </c>
      <c r="W53" s="180" t="str">
        <f t="shared" si="6"/>
        <v xml:space="preserve"> </v>
      </c>
      <c r="X53" s="180" t="str">
        <f t="shared" si="7"/>
        <v/>
      </c>
      <c r="Y53" s="180" t="str">
        <f t="shared" si="8"/>
        <v/>
      </c>
      <c r="Z53" s="180" t="str">
        <f t="shared" si="9"/>
        <v/>
      </c>
    </row>
    <row r="54" spans="1:26" x14ac:dyDescent="0.25">
      <c r="A54" s="35">
        <v>51</v>
      </c>
      <c r="B54" s="5">
        <v>51</v>
      </c>
      <c r="C54" s="6"/>
      <c r="D54" s="6"/>
      <c r="E54" s="7"/>
      <c r="F54" s="7"/>
      <c r="G54" s="7"/>
      <c r="H54" s="7"/>
      <c r="I54" s="8"/>
      <c r="J54" s="7"/>
      <c r="K54" s="7"/>
      <c r="L54" s="7"/>
      <c r="M54" s="7"/>
      <c r="O54" s="182">
        <f t="shared" ca="1" si="2"/>
        <v>125</v>
      </c>
      <c r="P54" s="182" t="str">
        <f t="shared" si="3"/>
        <v/>
      </c>
      <c r="Q54" s="183" t="str">
        <f t="shared" si="4"/>
        <v/>
      </c>
      <c r="R54" s="181" t="str">
        <f>"D:\IMS Images\Headshots\CBB\"&amp;'Team Info'!$B$12&amp;"\"&amp;D54&amp;"_"&amp;C54&amp;".png"</f>
        <v>D:\IMS Images\Headshots\CBB\LSU\_.png</v>
      </c>
      <c r="S54" s="181" t="str">
        <f>"D:\IMS Images\ActionShots\CBB\"&amp;'Team Info'!$B$12&amp;"\"&amp;D54&amp;"_"&amp;C54&amp;".png"</f>
        <v>D:\IMS Images\ActionShots\CBB\LSU\_.png</v>
      </c>
      <c r="T54" s="180" t="str">
        <f t="shared" si="10"/>
        <v xml:space="preserve"> </v>
      </c>
      <c r="U54" s="180" t="str">
        <f t="shared" si="11"/>
        <v xml:space="preserve">. </v>
      </c>
      <c r="V54" s="180" t="str">
        <f t="shared" si="5"/>
        <v/>
      </c>
      <c r="W54" s="180" t="str">
        <f t="shared" si="6"/>
        <v xml:space="preserve"> </v>
      </c>
      <c r="X54" s="180" t="str">
        <f t="shared" si="7"/>
        <v/>
      </c>
      <c r="Y54" s="180" t="str">
        <f t="shared" si="8"/>
        <v/>
      </c>
      <c r="Z54" s="180" t="str">
        <f t="shared" si="9"/>
        <v/>
      </c>
    </row>
    <row r="55" spans="1:26" x14ac:dyDescent="0.25">
      <c r="A55" s="35">
        <v>52</v>
      </c>
      <c r="B55" s="5">
        <v>52</v>
      </c>
      <c r="C55" s="6"/>
      <c r="D55" s="6"/>
      <c r="E55" s="7"/>
      <c r="F55" s="7"/>
      <c r="G55" s="7"/>
      <c r="H55" s="7"/>
      <c r="I55" s="8"/>
      <c r="J55" s="7"/>
      <c r="K55" s="7"/>
      <c r="L55" s="7"/>
      <c r="M55" s="7"/>
      <c r="O55" s="182">
        <f t="shared" ca="1" si="2"/>
        <v>125</v>
      </c>
      <c r="P55" s="182" t="str">
        <f t="shared" si="3"/>
        <v/>
      </c>
      <c r="Q55" s="183" t="str">
        <f t="shared" si="4"/>
        <v/>
      </c>
      <c r="R55" s="181" t="str">
        <f>"D:\IMS Images\Headshots\CBB\"&amp;'Team Info'!$B$12&amp;"\"&amp;D55&amp;"_"&amp;C55&amp;".png"</f>
        <v>D:\IMS Images\Headshots\CBB\LSU\_.png</v>
      </c>
      <c r="S55" s="181" t="str">
        <f>"D:\IMS Images\ActionShots\CBB\"&amp;'Team Info'!$B$12&amp;"\"&amp;D55&amp;"_"&amp;C55&amp;".png"</f>
        <v>D:\IMS Images\ActionShots\CBB\LSU\_.png</v>
      </c>
      <c r="T55" s="180" t="str">
        <f t="shared" si="10"/>
        <v xml:space="preserve"> </v>
      </c>
      <c r="U55" s="180" t="str">
        <f t="shared" si="11"/>
        <v xml:space="preserve">. </v>
      </c>
      <c r="V55" s="180" t="str">
        <f t="shared" si="5"/>
        <v/>
      </c>
      <c r="W55" s="180" t="str">
        <f t="shared" si="6"/>
        <v xml:space="preserve"> </v>
      </c>
      <c r="X55" s="180" t="str">
        <f t="shared" si="7"/>
        <v/>
      </c>
      <c r="Y55" s="180" t="str">
        <f t="shared" si="8"/>
        <v/>
      </c>
      <c r="Z55" s="180" t="str">
        <f t="shared" si="9"/>
        <v/>
      </c>
    </row>
    <row r="56" spans="1:26" x14ac:dyDescent="0.25">
      <c r="A56" s="35">
        <v>53</v>
      </c>
      <c r="B56" s="5">
        <v>53</v>
      </c>
      <c r="C56" s="6"/>
      <c r="D56" s="6"/>
      <c r="E56" s="7"/>
      <c r="F56" s="7"/>
      <c r="G56" s="7"/>
      <c r="H56" s="7"/>
      <c r="I56" s="8"/>
      <c r="J56" s="7"/>
      <c r="K56" s="7"/>
      <c r="L56" s="7"/>
      <c r="M56" s="7"/>
      <c r="O56" s="182">
        <f t="shared" ca="1" si="2"/>
        <v>125</v>
      </c>
      <c r="P56" s="182" t="str">
        <f t="shared" si="3"/>
        <v/>
      </c>
      <c r="Q56" s="183" t="str">
        <f t="shared" si="4"/>
        <v/>
      </c>
      <c r="R56" s="181" t="str">
        <f>"D:\IMS Images\Headshots\CBB\"&amp;'Team Info'!$B$12&amp;"\"&amp;D56&amp;"_"&amp;C56&amp;".png"</f>
        <v>D:\IMS Images\Headshots\CBB\LSU\_.png</v>
      </c>
      <c r="S56" s="181" t="str">
        <f>"D:\IMS Images\ActionShots\CBB\"&amp;'Team Info'!$B$12&amp;"\"&amp;D56&amp;"_"&amp;C56&amp;".png"</f>
        <v>D:\IMS Images\ActionShots\CBB\LSU\_.png</v>
      </c>
      <c r="T56" s="180" t="str">
        <f t="shared" si="10"/>
        <v xml:space="preserve"> </v>
      </c>
      <c r="U56" s="180" t="str">
        <f t="shared" si="11"/>
        <v xml:space="preserve">. </v>
      </c>
      <c r="V56" s="180" t="str">
        <f t="shared" si="5"/>
        <v/>
      </c>
      <c r="W56" s="180" t="str">
        <f t="shared" si="6"/>
        <v xml:space="preserve"> </v>
      </c>
      <c r="X56" s="180" t="str">
        <f t="shared" si="7"/>
        <v/>
      </c>
      <c r="Y56" s="180" t="str">
        <f t="shared" si="8"/>
        <v/>
      </c>
      <c r="Z56" s="180" t="str">
        <f t="shared" si="9"/>
        <v/>
      </c>
    </row>
    <row r="57" spans="1:26" x14ac:dyDescent="0.25">
      <c r="A57" s="35">
        <v>54</v>
      </c>
      <c r="B57" s="5">
        <v>54</v>
      </c>
      <c r="C57" s="6"/>
      <c r="D57" s="6"/>
      <c r="E57" s="7"/>
      <c r="F57" s="7"/>
      <c r="G57" s="7"/>
      <c r="H57" s="7"/>
      <c r="I57" s="8"/>
      <c r="J57" s="7"/>
      <c r="K57" s="7"/>
      <c r="L57" s="7"/>
      <c r="M57" s="7"/>
      <c r="O57" s="182">
        <f t="shared" ca="1" si="2"/>
        <v>125</v>
      </c>
      <c r="P57" s="182" t="str">
        <f t="shared" si="3"/>
        <v/>
      </c>
      <c r="Q57" s="183" t="str">
        <f t="shared" si="4"/>
        <v/>
      </c>
      <c r="R57" s="181" t="str">
        <f>"D:\IMS Images\Headshots\CBB\"&amp;'Team Info'!$B$12&amp;"\"&amp;D57&amp;"_"&amp;C57&amp;".png"</f>
        <v>D:\IMS Images\Headshots\CBB\LSU\_.png</v>
      </c>
      <c r="S57" s="181" t="str">
        <f>"D:\IMS Images\ActionShots\CBB\"&amp;'Team Info'!$B$12&amp;"\"&amp;D57&amp;"_"&amp;C57&amp;".png"</f>
        <v>D:\IMS Images\ActionShots\CBB\LSU\_.png</v>
      </c>
      <c r="T57" s="180" t="str">
        <f t="shared" si="10"/>
        <v xml:space="preserve"> </v>
      </c>
      <c r="U57" s="180" t="str">
        <f t="shared" si="11"/>
        <v xml:space="preserve">. </v>
      </c>
      <c r="V57" s="180" t="str">
        <f t="shared" si="5"/>
        <v/>
      </c>
      <c r="W57" s="180" t="str">
        <f t="shared" si="6"/>
        <v xml:space="preserve"> </v>
      </c>
      <c r="X57" s="180" t="str">
        <f t="shared" si="7"/>
        <v/>
      </c>
      <c r="Y57" s="180" t="str">
        <f t="shared" si="8"/>
        <v/>
      </c>
      <c r="Z57" s="180" t="str">
        <f t="shared" si="9"/>
        <v/>
      </c>
    </row>
    <row r="58" spans="1:26" x14ac:dyDescent="0.25">
      <c r="A58" s="35">
        <v>55</v>
      </c>
      <c r="B58" s="5">
        <v>55</v>
      </c>
      <c r="C58" s="6"/>
      <c r="D58" s="6"/>
      <c r="E58" s="7"/>
      <c r="F58" s="7"/>
      <c r="G58" s="7"/>
      <c r="H58" s="7"/>
      <c r="I58" s="8"/>
      <c r="J58" s="7"/>
      <c r="K58" s="7"/>
      <c r="L58" s="7"/>
      <c r="M58" s="7"/>
      <c r="O58" s="182">
        <f t="shared" ca="1" si="2"/>
        <v>125</v>
      </c>
      <c r="P58" s="182" t="str">
        <f t="shared" si="3"/>
        <v/>
      </c>
      <c r="Q58" s="183" t="str">
        <f t="shared" si="4"/>
        <v/>
      </c>
      <c r="R58" s="181" t="str">
        <f>"D:\IMS Images\Headshots\CBB\"&amp;'Team Info'!$B$12&amp;"\"&amp;D58&amp;"_"&amp;C58&amp;".png"</f>
        <v>D:\IMS Images\Headshots\CBB\LSU\_.png</v>
      </c>
      <c r="S58" s="181" t="str">
        <f>"D:\IMS Images\ActionShots\CBB\"&amp;'Team Info'!$B$12&amp;"\"&amp;D58&amp;"_"&amp;C58&amp;".png"</f>
        <v>D:\IMS Images\ActionShots\CBB\LSU\_.png</v>
      </c>
      <c r="T58" s="180" t="str">
        <f t="shared" si="10"/>
        <v xml:space="preserve"> </v>
      </c>
      <c r="U58" s="180" t="str">
        <f t="shared" si="11"/>
        <v xml:space="preserve">. </v>
      </c>
      <c r="V58" s="180" t="str">
        <f t="shared" si="5"/>
        <v/>
      </c>
      <c r="W58" s="180" t="str">
        <f t="shared" si="6"/>
        <v xml:space="preserve"> </v>
      </c>
      <c r="X58" s="180" t="str">
        <f t="shared" si="7"/>
        <v/>
      </c>
      <c r="Y58" s="180" t="str">
        <f t="shared" si="8"/>
        <v/>
      </c>
      <c r="Z58" s="180" t="str">
        <f t="shared" si="9"/>
        <v/>
      </c>
    </row>
    <row r="59" spans="1:26" x14ac:dyDescent="0.25">
      <c r="A59" s="35">
        <v>56</v>
      </c>
      <c r="B59" s="5">
        <v>56</v>
      </c>
      <c r="C59" s="6"/>
      <c r="D59" s="6"/>
      <c r="E59" s="7"/>
      <c r="F59" s="7"/>
      <c r="G59" s="7"/>
      <c r="H59" s="7"/>
      <c r="I59" s="8"/>
      <c r="J59" s="7"/>
      <c r="K59" s="7"/>
      <c r="L59" s="7"/>
      <c r="M59" s="7"/>
      <c r="O59" s="182">
        <f t="shared" ca="1" si="2"/>
        <v>125</v>
      </c>
      <c r="P59" s="182" t="str">
        <f t="shared" si="3"/>
        <v/>
      </c>
      <c r="Q59" s="183" t="str">
        <f t="shared" si="4"/>
        <v/>
      </c>
      <c r="R59" s="181" t="str">
        <f>"D:\IMS Images\Headshots\CBB\"&amp;'Team Info'!$B$12&amp;"\"&amp;D59&amp;"_"&amp;C59&amp;".png"</f>
        <v>D:\IMS Images\Headshots\CBB\LSU\_.png</v>
      </c>
      <c r="S59" s="181" t="str">
        <f>"D:\IMS Images\ActionShots\CBB\"&amp;'Team Info'!$B$12&amp;"\"&amp;D59&amp;"_"&amp;C59&amp;".png"</f>
        <v>D:\IMS Images\ActionShots\CBB\LSU\_.png</v>
      </c>
      <c r="T59" s="180" t="str">
        <f t="shared" si="10"/>
        <v xml:space="preserve"> </v>
      </c>
      <c r="U59" s="180" t="str">
        <f t="shared" si="11"/>
        <v xml:space="preserve">. </v>
      </c>
      <c r="V59" s="180" t="str">
        <f t="shared" si="5"/>
        <v/>
      </c>
      <c r="W59" s="180" t="str">
        <f t="shared" si="6"/>
        <v xml:space="preserve"> </v>
      </c>
      <c r="X59" s="180" t="str">
        <f t="shared" si="7"/>
        <v/>
      </c>
      <c r="Y59" s="180" t="str">
        <f t="shared" si="8"/>
        <v/>
      </c>
      <c r="Z59" s="180" t="str">
        <f t="shared" si="9"/>
        <v/>
      </c>
    </row>
    <row r="60" spans="1:26" x14ac:dyDescent="0.25">
      <c r="A60" s="35">
        <v>57</v>
      </c>
      <c r="B60" s="5">
        <v>57</v>
      </c>
      <c r="C60" s="6"/>
      <c r="D60" s="6"/>
      <c r="E60" s="7"/>
      <c r="F60" s="7"/>
      <c r="G60" s="7"/>
      <c r="H60" s="7"/>
      <c r="I60" s="8"/>
      <c r="J60" s="7"/>
      <c r="K60" s="7"/>
      <c r="L60" s="7"/>
      <c r="M60" s="7"/>
      <c r="O60" s="182">
        <f t="shared" ca="1" si="2"/>
        <v>125</v>
      </c>
      <c r="P60" s="182" t="str">
        <f t="shared" si="3"/>
        <v/>
      </c>
      <c r="Q60" s="183" t="str">
        <f t="shared" si="4"/>
        <v/>
      </c>
      <c r="R60" s="181" t="str">
        <f>"D:\IMS Images\Headshots\CBB\"&amp;'Team Info'!$B$12&amp;"\"&amp;D60&amp;"_"&amp;C60&amp;".png"</f>
        <v>D:\IMS Images\Headshots\CBB\LSU\_.png</v>
      </c>
      <c r="S60" s="181" t="str">
        <f>"D:\IMS Images\ActionShots\CBB\"&amp;'Team Info'!$B$12&amp;"\"&amp;D60&amp;"_"&amp;C60&amp;".png"</f>
        <v>D:\IMS Images\ActionShots\CBB\LSU\_.png</v>
      </c>
      <c r="T60" s="180" t="str">
        <f t="shared" si="10"/>
        <v xml:space="preserve"> </v>
      </c>
      <c r="U60" s="180" t="str">
        <f t="shared" si="11"/>
        <v xml:space="preserve">. </v>
      </c>
      <c r="V60" s="180" t="str">
        <f t="shared" si="5"/>
        <v/>
      </c>
      <c r="W60" s="180" t="str">
        <f t="shared" si="6"/>
        <v xml:space="preserve"> </v>
      </c>
      <c r="X60" s="180" t="str">
        <f t="shared" si="7"/>
        <v/>
      </c>
      <c r="Y60" s="180" t="str">
        <f t="shared" si="8"/>
        <v/>
      </c>
      <c r="Z60" s="180" t="str">
        <f t="shared" si="9"/>
        <v/>
      </c>
    </row>
    <row r="61" spans="1:26" x14ac:dyDescent="0.25">
      <c r="A61" s="35">
        <v>58</v>
      </c>
      <c r="B61" s="5">
        <v>58</v>
      </c>
      <c r="C61" s="6"/>
      <c r="D61" s="6"/>
      <c r="E61" s="7"/>
      <c r="F61" s="7"/>
      <c r="G61" s="7"/>
      <c r="H61" s="7"/>
      <c r="I61" s="8"/>
      <c r="J61" s="7"/>
      <c r="K61" s="7"/>
      <c r="L61" s="7"/>
      <c r="M61" s="7"/>
      <c r="O61" s="182">
        <f t="shared" ca="1" si="2"/>
        <v>125</v>
      </c>
      <c r="P61" s="182" t="str">
        <f t="shared" si="3"/>
        <v/>
      </c>
      <c r="Q61" s="183" t="str">
        <f t="shared" si="4"/>
        <v/>
      </c>
      <c r="R61" s="181" t="str">
        <f>"D:\IMS Images\Headshots\CBB\"&amp;'Team Info'!$B$12&amp;"\"&amp;D61&amp;"_"&amp;C61&amp;".png"</f>
        <v>D:\IMS Images\Headshots\CBB\LSU\_.png</v>
      </c>
      <c r="S61" s="181" t="str">
        <f>"D:\IMS Images\ActionShots\CBB\"&amp;'Team Info'!$B$12&amp;"\"&amp;D61&amp;"_"&amp;C61&amp;".png"</f>
        <v>D:\IMS Images\ActionShots\CBB\LSU\_.png</v>
      </c>
      <c r="T61" s="180" t="str">
        <f t="shared" si="10"/>
        <v xml:space="preserve"> </v>
      </c>
      <c r="U61" s="180" t="str">
        <f t="shared" si="11"/>
        <v xml:space="preserve">. </v>
      </c>
      <c r="V61" s="180" t="str">
        <f t="shared" si="5"/>
        <v/>
      </c>
      <c r="W61" s="180" t="str">
        <f t="shared" si="6"/>
        <v xml:space="preserve"> </v>
      </c>
      <c r="X61" s="180" t="str">
        <f t="shared" si="7"/>
        <v/>
      </c>
      <c r="Y61" s="180" t="str">
        <f t="shared" si="8"/>
        <v/>
      </c>
      <c r="Z61" s="180" t="str">
        <f t="shared" si="9"/>
        <v/>
      </c>
    </row>
    <row r="62" spans="1:26" x14ac:dyDescent="0.25">
      <c r="A62" s="35">
        <v>59</v>
      </c>
      <c r="B62" s="5">
        <v>59</v>
      </c>
      <c r="C62" s="6"/>
      <c r="D62" s="6"/>
      <c r="E62" s="7"/>
      <c r="F62" s="7"/>
      <c r="G62" s="7"/>
      <c r="H62" s="7"/>
      <c r="I62" s="8"/>
      <c r="J62" s="7"/>
      <c r="K62" s="7"/>
      <c r="L62" s="7"/>
      <c r="M62" s="7"/>
      <c r="O62" s="182">
        <f t="shared" ca="1" si="2"/>
        <v>125</v>
      </c>
      <c r="P62" s="182" t="str">
        <f t="shared" si="3"/>
        <v/>
      </c>
      <c r="Q62" s="183" t="str">
        <f t="shared" si="4"/>
        <v/>
      </c>
      <c r="R62" s="181" t="str">
        <f>"D:\IMS Images\Headshots\CBB\"&amp;'Team Info'!$B$12&amp;"\"&amp;D62&amp;"_"&amp;C62&amp;".png"</f>
        <v>D:\IMS Images\Headshots\CBB\LSU\_.png</v>
      </c>
      <c r="S62" s="181" t="str">
        <f>"D:\IMS Images\ActionShots\CBB\"&amp;'Team Info'!$B$12&amp;"\"&amp;D62&amp;"_"&amp;C62&amp;".png"</f>
        <v>D:\IMS Images\ActionShots\CBB\LSU\_.png</v>
      </c>
      <c r="T62" s="180" t="str">
        <f t="shared" si="10"/>
        <v xml:space="preserve"> </v>
      </c>
      <c r="U62" s="180" t="str">
        <f t="shared" si="11"/>
        <v xml:space="preserve">. </v>
      </c>
      <c r="V62" s="180" t="str">
        <f t="shared" si="5"/>
        <v/>
      </c>
      <c r="W62" s="180" t="str">
        <f t="shared" si="6"/>
        <v xml:space="preserve"> </v>
      </c>
      <c r="X62" s="180" t="str">
        <f t="shared" si="7"/>
        <v/>
      </c>
      <c r="Y62" s="180" t="str">
        <f t="shared" si="8"/>
        <v/>
      </c>
      <c r="Z62" s="180" t="str">
        <f t="shared" si="9"/>
        <v/>
      </c>
    </row>
    <row r="63" spans="1:26" x14ac:dyDescent="0.25">
      <c r="A63" s="35">
        <v>60</v>
      </c>
      <c r="B63" s="5">
        <v>60</v>
      </c>
      <c r="C63" s="6"/>
      <c r="D63" s="6"/>
      <c r="E63" s="7"/>
      <c r="F63" s="7"/>
      <c r="G63" s="7"/>
      <c r="H63" s="7"/>
      <c r="I63" s="8"/>
      <c r="J63" s="7"/>
      <c r="K63" s="7"/>
      <c r="L63" s="7"/>
      <c r="M63" s="7"/>
      <c r="O63" s="182">
        <f t="shared" ca="1" si="2"/>
        <v>125</v>
      </c>
      <c r="P63" s="182" t="str">
        <f t="shared" si="3"/>
        <v/>
      </c>
      <c r="Q63" s="183" t="str">
        <f t="shared" si="4"/>
        <v/>
      </c>
      <c r="R63" s="181" t="str">
        <f>"D:\IMS Images\Headshots\CBB\"&amp;'Team Info'!$B$12&amp;"\"&amp;D63&amp;"_"&amp;C63&amp;".png"</f>
        <v>D:\IMS Images\Headshots\CBB\LSU\_.png</v>
      </c>
      <c r="S63" s="181" t="str">
        <f>"D:\IMS Images\ActionShots\CBB\"&amp;'Team Info'!$B$12&amp;"\"&amp;D63&amp;"_"&amp;C63&amp;".png"</f>
        <v>D:\IMS Images\ActionShots\CBB\LSU\_.png</v>
      </c>
      <c r="T63" s="180" t="str">
        <f t="shared" si="10"/>
        <v xml:space="preserve"> </v>
      </c>
      <c r="U63" s="180" t="str">
        <f t="shared" si="11"/>
        <v xml:space="preserve">. </v>
      </c>
      <c r="V63" s="180" t="str">
        <f t="shared" si="5"/>
        <v/>
      </c>
      <c r="W63" s="180" t="str">
        <f t="shared" si="6"/>
        <v xml:space="preserve"> </v>
      </c>
      <c r="X63" s="180" t="str">
        <f t="shared" si="7"/>
        <v/>
      </c>
      <c r="Y63" s="180" t="str">
        <f t="shared" si="8"/>
        <v/>
      </c>
      <c r="Z63" s="180" t="str">
        <f t="shared" si="9"/>
        <v/>
      </c>
    </row>
    <row r="64" spans="1:26" x14ac:dyDescent="0.25">
      <c r="A64" s="35">
        <v>61</v>
      </c>
      <c r="B64" s="5">
        <v>61</v>
      </c>
      <c r="C64" s="6"/>
      <c r="D64" s="6"/>
      <c r="E64" s="7"/>
      <c r="F64" s="7"/>
      <c r="G64" s="7"/>
      <c r="H64" s="7"/>
      <c r="I64" s="8"/>
      <c r="J64" s="7"/>
      <c r="K64" s="7"/>
      <c r="L64" s="7"/>
      <c r="M64" s="7"/>
      <c r="O64" s="182">
        <f t="shared" ca="1" si="2"/>
        <v>125</v>
      </c>
      <c r="P64" s="182" t="str">
        <f t="shared" si="3"/>
        <v/>
      </c>
      <c r="Q64" s="183" t="str">
        <f t="shared" si="4"/>
        <v/>
      </c>
      <c r="R64" s="181" t="str">
        <f>"D:\IMS Images\Headshots\CBB\"&amp;'Team Info'!$B$12&amp;"\"&amp;D64&amp;"_"&amp;C64&amp;".png"</f>
        <v>D:\IMS Images\Headshots\CBB\LSU\_.png</v>
      </c>
      <c r="S64" s="181" t="str">
        <f>"D:\IMS Images\ActionShots\CBB\"&amp;'Team Info'!$B$12&amp;"\"&amp;D64&amp;"_"&amp;C64&amp;".png"</f>
        <v>D:\IMS Images\ActionShots\CBB\LSU\_.png</v>
      </c>
      <c r="T64" s="180" t="str">
        <f t="shared" si="10"/>
        <v xml:space="preserve"> </v>
      </c>
      <c r="U64" s="180" t="str">
        <f t="shared" si="11"/>
        <v xml:space="preserve">. </v>
      </c>
      <c r="V64" s="180" t="str">
        <f t="shared" si="5"/>
        <v/>
      </c>
      <c r="W64" s="180" t="str">
        <f t="shared" si="6"/>
        <v xml:space="preserve"> </v>
      </c>
      <c r="X64" s="180" t="str">
        <f t="shared" si="7"/>
        <v/>
      </c>
      <c r="Y64" s="180" t="str">
        <f t="shared" si="8"/>
        <v/>
      </c>
      <c r="Z64" s="180" t="str">
        <f t="shared" si="9"/>
        <v/>
      </c>
    </row>
    <row r="65" spans="1:26" x14ac:dyDescent="0.25">
      <c r="A65" s="35">
        <v>62</v>
      </c>
      <c r="B65" s="5">
        <v>62</v>
      </c>
      <c r="C65" s="6"/>
      <c r="D65" s="6"/>
      <c r="E65" s="7"/>
      <c r="F65" s="7"/>
      <c r="G65" s="7"/>
      <c r="H65" s="7"/>
      <c r="I65" s="8"/>
      <c r="J65" s="7"/>
      <c r="K65" s="7"/>
      <c r="L65" s="7"/>
      <c r="M65" s="7"/>
      <c r="O65" s="182">
        <f t="shared" ca="1" si="2"/>
        <v>125</v>
      </c>
      <c r="P65" s="182" t="str">
        <f t="shared" si="3"/>
        <v/>
      </c>
      <c r="Q65" s="183" t="str">
        <f t="shared" si="4"/>
        <v/>
      </c>
      <c r="R65" s="181" t="str">
        <f>"D:\IMS Images\Headshots\CBB\"&amp;'Team Info'!$B$12&amp;"\"&amp;D65&amp;"_"&amp;C65&amp;".png"</f>
        <v>D:\IMS Images\Headshots\CBB\LSU\_.png</v>
      </c>
      <c r="S65" s="181" t="str">
        <f>"D:\IMS Images\ActionShots\CBB\"&amp;'Team Info'!$B$12&amp;"\"&amp;D65&amp;"_"&amp;C65&amp;".png"</f>
        <v>D:\IMS Images\ActionShots\CBB\LSU\_.png</v>
      </c>
      <c r="T65" s="180" t="str">
        <f t="shared" si="10"/>
        <v xml:space="preserve"> </v>
      </c>
      <c r="U65" s="180" t="str">
        <f t="shared" si="11"/>
        <v xml:space="preserve">. </v>
      </c>
      <c r="V65" s="180" t="str">
        <f t="shared" si="5"/>
        <v/>
      </c>
      <c r="W65" s="180" t="str">
        <f t="shared" si="6"/>
        <v xml:space="preserve"> </v>
      </c>
      <c r="X65" s="180" t="str">
        <f t="shared" si="7"/>
        <v/>
      </c>
      <c r="Y65" s="180" t="str">
        <f t="shared" si="8"/>
        <v/>
      </c>
      <c r="Z65" s="180" t="str">
        <f t="shared" si="9"/>
        <v/>
      </c>
    </row>
    <row r="66" spans="1:26" x14ac:dyDescent="0.25">
      <c r="A66" s="35">
        <v>63</v>
      </c>
      <c r="B66" s="5">
        <v>63</v>
      </c>
      <c r="C66" s="6"/>
      <c r="D66" s="6"/>
      <c r="E66" s="7"/>
      <c r="F66" s="7"/>
      <c r="G66" s="7"/>
      <c r="H66" s="7"/>
      <c r="I66" s="8"/>
      <c r="J66" s="7"/>
      <c r="K66" s="7"/>
      <c r="L66" s="7"/>
      <c r="M66" s="7"/>
      <c r="O66" s="182">
        <f t="shared" ca="1" si="2"/>
        <v>125</v>
      </c>
      <c r="P66" s="182" t="str">
        <f t="shared" si="3"/>
        <v/>
      </c>
      <c r="Q66" s="183" t="str">
        <f t="shared" si="4"/>
        <v/>
      </c>
      <c r="R66" s="181" t="str">
        <f>"D:\IMS Images\Headshots\CBB\"&amp;'Team Info'!$B$12&amp;"\"&amp;D66&amp;"_"&amp;C66&amp;".png"</f>
        <v>D:\IMS Images\Headshots\CBB\LSU\_.png</v>
      </c>
      <c r="S66" s="181" t="str">
        <f>"D:\IMS Images\ActionShots\CBB\"&amp;'Team Info'!$B$12&amp;"\"&amp;D66&amp;"_"&amp;C66&amp;".png"</f>
        <v>D:\IMS Images\ActionShots\CBB\LSU\_.png</v>
      </c>
      <c r="T66" s="180" t="str">
        <f t="shared" si="10"/>
        <v xml:space="preserve"> </v>
      </c>
      <c r="U66" s="180" t="str">
        <f t="shared" si="11"/>
        <v xml:space="preserve">. </v>
      </c>
      <c r="V66" s="180" t="str">
        <f t="shared" si="5"/>
        <v/>
      </c>
      <c r="W66" s="180" t="str">
        <f t="shared" si="6"/>
        <v xml:space="preserve"> </v>
      </c>
      <c r="X66" s="180" t="str">
        <f t="shared" si="7"/>
        <v/>
      </c>
      <c r="Y66" s="180" t="str">
        <f t="shared" si="8"/>
        <v/>
      </c>
      <c r="Z66" s="180" t="str">
        <f t="shared" si="9"/>
        <v/>
      </c>
    </row>
    <row r="67" spans="1:26" x14ac:dyDescent="0.25">
      <c r="A67" s="35">
        <v>64</v>
      </c>
      <c r="B67" s="5">
        <v>64</v>
      </c>
      <c r="C67" s="6"/>
      <c r="D67" s="6"/>
      <c r="E67" s="7"/>
      <c r="F67" s="7"/>
      <c r="G67" s="7"/>
      <c r="H67" s="7"/>
      <c r="I67" s="8"/>
      <c r="J67" s="7"/>
      <c r="K67" s="7"/>
      <c r="L67" s="7"/>
      <c r="M67" s="7"/>
      <c r="O67" s="182">
        <f t="shared" ca="1" si="2"/>
        <v>125</v>
      </c>
      <c r="P67" s="182" t="str">
        <f t="shared" si="3"/>
        <v/>
      </c>
      <c r="Q67" s="183" t="str">
        <f t="shared" si="4"/>
        <v/>
      </c>
      <c r="R67" s="181" t="str">
        <f>"D:\IMS Images\Headshots\CBB\"&amp;'Team Info'!$B$12&amp;"\"&amp;D67&amp;"_"&amp;C67&amp;".png"</f>
        <v>D:\IMS Images\Headshots\CBB\LSU\_.png</v>
      </c>
      <c r="S67" s="181" t="str">
        <f>"D:\IMS Images\ActionShots\CBB\"&amp;'Team Info'!$B$12&amp;"\"&amp;D67&amp;"_"&amp;C67&amp;".png"</f>
        <v>D:\IMS Images\ActionShots\CBB\LSU\_.png</v>
      </c>
      <c r="T67" s="180" t="str">
        <f t="shared" si="10"/>
        <v xml:space="preserve"> </v>
      </c>
      <c r="U67" s="180" t="str">
        <f t="shared" si="11"/>
        <v xml:space="preserve">. </v>
      </c>
      <c r="V67" s="180" t="str">
        <f t="shared" si="5"/>
        <v/>
      </c>
      <c r="W67" s="180" t="str">
        <f t="shared" si="6"/>
        <v xml:space="preserve"> </v>
      </c>
      <c r="X67" s="180" t="str">
        <f t="shared" si="7"/>
        <v/>
      </c>
      <c r="Y67" s="180" t="str">
        <f t="shared" si="8"/>
        <v/>
      </c>
      <c r="Z67" s="180" t="str">
        <f t="shared" si="9"/>
        <v/>
      </c>
    </row>
    <row r="68" spans="1:26" x14ac:dyDescent="0.25">
      <c r="A68" s="35">
        <v>65</v>
      </c>
      <c r="B68" s="5">
        <v>65</v>
      </c>
      <c r="C68" s="6"/>
      <c r="D68" s="6"/>
      <c r="E68" s="7"/>
      <c r="F68" s="7"/>
      <c r="G68" s="7"/>
      <c r="H68" s="7"/>
      <c r="I68" s="8"/>
      <c r="J68" s="7"/>
      <c r="K68" s="7"/>
      <c r="L68" s="7"/>
      <c r="M68" s="7"/>
      <c r="O68" s="182">
        <f t="shared" ca="1" si="2"/>
        <v>125</v>
      </c>
      <c r="P68" s="182" t="str">
        <f t="shared" si="3"/>
        <v/>
      </c>
      <c r="Q68" s="183" t="str">
        <f t="shared" si="4"/>
        <v/>
      </c>
      <c r="R68" s="181" t="str">
        <f>"D:\IMS Images\Headshots\CBB\"&amp;'Team Info'!$B$12&amp;"\"&amp;D68&amp;"_"&amp;C68&amp;".png"</f>
        <v>D:\IMS Images\Headshots\CBB\LSU\_.png</v>
      </c>
      <c r="S68" s="181" t="str">
        <f>"D:\IMS Images\ActionShots\CBB\"&amp;'Team Info'!$B$12&amp;"\"&amp;D68&amp;"_"&amp;C68&amp;".png"</f>
        <v>D:\IMS Images\ActionShots\CBB\LSU\_.png</v>
      </c>
      <c r="T68" s="180" t="str">
        <f t="shared" ref="T68:T102" si="12">C68&amp;" "&amp;D68</f>
        <v xml:space="preserve"> </v>
      </c>
      <c r="U68" s="180" t="str">
        <f t="shared" ref="U68:U102" si="13">LEFT(C68,1)&amp;". "&amp;D68</f>
        <v xml:space="preserve">. </v>
      </c>
      <c r="V68" s="180" t="str">
        <f t="shared" si="5"/>
        <v/>
      </c>
      <c r="W68" s="180" t="str">
        <f t="shared" si="6"/>
        <v xml:space="preserve"> </v>
      </c>
      <c r="X68" s="180" t="str">
        <f t="shared" si="7"/>
        <v/>
      </c>
      <c r="Y68" s="180" t="str">
        <f t="shared" si="8"/>
        <v/>
      </c>
      <c r="Z68" s="180" t="str">
        <f t="shared" si="9"/>
        <v/>
      </c>
    </row>
    <row r="69" spans="1:26" x14ac:dyDescent="0.25">
      <c r="A69" s="35">
        <v>66</v>
      </c>
      <c r="B69" s="5">
        <v>66</v>
      </c>
      <c r="C69" s="6"/>
      <c r="D69" s="6"/>
      <c r="E69" s="7"/>
      <c r="F69" s="7"/>
      <c r="G69" s="7"/>
      <c r="H69" s="7"/>
      <c r="I69" s="8"/>
      <c r="J69" s="7"/>
      <c r="K69" s="7"/>
      <c r="L69" s="7"/>
      <c r="M69" s="7"/>
      <c r="O69" s="182">
        <f t="shared" ref="O69:O102" ca="1" si="14">INT(YEARFRAC($H69, TODAY()))</f>
        <v>125</v>
      </c>
      <c r="P69" s="182" t="str">
        <f t="shared" ref="P69:P102" si="15">IF($E69="G", "Guard", IF($E69="F", "Forward", IF($E69="C", "Center", "")))</f>
        <v/>
      </c>
      <c r="Q69" s="183" t="str">
        <f t="shared" ref="Q69:Q104" si="16">IF($J69="SR", "Senior", IF($J69=4,"Senior",IF($J69="JR", "Junior", IF($J69=3,"Junior",IF($J69="SO", "Sophomore", IF($J69=2,"Sophomore",IF($J69="FR", "Freshman",IF($J69=1,"Freshman",""))))))))</f>
        <v/>
      </c>
      <c r="R69" s="181" t="str">
        <f>"D:\IMS Images\Headshots\CBB\"&amp;'Team Info'!$B$12&amp;"\"&amp;D69&amp;"_"&amp;C69&amp;".png"</f>
        <v>D:\IMS Images\Headshots\CBB\LSU\_.png</v>
      </c>
      <c r="S69" s="181" t="str">
        <f>"D:\IMS Images\ActionShots\CBB\"&amp;'Team Info'!$B$12&amp;"\"&amp;D69&amp;"_"&amp;C69&amp;".png"</f>
        <v>D:\IMS Images\ActionShots\CBB\LSU\_.png</v>
      </c>
      <c r="T69" s="180" t="str">
        <f t="shared" si="12"/>
        <v xml:space="preserve"> </v>
      </c>
      <c r="U69" s="180" t="str">
        <f t="shared" si="13"/>
        <v xml:space="preserve">. </v>
      </c>
      <c r="V69" s="180" t="str">
        <f t="shared" ref="V69:V102" si="17">IF($J69="SR", "SR", IF($J69=4,"SR",IF($J69="JR", "JR", IF($J69=3,"JR",IF($J69="SO", "SO", IF($J69=2,"SO",IF($J69="FR", "FR",IF($J69=1,"FR",""))))))))</f>
        <v/>
      </c>
      <c r="W69" s="180" t="str">
        <f t="shared" ref="W69:W102" si="18">UPPER(T69)</f>
        <v xml:space="preserve"> </v>
      </c>
      <c r="X69" s="180" t="str">
        <f t="shared" ref="X69:X102" si="19">UPPER(C69)</f>
        <v/>
      </c>
      <c r="Y69" s="180" t="str">
        <f t="shared" ref="Y69:Y102" si="20">UPPER(D69)</f>
        <v/>
      </c>
      <c r="Z69" s="180" t="str">
        <f t="shared" ref="Z69:Z102" si="21">UPPER(Q69)</f>
        <v/>
      </c>
    </row>
    <row r="70" spans="1:26" x14ac:dyDescent="0.25">
      <c r="A70" s="35">
        <v>67</v>
      </c>
      <c r="B70" s="5">
        <v>67</v>
      </c>
      <c r="C70" s="6"/>
      <c r="D70" s="6"/>
      <c r="E70" s="7"/>
      <c r="F70" s="7"/>
      <c r="G70" s="7"/>
      <c r="H70" s="7"/>
      <c r="I70" s="8"/>
      <c r="J70" s="7"/>
      <c r="K70" s="7"/>
      <c r="L70" s="7"/>
      <c r="M70" s="7"/>
      <c r="O70" s="182">
        <f t="shared" ca="1" si="14"/>
        <v>125</v>
      </c>
      <c r="P70" s="182" t="str">
        <f t="shared" si="15"/>
        <v/>
      </c>
      <c r="Q70" s="183" t="str">
        <f t="shared" si="16"/>
        <v/>
      </c>
      <c r="R70" s="181" t="str">
        <f>"D:\IMS Images\Headshots\CBB\"&amp;'Team Info'!$B$12&amp;"\"&amp;D70&amp;"_"&amp;C70&amp;".png"</f>
        <v>D:\IMS Images\Headshots\CBB\LSU\_.png</v>
      </c>
      <c r="S70" s="181" t="str">
        <f>"D:\IMS Images\ActionShots\CBB\"&amp;'Team Info'!$B$12&amp;"\"&amp;D70&amp;"_"&amp;C70&amp;".png"</f>
        <v>D:\IMS Images\ActionShots\CBB\LSU\_.png</v>
      </c>
      <c r="T70" s="180" t="str">
        <f t="shared" si="12"/>
        <v xml:space="preserve"> </v>
      </c>
      <c r="U70" s="180" t="str">
        <f t="shared" si="13"/>
        <v xml:space="preserve">. </v>
      </c>
      <c r="V70" s="180" t="str">
        <f t="shared" si="17"/>
        <v/>
      </c>
      <c r="W70" s="180" t="str">
        <f t="shared" si="18"/>
        <v xml:space="preserve"> </v>
      </c>
      <c r="X70" s="180" t="str">
        <f t="shared" si="19"/>
        <v/>
      </c>
      <c r="Y70" s="180" t="str">
        <f t="shared" si="20"/>
        <v/>
      </c>
      <c r="Z70" s="180" t="str">
        <f t="shared" si="21"/>
        <v/>
      </c>
    </row>
    <row r="71" spans="1:26" x14ac:dyDescent="0.25">
      <c r="A71" s="35">
        <v>68</v>
      </c>
      <c r="B71" s="5">
        <v>68</v>
      </c>
      <c r="C71" s="6"/>
      <c r="D71" s="6"/>
      <c r="E71" s="7"/>
      <c r="F71" s="7"/>
      <c r="G71" s="7"/>
      <c r="H71" s="7"/>
      <c r="I71" s="8"/>
      <c r="J71" s="7"/>
      <c r="K71" s="7"/>
      <c r="L71" s="7"/>
      <c r="M71" s="7"/>
      <c r="O71" s="182">
        <f t="shared" ca="1" si="14"/>
        <v>125</v>
      </c>
      <c r="P71" s="182" t="str">
        <f t="shared" si="15"/>
        <v/>
      </c>
      <c r="Q71" s="183" t="str">
        <f t="shared" si="16"/>
        <v/>
      </c>
      <c r="R71" s="181" t="str">
        <f>"D:\IMS Images\Headshots\CBB\"&amp;'Team Info'!$B$12&amp;"\"&amp;D71&amp;"_"&amp;C71&amp;".png"</f>
        <v>D:\IMS Images\Headshots\CBB\LSU\_.png</v>
      </c>
      <c r="S71" s="181" t="str">
        <f>"D:\IMS Images\ActionShots\CBB\"&amp;'Team Info'!$B$12&amp;"\"&amp;D71&amp;"_"&amp;C71&amp;".png"</f>
        <v>D:\IMS Images\ActionShots\CBB\LSU\_.png</v>
      </c>
      <c r="T71" s="180" t="str">
        <f t="shared" si="12"/>
        <v xml:space="preserve"> </v>
      </c>
      <c r="U71" s="180" t="str">
        <f t="shared" si="13"/>
        <v xml:space="preserve">. </v>
      </c>
      <c r="V71" s="180" t="str">
        <f t="shared" si="17"/>
        <v/>
      </c>
      <c r="W71" s="180" t="str">
        <f t="shared" si="18"/>
        <v xml:space="preserve"> </v>
      </c>
      <c r="X71" s="180" t="str">
        <f t="shared" si="19"/>
        <v/>
      </c>
      <c r="Y71" s="180" t="str">
        <f t="shared" si="20"/>
        <v/>
      </c>
      <c r="Z71" s="180" t="str">
        <f t="shared" si="21"/>
        <v/>
      </c>
    </row>
    <row r="72" spans="1:26" x14ac:dyDescent="0.25">
      <c r="A72" s="35">
        <v>69</v>
      </c>
      <c r="B72" s="5">
        <v>69</v>
      </c>
      <c r="C72" s="6"/>
      <c r="D72" s="6"/>
      <c r="E72" s="7"/>
      <c r="F72" s="7"/>
      <c r="G72" s="7"/>
      <c r="H72" s="7"/>
      <c r="I72" s="8"/>
      <c r="J72" s="7"/>
      <c r="K72" s="7"/>
      <c r="L72" s="7"/>
      <c r="M72" s="7"/>
      <c r="O72" s="182">
        <f t="shared" ca="1" si="14"/>
        <v>125</v>
      </c>
      <c r="P72" s="182" t="str">
        <f t="shared" si="15"/>
        <v/>
      </c>
      <c r="Q72" s="183" t="str">
        <f t="shared" si="16"/>
        <v/>
      </c>
      <c r="R72" s="181" t="str">
        <f>"D:\IMS Images\Headshots\CBB\"&amp;'Team Info'!$B$12&amp;"\"&amp;D72&amp;"_"&amp;C72&amp;".png"</f>
        <v>D:\IMS Images\Headshots\CBB\LSU\_.png</v>
      </c>
      <c r="S72" s="181" t="str">
        <f>"D:\IMS Images\ActionShots\CBB\"&amp;'Team Info'!$B$12&amp;"\"&amp;D72&amp;"_"&amp;C72&amp;".png"</f>
        <v>D:\IMS Images\ActionShots\CBB\LSU\_.png</v>
      </c>
      <c r="T72" s="180" t="str">
        <f t="shared" si="12"/>
        <v xml:space="preserve"> </v>
      </c>
      <c r="U72" s="180" t="str">
        <f t="shared" si="13"/>
        <v xml:space="preserve">. </v>
      </c>
      <c r="V72" s="180" t="str">
        <f t="shared" si="17"/>
        <v/>
      </c>
      <c r="W72" s="180" t="str">
        <f t="shared" si="18"/>
        <v xml:space="preserve"> </v>
      </c>
      <c r="X72" s="180" t="str">
        <f t="shared" si="19"/>
        <v/>
      </c>
      <c r="Y72" s="180" t="str">
        <f t="shared" si="20"/>
        <v/>
      </c>
      <c r="Z72" s="180" t="str">
        <f t="shared" si="21"/>
        <v/>
      </c>
    </row>
    <row r="73" spans="1:26" x14ac:dyDescent="0.25">
      <c r="A73" s="35">
        <v>70</v>
      </c>
      <c r="B73" s="5">
        <v>70</v>
      </c>
      <c r="C73" s="6"/>
      <c r="D73" s="6"/>
      <c r="E73" s="7"/>
      <c r="F73" s="7"/>
      <c r="G73" s="7"/>
      <c r="H73" s="7"/>
      <c r="I73" s="8"/>
      <c r="J73" s="7"/>
      <c r="K73" s="7"/>
      <c r="L73" s="7"/>
      <c r="M73" s="7"/>
      <c r="O73" s="182">
        <f t="shared" ca="1" si="14"/>
        <v>125</v>
      </c>
      <c r="P73" s="182" t="str">
        <f t="shared" si="15"/>
        <v/>
      </c>
      <c r="Q73" s="183" t="str">
        <f t="shared" si="16"/>
        <v/>
      </c>
      <c r="R73" s="181" t="str">
        <f>"D:\IMS Images\Headshots\CBB\"&amp;'Team Info'!$B$12&amp;"\"&amp;D73&amp;"_"&amp;C73&amp;".png"</f>
        <v>D:\IMS Images\Headshots\CBB\LSU\_.png</v>
      </c>
      <c r="S73" s="181" t="str">
        <f>"D:\IMS Images\ActionShots\CBB\"&amp;'Team Info'!$B$12&amp;"\"&amp;D73&amp;"_"&amp;C73&amp;".png"</f>
        <v>D:\IMS Images\ActionShots\CBB\LSU\_.png</v>
      </c>
      <c r="T73" s="180" t="str">
        <f t="shared" si="12"/>
        <v xml:space="preserve"> </v>
      </c>
      <c r="U73" s="180" t="str">
        <f t="shared" si="13"/>
        <v xml:space="preserve">. </v>
      </c>
      <c r="V73" s="180" t="str">
        <f t="shared" si="17"/>
        <v/>
      </c>
      <c r="W73" s="180" t="str">
        <f t="shared" si="18"/>
        <v xml:space="preserve"> </v>
      </c>
      <c r="X73" s="180" t="str">
        <f t="shared" si="19"/>
        <v/>
      </c>
      <c r="Y73" s="180" t="str">
        <f t="shared" si="20"/>
        <v/>
      </c>
      <c r="Z73" s="180" t="str">
        <f t="shared" si="21"/>
        <v/>
      </c>
    </row>
    <row r="74" spans="1:26" x14ac:dyDescent="0.25">
      <c r="A74" s="35">
        <v>71</v>
      </c>
      <c r="B74" s="5">
        <v>71</v>
      </c>
      <c r="C74" s="6"/>
      <c r="D74" s="6"/>
      <c r="E74" s="7"/>
      <c r="F74" s="7"/>
      <c r="G74" s="7"/>
      <c r="H74" s="7"/>
      <c r="I74" s="8"/>
      <c r="J74" s="7"/>
      <c r="K74" s="7"/>
      <c r="L74" s="7"/>
      <c r="M74" s="7"/>
      <c r="O74" s="182">
        <f t="shared" ca="1" si="14"/>
        <v>125</v>
      </c>
      <c r="P74" s="182" t="str">
        <f t="shared" si="15"/>
        <v/>
      </c>
      <c r="Q74" s="183" t="str">
        <f t="shared" si="16"/>
        <v/>
      </c>
      <c r="R74" s="181" t="str">
        <f>"D:\IMS Images\Headshots\CBB\"&amp;'Team Info'!$B$12&amp;"\"&amp;D74&amp;"_"&amp;C74&amp;".png"</f>
        <v>D:\IMS Images\Headshots\CBB\LSU\_.png</v>
      </c>
      <c r="S74" s="181" t="str">
        <f>"D:\IMS Images\ActionShots\CBB\"&amp;'Team Info'!$B$12&amp;"\"&amp;D74&amp;"_"&amp;C74&amp;".png"</f>
        <v>D:\IMS Images\ActionShots\CBB\LSU\_.png</v>
      </c>
      <c r="T74" s="180" t="str">
        <f t="shared" si="12"/>
        <v xml:space="preserve"> </v>
      </c>
      <c r="U74" s="180" t="str">
        <f t="shared" si="13"/>
        <v xml:space="preserve">. </v>
      </c>
      <c r="V74" s="180" t="str">
        <f t="shared" si="17"/>
        <v/>
      </c>
      <c r="W74" s="180" t="str">
        <f t="shared" si="18"/>
        <v xml:space="preserve"> </v>
      </c>
      <c r="X74" s="180" t="str">
        <f t="shared" si="19"/>
        <v/>
      </c>
      <c r="Y74" s="180" t="str">
        <f t="shared" si="20"/>
        <v/>
      </c>
      <c r="Z74" s="180" t="str">
        <f t="shared" si="21"/>
        <v/>
      </c>
    </row>
    <row r="75" spans="1:26" x14ac:dyDescent="0.25">
      <c r="A75" s="35">
        <v>72</v>
      </c>
      <c r="B75" s="5">
        <v>72</v>
      </c>
      <c r="C75" s="6"/>
      <c r="D75" s="6"/>
      <c r="E75" s="7"/>
      <c r="F75" s="7"/>
      <c r="G75" s="7"/>
      <c r="H75" s="7"/>
      <c r="I75" s="8"/>
      <c r="J75" s="7"/>
      <c r="K75" s="7"/>
      <c r="L75" s="7"/>
      <c r="M75" s="7"/>
      <c r="O75" s="182">
        <f t="shared" ca="1" si="14"/>
        <v>125</v>
      </c>
      <c r="P75" s="182" t="str">
        <f t="shared" si="15"/>
        <v/>
      </c>
      <c r="Q75" s="183" t="str">
        <f t="shared" si="16"/>
        <v/>
      </c>
      <c r="R75" s="181" t="str">
        <f>"D:\IMS Images\Headshots\CBB\"&amp;'Team Info'!$B$12&amp;"\"&amp;D75&amp;"_"&amp;C75&amp;".png"</f>
        <v>D:\IMS Images\Headshots\CBB\LSU\_.png</v>
      </c>
      <c r="S75" s="181" t="str">
        <f>"D:\IMS Images\ActionShots\CBB\"&amp;'Team Info'!$B$12&amp;"\"&amp;D75&amp;"_"&amp;C75&amp;".png"</f>
        <v>D:\IMS Images\ActionShots\CBB\LSU\_.png</v>
      </c>
      <c r="T75" s="180" t="str">
        <f t="shared" si="12"/>
        <v xml:space="preserve"> </v>
      </c>
      <c r="U75" s="180" t="str">
        <f t="shared" si="13"/>
        <v xml:space="preserve">. </v>
      </c>
      <c r="V75" s="180" t="str">
        <f t="shared" si="17"/>
        <v/>
      </c>
      <c r="W75" s="180" t="str">
        <f t="shared" si="18"/>
        <v xml:space="preserve"> </v>
      </c>
      <c r="X75" s="180" t="str">
        <f t="shared" si="19"/>
        <v/>
      </c>
      <c r="Y75" s="180" t="str">
        <f t="shared" si="20"/>
        <v/>
      </c>
      <c r="Z75" s="180" t="str">
        <f t="shared" si="21"/>
        <v/>
      </c>
    </row>
    <row r="76" spans="1:26" x14ac:dyDescent="0.25">
      <c r="A76" s="35">
        <v>73</v>
      </c>
      <c r="B76" s="5">
        <v>73</v>
      </c>
      <c r="C76" s="6"/>
      <c r="D76" s="6"/>
      <c r="E76" s="7"/>
      <c r="F76" s="7"/>
      <c r="G76" s="7"/>
      <c r="H76" s="7"/>
      <c r="I76" s="8"/>
      <c r="J76" s="7"/>
      <c r="K76" s="7"/>
      <c r="L76" s="7"/>
      <c r="M76" s="7"/>
      <c r="O76" s="182">
        <f t="shared" ca="1" si="14"/>
        <v>125</v>
      </c>
      <c r="P76" s="182" t="str">
        <f t="shared" si="15"/>
        <v/>
      </c>
      <c r="Q76" s="183" t="str">
        <f t="shared" si="16"/>
        <v/>
      </c>
      <c r="R76" s="181" t="str">
        <f>"D:\IMS Images\Headshots\CBB\"&amp;'Team Info'!$B$12&amp;"\"&amp;D76&amp;"_"&amp;C76&amp;".png"</f>
        <v>D:\IMS Images\Headshots\CBB\LSU\_.png</v>
      </c>
      <c r="S76" s="181" t="str">
        <f>"D:\IMS Images\ActionShots\CBB\"&amp;'Team Info'!$B$12&amp;"\"&amp;D76&amp;"_"&amp;C76&amp;".png"</f>
        <v>D:\IMS Images\ActionShots\CBB\LSU\_.png</v>
      </c>
      <c r="T76" s="180" t="str">
        <f t="shared" si="12"/>
        <v xml:space="preserve"> </v>
      </c>
      <c r="U76" s="180" t="str">
        <f t="shared" si="13"/>
        <v xml:space="preserve">. </v>
      </c>
      <c r="V76" s="180" t="str">
        <f t="shared" si="17"/>
        <v/>
      </c>
      <c r="W76" s="180" t="str">
        <f t="shared" si="18"/>
        <v xml:space="preserve"> </v>
      </c>
      <c r="X76" s="180" t="str">
        <f t="shared" si="19"/>
        <v/>
      </c>
      <c r="Y76" s="180" t="str">
        <f t="shared" si="20"/>
        <v/>
      </c>
      <c r="Z76" s="180" t="str">
        <f t="shared" si="21"/>
        <v/>
      </c>
    </row>
    <row r="77" spans="1:26" x14ac:dyDescent="0.25">
      <c r="A77" s="35">
        <v>74</v>
      </c>
      <c r="B77" s="5">
        <v>74</v>
      </c>
      <c r="C77" s="6"/>
      <c r="D77" s="6"/>
      <c r="E77" s="7"/>
      <c r="F77" s="7"/>
      <c r="G77" s="7"/>
      <c r="H77" s="7"/>
      <c r="I77" s="8"/>
      <c r="J77" s="7"/>
      <c r="K77" s="7"/>
      <c r="L77" s="7"/>
      <c r="M77" s="7"/>
      <c r="O77" s="182">
        <f t="shared" ca="1" si="14"/>
        <v>125</v>
      </c>
      <c r="P77" s="182" t="str">
        <f t="shared" si="15"/>
        <v/>
      </c>
      <c r="Q77" s="183" t="str">
        <f t="shared" si="16"/>
        <v/>
      </c>
      <c r="R77" s="181" t="str">
        <f>"D:\IMS Images\Headshots\CBB\"&amp;'Team Info'!$B$12&amp;"\"&amp;D77&amp;"_"&amp;C77&amp;".png"</f>
        <v>D:\IMS Images\Headshots\CBB\LSU\_.png</v>
      </c>
      <c r="S77" s="181" t="str">
        <f>"D:\IMS Images\ActionShots\CBB\"&amp;'Team Info'!$B$12&amp;"\"&amp;D77&amp;"_"&amp;C77&amp;".png"</f>
        <v>D:\IMS Images\ActionShots\CBB\LSU\_.png</v>
      </c>
      <c r="T77" s="180" t="str">
        <f t="shared" si="12"/>
        <v xml:space="preserve"> </v>
      </c>
      <c r="U77" s="180" t="str">
        <f t="shared" si="13"/>
        <v xml:space="preserve">. </v>
      </c>
      <c r="V77" s="180" t="str">
        <f t="shared" si="17"/>
        <v/>
      </c>
      <c r="W77" s="180" t="str">
        <f t="shared" si="18"/>
        <v xml:space="preserve"> </v>
      </c>
      <c r="X77" s="180" t="str">
        <f t="shared" si="19"/>
        <v/>
      </c>
      <c r="Y77" s="180" t="str">
        <f t="shared" si="20"/>
        <v/>
      </c>
      <c r="Z77" s="180" t="str">
        <f t="shared" si="21"/>
        <v/>
      </c>
    </row>
    <row r="78" spans="1:26" x14ac:dyDescent="0.25">
      <c r="A78" s="35">
        <v>75</v>
      </c>
      <c r="B78" s="5">
        <v>75</v>
      </c>
      <c r="C78" s="6"/>
      <c r="D78" s="6"/>
      <c r="E78" s="7"/>
      <c r="F78" s="7"/>
      <c r="G78" s="7"/>
      <c r="H78" s="7"/>
      <c r="I78" s="8"/>
      <c r="J78" s="7"/>
      <c r="K78" s="7"/>
      <c r="L78" s="7"/>
      <c r="M78" s="7"/>
      <c r="O78" s="182">
        <f t="shared" ca="1" si="14"/>
        <v>125</v>
      </c>
      <c r="P78" s="182" t="str">
        <f t="shared" si="15"/>
        <v/>
      </c>
      <c r="Q78" s="183" t="str">
        <f t="shared" si="16"/>
        <v/>
      </c>
      <c r="R78" s="181" t="str">
        <f>"D:\IMS Images\Headshots\CBB\"&amp;'Team Info'!$B$12&amp;"\"&amp;D78&amp;"_"&amp;C78&amp;".png"</f>
        <v>D:\IMS Images\Headshots\CBB\LSU\_.png</v>
      </c>
      <c r="S78" s="181" t="str">
        <f>"D:\IMS Images\ActionShots\CBB\"&amp;'Team Info'!$B$12&amp;"\"&amp;D78&amp;"_"&amp;C78&amp;".png"</f>
        <v>D:\IMS Images\ActionShots\CBB\LSU\_.png</v>
      </c>
      <c r="T78" s="180" t="str">
        <f t="shared" si="12"/>
        <v xml:space="preserve"> </v>
      </c>
      <c r="U78" s="180" t="str">
        <f t="shared" si="13"/>
        <v xml:space="preserve">. </v>
      </c>
      <c r="V78" s="180" t="str">
        <f t="shared" si="17"/>
        <v/>
      </c>
      <c r="W78" s="180" t="str">
        <f t="shared" si="18"/>
        <v xml:space="preserve"> </v>
      </c>
      <c r="X78" s="180" t="str">
        <f t="shared" si="19"/>
        <v/>
      </c>
      <c r="Y78" s="180" t="str">
        <f t="shared" si="20"/>
        <v/>
      </c>
      <c r="Z78" s="180" t="str">
        <f t="shared" si="21"/>
        <v/>
      </c>
    </row>
    <row r="79" spans="1:26" x14ac:dyDescent="0.25">
      <c r="A79" s="35">
        <v>76</v>
      </c>
      <c r="B79" s="5">
        <v>76</v>
      </c>
      <c r="C79" s="6"/>
      <c r="D79" s="6"/>
      <c r="E79" s="7"/>
      <c r="F79" s="7"/>
      <c r="G79" s="7"/>
      <c r="H79" s="7"/>
      <c r="I79" s="8"/>
      <c r="J79" s="7"/>
      <c r="K79" s="7"/>
      <c r="L79" s="7"/>
      <c r="M79" s="7"/>
      <c r="O79" s="182">
        <f t="shared" ca="1" si="14"/>
        <v>125</v>
      </c>
      <c r="P79" s="182" t="str">
        <f t="shared" si="15"/>
        <v/>
      </c>
      <c r="Q79" s="183" t="str">
        <f t="shared" si="16"/>
        <v/>
      </c>
      <c r="R79" s="181" t="str">
        <f>"D:\IMS Images\Headshots\CBB\"&amp;'Team Info'!$B$12&amp;"\"&amp;D79&amp;"_"&amp;C79&amp;".png"</f>
        <v>D:\IMS Images\Headshots\CBB\LSU\_.png</v>
      </c>
      <c r="S79" s="181" t="str">
        <f>"D:\IMS Images\ActionShots\CBB\"&amp;'Team Info'!$B$12&amp;"\"&amp;D79&amp;"_"&amp;C79&amp;".png"</f>
        <v>D:\IMS Images\ActionShots\CBB\LSU\_.png</v>
      </c>
      <c r="T79" s="180" t="str">
        <f t="shared" si="12"/>
        <v xml:space="preserve"> </v>
      </c>
      <c r="U79" s="180" t="str">
        <f t="shared" si="13"/>
        <v xml:space="preserve">. </v>
      </c>
      <c r="V79" s="180" t="str">
        <f t="shared" si="17"/>
        <v/>
      </c>
      <c r="W79" s="180" t="str">
        <f t="shared" si="18"/>
        <v xml:space="preserve"> </v>
      </c>
      <c r="X79" s="180" t="str">
        <f t="shared" si="19"/>
        <v/>
      </c>
      <c r="Y79" s="180" t="str">
        <f t="shared" si="20"/>
        <v/>
      </c>
      <c r="Z79" s="180" t="str">
        <f t="shared" si="21"/>
        <v/>
      </c>
    </row>
    <row r="80" spans="1:26" x14ac:dyDescent="0.25">
      <c r="A80" s="35">
        <v>77</v>
      </c>
      <c r="B80" s="5">
        <v>77</v>
      </c>
      <c r="C80" s="6"/>
      <c r="D80" s="6"/>
      <c r="E80" s="7"/>
      <c r="F80" s="7"/>
      <c r="G80" s="7"/>
      <c r="H80" s="7"/>
      <c r="I80" s="8"/>
      <c r="J80" s="7"/>
      <c r="K80" s="7"/>
      <c r="L80" s="7"/>
      <c r="M80" s="7"/>
      <c r="O80" s="182">
        <f t="shared" ca="1" si="14"/>
        <v>125</v>
      </c>
      <c r="P80" s="182" t="str">
        <f t="shared" si="15"/>
        <v/>
      </c>
      <c r="Q80" s="183" t="str">
        <f t="shared" si="16"/>
        <v/>
      </c>
      <c r="R80" s="181" t="str">
        <f>"D:\IMS Images\Headshots\CBB\"&amp;'Team Info'!$B$12&amp;"\"&amp;D80&amp;"_"&amp;C80&amp;".png"</f>
        <v>D:\IMS Images\Headshots\CBB\LSU\_.png</v>
      </c>
      <c r="S80" s="181" t="str">
        <f>"D:\IMS Images\ActionShots\CBB\"&amp;'Team Info'!$B$12&amp;"\"&amp;D80&amp;"_"&amp;C80&amp;".png"</f>
        <v>D:\IMS Images\ActionShots\CBB\LSU\_.png</v>
      </c>
      <c r="T80" s="180" t="str">
        <f t="shared" si="12"/>
        <v xml:space="preserve"> </v>
      </c>
      <c r="U80" s="180" t="str">
        <f t="shared" si="13"/>
        <v xml:space="preserve">. </v>
      </c>
      <c r="V80" s="180" t="str">
        <f t="shared" si="17"/>
        <v/>
      </c>
      <c r="W80" s="180" t="str">
        <f t="shared" si="18"/>
        <v xml:space="preserve"> </v>
      </c>
      <c r="X80" s="180" t="str">
        <f t="shared" si="19"/>
        <v/>
      </c>
      <c r="Y80" s="180" t="str">
        <f t="shared" si="20"/>
        <v/>
      </c>
      <c r="Z80" s="180" t="str">
        <f t="shared" si="21"/>
        <v/>
      </c>
    </row>
    <row r="81" spans="1:26" x14ac:dyDescent="0.25">
      <c r="A81" s="35">
        <v>78</v>
      </c>
      <c r="B81" s="5">
        <v>78</v>
      </c>
      <c r="C81" s="6"/>
      <c r="D81" s="6"/>
      <c r="E81" s="7"/>
      <c r="F81" s="7"/>
      <c r="G81" s="7"/>
      <c r="H81" s="7"/>
      <c r="I81" s="8"/>
      <c r="J81" s="7"/>
      <c r="K81" s="7"/>
      <c r="L81" s="7"/>
      <c r="M81" s="7"/>
      <c r="O81" s="182">
        <f t="shared" ca="1" si="14"/>
        <v>125</v>
      </c>
      <c r="P81" s="182" t="str">
        <f t="shared" si="15"/>
        <v/>
      </c>
      <c r="Q81" s="183" t="str">
        <f t="shared" si="16"/>
        <v/>
      </c>
      <c r="R81" s="181" t="str">
        <f>"D:\IMS Images\Headshots\CBB\"&amp;'Team Info'!$B$12&amp;"\"&amp;D81&amp;"_"&amp;C81&amp;".png"</f>
        <v>D:\IMS Images\Headshots\CBB\LSU\_.png</v>
      </c>
      <c r="S81" s="181" t="str">
        <f>"D:\IMS Images\ActionShots\CBB\"&amp;'Team Info'!$B$12&amp;"\"&amp;D81&amp;"_"&amp;C81&amp;".png"</f>
        <v>D:\IMS Images\ActionShots\CBB\LSU\_.png</v>
      </c>
      <c r="T81" s="180" t="str">
        <f t="shared" si="12"/>
        <v xml:space="preserve"> </v>
      </c>
      <c r="U81" s="180" t="str">
        <f t="shared" si="13"/>
        <v xml:space="preserve">. </v>
      </c>
      <c r="V81" s="180" t="str">
        <f t="shared" si="17"/>
        <v/>
      </c>
      <c r="W81" s="180" t="str">
        <f t="shared" si="18"/>
        <v xml:space="preserve"> </v>
      </c>
      <c r="X81" s="180" t="str">
        <f t="shared" si="19"/>
        <v/>
      </c>
      <c r="Y81" s="180" t="str">
        <f t="shared" si="20"/>
        <v/>
      </c>
      <c r="Z81" s="180" t="str">
        <f t="shared" si="21"/>
        <v/>
      </c>
    </row>
    <row r="82" spans="1:26" x14ac:dyDescent="0.25">
      <c r="A82" s="35">
        <v>79</v>
      </c>
      <c r="B82" s="5">
        <v>79</v>
      </c>
      <c r="C82" s="6"/>
      <c r="D82" s="6"/>
      <c r="E82" s="7"/>
      <c r="F82" s="7"/>
      <c r="G82" s="7"/>
      <c r="H82" s="7"/>
      <c r="I82" s="8"/>
      <c r="J82" s="7"/>
      <c r="K82" s="7"/>
      <c r="L82" s="7"/>
      <c r="M82" s="7"/>
      <c r="O82" s="182">
        <f t="shared" ca="1" si="14"/>
        <v>125</v>
      </c>
      <c r="P82" s="182" t="str">
        <f t="shared" si="15"/>
        <v/>
      </c>
      <c r="Q82" s="183" t="str">
        <f t="shared" si="16"/>
        <v/>
      </c>
      <c r="R82" s="181" t="str">
        <f>"D:\IMS Images\Headshots\CBB\"&amp;'Team Info'!$B$12&amp;"\"&amp;D82&amp;"_"&amp;C82&amp;".png"</f>
        <v>D:\IMS Images\Headshots\CBB\LSU\_.png</v>
      </c>
      <c r="S82" s="181" t="str">
        <f>"D:\IMS Images\ActionShots\CBB\"&amp;'Team Info'!$B$12&amp;"\"&amp;D82&amp;"_"&amp;C82&amp;".png"</f>
        <v>D:\IMS Images\ActionShots\CBB\LSU\_.png</v>
      </c>
      <c r="T82" s="180" t="str">
        <f t="shared" si="12"/>
        <v xml:space="preserve"> </v>
      </c>
      <c r="U82" s="180" t="str">
        <f t="shared" si="13"/>
        <v xml:space="preserve">. </v>
      </c>
      <c r="V82" s="180" t="str">
        <f t="shared" si="17"/>
        <v/>
      </c>
      <c r="W82" s="180" t="str">
        <f t="shared" si="18"/>
        <v xml:space="preserve"> </v>
      </c>
      <c r="X82" s="180" t="str">
        <f t="shared" si="19"/>
        <v/>
      </c>
      <c r="Y82" s="180" t="str">
        <f t="shared" si="20"/>
        <v/>
      </c>
      <c r="Z82" s="180" t="str">
        <f t="shared" si="21"/>
        <v/>
      </c>
    </row>
    <row r="83" spans="1:26" x14ac:dyDescent="0.25">
      <c r="A83" s="35">
        <v>80</v>
      </c>
      <c r="B83" s="5">
        <v>80</v>
      </c>
      <c r="C83" s="6"/>
      <c r="D83" s="6"/>
      <c r="E83" s="7"/>
      <c r="F83" s="7"/>
      <c r="G83" s="7"/>
      <c r="H83" s="7"/>
      <c r="I83" s="8"/>
      <c r="J83" s="7"/>
      <c r="K83" s="7"/>
      <c r="L83" s="7"/>
      <c r="M83" s="7"/>
      <c r="O83" s="182">
        <f t="shared" ca="1" si="14"/>
        <v>125</v>
      </c>
      <c r="P83" s="182" t="str">
        <f t="shared" si="15"/>
        <v/>
      </c>
      <c r="Q83" s="183" t="str">
        <f t="shared" si="16"/>
        <v/>
      </c>
      <c r="R83" s="181" t="str">
        <f>"D:\IMS Images\Headshots\CBB\"&amp;'Team Info'!$B$12&amp;"\"&amp;D83&amp;"_"&amp;C83&amp;".png"</f>
        <v>D:\IMS Images\Headshots\CBB\LSU\_.png</v>
      </c>
      <c r="S83" s="181" t="str">
        <f>"D:\IMS Images\ActionShots\CBB\"&amp;'Team Info'!$B$12&amp;"\"&amp;D83&amp;"_"&amp;C83&amp;".png"</f>
        <v>D:\IMS Images\ActionShots\CBB\LSU\_.png</v>
      </c>
      <c r="T83" s="180" t="str">
        <f t="shared" si="12"/>
        <v xml:space="preserve"> </v>
      </c>
      <c r="U83" s="180" t="str">
        <f t="shared" si="13"/>
        <v xml:space="preserve">. </v>
      </c>
      <c r="V83" s="180" t="str">
        <f t="shared" si="17"/>
        <v/>
      </c>
      <c r="W83" s="180" t="str">
        <f t="shared" si="18"/>
        <v xml:space="preserve"> </v>
      </c>
      <c r="X83" s="180" t="str">
        <f t="shared" si="19"/>
        <v/>
      </c>
      <c r="Y83" s="180" t="str">
        <f t="shared" si="20"/>
        <v/>
      </c>
      <c r="Z83" s="180" t="str">
        <f t="shared" si="21"/>
        <v/>
      </c>
    </row>
    <row r="84" spans="1:26" x14ac:dyDescent="0.25">
      <c r="A84" s="35">
        <v>81</v>
      </c>
      <c r="B84" s="5">
        <v>81</v>
      </c>
      <c r="C84" s="6"/>
      <c r="D84" s="6"/>
      <c r="E84" s="7"/>
      <c r="F84" s="7"/>
      <c r="G84" s="7"/>
      <c r="H84" s="7"/>
      <c r="I84" s="8"/>
      <c r="J84" s="7"/>
      <c r="K84" s="7"/>
      <c r="L84" s="7"/>
      <c r="M84" s="7"/>
      <c r="O84" s="182">
        <f t="shared" ca="1" si="14"/>
        <v>125</v>
      </c>
      <c r="P84" s="182" t="str">
        <f t="shared" si="15"/>
        <v/>
      </c>
      <c r="Q84" s="183" t="str">
        <f t="shared" si="16"/>
        <v/>
      </c>
      <c r="R84" s="181" t="str">
        <f>"D:\IMS Images\Headshots\CBB\"&amp;'Team Info'!$B$12&amp;"\"&amp;D84&amp;"_"&amp;C84&amp;".png"</f>
        <v>D:\IMS Images\Headshots\CBB\LSU\_.png</v>
      </c>
      <c r="S84" s="181" t="str">
        <f>"D:\IMS Images\ActionShots\CBB\"&amp;'Team Info'!$B$12&amp;"\"&amp;D84&amp;"_"&amp;C84&amp;".png"</f>
        <v>D:\IMS Images\ActionShots\CBB\LSU\_.png</v>
      </c>
      <c r="T84" s="180" t="str">
        <f t="shared" si="12"/>
        <v xml:space="preserve"> </v>
      </c>
      <c r="U84" s="180" t="str">
        <f t="shared" si="13"/>
        <v xml:space="preserve">. </v>
      </c>
      <c r="V84" s="180" t="str">
        <f t="shared" si="17"/>
        <v/>
      </c>
      <c r="W84" s="180" t="str">
        <f t="shared" si="18"/>
        <v xml:space="preserve"> </v>
      </c>
      <c r="X84" s="180" t="str">
        <f t="shared" si="19"/>
        <v/>
      </c>
      <c r="Y84" s="180" t="str">
        <f t="shared" si="20"/>
        <v/>
      </c>
      <c r="Z84" s="180" t="str">
        <f t="shared" si="21"/>
        <v/>
      </c>
    </row>
    <row r="85" spans="1:26" x14ac:dyDescent="0.25">
      <c r="A85" s="35">
        <v>82</v>
      </c>
      <c r="B85" s="5">
        <v>82</v>
      </c>
      <c r="C85" s="6"/>
      <c r="D85" s="6"/>
      <c r="E85" s="7"/>
      <c r="F85" s="7"/>
      <c r="G85" s="7"/>
      <c r="H85" s="7"/>
      <c r="I85" s="8"/>
      <c r="J85" s="7"/>
      <c r="K85" s="7"/>
      <c r="L85" s="7"/>
      <c r="M85" s="7"/>
      <c r="O85" s="182">
        <f t="shared" ca="1" si="14"/>
        <v>125</v>
      </c>
      <c r="P85" s="182" t="str">
        <f t="shared" si="15"/>
        <v/>
      </c>
      <c r="Q85" s="183" t="str">
        <f t="shared" si="16"/>
        <v/>
      </c>
      <c r="R85" s="181" t="str">
        <f>"D:\IMS Images\Headshots\CBB\"&amp;'Team Info'!$B$12&amp;"\"&amp;D85&amp;"_"&amp;C85&amp;".png"</f>
        <v>D:\IMS Images\Headshots\CBB\LSU\_.png</v>
      </c>
      <c r="S85" s="181" t="str">
        <f>"D:\IMS Images\ActionShots\CBB\"&amp;'Team Info'!$B$12&amp;"\"&amp;D85&amp;"_"&amp;C85&amp;".png"</f>
        <v>D:\IMS Images\ActionShots\CBB\LSU\_.png</v>
      </c>
      <c r="T85" s="180" t="str">
        <f t="shared" si="12"/>
        <v xml:space="preserve"> </v>
      </c>
      <c r="U85" s="180" t="str">
        <f t="shared" si="13"/>
        <v xml:space="preserve">. </v>
      </c>
      <c r="V85" s="180" t="str">
        <f t="shared" si="17"/>
        <v/>
      </c>
      <c r="W85" s="180" t="str">
        <f t="shared" si="18"/>
        <v xml:space="preserve"> </v>
      </c>
      <c r="X85" s="180" t="str">
        <f t="shared" si="19"/>
        <v/>
      </c>
      <c r="Y85" s="180" t="str">
        <f t="shared" si="20"/>
        <v/>
      </c>
      <c r="Z85" s="180" t="str">
        <f t="shared" si="21"/>
        <v/>
      </c>
    </row>
    <row r="86" spans="1:26" x14ac:dyDescent="0.25">
      <c r="A86" s="35">
        <v>83</v>
      </c>
      <c r="B86" s="5">
        <v>83</v>
      </c>
      <c r="C86" s="6"/>
      <c r="D86" s="6"/>
      <c r="E86" s="7"/>
      <c r="F86" s="7"/>
      <c r="G86" s="7"/>
      <c r="H86" s="7"/>
      <c r="I86" s="8"/>
      <c r="J86" s="7"/>
      <c r="K86" s="7"/>
      <c r="L86" s="7"/>
      <c r="M86" s="7"/>
      <c r="O86" s="182">
        <f t="shared" ca="1" si="14"/>
        <v>125</v>
      </c>
      <c r="P86" s="182" t="str">
        <f t="shared" si="15"/>
        <v/>
      </c>
      <c r="Q86" s="183" t="str">
        <f t="shared" si="16"/>
        <v/>
      </c>
      <c r="R86" s="181" t="str">
        <f>"D:\IMS Images\Headshots\CBB\"&amp;'Team Info'!$B$12&amp;"\"&amp;D86&amp;"_"&amp;C86&amp;".png"</f>
        <v>D:\IMS Images\Headshots\CBB\LSU\_.png</v>
      </c>
      <c r="S86" s="181" t="str">
        <f>"D:\IMS Images\ActionShots\CBB\"&amp;'Team Info'!$B$12&amp;"\"&amp;D86&amp;"_"&amp;C86&amp;".png"</f>
        <v>D:\IMS Images\ActionShots\CBB\LSU\_.png</v>
      </c>
      <c r="T86" s="180" t="str">
        <f t="shared" si="12"/>
        <v xml:space="preserve"> </v>
      </c>
      <c r="U86" s="180" t="str">
        <f t="shared" si="13"/>
        <v xml:space="preserve">. </v>
      </c>
      <c r="V86" s="180" t="str">
        <f t="shared" si="17"/>
        <v/>
      </c>
      <c r="W86" s="180" t="str">
        <f t="shared" si="18"/>
        <v xml:space="preserve"> </v>
      </c>
      <c r="X86" s="180" t="str">
        <f t="shared" si="19"/>
        <v/>
      </c>
      <c r="Y86" s="180" t="str">
        <f t="shared" si="20"/>
        <v/>
      </c>
      <c r="Z86" s="180" t="str">
        <f t="shared" si="21"/>
        <v/>
      </c>
    </row>
    <row r="87" spans="1:26" x14ac:dyDescent="0.25">
      <c r="A87" s="35">
        <v>84</v>
      </c>
      <c r="B87" s="5">
        <v>84</v>
      </c>
      <c r="C87" s="6"/>
      <c r="D87" s="6"/>
      <c r="E87" s="7"/>
      <c r="F87" s="7"/>
      <c r="G87" s="7"/>
      <c r="H87" s="7"/>
      <c r="I87" s="8"/>
      <c r="J87" s="7"/>
      <c r="K87" s="7"/>
      <c r="L87" s="7"/>
      <c r="M87" s="7"/>
      <c r="O87" s="182">
        <f t="shared" ca="1" si="14"/>
        <v>125</v>
      </c>
      <c r="P87" s="182" t="str">
        <f t="shared" si="15"/>
        <v/>
      </c>
      <c r="Q87" s="183" t="str">
        <f t="shared" si="16"/>
        <v/>
      </c>
      <c r="R87" s="181" t="str">
        <f>"D:\IMS Images\Headshots\CBB\"&amp;'Team Info'!$B$12&amp;"\"&amp;D87&amp;"_"&amp;C87&amp;".png"</f>
        <v>D:\IMS Images\Headshots\CBB\LSU\_.png</v>
      </c>
      <c r="S87" s="181" t="str">
        <f>"D:\IMS Images\ActionShots\CBB\"&amp;'Team Info'!$B$12&amp;"\"&amp;D87&amp;"_"&amp;C87&amp;".png"</f>
        <v>D:\IMS Images\ActionShots\CBB\LSU\_.png</v>
      </c>
      <c r="T87" s="180" t="str">
        <f t="shared" si="12"/>
        <v xml:space="preserve"> </v>
      </c>
      <c r="U87" s="180" t="str">
        <f t="shared" si="13"/>
        <v xml:space="preserve">. </v>
      </c>
      <c r="V87" s="180" t="str">
        <f t="shared" si="17"/>
        <v/>
      </c>
      <c r="W87" s="180" t="str">
        <f t="shared" si="18"/>
        <v xml:space="preserve"> </v>
      </c>
      <c r="X87" s="180" t="str">
        <f t="shared" si="19"/>
        <v/>
      </c>
      <c r="Y87" s="180" t="str">
        <f t="shared" si="20"/>
        <v/>
      </c>
      <c r="Z87" s="180" t="str">
        <f t="shared" si="21"/>
        <v/>
      </c>
    </row>
    <row r="88" spans="1:26" x14ac:dyDescent="0.25">
      <c r="A88" s="35">
        <v>85</v>
      </c>
      <c r="B88" s="5">
        <v>85</v>
      </c>
      <c r="C88" s="6"/>
      <c r="D88" s="6"/>
      <c r="E88" s="7"/>
      <c r="F88" s="7"/>
      <c r="G88" s="7"/>
      <c r="H88" s="7"/>
      <c r="I88" s="8"/>
      <c r="J88" s="7"/>
      <c r="K88" s="7"/>
      <c r="L88" s="7"/>
      <c r="M88" s="7"/>
      <c r="O88" s="182">
        <f t="shared" ca="1" si="14"/>
        <v>125</v>
      </c>
      <c r="P88" s="182" t="str">
        <f t="shared" si="15"/>
        <v/>
      </c>
      <c r="Q88" s="183" t="str">
        <f t="shared" si="16"/>
        <v/>
      </c>
      <c r="R88" s="181" t="str">
        <f>"D:\IMS Images\Headshots\CBB\"&amp;'Team Info'!$B$12&amp;"\"&amp;D88&amp;"_"&amp;C88&amp;".png"</f>
        <v>D:\IMS Images\Headshots\CBB\LSU\_.png</v>
      </c>
      <c r="S88" s="181" t="str">
        <f>"D:\IMS Images\ActionShots\CBB\"&amp;'Team Info'!$B$12&amp;"\"&amp;D88&amp;"_"&amp;C88&amp;".png"</f>
        <v>D:\IMS Images\ActionShots\CBB\LSU\_.png</v>
      </c>
      <c r="T88" s="180" t="str">
        <f t="shared" si="12"/>
        <v xml:space="preserve"> </v>
      </c>
      <c r="U88" s="180" t="str">
        <f t="shared" si="13"/>
        <v xml:space="preserve">. </v>
      </c>
      <c r="V88" s="180" t="str">
        <f t="shared" si="17"/>
        <v/>
      </c>
      <c r="W88" s="180" t="str">
        <f t="shared" si="18"/>
        <v xml:space="preserve"> </v>
      </c>
      <c r="X88" s="180" t="str">
        <f t="shared" si="19"/>
        <v/>
      </c>
      <c r="Y88" s="180" t="str">
        <f t="shared" si="20"/>
        <v/>
      </c>
      <c r="Z88" s="180" t="str">
        <f t="shared" si="21"/>
        <v/>
      </c>
    </row>
    <row r="89" spans="1:26" x14ac:dyDescent="0.25">
      <c r="A89" s="35">
        <v>86</v>
      </c>
      <c r="B89" s="5">
        <v>86</v>
      </c>
      <c r="C89" s="6"/>
      <c r="D89" s="6"/>
      <c r="E89" s="7"/>
      <c r="F89" s="7"/>
      <c r="G89" s="7"/>
      <c r="H89" s="7"/>
      <c r="I89" s="8"/>
      <c r="J89" s="7"/>
      <c r="K89" s="7"/>
      <c r="L89" s="7"/>
      <c r="M89" s="7"/>
      <c r="O89" s="182">
        <f t="shared" ca="1" si="14"/>
        <v>125</v>
      </c>
      <c r="P89" s="182" t="str">
        <f t="shared" si="15"/>
        <v/>
      </c>
      <c r="Q89" s="183" t="str">
        <f t="shared" si="16"/>
        <v/>
      </c>
      <c r="R89" s="181" t="str">
        <f>"D:\IMS Images\Headshots\CBB\"&amp;'Team Info'!$B$12&amp;"\"&amp;D89&amp;"_"&amp;C89&amp;".png"</f>
        <v>D:\IMS Images\Headshots\CBB\LSU\_.png</v>
      </c>
      <c r="S89" s="181" t="str">
        <f>"D:\IMS Images\ActionShots\CBB\"&amp;'Team Info'!$B$12&amp;"\"&amp;D89&amp;"_"&amp;C89&amp;".png"</f>
        <v>D:\IMS Images\ActionShots\CBB\LSU\_.png</v>
      </c>
      <c r="T89" s="180" t="str">
        <f t="shared" si="12"/>
        <v xml:space="preserve"> </v>
      </c>
      <c r="U89" s="180" t="str">
        <f t="shared" si="13"/>
        <v xml:space="preserve">. </v>
      </c>
      <c r="V89" s="180" t="str">
        <f t="shared" si="17"/>
        <v/>
      </c>
      <c r="W89" s="180" t="str">
        <f t="shared" si="18"/>
        <v xml:space="preserve"> </v>
      </c>
      <c r="X89" s="180" t="str">
        <f t="shared" si="19"/>
        <v/>
      </c>
      <c r="Y89" s="180" t="str">
        <f t="shared" si="20"/>
        <v/>
      </c>
      <c r="Z89" s="180" t="str">
        <f t="shared" si="21"/>
        <v/>
      </c>
    </row>
    <row r="90" spans="1:26" x14ac:dyDescent="0.25">
      <c r="A90" s="35">
        <v>87</v>
      </c>
      <c r="B90" s="5">
        <v>87</v>
      </c>
      <c r="C90" s="6"/>
      <c r="D90" s="6"/>
      <c r="E90" s="7"/>
      <c r="F90" s="7"/>
      <c r="G90" s="7"/>
      <c r="H90" s="7"/>
      <c r="I90" s="8"/>
      <c r="J90" s="7"/>
      <c r="K90" s="7"/>
      <c r="L90" s="7"/>
      <c r="M90" s="7"/>
      <c r="O90" s="182">
        <f t="shared" ca="1" si="14"/>
        <v>125</v>
      </c>
      <c r="P90" s="182" t="str">
        <f t="shared" si="15"/>
        <v/>
      </c>
      <c r="Q90" s="183" t="str">
        <f t="shared" si="16"/>
        <v/>
      </c>
      <c r="R90" s="181" t="str">
        <f>"D:\IMS Images\Headshots\CBB\"&amp;'Team Info'!$B$12&amp;"\"&amp;D90&amp;"_"&amp;C90&amp;".png"</f>
        <v>D:\IMS Images\Headshots\CBB\LSU\_.png</v>
      </c>
      <c r="S90" s="181" t="str">
        <f>"D:\IMS Images\ActionShots\CBB\"&amp;'Team Info'!$B$12&amp;"\"&amp;D90&amp;"_"&amp;C90&amp;".png"</f>
        <v>D:\IMS Images\ActionShots\CBB\LSU\_.png</v>
      </c>
      <c r="T90" s="180" t="str">
        <f t="shared" si="12"/>
        <v xml:space="preserve"> </v>
      </c>
      <c r="U90" s="180" t="str">
        <f t="shared" si="13"/>
        <v xml:space="preserve">. </v>
      </c>
      <c r="V90" s="180" t="str">
        <f t="shared" si="17"/>
        <v/>
      </c>
      <c r="W90" s="180" t="str">
        <f t="shared" si="18"/>
        <v xml:space="preserve"> </v>
      </c>
      <c r="X90" s="180" t="str">
        <f t="shared" si="19"/>
        <v/>
      </c>
      <c r="Y90" s="180" t="str">
        <f t="shared" si="20"/>
        <v/>
      </c>
      <c r="Z90" s="180" t="str">
        <f t="shared" si="21"/>
        <v/>
      </c>
    </row>
    <row r="91" spans="1:26" x14ac:dyDescent="0.25">
      <c r="A91" s="35">
        <v>88</v>
      </c>
      <c r="B91" s="5">
        <v>88</v>
      </c>
      <c r="C91" s="6"/>
      <c r="D91" s="6"/>
      <c r="E91" s="7"/>
      <c r="F91" s="7"/>
      <c r="G91" s="7"/>
      <c r="H91" s="7"/>
      <c r="I91" s="8"/>
      <c r="J91" s="7"/>
      <c r="K91" s="7"/>
      <c r="L91" s="7"/>
      <c r="M91" s="7"/>
      <c r="O91" s="182">
        <f t="shared" ca="1" si="14"/>
        <v>125</v>
      </c>
      <c r="P91" s="182" t="str">
        <f t="shared" si="15"/>
        <v/>
      </c>
      <c r="Q91" s="183" t="str">
        <f t="shared" si="16"/>
        <v/>
      </c>
      <c r="R91" s="181" t="str">
        <f>"D:\IMS Images\Headshots\CBB\"&amp;'Team Info'!$B$12&amp;"\"&amp;D91&amp;"_"&amp;C91&amp;".png"</f>
        <v>D:\IMS Images\Headshots\CBB\LSU\_.png</v>
      </c>
      <c r="S91" s="181" t="str">
        <f>"D:\IMS Images\ActionShots\CBB\"&amp;'Team Info'!$B$12&amp;"\"&amp;D91&amp;"_"&amp;C91&amp;".png"</f>
        <v>D:\IMS Images\ActionShots\CBB\LSU\_.png</v>
      </c>
      <c r="T91" s="180" t="str">
        <f t="shared" si="12"/>
        <v xml:space="preserve"> </v>
      </c>
      <c r="U91" s="180" t="str">
        <f t="shared" si="13"/>
        <v xml:space="preserve">. </v>
      </c>
      <c r="V91" s="180" t="str">
        <f t="shared" si="17"/>
        <v/>
      </c>
      <c r="W91" s="180" t="str">
        <f t="shared" si="18"/>
        <v xml:space="preserve"> </v>
      </c>
      <c r="X91" s="180" t="str">
        <f t="shared" si="19"/>
        <v/>
      </c>
      <c r="Y91" s="180" t="str">
        <f t="shared" si="20"/>
        <v/>
      </c>
      <c r="Z91" s="180" t="str">
        <f t="shared" si="21"/>
        <v/>
      </c>
    </row>
    <row r="92" spans="1:26" x14ac:dyDescent="0.25">
      <c r="A92" s="35">
        <v>89</v>
      </c>
      <c r="B92" s="5">
        <v>89</v>
      </c>
      <c r="C92" s="6"/>
      <c r="D92" s="6"/>
      <c r="E92" s="7"/>
      <c r="F92" s="7"/>
      <c r="G92" s="7"/>
      <c r="H92" s="7"/>
      <c r="I92" s="8"/>
      <c r="J92" s="7"/>
      <c r="K92" s="7"/>
      <c r="L92" s="7"/>
      <c r="M92" s="7"/>
      <c r="O92" s="182">
        <f t="shared" ca="1" si="14"/>
        <v>125</v>
      </c>
      <c r="P92" s="182" t="str">
        <f t="shared" si="15"/>
        <v/>
      </c>
      <c r="Q92" s="183" t="str">
        <f t="shared" si="16"/>
        <v/>
      </c>
      <c r="R92" s="181" t="str">
        <f>"D:\IMS Images\Headshots\CBB\"&amp;'Team Info'!$B$12&amp;"\"&amp;D92&amp;"_"&amp;C92&amp;".png"</f>
        <v>D:\IMS Images\Headshots\CBB\LSU\_.png</v>
      </c>
      <c r="S92" s="181" t="str">
        <f>"D:\IMS Images\ActionShots\CBB\"&amp;'Team Info'!$B$12&amp;"\"&amp;D92&amp;"_"&amp;C92&amp;".png"</f>
        <v>D:\IMS Images\ActionShots\CBB\LSU\_.png</v>
      </c>
      <c r="T92" s="180" t="str">
        <f t="shared" si="12"/>
        <v xml:space="preserve"> </v>
      </c>
      <c r="U92" s="180" t="str">
        <f t="shared" si="13"/>
        <v xml:space="preserve">. </v>
      </c>
      <c r="V92" s="180" t="str">
        <f t="shared" si="17"/>
        <v/>
      </c>
      <c r="W92" s="180" t="str">
        <f t="shared" si="18"/>
        <v xml:space="preserve"> </v>
      </c>
      <c r="X92" s="180" t="str">
        <f t="shared" si="19"/>
        <v/>
      </c>
      <c r="Y92" s="180" t="str">
        <f t="shared" si="20"/>
        <v/>
      </c>
      <c r="Z92" s="180" t="str">
        <f t="shared" si="21"/>
        <v/>
      </c>
    </row>
    <row r="93" spans="1:26" x14ac:dyDescent="0.25">
      <c r="A93" s="35">
        <v>90</v>
      </c>
      <c r="B93" s="5">
        <v>0</v>
      </c>
      <c r="C93" s="245" t="str">
        <f>IF(C$104=0,"",C$104)</f>
        <v/>
      </c>
      <c r="D93" s="245" t="str">
        <f t="shared" ref="D93:M93" si="22">IF(D$104=0,"",D$104)</f>
        <v/>
      </c>
      <c r="E93" s="245" t="str">
        <f t="shared" si="22"/>
        <v/>
      </c>
      <c r="F93" s="245" t="str">
        <f t="shared" si="22"/>
        <v/>
      </c>
      <c r="G93" s="245" t="str">
        <f t="shared" si="22"/>
        <v/>
      </c>
      <c r="H93" s="245" t="str">
        <f t="shared" si="22"/>
        <v/>
      </c>
      <c r="I93" s="245" t="str">
        <f t="shared" si="22"/>
        <v/>
      </c>
      <c r="J93" s="245" t="str">
        <f t="shared" si="22"/>
        <v/>
      </c>
      <c r="K93" s="245" t="str">
        <f t="shared" si="22"/>
        <v/>
      </c>
      <c r="L93" s="245" t="str">
        <f t="shared" si="22"/>
        <v/>
      </c>
      <c r="M93" s="245" t="str">
        <f t="shared" si="22"/>
        <v/>
      </c>
      <c r="O93" s="182" t="e">
        <f t="shared" ca="1" si="14"/>
        <v>#VALUE!</v>
      </c>
      <c r="P93" s="182" t="str">
        <f t="shared" si="15"/>
        <v/>
      </c>
      <c r="Q93" s="183" t="str">
        <f t="shared" si="16"/>
        <v/>
      </c>
      <c r="R93" s="181" t="str">
        <f>"D:\IMS Images\Headshots\CBB\"&amp;'Team Info'!$B$12&amp;"\"&amp;D93&amp;"_"&amp;C93&amp;".png"</f>
        <v>D:\IMS Images\Headshots\CBB\LSU\_.png</v>
      </c>
      <c r="S93" s="181" t="str">
        <f>"D:\IMS Images\ActionShots\CBB\"&amp;'Team Info'!$B$12&amp;"\"&amp;D93&amp;"_"&amp;C93&amp;".png"</f>
        <v>D:\IMS Images\ActionShots\CBB\LSU\_.png</v>
      </c>
      <c r="T93" s="180" t="str">
        <f t="shared" si="12"/>
        <v xml:space="preserve"> </v>
      </c>
      <c r="U93" s="180" t="str">
        <f t="shared" si="13"/>
        <v xml:space="preserve">. </v>
      </c>
      <c r="V93" s="180" t="str">
        <f t="shared" si="17"/>
        <v/>
      </c>
      <c r="W93" s="180" t="str">
        <f t="shared" si="18"/>
        <v xml:space="preserve"> </v>
      </c>
      <c r="X93" s="180" t="str">
        <f t="shared" si="19"/>
        <v/>
      </c>
      <c r="Y93" s="180" t="str">
        <f t="shared" si="20"/>
        <v/>
      </c>
      <c r="Z93" s="180" t="str">
        <f t="shared" si="21"/>
        <v/>
      </c>
    </row>
    <row r="94" spans="1:26" x14ac:dyDescent="0.25">
      <c r="A94" s="35">
        <v>91</v>
      </c>
      <c r="B94" s="5">
        <v>91</v>
      </c>
      <c r="C94" s="6"/>
      <c r="D94" s="6"/>
      <c r="E94" s="7"/>
      <c r="F94" s="7"/>
      <c r="G94" s="7"/>
      <c r="H94" s="7"/>
      <c r="I94" s="8"/>
      <c r="J94" s="7"/>
      <c r="K94" s="7"/>
      <c r="L94" s="7"/>
      <c r="M94" s="7"/>
      <c r="O94" s="182">
        <f t="shared" ca="1" si="14"/>
        <v>125</v>
      </c>
      <c r="P94" s="182" t="str">
        <f t="shared" si="15"/>
        <v/>
      </c>
      <c r="Q94" s="183" t="str">
        <f t="shared" si="16"/>
        <v/>
      </c>
      <c r="R94" s="181" t="str">
        <f>"D:\IMS Images\Headshots\CBB\"&amp;'Team Info'!$B$12&amp;"\"&amp;D94&amp;"_"&amp;C94&amp;".png"</f>
        <v>D:\IMS Images\Headshots\CBB\LSU\_.png</v>
      </c>
      <c r="S94" s="181" t="str">
        <f>"D:\IMS Images\ActionShots\CBB\"&amp;'Team Info'!$B$12&amp;"\"&amp;D94&amp;"_"&amp;C94&amp;".png"</f>
        <v>D:\IMS Images\ActionShots\CBB\LSU\_.png</v>
      </c>
      <c r="T94" s="180" t="str">
        <f t="shared" si="12"/>
        <v xml:space="preserve"> </v>
      </c>
      <c r="U94" s="180" t="str">
        <f t="shared" si="13"/>
        <v xml:space="preserve">. </v>
      </c>
      <c r="V94" s="180" t="str">
        <f t="shared" si="17"/>
        <v/>
      </c>
      <c r="W94" s="180" t="str">
        <f t="shared" si="18"/>
        <v xml:space="preserve"> </v>
      </c>
      <c r="X94" s="180" t="str">
        <f t="shared" si="19"/>
        <v/>
      </c>
      <c r="Y94" s="180" t="str">
        <f t="shared" si="20"/>
        <v/>
      </c>
      <c r="Z94" s="180" t="str">
        <f t="shared" si="21"/>
        <v/>
      </c>
    </row>
    <row r="95" spans="1:26" x14ac:dyDescent="0.25">
      <c r="A95" s="35">
        <v>92</v>
      </c>
      <c r="B95" s="5">
        <v>92</v>
      </c>
      <c r="C95" s="6"/>
      <c r="D95" s="6"/>
      <c r="E95" s="7"/>
      <c r="F95" s="7"/>
      <c r="G95" s="7"/>
      <c r="H95" s="7"/>
      <c r="I95" s="8"/>
      <c r="J95" s="7"/>
      <c r="K95" s="7"/>
      <c r="L95" s="7"/>
      <c r="M95" s="7"/>
      <c r="O95" s="182">
        <f t="shared" ca="1" si="14"/>
        <v>125</v>
      </c>
      <c r="P95" s="182" t="str">
        <f t="shared" si="15"/>
        <v/>
      </c>
      <c r="Q95" s="183" t="str">
        <f t="shared" si="16"/>
        <v/>
      </c>
      <c r="R95" s="181" t="str">
        <f>"D:\IMS Images\Headshots\CBB\"&amp;'Team Info'!$B$12&amp;"\"&amp;D95&amp;"_"&amp;C95&amp;".png"</f>
        <v>D:\IMS Images\Headshots\CBB\LSU\_.png</v>
      </c>
      <c r="S95" s="181" t="str">
        <f>"D:\IMS Images\ActionShots\CBB\"&amp;'Team Info'!$B$12&amp;"\"&amp;D95&amp;"_"&amp;C95&amp;".png"</f>
        <v>D:\IMS Images\ActionShots\CBB\LSU\_.png</v>
      </c>
      <c r="T95" s="180" t="str">
        <f t="shared" si="12"/>
        <v xml:space="preserve"> </v>
      </c>
      <c r="U95" s="180" t="str">
        <f t="shared" si="13"/>
        <v xml:space="preserve">. </v>
      </c>
      <c r="V95" s="180" t="str">
        <f t="shared" si="17"/>
        <v/>
      </c>
      <c r="W95" s="180" t="str">
        <f t="shared" si="18"/>
        <v xml:space="preserve"> </v>
      </c>
      <c r="X95" s="180" t="str">
        <f t="shared" si="19"/>
        <v/>
      </c>
      <c r="Y95" s="180" t="str">
        <f t="shared" si="20"/>
        <v/>
      </c>
      <c r="Z95" s="180" t="str">
        <f t="shared" si="21"/>
        <v/>
      </c>
    </row>
    <row r="96" spans="1:26" x14ac:dyDescent="0.25">
      <c r="A96" s="35">
        <v>93</v>
      </c>
      <c r="B96" s="5">
        <v>93</v>
      </c>
      <c r="C96" s="6"/>
      <c r="D96" s="6"/>
      <c r="E96" s="7"/>
      <c r="F96" s="7"/>
      <c r="G96" s="7"/>
      <c r="H96" s="7"/>
      <c r="I96" s="8"/>
      <c r="J96" s="7"/>
      <c r="K96" s="7"/>
      <c r="L96" s="7"/>
      <c r="M96" s="7"/>
      <c r="O96" s="182">
        <f t="shared" ca="1" si="14"/>
        <v>125</v>
      </c>
      <c r="P96" s="182" t="str">
        <f t="shared" si="15"/>
        <v/>
      </c>
      <c r="Q96" s="183" t="str">
        <f t="shared" si="16"/>
        <v/>
      </c>
      <c r="R96" s="181" t="str">
        <f>"D:\IMS Images\Headshots\CBB\"&amp;'Team Info'!$B$12&amp;"\"&amp;D96&amp;"_"&amp;C96&amp;".png"</f>
        <v>D:\IMS Images\Headshots\CBB\LSU\_.png</v>
      </c>
      <c r="S96" s="181" t="str">
        <f>"D:\IMS Images\ActionShots\CBB\"&amp;'Team Info'!$B$12&amp;"\"&amp;D96&amp;"_"&amp;C96&amp;".png"</f>
        <v>D:\IMS Images\ActionShots\CBB\LSU\_.png</v>
      </c>
      <c r="T96" s="180" t="str">
        <f t="shared" si="12"/>
        <v xml:space="preserve"> </v>
      </c>
      <c r="U96" s="180" t="str">
        <f t="shared" si="13"/>
        <v xml:space="preserve">. </v>
      </c>
      <c r="V96" s="180" t="str">
        <f t="shared" si="17"/>
        <v/>
      </c>
      <c r="W96" s="180" t="str">
        <f t="shared" si="18"/>
        <v xml:space="preserve"> </v>
      </c>
      <c r="X96" s="180" t="str">
        <f t="shared" si="19"/>
        <v/>
      </c>
      <c r="Y96" s="180" t="str">
        <f t="shared" si="20"/>
        <v/>
      </c>
      <c r="Z96" s="180" t="str">
        <f t="shared" si="21"/>
        <v/>
      </c>
    </row>
    <row r="97" spans="1:26" x14ac:dyDescent="0.25">
      <c r="A97" s="35">
        <v>94</v>
      </c>
      <c r="B97" s="5">
        <v>94</v>
      </c>
      <c r="C97" s="6"/>
      <c r="D97" s="6"/>
      <c r="E97" s="7"/>
      <c r="F97" s="7"/>
      <c r="G97" s="7"/>
      <c r="H97" s="7"/>
      <c r="I97" s="8"/>
      <c r="J97" s="7"/>
      <c r="K97" s="7"/>
      <c r="L97" s="7"/>
      <c r="M97" s="7"/>
      <c r="O97" s="182">
        <f t="shared" ca="1" si="14"/>
        <v>125</v>
      </c>
      <c r="P97" s="182" t="str">
        <f t="shared" si="15"/>
        <v/>
      </c>
      <c r="Q97" s="183" t="str">
        <f t="shared" si="16"/>
        <v/>
      </c>
      <c r="R97" s="181" t="str">
        <f>"D:\IMS Images\Headshots\CBB\"&amp;'Team Info'!$B$12&amp;"\"&amp;D97&amp;"_"&amp;C97&amp;".png"</f>
        <v>D:\IMS Images\Headshots\CBB\LSU\_.png</v>
      </c>
      <c r="S97" s="181" t="str">
        <f>"D:\IMS Images\ActionShots\CBB\"&amp;'Team Info'!$B$12&amp;"\"&amp;D97&amp;"_"&amp;C97&amp;".png"</f>
        <v>D:\IMS Images\ActionShots\CBB\LSU\_.png</v>
      </c>
      <c r="T97" s="180" t="str">
        <f t="shared" si="12"/>
        <v xml:space="preserve"> </v>
      </c>
      <c r="U97" s="180" t="str">
        <f t="shared" si="13"/>
        <v xml:space="preserve">. </v>
      </c>
      <c r="V97" s="180" t="str">
        <f t="shared" si="17"/>
        <v/>
      </c>
      <c r="W97" s="180" t="str">
        <f t="shared" si="18"/>
        <v xml:space="preserve"> </v>
      </c>
      <c r="X97" s="180" t="str">
        <f t="shared" si="19"/>
        <v/>
      </c>
      <c r="Y97" s="180" t="str">
        <f t="shared" si="20"/>
        <v/>
      </c>
      <c r="Z97" s="180" t="str">
        <f t="shared" si="21"/>
        <v/>
      </c>
    </row>
    <row r="98" spans="1:26" x14ac:dyDescent="0.25">
      <c r="A98" s="35">
        <v>95</v>
      </c>
      <c r="B98" s="5">
        <v>95</v>
      </c>
      <c r="C98" s="6"/>
      <c r="D98" s="6"/>
      <c r="E98" s="7"/>
      <c r="F98" s="7"/>
      <c r="G98" s="7"/>
      <c r="H98" s="7"/>
      <c r="I98" s="8"/>
      <c r="J98" s="7"/>
      <c r="K98" s="7"/>
      <c r="L98" s="7"/>
      <c r="M98" s="7"/>
      <c r="O98" s="182">
        <f t="shared" ca="1" si="14"/>
        <v>125</v>
      </c>
      <c r="P98" s="182" t="str">
        <f t="shared" si="15"/>
        <v/>
      </c>
      <c r="Q98" s="183" t="str">
        <f t="shared" si="16"/>
        <v/>
      </c>
      <c r="R98" s="181" t="str">
        <f>"D:\IMS Images\Headshots\CBB\"&amp;'Team Info'!$B$12&amp;"\"&amp;D98&amp;"_"&amp;C98&amp;".png"</f>
        <v>D:\IMS Images\Headshots\CBB\LSU\_.png</v>
      </c>
      <c r="S98" s="181" t="str">
        <f>"D:\IMS Images\ActionShots\CBB\"&amp;'Team Info'!$B$12&amp;"\"&amp;D98&amp;"_"&amp;C98&amp;".png"</f>
        <v>D:\IMS Images\ActionShots\CBB\LSU\_.png</v>
      </c>
      <c r="T98" s="180" t="str">
        <f t="shared" si="12"/>
        <v xml:space="preserve"> </v>
      </c>
      <c r="U98" s="180" t="str">
        <f t="shared" si="13"/>
        <v xml:space="preserve">. </v>
      </c>
      <c r="V98" s="180" t="str">
        <f t="shared" si="17"/>
        <v/>
      </c>
      <c r="W98" s="180" t="str">
        <f t="shared" si="18"/>
        <v xml:space="preserve"> </v>
      </c>
      <c r="X98" s="180" t="str">
        <f t="shared" si="19"/>
        <v/>
      </c>
      <c r="Y98" s="180" t="str">
        <f t="shared" si="20"/>
        <v/>
      </c>
      <c r="Z98" s="180" t="str">
        <f t="shared" si="21"/>
        <v/>
      </c>
    </row>
    <row r="99" spans="1:26" x14ac:dyDescent="0.25">
      <c r="A99" s="35">
        <v>96</v>
      </c>
      <c r="B99" s="5">
        <v>96</v>
      </c>
      <c r="C99" s="6"/>
      <c r="D99" s="6"/>
      <c r="E99" s="7"/>
      <c r="F99" s="7"/>
      <c r="G99" s="7"/>
      <c r="H99" s="7"/>
      <c r="I99" s="8"/>
      <c r="J99" s="7"/>
      <c r="K99" s="7"/>
      <c r="L99" s="7"/>
      <c r="M99" s="7"/>
      <c r="O99" s="182">
        <f t="shared" ca="1" si="14"/>
        <v>125</v>
      </c>
      <c r="P99" s="182" t="str">
        <f t="shared" si="15"/>
        <v/>
      </c>
      <c r="Q99" s="183" t="str">
        <f t="shared" si="16"/>
        <v/>
      </c>
      <c r="R99" s="181" t="str">
        <f>"D:\IMS Images\Headshots\CBB\"&amp;'Team Info'!$B$12&amp;"\"&amp;D99&amp;"_"&amp;C99&amp;".png"</f>
        <v>D:\IMS Images\Headshots\CBB\LSU\_.png</v>
      </c>
      <c r="S99" s="181" t="str">
        <f>"D:\IMS Images\ActionShots\CBB\"&amp;'Team Info'!$B$12&amp;"\"&amp;D99&amp;"_"&amp;C99&amp;".png"</f>
        <v>D:\IMS Images\ActionShots\CBB\LSU\_.png</v>
      </c>
      <c r="T99" s="180" t="str">
        <f t="shared" si="12"/>
        <v xml:space="preserve"> </v>
      </c>
      <c r="U99" s="180" t="str">
        <f t="shared" si="13"/>
        <v xml:space="preserve">. </v>
      </c>
      <c r="V99" s="180" t="str">
        <f t="shared" si="17"/>
        <v/>
      </c>
      <c r="W99" s="180" t="str">
        <f t="shared" si="18"/>
        <v xml:space="preserve"> </v>
      </c>
      <c r="X99" s="180" t="str">
        <f t="shared" si="19"/>
        <v/>
      </c>
      <c r="Y99" s="180" t="str">
        <f t="shared" si="20"/>
        <v/>
      </c>
      <c r="Z99" s="180" t="str">
        <f t="shared" si="21"/>
        <v/>
      </c>
    </row>
    <row r="100" spans="1:26" x14ac:dyDescent="0.25">
      <c r="A100" s="35">
        <v>97</v>
      </c>
      <c r="B100" s="5">
        <v>97</v>
      </c>
      <c r="C100" s="6"/>
      <c r="D100" s="6"/>
      <c r="E100" s="7"/>
      <c r="F100" s="7"/>
      <c r="G100" s="7"/>
      <c r="H100" s="7"/>
      <c r="I100" s="8"/>
      <c r="J100" s="7"/>
      <c r="K100" s="7"/>
      <c r="L100" s="7"/>
      <c r="M100" s="7"/>
      <c r="O100" s="182">
        <f t="shared" ca="1" si="14"/>
        <v>125</v>
      </c>
      <c r="P100" s="182" t="str">
        <f t="shared" si="15"/>
        <v/>
      </c>
      <c r="Q100" s="183" t="str">
        <f t="shared" si="16"/>
        <v/>
      </c>
      <c r="R100" s="181" t="str">
        <f>"D:\IMS Images\Headshots\CBB\"&amp;'Team Info'!$B$12&amp;"\"&amp;D100&amp;"_"&amp;C100&amp;".png"</f>
        <v>D:\IMS Images\Headshots\CBB\LSU\_.png</v>
      </c>
      <c r="S100" s="181" t="str">
        <f>"D:\IMS Images\ActionShots\CBB\"&amp;'Team Info'!$B$12&amp;"\"&amp;D100&amp;"_"&amp;C100&amp;".png"</f>
        <v>D:\IMS Images\ActionShots\CBB\LSU\_.png</v>
      </c>
      <c r="T100" s="180" t="str">
        <f t="shared" si="12"/>
        <v xml:space="preserve"> </v>
      </c>
      <c r="U100" s="180" t="str">
        <f t="shared" si="13"/>
        <v xml:space="preserve">. </v>
      </c>
      <c r="V100" s="180" t="str">
        <f t="shared" si="17"/>
        <v/>
      </c>
      <c r="W100" s="180" t="str">
        <f t="shared" si="18"/>
        <v xml:space="preserve"> </v>
      </c>
      <c r="X100" s="180" t="str">
        <f t="shared" si="19"/>
        <v/>
      </c>
      <c r="Y100" s="180" t="str">
        <f t="shared" si="20"/>
        <v/>
      </c>
      <c r="Z100" s="180" t="str">
        <f t="shared" si="21"/>
        <v/>
      </c>
    </row>
    <row r="101" spans="1:26" x14ac:dyDescent="0.25">
      <c r="A101" s="35">
        <v>98</v>
      </c>
      <c r="B101" s="5">
        <v>98</v>
      </c>
      <c r="C101" s="6"/>
      <c r="D101" s="6"/>
      <c r="E101" s="7"/>
      <c r="F101" s="7"/>
      <c r="G101" s="7"/>
      <c r="H101" s="7"/>
      <c r="I101" s="8"/>
      <c r="J101" s="7"/>
      <c r="K101" s="7"/>
      <c r="L101" s="7"/>
      <c r="M101" s="7"/>
      <c r="O101" s="182">
        <f t="shared" ca="1" si="14"/>
        <v>125</v>
      </c>
      <c r="P101" s="182" t="str">
        <f t="shared" si="15"/>
        <v/>
      </c>
      <c r="Q101" s="183" t="str">
        <f t="shared" si="16"/>
        <v/>
      </c>
      <c r="R101" s="181" t="str">
        <f>"D:\IMS Images\Headshots\CBB\"&amp;'Team Info'!$B$12&amp;"\"&amp;D101&amp;"_"&amp;C101&amp;".png"</f>
        <v>D:\IMS Images\Headshots\CBB\LSU\_.png</v>
      </c>
      <c r="S101" s="181" t="str">
        <f>"D:\IMS Images\ActionShots\CBB\"&amp;'Team Info'!$B$12&amp;"\"&amp;D101&amp;"_"&amp;C101&amp;".png"</f>
        <v>D:\IMS Images\ActionShots\CBB\LSU\_.png</v>
      </c>
      <c r="T101" s="180" t="str">
        <f t="shared" si="12"/>
        <v xml:space="preserve"> </v>
      </c>
      <c r="U101" s="180" t="str">
        <f t="shared" si="13"/>
        <v xml:space="preserve">. </v>
      </c>
      <c r="V101" s="180" t="str">
        <f t="shared" si="17"/>
        <v/>
      </c>
      <c r="W101" s="180" t="str">
        <f t="shared" si="18"/>
        <v xml:space="preserve"> </v>
      </c>
      <c r="X101" s="180" t="str">
        <f t="shared" si="19"/>
        <v/>
      </c>
      <c r="Y101" s="180" t="str">
        <f t="shared" si="20"/>
        <v/>
      </c>
      <c r="Z101" s="180" t="str">
        <f t="shared" si="21"/>
        <v/>
      </c>
    </row>
    <row r="102" spans="1:26" ht="15.75" thickBot="1" x14ac:dyDescent="0.3">
      <c r="A102" s="35">
        <v>99</v>
      </c>
      <c r="B102" s="236" t="s">
        <v>784</v>
      </c>
      <c r="C102" s="245" t="str">
        <f>IF(C$104=0,"",C$104)</f>
        <v/>
      </c>
      <c r="D102" s="245" t="str">
        <f t="shared" ref="D102:M102" si="23">IF(D$104=0,"",D$104)</f>
        <v/>
      </c>
      <c r="E102" s="245" t="str">
        <f t="shared" si="23"/>
        <v/>
      </c>
      <c r="F102" s="245" t="str">
        <f t="shared" si="23"/>
        <v/>
      </c>
      <c r="G102" s="245" t="str">
        <f t="shared" si="23"/>
        <v/>
      </c>
      <c r="H102" s="245" t="str">
        <f t="shared" si="23"/>
        <v/>
      </c>
      <c r="I102" s="245" t="str">
        <f t="shared" si="23"/>
        <v/>
      </c>
      <c r="J102" s="245" t="str">
        <f t="shared" si="23"/>
        <v/>
      </c>
      <c r="K102" s="245" t="str">
        <f t="shared" si="23"/>
        <v/>
      </c>
      <c r="L102" s="245" t="str">
        <f t="shared" si="23"/>
        <v/>
      </c>
      <c r="M102" s="245" t="str">
        <f t="shared" si="23"/>
        <v/>
      </c>
      <c r="O102" s="182" t="e">
        <f t="shared" ca="1" si="14"/>
        <v>#VALUE!</v>
      </c>
      <c r="P102" s="182" t="str">
        <f t="shared" si="15"/>
        <v/>
      </c>
      <c r="Q102" s="183" t="str">
        <f t="shared" si="16"/>
        <v/>
      </c>
      <c r="R102" s="181" t="str">
        <f>"D:\IMS Images\Headshots\CBB\"&amp;'Team Info'!$B$12&amp;"\"&amp;D102&amp;"_"&amp;C102&amp;".png"</f>
        <v>D:\IMS Images\Headshots\CBB\LSU\_.png</v>
      </c>
      <c r="S102" s="181" t="str">
        <f>"D:\IMS Images\ActionShots\CBB\"&amp;'Team Info'!$B$12&amp;"\"&amp;D102&amp;"_"&amp;C102&amp;".png"</f>
        <v>D:\IMS Images\ActionShots\CBB\LSU\_.png</v>
      </c>
      <c r="T102" s="180" t="str">
        <f t="shared" si="12"/>
        <v xml:space="preserve"> </v>
      </c>
      <c r="U102" s="180" t="str">
        <f t="shared" si="13"/>
        <v xml:space="preserve">. </v>
      </c>
      <c r="V102" s="180" t="str">
        <f t="shared" si="17"/>
        <v/>
      </c>
      <c r="W102" s="180" t="str">
        <f t="shared" si="18"/>
        <v xml:space="preserve"> </v>
      </c>
      <c r="X102" s="180" t="str">
        <f t="shared" si="19"/>
        <v/>
      </c>
      <c r="Y102" s="180" t="str">
        <f t="shared" si="20"/>
        <v/>
      </c>
      <c r="Z102" s="180" t="str">
        <f t="shared" si="21"/>
        <v/>
      </c>
    </row>
    <row r="103" spans="1:26" ht="15.75" thickBot="1" x14ac:dyDescent="0.3">
      <c r="A103" s="242" t="s">
        <v>863</v>
      </c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244"/>
      <c r="Q103" s="183" t="str">
        <f t="shared" si="16"/>
        <v/>
      </c>
    </row>
    <row r="104" spans="1:26" x14ac:dyDescent="0.25">
      <c r="A104" s="35"/>
      <c r="B104" s="237">
        <v>0</v>
      </c>
      <c r="C104" s="261"/>
      <c r="D104" s="238"/>
      <c r="E104" s="239"/>
      <c r="F104" s="262"/>
      <c r="G104" s="239"/>
      <c r="H104" s="240"/>
      <c r="I104" s="241"/>
      <c r="J104" s="239"/>
      <c r="K104" s="239"/>
      <c r="L104" s="239"/>
      <c r="M104" s="239"/>
      <c r="Q104" s="183" t="str">
        <f t="shared" si="16"/>
        <v/>
      </c>
    </row>
  </sheetData>
  <customSheetViews>
    <customSheetView guid="{42F19D52-E208-414F-9E2E-506DF902926F}" hiddenColumns="1">
      <pane ySplit="3" topLeftCell="A4" activePane="bottomLeft" state="frozen"/>
      <selection pane="bottomLeft" activeCell="J5" sqref="J5"/>
      <pageMargins left="0.7" right="0.7" top="0.75" bottom="0.75" header="0.3" footer="0.3"/>
      <pageSetup orientation="portrait" r:id="rId1"/>
    </customSheetView>
    <customSheetView guid="{BE266B8E-38B0-4631-9C30-67CA48A8BD7F}" hiddenColumns="1">
      <pane ySplit="3" topLeftCell="A4" activePane="bottomLeft" state="frozen"/>
      <selection pane="bottomLeft" activeCell="J5" sqref="J5:J11"/>
      <pageMargins left="0.7" right="0.7" top="0.75" bottom="0.75" header="0.3" footer="0.3"/>
      <pageSetup orientation="portrait" r:id="rId2"/>
    </customSheetView>
    <customSheetView guid="{BD1DF852-269B-4C2F-AF89-1FA576EA4603}" hiddenColumns="1">
      <pane ySplit="3" topLeftCell="A4" activePane="bottomLeft" state="frozen"/>
      <selection pane="bottomLeft" activeCell="A4" sqref="A4"/>
      <pageMargins left="0.7" right="0.7" top="0.75" bottom="0.75" header="0.3" footer="0.3"/>
      <pageSetup orientation="portrait" r:id="rId3"/>
    </customSheetView>
    <customSheetView guid="{C8D72D7B-AEA0-45E3-A14B-3F039B04C62C}" hiddenColumns="1" topLeftCell="B1">
      <pane ySplit="3" topLeftCell="A16" activePane="bottomLeft" state="frozen"/>
      <selection pane="bottomLeft" activeCell="C4" sqref="C4:D4"/>
      <pageMargins left="0.7" right="0.7" top="0.75" bottom="0.75" header="0.3" footer="0.3"/>
      <pageSetup orientation="portrait" r:id="rId4"/>
    </customSheetView>
    <customSheetView guid="{6A3B2C41-2DBC-4B17-AB58-12C85E3A6B8A}" hiddenColumns="1">
      <pane ySplit="3" topLeftCell="A4" activePane="bottomLeft" state="frozen"/>
      <selection pane="bottomLeft" activeCell="A4" sqref="A4"/>
      <pageMargins left="0.7" right="0.7" top="0.75" bottom="0.75" header="0.3" footer="0.3"/>
      <pageSetup orientation="portrait" r:id="rId5"/>
    </customSheetView>
    <customSheetView guid="{9DC468DE-D883-45B4-B188-265B9DA68425}">
      <pane ySplit="2" topLeftCell="A3" activePane="bottomLeft" state="frozen"/>
      <selection pane="bottomLeft" activeCell="F9" sqref="F9"/>
      <pageMargins left="0.7" right="0.7" top="0.75" bottom="0.75" header="0.3" footer="0.3"/>
      <pageSetup orientation="portrait" r:id="rId6"/>
    </customSheetView>
    <customSheetView guid="{6960175A-17E1-4BDD-98F7-6E9A590B8B7F}">
      <pane ySplit="2" topLeftCell="A77" activePane="bottomLeft" state="frozen"/>
      <selection pane="bottomLeft" activeCell="C81" sqref="C81"/>
      <pageMargins left="0.7" right="0.7" top="0.75" bottom="0.75" header="0.3" footer="0.3"/>
      <pageSetup orientation="portrait" r:id="rId7"/>
    </customSheetView>
    <customSheetView guid="{DB365F32-166D-4348-BCE9-F0F1DB0B73A9}">
      <pane ySplit="2" topLeftCell="A83" activePane="bottomLeft" state="frozen"/>
      <selection pane="bottomLeft" activeCell="C81" sqref="C81"/>
      <pageMargins left="0.7" right="0.7" top="0.75" bottom="0.75" header="0.3" footer="0.3"/>
      <pageSetup orientation="portrait" r:id="rId8"/>
    </customSheetView>
    <customSheetView guid="{6EDF2E63-E51E-449A-B1C5-EFB1FD6A259C}">
      <pane ySplit="2" topLeftCell="A3" activePane="bottomLeft" state="frozen"/>
      <selection pane="bottomLeft" activeCell="K117" sqref="A3:K117"/>
      <pageMargins left="0.7" right="0.7" top="0.75" bottom="0.75" header="0.3" footer="0.3"/>
      <pageSetup orientation="portrait" r:id="rId9"/>
    </customSheetView>
    <customSheetView guid="{46B088B4-7F51-4D35-9F00-2268626FA819}" hiddenRows="1" hiddenColumns="1">
      <pane ySplit="2" topLeftCell="A3" activePane="bottomLeft" state="frozen"/>
      <selection pane="bottomLeft" activeCell="E2" sqref="E2"/>
      <pageMargins left="0.7" right="0.7" top="0.75" bottom="0.75" header="0.3" footer="0.3"/>
      <pageSetup orientation="portrait" r:id="rId10"/>
    </customSheetView>
    <customSheetView guid="{BC153CFA-E879-4863-BF97-64855FD940E5}" hiddenColumns="1" topLeftCell="B1">
      <pane ySplit="3" topLeftCell="A16" activePane="bottomLeft" state="frozen"/>
      <selection pane="bottomLeft" activeCell="C4" sqref="C4:D4"/>
      <pageMargins left="0.7" right="0.7" top="0.75" bottom="0.75" header="0.3" footer="0.3"/>
      <pageSetup orientation="portrait" r:id="rId11"/>
    </customSheetView>
  </customSheetViews>
  <dataValidations count="1">
    <dataValidation type="list" allowBlank="1" showInputMessage="1" showErrorMessage="1" sqref="K3">
      <formula1>$N$8:$N$9</formula1>
    </dataValidation>
  </dataValidations>
  <pageMargins left="0.7" right="0.7" top="0.75" bottom="0.75" header="0.3" footer="0.3"/>
  <pageSetup orientation="portrait"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C4" sqref="C4"/>
    </sheetView>
  </sheetViews>
  <sheetFormatPr defaultRowHeight="15" x14ac:dyDescent="0.25"/>
  <cols>
    <col min="1" max="1" width="2.7109375" customWidth="1"/>
    <col min="2" max="5" width="20.7109375" customWidth="1"/>
    <col min="6" max="10" width="12.7109375" customWidth="1"/>
    <col min="11" max="11" width="20.7109375" customWidth="1"/>
    <col min="12" max="12" width="60.7109375" customWidth="1"/>
  </cols>
  <sheetData>
    <row r="1" spans="1:12" ht="15" customHeight="1" x14ac:dyDescent="0.25">
      <c r="B1" s="206" t="s">
        <v>809</v>
      </c>
      <c r="C1" s="206" t="s">
        <v>808</v>
      </c>
      <c r="D1" s="206" t="s">
        <v>807</v>
      </c>
      <c r="E1" s="206" t="s">
        <v>806</v>
      </c>
      <c r="F1" s="206" t="s">
        <v>46</v>
      </c>
      <c r="G1" s="207" t="s">
        <v>805</v>
      </c>
      <c r="H1" s="206" t="s">
        <v>804</v>
      </c>
      <c r="I1" s="206" t="s">
        <v>803</v>
      </c>
      <c r="J1" s="206" t="s">
        <v>802</v>
      </c>
      <c r="K1" s="206" t="s">
        <v>801</v>
      </c>
      <c r="L1" s="206" t="s">
        <v>800</v>
      </c>
    </row>
    <row r="2" spans="1:12" x14ac:dyDescent="0.25">
      <c r="A2">
        <v>1</v>
      </c>
      <c r="B2" s="205">
        <v>1</v>
      </c>
      <c r="C2" s="204" t="str">
        <f>IF(B2=0,VLOOKUP(90,ROSTER,3,FALSE),VLOOKUP(B2,ROSTER,3,FALSE))</f>
        <v>First</v>
      </c>
      <c r="D2" s="204" t="str">
        <f>IF(B2=0,VLOOKUP(90,ROSTER,4,FALSE),VLOOKUP(B2,ROSTER,4,FALSE))</f>
        <v>Last</v>
      </c>
      <c r="E2" s="204" t="str">
        <f>IF(B2=0,VLOOKUP(90,ROSTER,20,FALSE),VLOOKUP(B2,ROSTER,20,FALSE))</f>
        <v>First Last</v>
      </c>
      <c r="F2" s="204" t="str">
        <f>IF(B2=0,VLOOKUP(90,ROSTER,16,FALSE),VLOOKUP(B2,ROSTER,16,FALSE))</f>
        <v>Guard</v>
      </c>
      <c r="G2" s="204" t="str">
        <f>IF(B2=0,VLOOKUP(90,ROSTER,5,FALSE),VLOOKUP(B2,ROSTER,5,FALSE))</f>
        <v>G</v>
      </c>
      <c r="H2" s="204" t="str">
        <f>IF(B2=0,VLOOKUP(90,ROSTER,22,FALSE),VLOOKUP(B2,ROSTER,22,FALSE))</f>
        <v>FR</v>
      </c>
      <c r="I2" s="204" t="str">
        <f>IF(B2=0,VLOOKUP(90,ROSTER,6,FALSE),VLOOKUP(B2,ROSTER,6,FALSE))</f>
        <v>5'10"</v>
      </c>
      <c r="J2" s="204" t="str">
        <f>IF(B2=0,VLOOKUP(90,ROSTER,17,FALSE),VLOOKUP(B2,ROSTER,17,FALSE))</f>
        <v>Freshman</v>
      </c>
      <c r="K2" s="203" t="str">
        <f>IF(B2=0,VLOOKUP(90,ROSTER,9,FALSE),VLOOKUP(B2,ROSTER,9,FALSE))</f>
        <v>Charlotte, NC</v>
      </c>
      <c r="L2" s="202" t="str">
        <f>"D:\IMS Images\Headshots\CBB\"&amp;'Team Info'!$B$12&amp;"\"&amp;D2&amp;"_"&amp;C2&amp;".png"</f>
        <v>D:\IMS Images\Headshots\CBB\LSU\Last_First.png</v>
      </c>
    </row>
    <row r="3" spans="1:12" x14ac:dyDescent="0.25">
      <c r="A3">
        <v>2</v>
      </c>
      <c r="B3" s="205">
        <v>2</v>
      </c>
      <c r="C3" s="204">
        <f>IF(B3=0,VLOOKUP(90,ROSTER,3,FALSE),VLOOKUP(B3,ROSTER,3,FALSE))</f>
        <v>0</v>
      </c>
      <c r="D3" s="204">
        <f>IF(B3=0,VLOOKUP(90,ROSTER,4,FALSE),VLOOKUP(B3,ROSTER,4,FALSE))</f>
        <v>0</v>
      </c>
      <c r="E3" s="204" t="str">
        <f>IF(B3=0,VLOOKUP(90,ROSTER,20,FALSE),VLOOKUP(B3,ROSTER,20,FALSE))</f>
        <v xml:space="preserve"> </v>
      </c>
      <c r="F3" s="204" t="str">
        <f>IF(B3=0,VLOOKUP(90,ROSTER,16,FALSE),VLOOKUP(B3,ROSTER,16,FALSE))</f>
        <v/>
      </c>
      <c r="G3" s="204">
        <f>IF(B3=0,VLOOKUP(90,ROSTER,5,FALSE),VLOOKUP(B3,ROSTER,5,FALSE))</f>
        <v>0</v>
      </c>
      <c r="H3" s="204" t="str">
        <f>IF(B3=0,VLOOKUP(90,ROSTER,22,FALSE),VLOOKUP(B3,ROSTER,22,FALSE))</f>
        <v/>
      </c>
      <c r="I3" s="204">
        <f>IF(B3=0,VLOOKUP(90,ROSTER,6,FALSE),VLOOKUP(B3,ROSTER,6,FALSE))</f>
        <v>0</v>
      </c>
      <c r="J3" s="204" t="str">
        <f>IF(B3=0,VLOOKUP(90,ROSTER,17,FALSE),VLOOKUP(B3,ROSTER,17,FALSE))</f>
        <v/>
      </c>
      <c r="K3" s="203">
        <f>IF(B3=0,VLOOKUP(90,ROSTER,9,FALSE),VLOOKUP(B3,ROSTER,9,FALSE))</f>
        <v>0</v>
      </c>
      <c r="L3" s="202" t="str">
        <f>"D:\IMS Images\Headshots\CBB\"&amp;'Team Info'!$B$12&amp;"\"&amp;D3&amp;"_"&amp;C3&amp;".png"</f>
        <v>D:\IMS Images\Headshots\CBB\LSU\0_0.png</v>
      </c>
    </row>
    <row r="4" spans="1:12" x14ac:dyDescent="0.25">
      <c r="A4">
        <v>3</v>
      </c>
      <c r="B4" s="205">
        <v>3</v>
      </c>
      <c r="C4" s="204">
        <f>IF(B4=0,VLOOKUP(90,ROSTER,3,FALSE),VLOOKUP(B4,ROSTER,3,FALSE))</f>
        <v>0</v>
      </c>
      <c r="D4" s="204">
        <f>IF(B4=0,VLOOKUP(90,ROSTER,4,FALSE),VLOOKUP(B4,ROSTER,4,FALSE))</f>
        <v>0</v>
      </c>
      <c r="E4" s="204" t="str">
        <f>IF(B4=0,VLOOKUP(90,ROSTER,20,FALSE),VLOOKUP(B4,ROSTER,20,FALSE))</f>
        <v xml:space="preserve"> </v>
      </c>
      <c r="F4" s="204" t="str">
        <f>IF(B4=0,VLOOKUP(90,ROSTER,16,FALSE),VLOOKUP(B4,ROSTER,16,FALSE))</f>
        <v/>
      </c>
      <c r="G4" s="204">
        <f>IF(B4=0,VLOOKUP(90,ROSTER,5,FALSE),VLOOKUP(B4,ROSTER,5,FALSE))</f>
        <v>0</v>
      </c>
      <c r="H4" s="204" t="str">
        <f>IF(B4=0,VLOOKUP(90,ROSTER,22,FALSE),VLOOKUP(B4,ROSTER,22,FALSE))</f>
        <v/>
      </c>
      <c r="I4" s="204">
        <f>IF(B4=0,VLOOKUP(90,ROSTER,6,FALSE),VLOOKUP(B4,ROSTER,6,FALSE))</f>
        <v>0</v>
      </c>
      <c r="J4" s="204" t="str">
        <f>IF(B4=0,VLOOKUP(90,ROSTER,17,FALSE),VLOOKUP(B4,ROSTER,17,FALSE))</f>
        <v/>
      </c>
      <c r="K4" s="203">
        <f>IF(B4=0,VLOOKUP(90,ROSTER,9,FALSE),VLOOKUP(B4,ROSTER,9,FALSE))</f>
        <v>0</v>
      </c>
      <c r="L4" s="202" t="str">
        <f>"D:\IMS Images\Headshots\CBB\"&amp;'Team Info'!$B$12&amp;"\"&amp;D4&amp;"_"&amp;C4&amp;".png"</f>
        <v>D:\IMS Images\Headshots\CBB\LSU\0_0.png</v>
      </c>
    </row>
    <row r="5" spans="1:12" x14ac:dyDescent="0.25">
      <c r="A5">
        <v>4</v>
      </c>
      <c r="B5" s="205">
        <v>4</v>
      </c>
      <c r="C5" s="204">
        <f>IF(B5=0,VLOOKUP(90,ROSTER,3,FALSE),VLOOKUP(B5,ROSTER,3,FALSE))</f>
        <v>0</v>
      </c>
      <c r="D5" s="204">
        <f>IF(B5=0,VLOOKUP(90,ROSTER,4,FALSE),VLOOKUP(B5,ROSTER,4,FALSE))</f>
        <v>0</v>
      </c>
      <c r="E5" s="204" t="str">
        <f>IF(B5=0,VLOOKUP(90,ROSTER,20,FALSE),VLOOKUP(B5,ROSTER,20,FALSE))</f>
        <v xml:space="preserve"> </v>
      </c>
      <c r="F5" s="204" t="str">
        <f>IF(B5=0,VLOOKUP(90,ROSTER,16,FALSE),VLOOKUP(B5,ROSTER,16,FALSE))</f>
        <v/>
      </c>
      <c r="G5" s="204">
        <f>IF(B5=0,VLOOKUP(90,ROSTER,5,FALSE),VLOOKUP(B5,ROSTER,5,FALSE))</f>
        <v>0</v>
      </c>
      <c r="H5" s="204" t="str">
        <f>IF(B5=0,VLOOKUP(90,ROSTER,22,FALSE),VLOOKUP(B5,ROSTER,22,FALSE))</f>
        <v/>
      </c>
      <c r="I5" s="204">
        <f>IF(B5=0,VLOOKUP(90,ROSTER,6,FALSE),VLOOKUP(B5,ROSTER,6,FALSE))</f>
        <v>0</v>
      </c>
      <c r="J5" s="204" t="str">
        <f>IF(B5=0,VLOOKUP(90,ROSTER,17,FALSE),VLOOKUP(B5,ROSTER,17,FALSE))</f>
        <v/>
      </c>
      <c r="K5" s="203">
        <f>IF(B5=0,VLOOKUP(90,ROSTER,9,FALSE),VLOOKUP(B5,ROSTER,9,FALSE))</f>
        <v>0</v>
      </c>
      <c r="L5" s="202" t="str">
        <f>"D:\IMS Images\Headshots\CBB\"&amp;'Team Info'!$B$12&amp;"\"&amp;D5&amp;"_"&amp;C5&amp;".png"</f>
        <v>D:\IMS Images\Headshots\CBB\LSU\0_0.png</v>
      </c>
    </row>
    <row r="6" spans="1:12" x14ac:dyDescent="0.25">
      <c r="A6">
        <v>5</v>
      </c>
      <c r="B6" s="205">
        <v>5</v>
      </c>
      <c r="C6" s="204">
        <f>IF(B6=0,VLOOKUP(90,ROSTER,3,FALSE),VLOOKUP(B6,ROSTER,3,FALSE))</f>
        <v>0</v>
      </c>
      <c r="D6" s="204">
        <f>IF(B6=0,VLOOKUP(90,ROSTER,4,FALSE),VLOOKUP(B6,ROSTER,4,FALSE))</f>
        <v>0</v>
      </c>
      <c r="E6" s="204" t="str">
        <f>IF(B6=0,VLOOKUP(90,ROSTER,20,FALSE),VLOOKUP(B6,ROSTER,20,FALSE))</f>
        <v xml:space="preserve"> </v>
      </c>
      <c r="F6" s="204" t="str">
        <f>IF(B6=0,VLOOKUP(90,ROSTER,16,FALSE),VLOOKUP(B6,ROSTER,16,FALSE))</f>
        <v/>
      </c>
      <c r="G6" s="204">
        <f>IF(B6=0,VLOOKUP(90,ROSTER,5,FALSE),VLOOKUP(B6,ROSTER,5,FALSE))</f>
        <v>0</v>
      </c>
      <c r="H6" s="204" t="str">
        <f>IF(B6=0,VLOOKUP(90,ROSTER,22,FALSE),VLOOKUP(B6,ROSTER,22,FALSE))</f>
        <v/>
      </c>
      <c r="I6" s="204">
        <f>IF(B6=0,VLOOKUP(90,ROSTER,6,FALSE),VLOOKUP(B6,ROSTER,6,FALSE))</f>
        <v>0</v>
      </c>
      <c r="J6" s="204" t="str">
        <f>IF(B6=0,VLOOKUP(90,ROSTER,17,FALSE),VLOOKUP(B6,ROSTER,17,FALSE))</f>
        <v/>
      </c>
      <c r="K6" s="203">
        <f>IF(B6=0,VLOOKUP(90,ROSTER,9,FALSE),VLOOKUP(B6,ROSTER,9,FALSE))</f>
        <v>0</v>
      </c>
      <c r="L6" s="202" t="str">
        <f>"D:\IMS Images\Headshots\CBB\"&amp;'Team Info'!$B$12&amp;"\"&amp;D6&amp;"_"&amp;C6&amp;".png"</f>
        <v>D:\IMS Images\Headshots\CBB\LSU\0_0.png</v>
      </c>
    </row>
    <row r="8" spans="1:12" x14ac:dyDescent="0.25">
      <c r="B8" s="282" t="s">
        <v>799</v>
      </c>
      <c r="C8" s="282"/>
      <c r="D8" s="282"/>
      <c r="L8" s="235" t="s">
        <v>833</v>
      </c>
    </row>
    <row r="9" spans="1:12" x14ac:dyDescent="0.25">
      <c r="B9" s="282"/>
      <c r="C9" s="282"/>
      <c r="D9" s="282"/>
    </row>
    <row r="10" spans="1:12" x14ac:dyDescent="0.25">
      <c r="B10" s="282"/>
      <c r="C10" s="282"/>
      <c r="D10" s="282"/>
    </row>
    <row r="11" spans="1:12" x14ac:dyDescent="0.25">
      <c r="B11" s="282"/>
      <c r="C11" s="282"/>
      <c r="D11" s="282"/>
    </row>
  </sheetData>
  <customSheetViews>
    <customSheetView guid="{42F19D52-E208-414F-9E2E-506DF902926F}">
      <selection activeCell="C4" sqref="C4"/>
      <pageMargins left="0.7" right="0.7" top="0.75" bottom="0.75" header="0.3" footer="0.3"/>
    </customSheetView>
    <customSheetView guid="{BE266B8E-38B0-4631-9C30-67CA48A8BD7F}">
      <selection activeCell="C2" sqref="C2"/>
      <pageMargins left="0.7" right="0.7" top="0.75" bottom="0.75" header="0.3" footer="0.3"/>
    </customSheetView>
    <customSheetView guid="{BD1DF852-269B-4C2F-AF89-1FA576EA4603}">
      <selection activeCell="L8" sqref="L8"/>
      <pageMargins left="0.7" right="0.7" top="0.75" bottom="0.75" header="0.3" footer="0.3"/>
    </customSheetView>
    <customSheetView guid="{C8D72D7B-AEA0-45E3-A14B-3F039B04C62C}">
      <selection activeCell="C4" sqref="C4"/>
      <pageMargins left="0.7" right="0.7" top="0.75" bottom="0.75" header="0.3" footer="0.3"/>
    </customSheetView>
    <customSheetView guid="{6A3B2C41-2DBC-4B17-AB58-12C85E3A6B8A}">
      <selection activeCell="C4" sqref="C4"/>
      <pageMargins left="0.7" right="0.7" top="0.75" bottom="0.75" header="0.3" footer="0.3"/>
    </customSheetView>
    <customSheetView guid="{46B088B4-7F51-4D35-9F00-2268626FA819}">
      <selection activeCell="F11" sqref="F11"/>
      <pageMargins left="0.7" right="0.7" top="0.75" bottom="0.75" header="0.3" footer="0.3"/>
    </customSheetView>
    <customSheetView guid="{BC153CFA-E879-4863-BF97-64855FD940E5}">
      <selection activeCell="C4" sqref="C4"/>
      <pageMargins left="0.7" right="0.7" top="0.75" bottom="0.75" header="0.3" footer="0.3"/>
    </customSheetView>
  </customSheetViews>
  <mergeCells count="1">
    <mergeCell ref="B8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zoomScaleNormal="100" workbookViewId="0">
      <pane ySplit="2" topLeftCell="A3" activePane="bottomLeft" state="frozen"/>
      <selection pane="bottomLeft" activeCell="D4" sqref="D4:K89"/>
    </sheetView>
  </sheetViews>
  <sheetFormatPr defaultRowHeight="15" x14ac:dyDescent="0.25"/>
  <cols>
    <col min="2" max="2" width="17.5703125" bestFit="1" customWidth="1"/>
    <col min="3" max="3" width="35.7109375" style="39" customWidth="1"/>
    <col min="4" max="12" width="10.7109375" customWidth="1"/>
  </cols>
  <sheetData>
    <row r="1" spans="1:12" ht="53.25" customHeight="1" thickBot="1" x14ac:dyDescent="0.3">
      <c r="A1" s="283" t="s">
        <v>669</v>
      </c>
      <c r="B1" s="284"/>
      <c r="C1" s="284"/>
      <c r="D1" s="284"/>
      <c r="E1" s="284"/>
      <c r="F1" s="285"/>
    </row>
    <row r="2" spans="1:12" ht="15.75" thickBot="1" x14ac:dyDescent="0.3">
      <c r="A2" s="62" t="s">
        <v>42</v>
      </c>
      <c r="B2" s="94" t="s">
        <v>651</v>
      </c>
      <c r="C2" s="94" t="s">
        <v>670</v>
      </c>
      <c r="D2" s="94" t="s">
        <v>671</v>
      </c>
      <c r="E2" s="94" t="s">
        <v>672</v>
      </c>
      <c r="F2" s="94" t="s">
        <v>673</v>
      </c>
      <c r="G2" s="94" t="s">
        <v>674</v>
      </c>
      <c r="H2" s="94" t="s">
        <v>675</v>
      </c>
      <c r="I2" s="94" t="s">
        <v>676</v>
      </c>
      <c r="J2" s="94" t="s">
        <v>677</v>
      </c>
      <c r="K2" s="94" t="s">
        <v>678</v>
      </c>
      <c r="L2" s="63" t="s">
        <v>679</v>
      </c>
    </row>
    <row r="3" spans="1:12" x14ac:dyDescent="0.25">
      <c r="A3" s="87">
        <f>Roster!$A4</f>
        <v>1</v>
      </c>
      <c r="B3" s="95" t="str">
        <f>Roster!B4</f>
        <v>1</v>
      </c>
      <c r="C3" s="88" t="str">
        <f>Roster!$T4</f>
        <v>First Last</v>
      </c>
      <c r="D3" s="263" t="s">
        <v>906</v>
      </c>
      <c r="E3" s="10" t="s">
        <v>907</v>
      </c>
      <c r="F3" s="10" t="s">
        <v>908</v>
      </c>
      <c r="G3" s="10" t="s">
        <v>902</v>
      </c>
      <c r="H3" s="263" t="s">
        <v>906</v>
      </c>
      <c r="I3" s="263" t="s">
        <v>903</v>
      </c>
      <c r="J3" s="263" t="s">
        <v>896</v>
      </c>
      <c r="K3" s="263" t="s">
        <v>905</v>
      </c>
      <c r="L3" s="89"/>
    </row>
    <row r="4" spans="1:12" x14ac:dyDescent="0.25">
      <c r="A4" s="40">
        <f>Roster!$A5</f>
        <v>2</v>
      </c>
      <c r="B4" s="47">
        <f>Roster!B5</f>
        <v>2</v>
      </c>
      <c r="C4" s="78" t="str">
        <f>Roster!$T5</f>
        <v xml:space="preserve"> </v>
      </c>
      <c r="D4" s="263"/>
      <c r="E4" s="10"/>
      <c r="F4" s="10"/>
      <c r="G4" s="10"/>
      <c r="H4" s="263"/>
      <c r="I4" s="263"/>
      <c r="J4" s="263"/>
      <c r="K4" s="263"/>
      <c r="L4" s="10"/>
    </row>
    <row r="5" spans="1:12" x14ac:dyDescent="0.25">
      <c r="A5" s="40">
        <f>Roster!$A6</f>
        <v>3</v>
      </c>
      <c r="B5" s="47">
        <f>Roster!B6</f>
        <v>3</v>
      </c>
      <c r="C5" s="78" t="str">
        <f>Roster!$T6</f>
        <v xml:space="preserve"> </v>
      </c>
      <c r="D5" s="263"/>
      <c r="E5" s="10"/>
      <c r="F5" s="10"/>
      <c r="G5" s="10"/>
      <c r="H5" s="263"/>
      <c r="I5" s="263"/>
      <c r="J5" s="263"/>
      <c r="K5" s="263"/>
      <c r="L5" s="10"/>
    </row>
    <row r="6" spans="1:12" x14ac:dyDescent="0.25">
      <c r="A6" s="40">
        <f>Roster!$A7</f>
        <v>4</v>
      </c>
      <c r="B6" s="47">
        <f>Roster!B7</f>
        <v>4</v>
      </c>
      <c r="C6" s="78" t="str">
        <f>Roster!$T7</f>
        <v xml:space="preserve"> </v>
      </c>
      <c r="D6" s="263"/>
      <c r="E6" s="10"/>
      <c r="F6" s="10"/>
      <c r="G6" s="10"/>
      <c r="H6" s="263"/>
      <c r="I6" s="263"/>
      <c r="J6" s="263"/>
      <c r="K6" s="263"/>
      <c r="L6" s="10"/>
    </row>
    <row r="7" spans="1:12" x14ac:dyDescent="0.25">
      <c r="A7" s="40">
        <f>Roster!$A8</f>
        <v>5</v>
      </c>
      <c r="B7" s="47">
        <f>Roster!B8</f>
        <v>5</v>
      </c>
      <c r="C7" s="78" t="str">
        <f>Roster!$T8</f>
        <v xml:space="preserve"> </v>
      </c>
      <c r="D7" s="263"/>
      <c r="E7" s="10"/>
      <c r="F7" s="10"/>
      <c r="G7" s="10"/>
      <c r="H7" s="263"/>
      <c r="I7" s="263"/>
      <c r="J7" s="263"/>
      <c r="K7" s="263"/>
      <c r="L7" s="10"/>
    </row>
    <row r="8" spans="1:12" x14ac:dyDescent="0.25">
      <c r="A8" s="40">
        <f>Roster!$A9</f>
        <v>6</v>
      </c>
      <c r="B8" s="47">
        <f>Roster!B9</f>
        <v>6</v>
      </c>
      <c r="C8" s="78" t="str">
        <f>Roster!$T9</f>
        <v xml:space="preserve"> 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40">
        <f>Roster!$A10</f>
        <v>7</v>
      </c>
      <c r="B9" s="47">
        <f>Roster!B10</f>
        <v>7</v>
      </c>
      <c r="C9" s="78" t="str">
        <f>Roster!$T10</f>
        <v xml:space="preserve"> 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40">
        <f>Roster!$A11</f>
        <v>8</v>
      </c>
      <c r="B10" s="47">
        <f>Roster!B11</f>
        <v>8</v>
      </c>
      <c r="C10" s="78" t="str">
        <f>Roster!$T11</f>
        <v xml:space="preserve"> 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40">
        <f>Roster!$A12</f>
        <v>9</v>
      </c>
      <c r="B11" s="47">
        <f>Roster!B12</f>
        <v>9</v>
      </c>
      <c r="C11" s="78" t="str">
        <f>Roster!$T12</f>
        <v xml:space="preserve"> 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40">
        <f>Roster!$A13</f>
        <v>10</v>
      </c>
      <c r="B12" s="47">
        <f>Roster!B13</f>
        <v>10</v>
      </c>
      <c r="C12" s="78" t="str">
        <f>Roster!$T13</f>
        <v xml:space="preserve"> </v>
      </c>
      <c r="D12" s="263"/>
      <c r="E12" s="10"/>
      <c r="F12" s="10"/>
      <c r="G12" s="10"/>
      <c r="H12" s="263"/>
      <c r="I12" s="263"/>
      <c r="J12" s="263"/>
      <c r="K12" s="263"/>
      <c r="L12" s="10"/>
    </row>
    <row r="13" spans="1:12" x14ac:dyDescent="0.25">
      <c r="A13" s="40">
        <f>Roster!$A14</f>
        <v>11</v>
      </c>
      <c r="B13" s="47">
        <f>Roster!B14</f>
        <v>11</v>
      </c>
      <c r="C13" s="78" t="str">
        <f>Roster!$T14</f>
        <v xml:space="preserve"> </v>
      </c>
      <c r="D13" s="263"/>
      <c r="E13" s="10"/>
      <c r="F13" s="10"/>
      <c r="G13" s="10"/>
      <c r="H13" s="263"/>
      <c r="I13" s="263"/>
      <c r="J13" s="263"/>
      <c r="K13" s="263"/>
      <c r="L13" s="10"/>
    </row>
    <row r="14" spans="1:12" x14ac:dyDescent="0.25">
      <c r="A14" s="40">
        <f>Roster!$A15</f>
        <v>12</v>
      </c>
      <c r="B14" s="47">
        <f>Roster!B15</f>
        <v>12</v>
      </c>
      <c r="C14" s="78" t="str">
        <f>Roster!$T15</f>
        <v xml:space="preserve"> </v>
      </c>
      <c r="D14" s="263"/>
      <c r="E14" s="10"/>
      <c r="F14" s="10"/>
      <c r="G14" s="10"/>
      <c r="H14" s="263"/>
      <c r="I14" s="263"/>
      <c r="J14" s="263"/>
      <c r="K14" s="263"/>
      <c r="L14" s="10"/>
    </row>
    <row r="15" spans="1:12" x14ac:dyDescent="0.25">
      <c r="A15" s="40">
        <f>Roster!$A16</f>
        <v>13</v>
      </c>
      <c r="B15" s="47">
        <f>Roster!B16</f>
        <v>13</v>
      </c>
      <c r="C15" s="78" t="str">
        <f>Roster!$T16</f>
        <v xml:space="preserve"> 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40">
        <f>Roster!$A17</f>
        <v>14</v>
      </c>
      <c r="B16" s="47">
        <f>Roster!B17</f>
        <v>14</v>
      </c>
      <c r="C16" s="78" t="str">
        <f>Roster!$T17</f>
        <v xml:space="preserve"> </v>
      </c>
      <c r="D16" s="263"/>
      <c r="E16" s="10"/>
      <c r="F16" s="10"/>
      <c r="G16" s="10"/>
      <c r="H16" s="263"/>
      <c r="I16" s="263"/>
      <c r="J16" s="263"/>
      <c r="K16" s="263"/>
      <c r="L16" s="10"/>
    </row>
    <row r="17" spans="1:12" x14ac:dyDescent="0.25">
      <c r="A17" s="40">
        <f>Roster!$A18</f>
        <v>15</v>
      </c>
      <c r="B17" s="47">
        <f>Roster!B18</f>
        <v>15</v>
      </c>
      <c r="C17" s="78" t="str">
        <f>Roster!$T18</f>
        <v xml:space="preserve"> </v>
      </c>
      <c r="D17" s="263"/>
      <c r="E17" s="10"/>
      <c r="F17" s="10"/>
      <c r="G17" s="10"/>
      <c r="H17" s="263"/>
      <c r="I17" s="263"/>
      <c r="J17" s="263"/>
      <c r="K17" s="263"/>
      <c r="L17" s="10"/>
    </row>
    <row r="18" spans="1:12" x14ac:dyDescent="0.25">
      <c r="A18" s="40">
        <f>Roster!$A19</f>
        <v>16</v>
      </c>
      <c r="B18" s="47">
        <f>Roster!B19</f>
        <v>16</v>
      </c>
      <c r="C18" s="78" t="str">
        <f>Roster!$T19</f>
        <v xml:space="preserve"> 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40">
        <f>Roster!$A20</f>
        <v>17</v>
      </c>
      <c r="B19" s="47">
        <f>Roster!B20</f>
        <v>17</v>
      </c>
      <c r="C19" s="78" t="str">
        <f>Roster!$T20</f>
        <v xml:space="preserve"> 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40">
        <f>Roster!$A21</f>
        <v>18</v>
      </c>
      <c r="B20" s="47">
        <f>Roster!B21</f>
        <v>18</v>
      </c>
      <c r="C20" s="78" t="str">
        <f>Roster!$T21</f>
        <v xml:space="preserve"> 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40">
        <f>Roster!$A22</f>
        <v>19</v>
      </c>
      <c r="B21" s="47">
        <f>Roster!B22</f>
        <v>19</v>
      </c>
      <c r="C21" s="78" t="str">
        <f>Roster!$T22</f>
        <v xml:space="preserve"> 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40">
        <f>Roster!$A23</f>
        <v>20</v>
      </c>
      <c r="B22" s="47">
        <f>Roster!B23</f>
        <v>20</v>
      </c>
      <c r="C22" s="78" t="str">
        <f>Roster!$T23</f>
        <v xml:space="preserve"> 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40">
        <f>Roster!$A24</f>
        <v>21</v>
      </c>
      <c r="B23" s="47">
        <f>Roster!B24</f>
        <v>21</v>
      </c>
      <c r="C23" s="78" t="str">
        <f>Roster!$T24</f>
        <v xml:space="preserve"> </v>
      </c>
      <c r="D23" s="263"/>
      <c r="E23" s="10"/>
      <c r="F23" s="10"/>
      <c r="G23" s="10"/>
      <c r="H23" s="263"/>
      <c r="I23" s="263"/>
      <c r="J23" s="263"/>
      <c r="K23" s="263"/>
      <c r="L23" s="10"/>
    </row>
    <row r="24" spans="1:12" x14ac:dyDescent="0.25">
      <c r="A24" s="40">
        <f>Roster!$A25</f>
        <v>22</v>
      </c>
      <c r="B24" s="47">
        <f>Roster!B25</f>
        <v>22</v>
      </c>
      <c r="C24" s="78" t="str">
        <f>Roster!$T25</f>
        <v xml:space="preserve"> 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40">
        <f>Roster!$A26</f>
        <v>23</v>
      </c>
      <c r="B25" s="47">
        <f>Roster!B26</f>
        <v>23</v>
      </c>
      <c r="C25" s="78" t="str">
        <f>Roster!$T26</f>
        <v xml:space="preserve"> </v>
      </c>
      <c r="D25" s="263"/>
      <c r="E25" s="10"/>
      <c r="F25" s="10"/>
      <c r="G25" s="10"/>
      <c r="H25" s="263"/>
      <c r="I25" s="263"/>
      <c r="J25" s="263"/>
      <c r="K25" s="263"/>
      <c r="L25" s="10"/>
    </row>
    <row r="26" spans="1:12" x14ac:dyDescent="0.25">
      <c r="A26" s="40">
        <f>Roster!$A27</f>
        <v>24</v>
      </c>
      <c r="B26" s="47">
        <f>Roster!B27</f>
        <v>24</v>
      </c>
      <c r="C26" s="78" t="str">
        <f>Roster!$T27</f>
        <v xml:space="preserve"> 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40">
        <f>Roster!$A28</f>
        <v>25</v>
      </c>
      <c r="B27" s="47">
        <f>Roster!B28</f>
        <v>25</v>
      </c>
      <c r="C27" s="78" t="str">
        <f>Roster!$T28</f>
        <v xml:space="preserve"> 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40">
        <f>Roster!$A29</f>
        <v>26</v>
      </c>
      <c r="B28" s="47">
        <f>Roster!B29</f>
        <v>26</v>
      </c>
      <c r="C28" s="78" t="str">
        <f>Roster!$T29</f>
        <v xml:space="preserve"> 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40">
        <f>Roster!$A30</f>
        <v>27</v>
      </c>
      <c r="B29" s="47">
        <f>Roster!B30</f>
        <v>27</v>
      </c>
      <c r="C29" s="78" t="str">
        <f>Roster!$T30</f>
        <v xml:space="preserve"> 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40">
        <f>Roster!$A31</f>
        <v>28</v>
      </c>
      <c r="B30" s="47">
        <f>Roster!B31</f>
        <v>28</v>
      </c>
      <c r="C30" s="78" t="str">
        <f>Roster!$T31</f>
        <v xml:space="preserve"> </v>
      </c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40">
        <f>Roster!$A32</f>
        <v>29</v>
      </c>
      <c r="B31" s="47">
        <f>Roster!B32</f>
        <v>29</v>
      </c>
      <c r="C31" s="78" t="str">
        <f>Roster!$T32</f>
        <v xml:space="preserve"> </v>
      </c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40">
        <f>Roster!$A33</f>
        <v>30</v>
      </c>
      <c r="B32" s="47">
        <f>Roster!B33</f>
        <v>30</v>
      </c>
      <c r="C32" s="78" t="str">
        <f>Roster!$T33</f>
        <v xml:space="preserve"> </v>
      </c>
      <c r="D32" s="263"/>
      <c r="E32" s="10"/>
      <c r="F32" s="10"/>
      <c r="G32" s="10"/>
      <c r="H32" s="263"/>
      <c r="I32" s="263"/>
      <c r="J32" s="263"/>
      <c r="K32" s="263"/>
      <c r="L32" s="10"/>
    </row>
    <row r="33" spans="1:12" x14ac:dyDescent="0.25">
      <c r="A33" s="40">
        <f>Roster!$A34</f>
        <v>31</v>
      </c>
      <c r="B33" s="47">
        <f>Roster!B34</f>
        <v>31</v>
      </c>
      <c r="C33" s="78" t="str">
        <f>Roster!$T34</f>
        <v xml:space="preserve"> </v>
      </c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40">
        <f>Roster!$A35</f>
        <v>32</v>
      </c>
      <c r="B34" s="47">
        <f>Roster!B35</f>
        <v>32</v>
      </c>
      <c r="C34" s="78" t="str">
        <f>Roster!$T35</f>
        <v xml:space="preserve"> </v>
      </c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40">
        <f>Roster!$A36</f>
        <v>33</v>
      </c>
      <c r="B35" s="47">
        <f>Roster!B36</f>
        <v>33</v>
      </c>
      <c r="C35" s="78" t="str">
        <f>Roster!$T36</f>
        <v xml:space="preserve"> </v>
      </c>
      <c r="D35" s="263"/>
      <c r="E35" s="10"/>
      <c r="F35" s="10"/>
      <c r="G35" s="10"/>
      <c r="H35" s="263"/>
      <c r="I35" s="263"/>
      <c r="J35" s="263"/>
      <c r="K35" s="263"/>
      <c r="L35" s="10"/>
    </row>
    <row r="36" spans="1:12" x14ac:dyDescent="0.25">
      <c r="A36" s="40">
        <f>Roster!$A37</f>
        <v>34</v>
      </c>
      <c r="B36" s="47">
        <f>Roster!B37</f>
        <v>34</v>
      </c>
      <c r="C36" s="78" t="str">
        <f>Roster!$T37</f>
        <v xml:space="preserve"> </v>
      </c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40">
        <f>Roster!$A38</f>
        <v>35</v>
      </c>
      <c r="B37" s="47">
        <f>Roster!B38</f>
        <v>35</v>
      </c>
      <c r="C37" s="78" t="str">
        <f>Roster!$T38</f>
        <v xml:space="preserve"> </v>
      </c>
      <c r="D37" s="263"/>
      <c r="E37" s="10"/>
      <c r="F37" s="10"/>
      <c r="G37" s="10"/>
      <c r="H37" s="263"/>
      <c r="I37" s="263"/>
      <c r="J37" s="263"/>
      <c r="K37" s="263"/>
      <c r="L37" s="10"/>
    </row>
    <row r="38" spans="1:12" x14ac:dyDescent="0.25">
      <c r="A38" s="40">
        <f>Roster!$A39</f>
        <v>36</v>
      </c>
      <c r="B38" s="47">
        <f>Roster!B39</f>
        <v>36</v>
      </c>
      <c r="C38" s="78" t="str">
        <f>Roster!$T39</f>
        <v xml:space="preserve"> </v>
      </c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40">
        <f>Roster!$A40</f>
        <v>37</v>
      </c>
      <c r="B39" s="47">
        <f>Roster!B40</f>
        <v>37</v>
      </c>
      <c r="C39" s="78" t="str">
        <f>Roster!$T40</f>
        <v xml:space="preserve"> </v>
      </c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40">
        <f>Roster!$A41</f>
        <v>38</v>
      </c>
      <c r="B40" s="47">
        <f>Roster!B41</f>
        <v>38</v>
      </c>
      <c r="C40" s="78" t="str">
        <f>Roster!$T41</f>
        <v xml:space="preserve"> </v>
      </c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40">
        <f>Roster!$A42</f>
        <v>39</v>
      </c>
      <c r="B41" s="47">
        <f>Roster!B42</f>
        <v>39</v>
      </c>
      <c r="C41" s="78" t="str">
        <f>Roster!$T42</f>
        <v xml:space="preserve"> </v>
      </c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40">
        <f>Roster!$A43</f>
        <v>40</v>
      </c>
      <c r="B42" s="47">
        <f>Roster!B43</f>
        <v>40</v>
      </c>
      <c r="C42" s="78" t="str">
        <f>Roster!$T43</f>
        <v xml:space="preserve"> </v>
      </c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40">
        <f>Roster!$A44</f>
        <v>41</v>
      </c>
      <c r="B43" s="47">
        <f>Roster!B44</f>
        <v>41</v>
      </c>
      <c r="C43" s="78" t="str">
        <f>Roster!$T44</f>
        <v xml:space="preserve"> </v>
      </c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40">
        <f>Roster!$A45</f>
        <v>42</v>
      </c>
      <c r="B44" s="47">
        <f>Roster!B45</f>
        <v>42</v>
      </c>
      <c r="C44" s="78" t="str">
        <f>Roster!$T45</f>
        <v xml:space="preserve"> </v>
      </c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40">
        <f>Roster!$A46</f>
        <v>43</v>
      </c>
      <c r="B45" s="47">
        <f>Roster!B46</f>
        <v>43</v>
      </c>
      <c r="C45" s="78" t="str">
        <f>Roster!$T46</f>
        <v xml:space="preserve"> </v>
      </c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40">
        <f>Roster!$A47</f>
        <v>44</v>
      </c>
      <c r="B46" s="47">
        <f>Roster!B47</f>
        <v>44</v>
      </c>
      <c r="C46" s="78" t="str">
        <f>Roster!$T47</f>
        <v xml:space="preserve"> </v>
      </c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40">
        <f>Roster!$A48</f>
        <v>45</v>
      </c>
      <c r="B47" s="47">
        <f>Roster!B48</f>
        <v>45</v>
      </c>
      <c r="C47" s="78" t="str">
        <f>Roster!$T48</f>
        <v xml:space="preserve"> </v>
      </c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40">
        <f>Roster!$A49</f>
        <v>46</v>
      </c>
      <c r="B48" s="47">
        <f>Roster!B49</f>
        <v>46</v>
      </c>
      <c r="C48" s="78" t="str">
        <f>Roster!$T49</f>
        <v xml:space="preserve"> </v>
      </c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40">
        <f>Roster!$A50</f>
        <v>47</v>
      </c>
      <c r="B49" s="47">
        <f>Roster!B50</f>
        <v>47</v>
      </c>
      <c r="C49" s="78" t="str">
        <f>Roster!$T50</f>
        <v xml:space="preserve"> </v>
      </c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40">
        <f>Roster!$A51</f>
        <v>48</v>
      </c>
      <c r="B50" s="47">
        <f>Roster!B51</f>
        <v>48</v>
      </c>
      <c r="C50" s="78" t="str">
        <f>Roster!$T51</f>
        <v xml:space="preserve"> </v>
      </c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40">
        <f>Roster!$A52</f>
        <v>49</v>
      </c>
      <c r="B51" s="47">
        <f>Roster!B52</f>
        <v>49</v>
      </c>
      <c r="C51" s="78" t="str">
        <f>Roster!$T52</f>
        <v xml:space="preserve"> </v>
      </c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40">
        <f>Roster!$A53</f>
        <v>50</v>
      </c>
      <c r="B52" s="47">
        <f>Roster!B53</f>
        <v>50</v>
      </c>
      <c r="C52" s="78" t="str">
        <f>Roster!$T53</f>
        <v xml:space="preserve"> </v>
      </c>
      <c r="D52" s="263"/>
      <c r="E52" s="10"/>
      <c r="F52" s="10"/>
      <c r="G52" s="10"/>
      <c r="H52" s="263"/>
      <c r="I52" s="263"/>
      <c r="J52" s="263"/>
      <c r="K52" s="263"/>
      <c r="L52" s="10"/>
    </row>
    <row r="53" spans="1:12" x14ac:dyDescent="0.25">
      <c r="A53" s="40">
        <f>Roster!$A54</f>
        <v>51</v>
      </c>
      <c r="B53" s="47">
        <f>Roster!B54</f>
        <v>51</v>
      </c>
      <c r="C53" s="78" t="str">
        <f>Roster!$T54</f>
        <v xml:space="preserve"> </v>
      </c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40">
        <f>Roster!$A55</f>
        <v>52</v>
      </c>
      <c r="B54" s="47">
        <f>Roster!B55</f>
        <v>52</v>
      </c>
      <c r="C54" s="78" t="str">
        <f>Roster!$T55</f>
        <v xml:space="preserve"> </v>
      </c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40">
        <f>Roster!$A56</f>
        <v>53</v>
      </c>
      <c r="B55" s="47">
        <f>Roster!B56</f>
        <v>53</v>
      </c>
      <c r="C55" s="78" t="str">
        <f>Roster!$T56</f>
        <v xml:space="preserve"> </v>
      </c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40">
        <f>Roster!$A57</f>
        <v>54</v>
      </c>
      <c r="B56" s="47">
        <f>Roster!B57</f>
        <v>54</v>
      </c>
      <c r="C56" s="78" t="str">
        <f>Roster!$T57</f>
        <v xml:space="preserve"> </v>
      </c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40">
        <f>Roster!$A58</f>
        <v>55</v>
      </c>
      <c r="B57" s="47">
        <f>Roster!B58</f>
        <v>55</v>
      </c>
      <c r="C57" s="78" t="str">
        <f>Roster!$T58</f>
        <v xml:space="preserve"> </v>
      </c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40">
        <f>Roster!$A59</f>
        <v>56</v>
      </c>
      <c r="B58" s="47">
        <f>Roster!B59</f>
        <v>56</v>
      </c>
      <c r="C58" s="78" t="str">
        <f>Roster!$T59</f>
        <v xml:space="preserve"> </v>
      </c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40">
        <f>Roster!$A60</f>
        <v>57</v>
      </c>
      <c r="B59" s="47">
        <f>Roster!B60</f>
        <v>57</v>
      </c>
      <c r="C59" s="78" t="str">
        <f>Roster!$T60</f>
        <v xml:space="preserve"> </v>
      </c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40">
        <f>Roster!$A61</f>
        <v>58</v>
      </c>
      <c r="B60" s="47">
        <f>Roster!B61</f>
        <v>58</v>
      </c>
      <c r="C60" s="78" t="str">
        <f>Roster!$T61</f>
        <v xml:space="preserve"> </v>
      </c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40">
        <f>Roster!$A62</f>
        <v>59</v>
      </c>
      <c r="B61" s="47">
        <f>Roster!B62</f>
        <v>59</v>
      </c>
      <c r="C61" s="78" t="str">
        <f>Roster!$T62</f>
        <v xml:space="preserve"> </v>
      </c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40">
        <f>Roster!$A63</f>
        <v>60</v>
      </c>
      <c r="B62" s="47">
        <f>Roster!B63</f>
        <v>60</v>
      </c>
      <c r="C62" s="78" t="str">
        <f>Roster!$T63</f>
        <v xml:space="preserve"> </v>
      </c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40">
        <f>Roster!$A64</f>
        <v>61</v>
      </c>
      <c r="B63" s="47">
        <f>Roster!B64</f>
        <v>61</v>
      </c>
      <c r="C63" s="78" t="str">
        <f>Roster!$T64</f>
        <v xml:space="preserve"> </v>
      </c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40">
        <f>Roster!$A65</f>
        <v>62</v>
      </c>
      <c r="B64" s="47">
        <f>Roster!B65</f>
        <v>62</v>
      </c>
      <c r="C64" s="78" t="str">
        <f>Roster!$T65</f>
        <v xml:space="preserve"> </v>
      </c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40">
        <f>Roster!$A66</f>
        <v>63</v>
      </c>
      <c r="B65" s="47">
        <f>Roster!B66</f>
        <v>63</v>
      </c>
      <c r="C65" s="78" t="str">
        <f>Roster!$T66</f>
        <v xml:space="preserve"> </v>
      </c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40">
        <f>Roster!$A67</f>
        <v>64</v>
      </c>
      <c r="B66" s="47">
        <f>Roster!B67</f>
        <v>64</v>
      </c>
      <c r="C66" s="78" t="str">
        <f>Roster!$T67</f>
        <v xml:space="preserve"> </v>
      </c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40">
        <f>Roster!$A68</f>
        <v>65</v>
      </c>
      <c r="B67" s="47">
        <f>Roster!B68</f>
        <v>65</v>
      </c>
      <c r="C67" s="78" t="str">
        <f>Roster!$T68</f>
        <v xml:space="preserve"> </v>
      </c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40">
        <f>Roster!$A69</f>
        <v>66</v>
      </c>
      <c r="B68" s="47">
        <f>Roster!B69</f>
        <v>66</v>
      </c>
      <c r="C68" s="78" t="str">
        <f>Roster!$T69</f>
        <v xml:space="preserve"> </v>
      </c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40">
        <f>Roster!$A70</f>
        <v>67</v>
      </c>
      <c r="B69" s="47">
        <f>Roster!B70</f>
        <v>67</v>
      </c>
      <c r="C69" s="78" t="str">
        <f>Roster!$T70</f>
        <v xml:space="preserve"> </v>
      </c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40">
        <f>Roster!$A71</f>
        <v>68</v>
      </c>
      <c r="B70" s="47">
        <f>Roster!B71</f>
        <v>68</v>
      </c>
      <c r="C70" s="78" t="str">
        <f>Roster!$T71</f>
        <v xml:space="preserve"> </v>
      </c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40">
        <f>Roster!$A72</f>
        <v>69</v>
      </c>
      <c r="B71" s="47">
        <f>Roster!B72</f>
        <v>69</v>
      </c>
      <c r="C71" s="78" t="str">
        <f>Roster!$T72</f>
        <v xml:space="preserve"> </v>
      </c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40">
        <f>Roster!$A73</f>
        <v>70</v>
      </c>
      <c r="B72" s="47">
        <f>Roster!B73</f>
        <v>70</v>
      </c>
      <c r="C72" s="78" t="str">
        <f>Roster!$T73</f>
        <v xml:space="preserve"> </v>
      </c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40">
        <f>Roster!$A74</f>
        <v>71</v>
      </c>
      <c r="B73" s="47">
        <f>Roster!B74</f>
        <v>71</v>
      </c>
      <c r="C73" s="78" t="str">
        <f>Roster!$T74</f>
        <v xml:space="preserve"> </v>
      </c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40">
        <f>Roster!$A75</f>
        <v>72</v>
      </c>
      <c r="B74" s="47">
        <f>Roster!B75</f>
        <v>72</v>
      </c>
      <c r="C74" s="78" t="str">
        <f>Roster!$T75</f>
        <v xml:space="preserve"> </v>
      </c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40">
        <f>Roster!$A76</f>
        <v>73</v>
      </c>
      <c r="B75" s="47">
        <f>Roster!B76</f>
        <v>73</v>
      </c>
      <c r="C75" s="78" t="str">
        <f>Roster!$T76</f>
        <v xml:space="preserve"> </v>
      </c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40">
        <f>Roster!$A77</f>
        <v>74</v>
      </c>
      <c r="B76" s="47">
        <f>Roster!B77</f>
        <v>74</v>
      </c>
      <c r="C76" s="78" t="str">
        <f>Roster!$T77</f>
        <v xml:space="preserve"> </v>
      </c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40">
        <f>Roster!$A78</f>
        <v>75</v>
      </c>
      <c r="B77" s="47">
        <f>Roster!B78</f>
        <v>75</v>
      </c>
      <c r="C77" s="78" t="str">
        <f>Roster!$T78</f>
        <v xml:space="preserve"> </v>
      </c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40">
        <f>Roster!$A79</f>
        <v>76</v>
      </c>
      <c r="B78" s="47">
        <f>Roster!B79</f>
        <v>76</v>
      </c>
      <c r="C78" s="78" t="str">
        <f>Roster!$T79</f>
        <v xml:space="preserve"> </v>
      </c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40">
        <f>Roster!$A80</f>
        <v>77</v>
      </c>
      <c r="B79" s="47">
        <f>Roster!B80</f>
        <v>77</v>
      </c>
      <c r="C79" s="78" t="str">
        <f>Roster!$T80</f>
        <v xml:space="preserve"> </v>
      </c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40">
        <f>Roster!$A81</f>
        <v>78</v>
      </c>
      <c r="B80" s="47">
        <f>Roster!B81</f>
        <v>78</v>
      </c>
      <c r="C80" s="78" t="str">
        <f>Roster!$T81</f>
        <v xml:space="preserve"> </v>
      </c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40">
        <f>Roster!$A82</f>
        <v>79</v>
      </c>
      <c r="B81" s="47">
        <f>Roster!B82</f>
        <v>79</v>
      </c>
      <c r="C81" s="78" t="str">
        <f>Roster!$T82</f>
        <v xml:space="preserve"> </v>
      </c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40">
        <f>Roster!$A83</f>
        <v>80</v>
      </c>
      <c r="B82" s="47">
        <f>Roster!B83</f>
        <v>80</v>
      </c>
      <c r="C82" s="78" t="str">
        <f>Roster!$T83</f>
        <v xml:space="preserve"> </v>
      </c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40">
        <f>Roster!$A84</f>
        <v>81</v>
      </c>
      <c r="B83" s="47">
        <f>Roster!B84</f>
        <v>81</v>
      </c>
      <c r="C83" s="78" t="str">
        <f>Roster!$T84</f>
        <v xml:space="preserve"> </v>
      </c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40">
        <f>Roster!$A85</f>
        <v>82</v>
      </c>
      <c r="B84" s="47">
        <f>Roster!B85</f>
        <v>82</v>
      </c>
      <c r="C84" s="78" t="str">
        <f>Roster!$T85</f>
        <v xml:space="preserve"> </v>
      </c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40">
        <f>Roster!$A86</f>
        <v>83</v>
      </c>
      <c r="B85" s="47">
        <f>Roster!B86</f>
        <v>83</v>
      </c>
      <c r="C85" s="78" t="str">
        <f>Roster!$T86</f>
        <v xml:space="preserve"> </v>
      </c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40">
        <f>Roster!$A87</f>
        <v>84</v>
      </c>
      <c r="B86" s="47">
        <f>Roster!B87</f>
        <v>84</v>
      </c>
      <c r="C86" s="78" t="str">
        <f>Roster!$T87</f>
        <v xml:space="preserve"> </v>
      </c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40">
        <f>Roster!$A88</f>
        <v>85</v>
      </c>
      <c r="B87" s="47">
        <f>Roster!B88</f>
        <v>85</v>
      </c>
      <c r="C87" s="78" t="str">
        <f>Roster!$T88</f>
        <v xml:space="preserve"> </v>
      </c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40">
        <f>Roster!$A89</f>
        <v>86</v>
      </c>
      <c r="B88" s="47">
        <f>Roster!B89</f>
        <v>86</v>
      </c>
      <c r="C88" s="78" t="str">
        <f>Roster!$T89</f>
        <v xml:space="preserve"> </v>
      </c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40">
        <f>Roster!$A90</f>
        <v>87</v>
      </c>
      <c r="B89" s="47">
        <f>Roster!B90</f>
        <v>87</v>
      </c>
      <c r="C89" s="78" t="str">
        <f>Roster!$T90</f>
        <v xml:space="preserve"> </v>
      </c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40">
        <f>Roster!$A91</f>
        <v>88</v>
      </c>
      <c r="B90" s="47">
        <f>Roster!B91</f>
        <v>88</v>
      </c>
      <c r="C90" s="78" t="str">
        <f>Roster!$T91</f>
        <v xml:space="preserve"> </v>
      </c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40">
        <f>Roster!$A92</f>
        <v>89</v>
      </c>
      <c r="B91" s="47">
        <f>Roster!B92</f>
        <v>89</v>
      </c>
      <c r="C91" s="78" t="str">
        <f>Roster!$T92</f>
        <v xml:space="preserve"> </v>
      </c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40">
        <f>Roster!$A93</f>
        <v>90</v>
      </c>
      <c r="B92" s="47">
        <f>Roster!B93</f>
        <v>0</v>
      </c>
      <c r="C92" s="78" t="str">
        <f>C104</f>
        <v xml:space="preserve"> </v>
      </c>
      <c r="D92" s="249">
        <f>D104</f>
        <v>0</v>
      </c>
      <c r="E92" s="249">
        <f t="shared" ref="E92:L92" si="0">E104</f>
        <v>0</v>
      </c>
      <c r="F92" s="249">
        <f t="shared" si="0"/>
        <v>0</v>
      </c>
      <c r="G92" s="249">
        <f t="shared" si="0"/>
        <v>0</v>
      </c>
      <c r="H92" s="249">
        <f t="shared" si="0"/>
        <v>0</v>
      </c>
      <c r="I92" s="249">
        <f t="shared" si="0"/>
        <v>0</v>
      </c>
      <c r="J92" s="249">
        <f t="shared" si="0"/>
        <v>0</v>
      </c>
      <c r="K92" s="249">
        <f t="shared" si="0"/>
        <v>0</v>
      </c>
      <c r="L92" s="249">
        <f t="shared" si="0"/>
        <v>0</v>
      </c>
    </row>
    <row r="93" spans="1:12" x14ac:dyDescent="0.25">
      <c r="A93" s="40">
        <f>Roster!$A94</f>
        <v>91</v>
      </c>
      <c r="B93" s="47">
        <f>Roster!B94</f>
        <v>91</v>
      </c>
      <c r="C93" s="78" t="str">
        <f>Roster!$T94</f>
        <v xml:space="preserve"> </v>
      </c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40">
        <f>Roster!$A95</f>
        <v>92</v>
      </c>
      <c r="B94" s="47">
        <f>Roster!B95</f>
        <v>92</v>
      </c>
      <c r="C94" s="78" t="str">
        <f>Roster!$T95</f>
        <v xml:space="preserve"> </v>
      </c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40">
        <f>Roster!$A96</f>
        <v>93</v>
      </c>
      <c r="B95" s="47">
        <f>Roster!B96</f>
        <v>93</v>
      </c>
      <c r="C95" s="78" t="str">
        <f>Roster!$T96</f>
        <v xml:space="preserve"> </v>
      </c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40">
        <f>Roster!$A97</f>
        <v>94</v>
      </c>
      <c r="B96" s="47">
        <f>Roster!B97</f>
        <v>94</v>
      </c>
      <c r="C96" s="78" t="str">
        <f>Roster!$T97</f>
        <v xml:space="preserve"> </v>
      </c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40">
        <f>Roster!$A98</f>
        <v>95</v>
      </c>
      <c r="B97" s="47">
        <f>Roster!B98</f>
        <v>95</v>
      </c>
      <c r="C97" s="78" t="str">
        <f>Roster!$T98</f>
        <v xml:space="preserve"> </v>
      </c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40">
        <f>Roster!$A99</f>
        <v>96</v>
      </c>
      <c r="B98" s="47">
        <f>Roster!B99</f>
        <v>96</v>
      </c>
      <c r="C98" s="78" t="str">
        <f>Roster!$T99</f>
        <v xml:space="preserve"> </v>
      </c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40">
        <f>Roster!$A100</f>
        <v>97</v>
      </c>
      <c r="B99" s="47">
        <f>Roster!B100</f>
        <v>97</v>
      </c>
      <c r="C99" s="78" t="str">
        <f>Roster!$T100</f>
        <v xml:space="preserve"> </v>
      </c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40">
        <f>Roster!$A101</f>
        <v>98</v>
      </c>
      <c r="B100" s="47">
        <f>Roster!B101</f>
        <v>98</v>
      </c>
      <c r="C100" s="78" t="str">
        <f>Roster!$T101</f>
        <v xml:space="preserve"> </v>
      </c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40">
        <f>Roster!$A102</f>
        <v>99</v>
      </c>
      <c r="B101" s="47" t="str">
        <f>Roster!B102</f>
        <v>00</v>
      </c>
      <c r="C101" s="78" t="str">
        <f>C104</f>
        <v xml:space="preserve"> </v>
      </c>
      <c r="D101" s="249">
        <f>D104</f>
        <v>0</v>
      </c>
      <c r="E101" s="249">
        <f t="shared" ref="E101:L101" si="1">E104</f>
        <v>0</v>
      </c>
      <c r="F101" s="249">
        <f t="shared" si="1"/>
        <v>0</v>
      </c>
      <c r="G101" s="249">
        <f t="shared" si="1"/>
        <v>0</v>
      </c>
      <c r="H101" s="249">
        <f t="shared" si="1"/>
        <v>0</v>
      </c>
      <c r="I101" s="249">
        <f t="shared" si="1"/>
        <v>0</v>
      </c>
      <c r="J101" s="249">
        <f t="shared" si="1"/>
        <v>0</v>
      </c>
      <c r="K101" s="249">
        <f t="shared" si="1"/>
        <v>0</v>
      </c>
      <c r="L101" s="249">
        <f t="shared" si="1"/>
        <v>0</v>
      </c>
    </row>
    <row r="102" spans="1:12" ht="15.75" thickBot="1" x14ac:dyDescent="0.3"/>
    <row r="103" spans="1:12" ht="15.75" thickBot="1" x14ac:dyDescent="0.3">
      <c r="A103" s="242" t="s">
        <v>863</v>
      </c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4"/>
    </row>
    <row r="104" spans="1:12" x14ac:dyDescent="0.25">
      <c r="A104" s="40">
        <f>Roster!$A105</f>
        <v>0</v>
      </c>
      <c r="B104" s="47">
        <f>Roster!B105</f>
        <v>0</v>
      </c>
      <c r="C104" s="78" t="str">
        <f>Roster!$T102</f>
        <v xml:space="preserve"> </v>
      </c>
      <c r="D104" s="10"/>
      <c r="E104" s="10"/>
      <c r="F104" s="10"/>
      <c r="G104" s="10"/>
      <c r="H104" s="10"/>
      <c r="I104" s="10"/>
      <c r="J104" s="10"/>
      <c r="K104" s="10"/>
      <c r="L104" s="10"/>
    </row>
  </sheetData>
  <customSheetViews>
    <customSheetView guid="{42F19D52-E208-414F-9E2E-506DF902926F}">
      <pane ySplit="2" topLeftCell="A3" activePane="bottomLeft" state="frozen"/>
      <selection pane="bottomLeft" activeCell="D4" sqref="D4:K89"/>
      <pageMargins left="0.7" right="0.7" top="0.75" bottom="0.75" header="0.3" footer="0.3"/>
      <pageSetup orientation="portrait" r:id="rId1"/>
    </customSheetView>
    <customSheetView guid="{BE266B8E-38B0-4631-9C30-67CA48A8BD7F}">
      <pane ySplit="2" topLeftCell="A3" activePane="bottomLeft" state="frozen"/>
      <selection pane="bottomLeft" activeCell="D4" sqref="D4:K89"/>
      <pageMargins left="0.7" right="0.7" top="0.75" bottom="0.75" header="0.3" footer="0.3"/>
      <pageSetup orientation="portrait" r:id="rId2"/>
    </customSheetView>
    <customSheetView guid="{BD1DF852-269B-4C2F-AF89-1FA576EA4603}">
      <pane ySplit="2" topLeftCell="A3" activePane="bottomLeft" state="frozen"/>
      <selection pane="bottomLeft" activeCell="N21" sqref="N21"/>
      <pageMargins left="0.7" right="0.7" top="0.75" bottom="0.75" header="0.3" footer="0.3"/>
      <pageSetup orientation="portrait" r:id="rId3"/>
    </customSheetView>
    <customSheetView guid="{C8D72D7B-AEA0-45E3-A14B-3F039B04C62C}">
      <pane ySplit="2" topLeftCell="A3" activePane="bottomLeft" state="frozen"/>
      <selection pane="bottomLeft" activeCell="G98" sqref="G98"/>
      <pageMargins left="0.7" right="0.7" top="0.75" bottom="0.75" header="0.3" footer="0.3"/>
      <pageSetup orientation="portrait" r:id="rId4"/>
    </customSheetView>
    <customSheetView guid="{6A3B2C41-2DBC-4B17-AB58-12C85E3A6B8A}">
      <pane ySplit="2" topLeftCell="A3" activePane="bottomLeft" state="frozen"/>
      <selection pane="bottomLeft" activeCell="A3" sqref="A3"/>
      <pageMargins left="0.7" right="0.7" top="0.75" bottom="0.75" header="0.3" footer="0.3"/>
      <pageSetup orientation="portrait" r:id="rId5"/>
    </customSheetView>
    <customSheetView guid="{46B088B4-7F51-4D35-9F00-2268626FA819}" hiddenRows="1">
      <pane ySplit="2" topLeftCell="A3" activePane="bottomLeft" state="frozen"/>
      <selection pane="bottomLeft" activeCell="A3" sqref="A3"/>
      <pageMargins left="0.7" right="0.7" top="0.75" bottom="0.75" header="0.3" footer="0.3"/>
      <pageSetup orientation="portrait" r:id="rId6"/>
    </customSheetView>
    <customSheetView guid="{BC153CFA-E879-4863-BF97-64855FD940E5}">
      <pane ySplit="2" topLeftCell="A3" activePane="bottomLeft" state="frozen"/>
      <selection pane="bottomLeft" activeCell="G98" sqref="G98"/>
      <pageMargins left="0.7" right="0.7" top="0.75" bottom="0.75" header="0.3" footer="0.3"/>
      <pageSetup orientation="portrait" r:id="rId7"/>
    </customSheetView>
  </customSheetViews>
  <mergeCells count="1">
    <mergeCell ref="A1:F1"/>
  </mergeCells>
  <pageMargins left="0.7" right="0.7" top="0.75" bottom="0.75" header="0.3" footer="0.3"/>
  <pageSetup orientation="portrait"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4"/>
  <sheetViews>
    <sheetView zoomScaleNormal="100" zoomScaleSheetLayoutView="100"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2" max="2" width="17.5703125" bestFit="1" customWidth="1"/>
    <col min="3" max="3" width="35.7109375" style="39" customWidth="1"/>
    <col min="4" max="4" width="12.7109375" customWidth="1"/>
    <col min="5" max="5" width="5.7109375" customWidth="1"/>
    <col min="6" max="6" width="12.7109375" customWidth="1"/>
    <col min="7" max="7" width="5.7109375" customWidth="1"/>
    <col min="8" max="8" width="12.7109375" customWidth="1"/>
    <col min="9" max="9" width="5.7109375" customWidth="1"/>
    <col min="10" max="10" width="25.7109375" style="39" customWidth="1"/>
    <col min="11" max="11" width="3.7109375" customWidth="1"/>
    <col min="12" max="12" width="10.7109375" hidden="1" customWidth="1"/>
    <col min="13" max="22" width="9.140625" hidden="1" customWidth="1"/>
    <col min="23" max="24" width="12.7109375" customWidth="1"/>
    <col min="25" max="26" width="20.7109375" hidden="1" customWidth="1"/>
    <col min="27" max="36" width="9.140625" hidden="1" customWidth="1"/>
    <col min="37" max="37" width="9.140625" customWidth="1"/>
  </cols>
  <sheetData>
    <row r="1" spans="1:36" ht="16.5" thickBot="1" x14ac:dyDescent="0.3">
      <c r="A1" s="92" t="s">
        <v>42</v>
      </c>
      <c r="B1" s="93" t="s">
        <v>651</v>
      </c>
      <c r="C1" s="93" t="s">
        <v>670</v>
      </c>
      <c r="D1" s="94" t="s">
        <v>680</v>
      </c>
      <c r="E1" s="94" t="s">
        <v>681</v>
      </c>
      <c r="F1" s="94" t="s">
        <v>682</v>
      </c>
      <c r="G1" s="94" t="s">
        <v>683</v>
      </c>
      <c r="H1" s="94" t="s">
        <v>684</v>
      </c>
      <c r="I1" s="94" t="s">
        <v>685</v>
      </c>
      <c r="J1" s="63" t="s">
        <v>686</v>
      </c>
      <c r="K1" s="58"/>
      <c r="L1" s="82" t="s">
        <v>687</v>
      </c>
      <c r="M1" s="80" t="s">
        <v>688</v>
      </c>
      <c r="N1" s="80" t="s">
        <v>689</v>
      </c>
      <c r="O1" s="80" t="s">
        <v>690</v>
      </c>
      <c r="P1" s="80" t="s">
        <v>691</v>
      </c>
      <c r="Q1" s="80" t="s">
        <v>692</v>
      </c>
      <c r="R1" s="80" t="s">
        <v>693</v>
      </c>
      <c r="S1" s="80" t="s">
        <v>694</v>
      </c>
      <c r="T1" s="80" t="s">
        <v>695</v>
      </c>
      <c r="U1" s="80" t="s">
        <v>696</v>
      </c>
      <c r="W1" s="111" t="s">
        <v>734</v>
      </c>
      <c r="X1" s="112" t="s">
        <v>735</v>
      </c>
      <c r="Y1" s="110" t="s">
        <v>697</v>
      </c>
      <c r="Z1" s="77" t="s">
        <v>698</v>
      </c>
      <c r="AB1" s="77" t="s">
        <v>671</v>
      </c>
      <c r="AC1" s="77" t="s">
        <v>699</v>
      </c>
      <c r="AD1" s="77" t="s">
        <v>673</v>
      </c>
      <c r="AE1" s="77" t="s">
        <v>674</v>
      </c>
      <c r="AF1" s="77" t="s">
        <v>675</v>
      </c>
      <c r="AG1" s="77" t="s">
        <v>676</v>
      </c>
      <c r="AH1" s="77" t="s">
        <v>677</v>
      </c>
      <c r="AI1" s="77" t="s">
        <v>678</v>
      </c>
      <c r="AJ1" s="77" t="s">
        <v>679</v>
      </c>
    </row>
    <row r="2" spans="1:36" x14ac:dyDescent="0.25">
      <c r="A2" s="87">
        <f>Roster!$A4</f>
        <v>1</v>
      </c>
      <c r="B2" s="87" t="str">
        <f>Roster!B4</f>
        <v>1</v>
      </c>
      <c r="C2" s="88" t="str">
        <f>Roster!$T4</f>
        <v>First Last</v>
      </c>
      <c r="D2" s="89" t="s">
        <v>701</v>
      </c>
      <c r="E2" s="90" t="s">
        <v>700</v>
      </c>
      <c r="F2" s="89" t="s">
        <v>702</v>
      </c>
      <c r="G2" s="90" t="s">
        <v>700</v>
      </c>
      <c r="H2" s="89" t="s">
        <v>987</v>
      </c>
      <c r="I2" s="90" t="s">
        <v>700</v>
      </c>
      <c r="J2" s="91" t="s">
        <v>832</v>
      </c>
      <c r="K2" s="79"/>
      <c r="L2" s="81" t="str">
        <f>'Player Stats'!D3</f>
        <v>1.3</v>
      </c>
      <c r="M2" s="81" t="str">
        <f>'Player Stats'!E3</f>
        <v>47%</v>
      </c>
      <c r="N2" s="81" t="str">
        <f>'Player Stats'!F3</f>
        <v>33%</v>
      </c>
      <c r="O2" s="81" t="str">
        <f>'Player Stats'!G3</f>
        <v>100%</v>
      </c>
      <c r="P2" s="81" t="str">
        <f>'Player Stats'!H3</f>
        <v>1.3</v>
      </c>
      <c r="Q2" s="81" t="str">
        <f>'Player Stats'!I3</f>
        <v>1.1</v>
      </c>
      <c r="R2" s="81" t="str">
        <f>'Player Stats'!J3</f>
        <v>0.0</v>
      </c>
      <c r="S2" s="81" t="str">
        <f>'Player Stats'!K3</f>
        <v>0.3</v>
      </c>
      <c r="T2" s="81">
        <f>'Player Stats'!L3</f>
        <v>0</v>
      </c>
      <c r="U2" s="81" t="s">
        <v>62</v>
      </c>
      <c r="W2" s="108" t="s">
        <v>701</v>
      </c>
      <c r="X2" s="108" t="s">
        <v>702</v>
      </c>
      <c r="Y2" s="84" t="str">
        <f>'Team Info'!$B$20&amp;": "&amp;O2&amp;""</f>
        <v>Last Season: 100%</v>
      </c>
      <c r="Z2" s="84" t="str">
        <f>'Team Info'!$B$20&amp;": "&amp;N2&amp;""</f>
        <v>Last Season: 33%</v>
      </c>
      <c r="AB2" s="83" t="str">
        <f>L2&amp;" PPG"</f>
        <v>1.3 PPG</v>
      </c>
      <c r="AC2" s="83" t="str">
        <f>M2&amp;" FG"</f>
        <v>47% FG</v>
      </c>
      <c r="AD2" s="83" t="str">
        <f>N2&amp;" 3-PT FG"</f>
        <v>33% 3-PT FG</v>
      </c>
      <c r="AE2" s="83" t="str">
        <f>O2&amp;" FT"</f>
        <v>100% FT</v>
      </c>
      <c r="AF2" s="83" t="str">
        <f>P2&amp;" RPG"</f>
        <v>1.3 RPG</v>
      </c>
      <c r="AG2" s="83" t="str">
        <f>Q2&amp;" APG"</f>
        <v>1.1 APG</v>
      </c>
      <c r="AH2" s="83" t="str">
        <f>R2&amp;" BPG"</f>
        <v>0.0 BPG</v>
      </c>
      <c r="AI2" s="83" t="str">
        <f>S2&amp;" SPG"</f>
        <v>0.3 SPG</v>
      </c>
      <c r="AJ2" s="83" t="str">
        <f>T2&amp;" MPG"</f>
        <v>0 MPG</v>
      </c>
    </row>
    <row r="3" spans="1:36" x14ac:dyDescent="0.25">
      <c r="A3" s="40">
        <v>2</v>
      </c>
      <c r="B3" s="40">
        <v>2</v>
      </c>
      <c r="C3" s="78" t="str">
        <f>Roster!$T5</f>
        <v xml:space="preserve"> </v>
      </c>
      <c r="D3" s="10"/>
      <c r="E3" s="85"/>
      <c r="F3" s="10"/>
      <c r="G3" s="85"/>
      <c r="H3" s="10"/>
      <c r="I3" s="85"/>
      <c r="J3" s="86"/>
      <c r="K3" s="79"/>
      <c r="L3" s="81">
        <f>'Player Stats'!D4</f>
        <v>0</v>
      </c>
      <c r="M3" s="81">
        <f>'Player Stats'!E4</f>
        <v>0</v>
      </c>
      <c r="N3" s="81">
        <f>'Player Stats'!F4</f>
        <v>0</v>
      </c>
      <c r="O3" s="81">
        <f>'Player Stats'!G4</f>
        <v>0</v>
      </c>
      <c r="P3" s="81">
        <f>'Player Stats'!H4</f>
        <v>0</v>
      </c>
      <c r="Q3" s="81">
        <f>'Player Stats'!I4</f>
        <v>0</v>
      </c>
      <c r="R3" s="81">
        <f>'Player Stats'!J4</f>
        <v>0</v>
      </c>
      <c r="S3" s="81">
        <f>'Player Stats'!K4</f>
        <v>0</v>
      </c>
      <c r="T3" s="81">
        <f>'Player Stats'!L4</f>
        <v>0</v>
      </c>
      <c r="U3" s="81" t="s">
        <v>62</v>
      </c>
      <c r="W3" s="109"/>
      <c r="X3" s="109"/>
      <c r="Y3" s="84" t="str">
        <f>'Team Info'!$B$20&amp;": "&amp;O3&amp;""</f>
        <v>Last Season: 0</v>
      </c>
      <c r="Z3" s="84" t="str">
        <f>'Team Info'!$B$20&amp;": "&amp;N3&amp;""</f>
        <v>Last Season: 0</v>
      </c>
      <c r="AB3" s="83" t="str">
        <f t="shared" ref="AB3:AB66" si="0">L3&amp;" PPG"</f>
        <v>0 PPG</v>
      </c>
      <c r="AC3" s="83" t="str">
        <f t="shared" ref="AC3:AC66" si="1">M3&amp;" FG"</f>
        <v>0 FG</v>
      </c>
      <c r="AD3" s="83" t="str">
        <f t="shared" ref="AD3:AD66" si="2">N3&amp;" 3-PT FG"</f>
        <v>0 3-PT FG</v>
      </c>
      <c r="AE3" s="83" t="str">
        <f t="shared" ref="AE3:AE66" si="3">O3&amp;" FT"</f>
        <v>0 FT</v>
      </c>
      <c r="AF3" s="83" t="str">
        <f t="shared" ref="AF3:AF66" si="4">P3&amp;" RPG"</f>
        <v>0 RPG</v>
      </c>
      <c r="AG3" s="83" t="str">
        <f t="shared" ref="AG3:AG66" si="5">Q3&amp;" APG"</f>
        <v>0 APG</v>
      </c>
      <c r="AH3" s="83" t="str">
        <f t="shared" ref="AH3:AH66" si="6">R3&amp;" BPG"</f>
        <v>0 BPG</v>
      </c>
      <c r="AI3" s="83" t="str">
        <f t="shared" ref="AI3:AI66" si="7">S3&amp;" SPG"</f>
        <v>0 SPG</v>
      </c>
      <c r="AJ3" s="83" t="str">
        <f t="shared" ref="AJ3:AJ66" si="8">T3&amp;" MPG"</f>
        <v>0 MPG</v>
      </c>
    </row>
    <row r="4" spans="1:36" x14ac:dyDescent="0.25">
      <c r="A4" s="40">
        <v>3</v>
      </c>
      <c r="B4" s="40">
        <v>3</v>
      </c>
      <c r="C4" s="78" t="str">
        <f>Roster!$T6</f>
        <v xml:space="preserve"> </v>
      </c>
      <c r="D4" s="10"/>
      <c r="E4" s="85"/>
      <c r="F4" s="10"/>
      <c r="G4" s="85"/>
      <c r="H4" s="10"/>
      <c r="I4" s="85"/>
      <c r="J4" s="86"/>
      <c r="K4" s="79"/>
      <c r="L4" s="81">
        <f>'Player Stats'!D5</f>
        <v>0</v>
      </c>
      <c r="M4" s="81">
        <f>'Player Stats'!E5</f>
        <v>0</v>
      </c>
      <c r="N4" s="81">
        <f>'Player Stats'!F5</f>
        <v>0</v>
      </c>
      <c r="O4" s="81">
        <f>'Player Stats'!G5</f>
        <v>0</v>
      </c>
      <c r="P4" s="81">
        <f>'Player Stats'!H5</f>
        <v>0</v>
      </c>
      <c r="Q4" s="81">
        <f>'Player Stats'!I5</f>
        <v>0</v>
      </c>
      <c r="R4" s="81">
        <f>'Player Stats'!J5</f>
        <v>0</v>
      </c>
      <c r="S4" s="81">
        <f>'Player Stats'!K5</f>
        <v>0</v>
      </c>
      <c r="T4" s="81">
        <f>'Player Stats'!L5</f>
        <v>0</v>
      </c>
      <c r="U4" s="81">
        <f>'Player Stats'!M5</f>
        <v>0</v>
      </c>
      <c r="W4" s="109"/>
      <c r="X4" s="109"/>
      <c r="Y4" s="84" t="str">
        <f>'Team Info'!$B$20&amp;": "&amp;O4&amp;""</f>
        <v>Last Season: 0</v>
      </c>
      <c r="Z4" s="84" t="str">
        <f>'Team Info'!$B$20&amp;": "&amp;N4&amp;""</f>
        <v>Last Season: 0</v>
      </c>
      <c r="AB4" s="83" t="str">
        <f t="shared" si="0"/>
        <v>0 PPG</v>
      </c>
      <c r="AC4" s="83" t="str">
        <f t="shared" si="1"/>
        <v>0 FG</v>
      </c>
      <c r="AD4" s="83" t="str">
        <f t="shared" si="2"/>
        <v>0 3-PT FG</v>
      </c>
      <c r="AE4" s="83" t="str">
        <f t="shared" si="3"/>
        <v>0 FT</v>
      </c>
      <c r="AF4" s="83" t="str">
        <f t="shared" si="4"/>
        <v>0 RPG</v>
      </c>
      <c r="AG4" s="83" t="str">
        <f t="shared" si="5"/>
        <v>0 APG</v>
      </c>
      <c r="AH4" s="83" t="str">
        <f t="shared" si="6"/>
        <v>0 BPG</v>
      </c>
      <c r="AI4" s="83" t="str">
        <f t="shared" si="7"/>
        <v>0 SPG</v>
      </c>
      <c r="AJ4" s="83" t="str">
        <f t="shared" si="8"/>
        <v>0 MPG</v>
      </c>
    </row>
    <row r="5" spans="1:36" x14ac:dyDescent="0.25">
      <c r="A5" s="40">
        <v>4</v>
      </c>
      <c r="B5" s="40">
        <v>4</v>
      </c>
      <c r="C5" s="78" t="str">
        <f>Roster!$T7</f>
        <v xml:space="preserve"> </v>
      </c>
      <c r="D5" s="10"/>
      <c r="E5" s="85"/>
      <c r="F5" s="10"/>
      <c r="G5" s="85"/>
      <c r="H5" s="10"/>
      <c r="I5" s="85"/>
      <c r="J5" s="86"/>
      <c r="K5" s="79"/>
      <c r="L5" s="81">
        <f>'Player Stats'!D6</f>
        <v>0</v>
      </c>
      <c r="M5" s="81">
        <f>'Player Stats'!E6</f>
        <v>0</v>
      </c>
      <c r="N5" s="81">
        <f>'Player Stats'!F6</f>
        <v>0</v>
      </c>
      <c r="O5" s="81">
        <f>'Player Stats'!G6</f>
        <v>0</v>
      </c>
      <c r="P5" s="81">
        <f>'Player Stats'!H6</f>
        <v>0</v>
      </c>
      <c r="Q5" s="81">
        <f>'Player Stats'!I6</f>
        <v>0</v>
      </c>
      <c r="R5" s="81">
        <f>'Player Stats'!J6</f>
        <v>0</v>
      </c>
      <c r="S5" s="81">
        <f>'Player Stats'!K6</f>
        <v>0</v>
      </c>
      <c r="T5" s="81">
        <f>'Player Stats'!L6</f>
        <v>0</v>
      </c>
      <c r="U5" s="81">
        <f>'Player Stats'!M6</f>
        <v>0</v>
      </c>
      <c r="W5" s="109"/>
      <c r="X5" s="109"/>
      <c r="Y5" s="84" t="str">
        <f>'Team Info'!$B$20&amp;": "&amp;O5&amp;""</f>
        <v>Last Season: 0</v>
      </c>
      <c r="Z5" s="84" t="str">
        <f>'Team Info'!$B$20&amp;": "&amp;N5&amp;""</f>
        <v>Last Season: 0</v>
      </c>
      <c r="AB5" s="83" t="str">
        <f t="shared" si="0"/>
        <v>0 PPG</v>
      </c>
      <c r="AC5" s="83" t="str">
        <f t="shared" si="1"/>
        <v>0 FG</v>
      </c>
      <c r="AD5" s="83" t="str">
        <f t="shared" si="2"/>
        <v>0 3-PT FG</v>
      </c>
      <c r="AE5" s="83" t="str">
        <f t="shared" si="3"/>
        <v>0 FT</v>
      </c>
      <c r="AF5" s="83" t="str">
        <f t="shared" si="4"/>
        <v>0 RPG</v>
      </c>
      <c r="AG5" s="83" t="str">
        <f t="shared" si="5"/>
        <v>0 APG</v>
      </c>
      <c r="AH5" s="83" t="str">
        <f t="shared" si="6"/>
        <v>0 BPG</v>
      </c>
      <c r="AI5" s="83" t="str">
        <f t="shared" si="7"/>
        <v>0 SPG</v>
      </c>
      <c r="AJ5" s="83" t="str">
        <f t="shared" si="8"/>
        <v>0 MPG</v>
      </c>
    </row>
    <row r="6" spans="1:36" x14ac:dyDescent="0.25">
      <c r="A6" s="40">
        <v>5</v>
      </c>
      <c r="B6" s="40">
        <v>5</v>
      </c>
      <c r="C6" s="78" t="str">
        <f>Roster!$T8</f>
        <v xml:space="preserve"> </v>
      </c>
      <c r="D6" s="10"/>
      <c r="E6" s="85"/>
      <c r="F6" s="10"/>
      <c r="G6" s="85"/>
      <c r="H6" s="10"/>
      <c r="I6" s="85"/>
      <c r="J6" s="86"/>
      <c r="K6" s="79"/>
      <c r="L6" s="81">
        <f>'Player Stats'!D7</f>
        <v>0</v>
      </c>
      <c r="M6" s="81">
        <f>'Player Stats'!E7</f>
        <v>0</v>
      </c>
      <c r="N6" s="81">
        <f>'Player Stats'!F7</f>
        <v>0</v>
      </c>
      <c r="O6" s="81">
        <f>'Player Stats'!G7</f>
        <v>0</v>
      </c>
      <c r="P6" s="81">
        <f>'Player Stats'!H7</f>
        <v>0</v>
      </c>
      <c r="Q6" s="81">
        <f>'Player Stats'!I7</f>
        <v>0</v>
      </c>
      <c r="R6" s="81">
        <f>'Player Stats'!J7</f>
        <v>0</v>
      </c>
      <c r="S6" s="81">
        <f>'Player Stats'!K7</f>
        <v>0</v>
      </c>
      <c r="T6" s="81">
        <f>'Player Stats'!L7</f>
        <v>0</v>
      </c>
      <c r="U6" s="81">
        <f>'Player Stats'!M7</f>
        <v>0</v>
      </c>
      <c r="W6" s="109"/>
      <c r="X6" s="109"/>
      <c r="Y6" s="84" t="str">
        <f>'Team Info'!$B$20&amp;": "&amp;O6&amp;""</f>
        <v>Last Season: 0</v>
      </c>
      <c r="Z6" s="84" t="str">
        <f>'Team Info'!$B$20&amp;": "&amp;N6&amp;""</f>
        <v>Last Season: 0</v>
      </c>
      <c r="AB6" s="83" t="str">
        <f t="shared" si="0"/>
        <v>0 PPG</v>
      </c>
      <c r="AC6" s="83" t="str">
        <f t="shared" si="1"/>
        <v>0 FG</v>
      </c>
      <c r="AD6" s="83" t="str">
        <f t="shared" si="2"/>
        <v>0 3-PT FG</v>
      </c>
      <c r="AE6" s="83" t="str">
        <f t="shared" si="3"/>
        <v>0 FT</v>
      </c>
      <c r="AF6" s="83" t="str">
        <f t="shared" si="4"/>
        <v>0 RPG</v>
      </c>
      <c r="AG6" s="83" t="str">
        <f t="shared" si="5"/>
        <v>0 APG</v>
      </c>
      <c r="AH6" s="83" t="str">
        <f t="shared" si="6"/>
        <v>0 BPG</v>
      </c>
      <c r="AI6" s="83" t="str">
        <f t="shared" si="7"/>
        <v>0 SPG</v>
      </c>
      <c r="AJ6" s="83" t="str">
        <f t="shared" si="8"/>
        <v>0 MPG</v>
      </c>
    </row>
    <row r="7" spans="1:36" x14ac:dyDescent="0.25">
      <c r="A7" s="40">
        <v>6</v>
      </c>
      <c r="B7" s="40">
        <v>6</v>
      </c>
      <c r="C7" s="78" t="str">
        <f>Roster!$T9</f>
        <v xml:space="preserve"> </v>
      </c>
      <c r="D7" s="10"/>
      <c r="E7" s="85"/>
      <c r="F7" s="10"/>
      <c r="G7" s="85"/>
      <c r="H7" s="10"/>
      <c r="I7" s="85"/>
      <c r="J7" s="86"/>
      <c r="K7" s="79"/>
      <c r="L7" s="81">
        <f>'Player Stats'!D8</f>
        <v>0</v>
      </c>
      <c r="M7" s="81">
        <f>'Player Stats'!E8</f>
        <v>0</v>
      </c>
      <c r="N7" s="81">
        <f>'Player Stats'!F8</f>
        <v>0</v>
      </c>
      <c r="O7" s="81">
        <f>'Player Stats'!G8</f>
        <v>0</v>
      </c>
      <c r="P7" s="81">
        <f>'Player Stats'!H8</f>
        <v>0</v>
      </c>
      <c r="Q7" s="81">
        <f>'Player Stats'!I8</f>
        <v>0</v>
      </c>
      <c r="R7" s="81">
        <f>'Player Stats'!J8</f>
        <v>0</v>
      </c>
      <c r="S7" s="81">
        <f>'Player Stats'!K8</f>
        <v>0</v>
      </c>
      <c r="T7" s="81">
        <f>'Player Stats'!L8</f>
        <v>0</v>
      </c>
      <c r="U7" s="81">
        <f>'Player Stats'!M8</f>
        <v>0</v>
      </c>
      <c r="W7" s="109"/>
      <c r="X7" s="109"/>
      <c r="Y7" s="84" t="str">
        <f>'Team Info'!$B$20&amp;": "&amp;O7&amp;""</f>
        <v>Last Season: 0</v>
      </c>
      <c r="Z7" s="84" t="str">
        <f>'Team Info'!$B$20&amp;": "&amp;N7&amp;""</f>
        <v>Last Season: 0</v>
      </c>
      <c r="AB7" s="83" t="str">
        <f t="shared" si="0"/>
        <v>0 PPG</v>
      </c>
      <c r="AC7" s="83" t="str">
        <f t="shared" si="1"/>
        <v>0 FG</v>
      </c>
      <c r="AD7" s="83" t="str">
        <f t="shared" si="2"/>
        <v>0 3-PT FG</v>
      </c>
      <c r="AE7" s="83" t="str">
        <f t="shared" si="3"/>
        <v>0 FT</v>
      </c>
      <c r="AF7" s="83" t="str">
        <f t="shared" si="4"/>
        <v>0 RPG</v>
      </c>
      <c r="AG7" s="83" t="str">
        <f t="shared" si="5"/>
        <v>0 APG</v>
      </c>
      <c r="AH7" s="83" t="str">
        <f t="shared" si="6"/>
        <v>0 BPG</v>
      </c>
      <c r="AI7" s="83" t="str">
        <f t="shared" si="7"/>
        <v>0 SPG</v>
      </c>
      <c r="AJ7" s="83" t="str">
        <f t="shared" si="8"/>
        <v>0 MPG</v>
      </c>
    </row>
    <row r="8" spans="1:36" x14ac:dyDescent="0.25">
      <c r="A8" s="40">
        <v>7</v>
      </c>
      <c r="B8" s="40">
        <v>7</v>
      </c>
      <c r="C8" s="78" t="str">
        <f>Roster!$T10</f>
        <v xml:space="preserve"> </v>
      </c>
      <c r="D8" s="10"/>
      <c r="E8" s="85"/>
      <c r="F8" s="10"/>
      <c r="G8" s="85"/>
      <c r="H8" s="10"/>
      <c r="I8" s="85"/>
      <c r="J8" s="86"/>
      <c r="K8" s="79"/>
      <c r="L8" s="81">
        <f>'Player Stats'!D9</f>
        <v>0</v>
      </c>
      <c r="M8" s="81">
        <f>'Player Stats'!E9</f>
        <v>0</v>
      </c>
      <c r="N8" s="81">
        <f>'Player Stats'!F9</f>
        <v>0</v>
      </c>
      <c r="O8" s="81">
        <f>'Player Stats'!G9</f>
        <v>0</v>
      </c>
      <c r="P8" s="81">
        <f>'Player Stats'!H9</f>
        <v>0</v>
      </c>
      <c r="Q8" s="81">
        <f>'Player Stats'!I9</f>
        <v>0</v>
      </c>
      <c r="R8" s="81">
        <f>'Player Stats'!J9</f>
        <v>0</v>
      </c>
      <c r="S8" s="81">
        <f>'Player Stats'!K9</f>
        <v>0</v>
      </c>
      <c r="T8" s="81">
        <f>'Player Stats'!L9</f>
        <v>0</v>
      </c>
      <c r="U8" s="81">
        <f>'Player Stats'!M9</f>
        <v>0</v>
      </c>
      <c r="W8" s="109"/>
      <c r="X8" s="109"/>
      <c r="Y8" s="84" t="str">
        <f>'Team Info'!$B$20&amp;": "&amp;O8&amp;""</f>
        <v>Last Season: 0</v>
      </c>
      <c r="Z8" s="84" t="str">
        <f>'Team Info'!$B$20&amp;": "&amp;N8&amp;""</f>
        <v>Last Season: 0</v>
      </c>
      <c r="AB8" s="83" t="str">
        <f t="shared" si="0"/>
        <v>0 PPG</v>
      </c>
      <c r="AC8" s="83" t="str">
        <f t="shared" si="1"/>
        <v>0 FG</v>
      </c>
      <c r="AD8" s="83" t="str">
        <f t="shared" si="2"/>
        <v>0 3-PT FG</v>
      </c>
      <c r="AE8" s="83" t="str">
        <f t="shared" si="3"/>
        <v>0 FT</v>
      </c>
      <c r="AF8" s="83" t="str">
        <f t="shared" si="4"/>
        <v>0 RPG</v>
      </c>
      <c r="AG8" s="83" t="str">
        <f t="shared" si="5"/>
        <v>0 APG</v>
      </c>
      <c r="AH8" s="83" t="str">
        <f t="shared" si="6"/>
        <v>0 BPG</v>
      </c>
      <c r="AI8" s="83" t="str">
        <f t="shared" si="7"/>
        <v>0 SPG</v>
      </c>
      <c r="AJ8" s="83" t="str">
        <f t="shared" si="8"/>
        <v>0 MPG</v>
      </c>
    </row>
    <row r="9" spans="1:36" x14ac:dyDescent="0.25">
      <c r="A9" s="40">
        <v>8</v>
      </c>
      <c r="B9" s="40">
        <v>8</v>
      </c>
      <c r="C9" s="78" t="str">
        <f>Roster!$T11</f>
        <v xml:space="preserve"> </v>
      </c>
      <c r="D9" s="10"/>
      <c r="E9" s="85"/>
      <c r="F9" s="10"/>
      <c r="G9" s="85"/>
      <c r="H9" s="10"/>
      <c r="I9" s="85"/>
      <c r="J9" s="86"/>
      <c r="K9" s="79"/>
      <c r="L9" s="81">
        <f>'Player Stats'!D10</f>
        <v>0</v>
      </c>
      <c r="M9" s="81">
        <f>'Player Stats'!E10</f>
        <v>0</v>
      </c>
      <c r="N9" s="81">
        <f>'Player Stats'!F10</f>
        <v>0</v>
      </c>
      <c r="O9" s="81">
        <f>'Player Stats'!G10</f>
        <v>0</v>
      </c>
      <c r="P9" s="81">
        <f>'Player Stats'!H10</f>
        <v>0</v>
      </c>
      <c r="Q9" s="81">
        <f>'Player Stats'!I10</f>
        <v>0</v>
      </c>
      <c r="R9" s="81">
        <f>'Player Stats'!J10</f>
        <v>0</v>
      </c>
      <c r="S9" s="81">
        <f>'Player Stats'!K10</f>
        <v>0</v>
      </c>
      <c r="T9" s="81">
        <f>'Player Stats'!L10</f>
        <v>0</v>
      </c>
      <c r="U9" s="81">
        <f>'Player Stats'!M10</f>
        <v>0</v>
      </c>
      <c r="W9" s="109"/>
      <c r="X9" s="109"/>
      <c r="Y9" s="84" t="str">
        <f>'Team Info'!$B$20&amp;": "&amp;O9&amp;""</f>
        <v>Last Season: 0</v>
      </c>
      <c r="Z9" s="84" t="str">
        <f>'Team Info'!$B$20&amp;": "&amp;N9&amp;""</f>
        <v>Last Season: 0</v>
      </c>
      <c r="AB9" s="83" t="str">
        <f t="shared" si="0"/>
        <v>0 PPG</v>
      </c>
      <c r="AC9" s="83" t="str">
        <f t="shared" si="1"/>
        <v>0 FG</v>
      </c>
      <c r="AD9" s="83" t="str">
        <f t="shared" si="2"/>
        <v>0 3-PT FG</v>
      </c>
      <c r="AE9" s="83" t="str">
        <f t="shared" si="3"/>
        <v>0 FT</v>
      </c>
      <c r="AF9" s="83" t="str">
        <f t="shared" si="4"/>
        <v>0 RPG</v>
      </c>
      <c r="AG9" s="83" t="str">
        <f t="shared" si="5"/>
        <v>0 APG</v>
      </c>
      <c r="AH9" s="83" t="str">
        <f t="shared" si="6"/>
        <v>0 BPG</v>
      </c>
      <c r="AI9" s="83" t="str">
        <f t="shared" si="7"/>
        <v>0 SPG</v>
      </c>
      <c r="AJ9" s="83" t="str">
        <f t="shared" si="8"/>
        <v>0 MPG</v>
      </c>
    </row>
    <row r="10" spans="1:36" x14ac:dyDescent="0.25">
      <c r="A10" s="40">
        <v>9</v>
      </c>
      <c r="B10" s="40">
        <v>9</v>
      </c>
      <c r="C10" s="78" t="str">
        <f>Roster!$T12</f>
        <v xml:space="preserve"> </v>
      </c>
      <c r="D10" s="10"/>
      <c r="E10" s="85"/>
      <c r="F10" s="10"/>
      <c r="G10" s="85"/>
      <c r="H10" s="10"/>
      <c r="I10" s="85"/>
      <c r="J10" s="86"/>
      <c r="K10" s="79"/>
      <c r="L10" s="81">
        <f>'Player Stats'!D11</f>
        <v>0</v>
      </c>
      <c r="M10" s="81">
        <f>'Player Stats'!E11</f>
        <v>0</v>
      </c>
      <c r="N10" s="81">
        <f>'Player Stats'!F11</f>
        <v>0</v>
      </c>
      <c r="O10" s="81">
        <f>'Player Stats'!G11</f>
        <v>0</v>
      </c>
      <c r="P10" s="81">
        <f>'Player Stats'!H11</f>
        <v>0</v>
      </c>
      <c r="Q10" s="81">
        <f>'Player Stats'!I11</f>
        <v>0</v>
      </c>
      <c r="R10" s="81">
        <f>'Player Stats'!J11</f>
        <v>0</v>
      </c>
      <c r="S10" s="81">
        <f>'Player Stats'!K11</f>
        <v>0</v>
      </c>
      <c r="T10" s="81">
        <f>'Player Stats'!L11</f>
        <v>0</v>
      </c>
      <c r="U10" s="81">
        <f>'Player Stats'!M11</f>
        <v>0</v>
      </c>
      <c r="W10" s="109"/>
      <c r="X10" s="109"/>
      <c r="Y10" s="84" t="str">
        <f>'Team Info'!$B$20&amp;": "&amp;O10&amp;""</f>
        <v>Last Season: 0</v>
      </c>
      <c r="Z10" s="84" t="str">
        <f>'Team Info'!$B$20&amp;": "&amp;N10&amp;""</f>
        <v>Last Season: 0</v>
      </c>
      <c r="AB10" s="83" t="str">
        <f t="shared" si="0"/>
        <v>0 PPG</v>
      </c>
      <c r="AC10" s="83" t="str">
        <f t="shared" si="1"/>
        <v>0 FG</v>
      </c>
      <c r="AD10" s="83" t="str">
        <f t="shared" si="2"/>
        <v>0 3-PT FG</v>
      </c>
      <c r="AE10" s="83" t="str">
        <f t="shared" si="3"/>
        <v>0 FT</v>
      </c>
      <c r="AF10" s="83" t="str">
        <f t="shared" si="4"/>
        <v>0 RPG</v>
      </c>
      <c r="AG10" s="83" t="str">
        <f t="shared" si="5"/>
        <v>0 APG</v>
      </c>
      <c r="AH10" s="83" t="str">
        <f t="shared" si="6"/>
        <v>0 BPG</v>
      </c>
      <c r="AI10" s="83" t="str">
        <f t="shared" si="7"/>
        <v>0 SPG</v>
      </c>
      <c r="AJ10" s="83" t="str">
        <f t="shared" si="8"/>
        <v>0 MPG</v>
      </c>
    </row>
    <row r="11" spans="1:36" x14ac:dyDescent="0.25">
      <c r="A11" s="40">
        <v>10</v>
      </c>
      <c r="B11" s="40">
        <v>10</v>
      </c>
      <c r="C11" s="78" t="str">
        <f>Roster!$T13</f>
        <v xml:space="preserve"> </v>
      </c>
      <c r="D11" s="10"/>
      <c r="E11" s="85"/>
      <c r="F11" s="10"/>
      <c r="G11" s="85"/>
      <c r="H11" s="10"/>
      <c r="I11" s="85"/>
      <c r="J11" s="86"/>
      <c r="K11" s="79"/>
      <c r="L11" s="81">
        <f>'Player Stats'!D12</f>
        <v>0</v>
      </c>
      <c r="M11" s="81">
        <f>'Player Stats'!E12</f>
        <v>0</v>
      </c>
      <c r="N11" s="81">
        <f>'Player Stats'!F12</f>
        <v>0</v>
      </c>
      <c r="O11" s="81">
        <f>'Player Stats'!G12</f>
        <v>0</v>
      </c>
      <c r="P11" s="81">
        <f>'Player Stats'!H12</f>
        <v>0</v>
      </c>
      <c r="Q11" s="81">
        <f>'Player Stats'!I12</f>
        <v>0</v>
      </c>
      <c r="R11" s="81">
        <f>'Player Stats'!J12</f>
        <v>0</v>
      </c>
      <c r="S11" s="81">
        <f>'Player Stats'!K12</f>
        <v>0</v>
      </c>
      <c r="T11" s="81">
        <f>'Player Stats'!L12</f>
        <v>0</v>
      </c>
      <c r="U11" s="81">
        <f>'Player Stats'!M12</f>
        <v>0</v>
      </c>
      <c r="W11" s="109"/>
      <c r="X11" s="109"/>
      <c r="Y11" s="84" t="str">
        <f>'Team Info'!$B$20&amp;": "&amp;O11&amp;""</f>
        <v>Last Season: 0</v>
      </c>
      <c r="Z11" s="84" t="str">
        <f>'Team Info'!$B$20&amp;": "&amp;N11&amp;""</f>
        <v>Last Season: 0</v>
      </c>
      <c r="AB11" s="83" t="str">
        <f t="shared" si="0"/>
        <v>0 PPG</v>
      </c>
      <c r="AC11" s="83" t="str">
        <f t="shared" si="1"/>
        <v>0 FG</v>
      </c>
      <c r="AD11" s="83" t="str">
        <f t="shared" si="2"/>
        <v>0 3-PT FG</v>
      </c>
      <c r="AE11" s="83" t="str">
        <f t="shared" si="3"/>
        <v>0 FT</v>
      </c>
      <c r="AF11" s="83" t="str">
        <f t="shared" si="4"/>
        <v>0 RPG</v>
      </c>
      <c r="AG11" s="83" t="str">
        <f t="shared" si="5"/>
        <v>0 APG</v>
      </c>
      <c r="AH11" s="83" t="str">
        <f t="shared" si="6"/>
        <v>0 BPG</v>
      </c>
      <c r="AI11" s="83" t="str">
        <f t="shared" si="7"/>
        <v>0 SPG</v>
      </c>
      <c r="AJ11" s="83" t="str">
        <f t="shared" si="8"/>
        <v>0 MPG</v>
      </c>
    </row>
    <row r="12" spans="1:36" x14ac:dyDescent="0.25">
      <c r="A12" s="40">
        <v>11</v>
      </c>
      <c r="B12" s="40">
        <v>11</v>
      </c>
      <c r="C12" s="78" t="str">
        <f>Roster!$T14</f>
        <v xml:space="preserve"> </v>
      </c>
      <c r="D12" s="10"/>
      <c r="E12" s="85"/>
      <c r="F12" s="10"/>
      <c r="G12" s="85"/>
      <c r="H12" s="10"/>
      <c r="I12" s="85"/>
      <c r="J12" s="86"/>
      <c r="K12" s="79"/>
      <c r="L12" s="81">
        <f>'Player Stats'!D13</f>
        <v>0</v>
      </c>
      <c r="M12" s="81">
        <f>'Player Stats'!E13</f>
        <v>0</v>
      </c>
      <c r="N12" s="81">
        <f>'Player Stats'!F13</f>
        <v>0</v>
      </c>
      <c r="O12" s="81">
        <f>'Player Stats'!G13</f>
        <v>0</v>
      </c>
      <c r="P12" s="81">
        <f>'Player Stats'!H13</f>
        <v>0</v>
      </c>
      <c r="Q12" s="81">
        <f>'Player Stats'!I13</f>
        <v>0</v>
      </c>
      <c r="R12" s="81">
        <f>'Player Stats'!J13</f>
        <v>0</v>
      </c>
      <c r="S12" s="81">
        <f>'Player Stats'!K13</f>
        <v>0</v>
      </c>
      <c r="T12" s="81">
        <f>'Player Stats'!L13</f>
        <v>0</v>
      </c>
      <c r="U12" s="81">
        <f>'Player Stats'!M13</f>
        <v>0</v>
      </c>
      <c r="W12" s="109"/>
      <c r="X12" s="109"/>
      <c r="Y12" s="84" t="str">
        <f>'Team Info'!$B$20&amp;": "&amp;O12&amp;""</f>
        <v>Last Season: 0</v>
      </c>
      <c r="Z12" s="84" t="str">
        <f>'Team Info'!$B$20&amp;": "&amp;N12&amp;""</f>
        <v>Last Season: 0</v>
      </c>
      <c r="AB12" s="83" t="str">
        <f t="shared" si="0"/>
        <v>0 PPG</v>
      </c>
      <c r="AC12" s="83" t="str">
        <f t="shared" si="1"/>
        <v>0 FG</v>
      </c>
      <c r="AD12" s="83" t="str">
        <f t="shared" si="2"/>
        <v>0 3-PT FG</v>
      </c>
      <c r="AE12" s="83" t="str">
        <f t="shared" si="3"/>
        <v>0 FT</v>
      </c>
      <c r="AF12" s="83" t="str">
        <f t="shared" si="4"/>
        <v>0 RPG</v>
      </c>
      <c r="AG12" s="83" t="str">
        <f t="shared" si="5"/>
        <v>0 APG</v>
      </c>
      <c r="AH12" s="83" t="str">
        <f t="shared" si="6"/>
        <v>0 BPG</v>
      </c>
      <c r="AI12" s="83" t="str">
        <f t="shared" si="7"/>
        <v>0 SPG</v>
      </c>
      <c r="AJ12" s="83" t="str">
        <f t="shared" si="8"/>
        <v>0 MPG</v>
      </c>
    </row>
    <row r="13" spans="1:36" x14ac:dyDescent="0.25">
      <c r="A13" s="40">
        <v>12</v>
      </c>
      <c r="B13" s="40">
        <v>12</v>
      </c>
      <c r="C13" s="78" t="str">
        <f>Roster!$T15</f>
        <v xml:space="preserve"> </v>
      </c>
      <c r="D13" s="10"/>
      <c r="E13" s="85"/>
      <c r="F13" s="10"/>
      <c r="G13" s="85"/>
      <c r="H13" s="10"/>
      <c r="I13" s="85"/>
      <c r="J13" s="86"/>
      <c r="K13" s="79"/>
      <c r="L13" s="81">
        <f>'Player Stats'!D14</f>
        <v>0</v>
      </c>
      <c r="M13" s="81">
        <f>'Player Stats'!E14</f>
        <v>0</v>
      </c>
      <c r="N13" s="81">
        <f>'Player Stats'!F14</f>
        <v>0</v>
      </c>
      <c r="O13" s="81">
        <f>'Player Stats'!G14</f>
        <v>0</v>
      </c>
      <c r="P13" s="81">
        <f>'Player Stats'!H14</f>
        <v>0</v>
      </c>
      <c r="Q13" s="81">
        <f>'Player Stats'!I14</f>
        <v>0</v>
      </c>
      <c r="R13" s="81">
        <f>'Player Stats'!J14</f>
        <v>0</v>
      </c>
      <c r="S13" s="81">
        <f>'Player Stats'!K14</f>
        <v>0</v>
      </c>
      <c r="T13" s="81">
        <f>'Player Stats'!L14</f>
        <v>0</v>
      </c>
      <c r="U13" s="81">
        <f>'Player Stats'!M14</f>
        <v>0</v>
      </c>
      <c r="W13" s="109"/>
      <c r="X13" s="109"/>
      <c r="Y13" s="84" t="str">
        <f>'Team Info'!$B$20&amp;": "&amp;O13&amp;""</f>
        <v>Last Season: 0</v>
      </c>
      <c r="Z13" s="84" t="str">
        <f>'Team Info'!$B$20&amp;": "&amp;N13&amp;""</f>
        <v>Last Season: 0</v>
      </c>
      <c r="AB13" s="83" t="str">
        <f t="shared" si="0"/>
        <v>0 PPG</v>
      </c>
      <c r="AC13" s="83" t="str">
        <f t="shared" si="1"/>
        <v>0 FG</v>
      </c>
      <c r="AD13" s="83" t="str">
        <f t="shared" si="2"/>
        <v>0 3-PT FG</v>
      </c>
      <c r="AE13" s="83" t="str">
        <f t="shared" si="3"/>
        <v>0 FT</v>
      </c>
      <c r="AF13" s="83" t="str">
        <f t="shared" si="4"/>
        <v>0 RPG</v>
      </c>
      <c r="AG13" s="83" t="str">
        <f t="shared" si="5"/>
        <v>0 APG</v>
      </c>
      <c r="AH13" s="83" t="str">
        <f t="shared" si="6"/>
        <v>0 BPG</v>
      </c>
      <c r="AI13" s="83" t="str">
        <f t="shared" si="7"/>
        <v>0 SPG</v>
      </c>
      <c r="AJ13" s="83" t="str">
        <f t="shared" si="8"/>
        <v>0 MPG</v>
      </c>
    </row>
    <row r="14" spans="1:36" x14ac:dyDescent="0.25">
      <c r="A14" s="40">
        <v>13</v>
      </c>
      <c r="B14" s="40">
        <v>13</v>
      </c>
      <c r="C14" s="78" t="str">
        <f>Roster!$T16</f>
        <v xml:space="preserve"> </v>
      </c>
      <c r="D14" s="10"/>
      <c r="E14" s="85"/>
      <c r="F14" s="10"/>
      <c r="G14" s="85"/>
      <c r="H14" s="10"/>
      <c r="I14" s="85"/>
      <c r="J14" s="86"/>
      <c r="K14" s="79"/>
      <c r="L14" s="81">
        <f>'Player Stats'!D15</f>
        <v>0</v>
      </c>
      <c r="M14" s="81">
        <f>'Player Stats'!E15</f>
        <v>0</v>
      </c>
      <c r="N14" s="81">
        <f>'Player Stats'!F15</f>
        <v>0</v>
      </c>
      <c r="O14" s="81">
        <f>'Player Stats'!G15</f>
        <v>0</v>
      </c>
      <c r="P14" s="81">
        <f>'Player Stats'!H15</f>
        <v>0</v>
      </c>
      <c r="Q14" s="81">
        <f>'Player Stats'!I15</f>
        <v>0</v>
      </c>
      <c r="R14" s="81">
        <f>'Player Stats'!J15</f>
        <v>0</v>
      </c>
      <c r="S14" s="81">
        <f>'Player Stats'!K15</f>
        <v>0</v>
      </c>
      <c r="T14" s="81">
        <f>'Player Stats'!L15</f>
        <v>0</v>
      </c>
      <c r="U14" s="81">
        <f>'Player Stats'!M15</f>
        <v>0</v>
      </c>
      <c r="W14" s="109"/>
      <c r="X14" s="109"/>
      <c r="Y14" s="84" t="str">
        <f>'Team Info'!$B$20&amp;": "&amp;O14&amp;""</f>
        <v>Last Season: 0</v>
      </c>
      <c r="Z14" s="84" t="str">
        <f>'Team Info'!$B$20&amp;": "&amp;N14&amp;""</f>
        <v>Last Season: 0</v>
      </c>
      <c r="AB14" s="83" t="str">
        <f t="shared" si="0"/>
        <v>0 PPG</v>
      </c>
      <c r="AC14" s="83" t="str">
        <f t="shared" si="1"/>
        <v>0 FG</v>
      </c>
      <c r="AD14" s="83" t="str">
        <f t="shared" si="2"/>
        <v>0 3-PT FG</v>
      </c>
      <c r="AE14" s="83" t="str">
        <f t="shared" si="3"/>
        <v>0 FT</v>
      </c>
      <c r="AF14" s="83" t="str">
        <f t="shared" si="4"/>
        <v>0 RPG</v>
      </c>
      <c r="AG14" s="83" t="str">
        <f t="shared" si="5"/>
        <v>0 APG</v>
      </c>
      <c r="AH14" s="83" t="str">
        <f t="shared" si="6"/>
        <v>0 BPG</v>
      </c>
      <c r="AI14" s="83" t="str">
        <f t="shared" si="7"/>
        <v>0 SPG</v>
      </c>
      <c r="AJ14" s="83" t="str">
        <f t="shared" si="8"/>
        <v>0 MPG</v>
      </c>
    </row>
    <row r="15" spans="1:36" x14ac:dyDescent="0.25">
      <c r="A15" s="40">
        <v>14</v>
      </c>
      <c r="B15" s="40">
        <v>14</v>
      </c>
      <c r="C15" s="78" t="str">
        <f>Roster!$T17</f>
        <v xml:space="preserve"> </v>
      </c>
      <c r="D15" s="10"/>
      <c r="E15" s="85"/>
      <c r="F15" s="10"/>
      <c r="G15" s="85"/>
      <c r="H15" s="10"/>
      <c r="I15" s="85"/>
      <c r="J15" s="86"/>
      <c r="K15" s="79"/>
      <c r="L15" s="81">
        <f>'Player Stats'!D16</f>
        <v>0</v>
      </c>
      <c r="M15" s="81">
        <f>'Player Stats'!E16</f>
        <v>0</v>
      </c>
      <c r="N15" s="81">
        <f>'Player Stats'!F16</f>
        <v>0</v>
      </c>
      <c r="O15" s="81">
        <f>'Player Stats'!G16</f>
        <v>0</v>
      </c>
      <c r="P15" s="81">
        <f>'Player Stats'!H16</f>
        <v>0</v>
      </c>
      <c r="Q15" s="81">
        <f>'Player Stats'!I16</f>
        <v>0</v>
      </c>
      <c r="R15" s="81">
        <f>'Player Stats'!J16</f>
        <v>0</v>
      </c>
      <c r="S15" s="81">
        <f>'Player Stats'!K16</f>
        <v>0</v>
      </c>
      <c r="T15" s="81">
        <f>'Player Stats'!L16</f>
        <v>0</v>
      </c>
      <c r="U15" s="81">
        <f>'Player Stats'!M16</f>
        <v>0</v>
      </c>
      <c r="W15" s="109"/>
      <c r="X15" s="109"/>
      <c r="Y15" s="84" t="str">
        <f>'Team Info'!$B$20&amp;": "&amp;O15&amp;""</f>
        <v>Last Season: 0</v>
      </c>
      <c r="Z15" s="84" t="str">
        <f>'Team Info'!$B$20&amp;": "&amp;N15&amp;""</f>
        <v>Last Season: 0</v>
      </c>
      <c r="AB15" s="83" t="str">
        <f t="shared" si="0"/>
        <v>0 PPG</v>
      </c>
      <c r="AC15" s="83" t="str">
        <f t="shared" si="1"/>
        <v>0 FG</v>
      </c>
      <c r="AD15" s="83" t="str">
        <f t="shared" si="2"/>
        <v>0 3-PT FG</v>
      </c>
      <c r="AE15" s="83" t="str">
        <f t="shared" si="3"/>
        <v>0 FT</v>
      </c>
      <c r="AF15" s="83" t="str">
        <f t="shared" si="4"/>
        <v>0 RPG</v>
      </c>
      <c r="AG15" s="83" t="str">
        <f t="shared" si="5"/>
        <v>0 APG</v>
      </c>
      <c r="AH15" s="83" t="str">
        <f t="shared" si="6"/>
        <v>0 BPG</v>
      </c>
      <c r="AI15" s="83" t="str">
        <f t="shared" si="7"/>
        <v>0 SPG</v>
      </c>
      <c r="AJ15" s="83" t="str">
        <f t="shared" si="8"/>
        <v>0 MPG</v>
      </c>
    </row>
    <row r="16" spans="1:36" x14ac:dyDescent="0.25">
      <c r="A16" s="40">
        <v>15</v>
      </c>
      <c r="B16" s="40">
        <v>15</v>
      </c>
      <c r="C16" s="78" t="str">
        <f>Roster!$T18</f>
        <v xml:space="preserve"> </v>
      </c>
      <c r="D16" s="10"/>
      <c r="E16" s="85"/>
      <c r="F16" s="10"/>
      <c r="G16" s="85"/>
      <c r="H16" s="10"/>
      <c r="I16" s="85"/>
      <c r="J16" s="86"/>
      <c r="K16" s="79"/>
      <c r="L16" s="81">
        <f>'Player Stats'!D17</f>
        <v>0</v>
      </c>
      <c r="M16" s="81">
        <f>'Player Stats'!E17</f>
        <v>0</v>
      </c>
      <c r="N16" s="81">
        <f>'Player Stats'!F17</f>
        <v>0</v>
      </c>
      <c r="O16" s="81">
        <f>'Player Stats'!G17</f>
        <v>0</v>
      </c>
      <c r="P16" s="81">
        <f>'Player Stats'!H17</f>
        <v>0</v>
      </c>
      <c r="Q16" s="81">
        <f>'Player Stats'!I17</f>
        <v>0</v>
      </c>
      <c r="R16" s="81">
        <f>'Player Stats'!J17</f>
        <v>0</v>
      </c>
      <c r="S16" s="81">
        <f>'Player Stats'!K17</f>
        <v>0</v>
      </c>
      <c r="T16" s="81">
        <f>'Player Stats'!L17</f>
        <v>0</v>
      </c>
      <c r="U16" s="81">
        <f>'Player Stats'!M17</f>
        <v>0</v>
      </c>
      <c r="W16" s="109"/>
      <c r="X16" s="109"/>
      <c r="Y16" s="84" t="str">
        <f>'Team Info'!$B$20&amp;": "&amp;O16&amp;""</f>
        <v>Last Season: 0</v>
      </c>
      <c r="Z16" s="84" t="str">
        <f>'Team Info'!$B$20&amp;": "&amp;N16&amp;""</f>
        <v>Last Season: 0</v>
      </c>
      <c r="AB16" s="83" t="str">
        <f t="shared" si="0"/>
        <v>0 PPG</v>
      </c>
      <c r="AC16" s="83" t="str">
        <f t="shared" si="1"/>
        <v>0 FG</v>
      </c>
      <c r="AD16" s="83" t="str">
        <f t="shared" si="2"/>
        <v>0 3-PT FG</v>
      </c>
      <c r="AE16" s="83" t="str">
        <f t="shared" si="3"/>
        <v>0 FT</v>
      </c>
      <c r="AF16" s="83" t="str">
        <f t="shared" si="4"/>
        <v>0 RPG</v>
      </c>
      <c r="AG16" s="83" t="str">
        <f t="shared" si="5"/>
        <v>0 APG</v>
      </c>
      <c r="AH16" s="83" t="str">
        <f t="shared" si="6"/>
        <v>0 BPG</v>
      </c>
      <c r="AI16" s="83" t="str">
        <f t="shared" si="7"/>
        <v>0 SPG</v>
      </c>
      <c r="AJ16" s="83" t="str">
        <f t="shared" si="8"/>
        <v>0 MPG</v>
      </c>
    </row>
    <row r="17" spans="1:36" x14ac:dyDescent="0.25">
      <c r="A17" s="40">
        <v>16</v>
      </c>
      <c r="B17" s="40">
        <v>16</v>
      </c>
      <c r="C17" s="78" t="str">
        <f>Roster!$T19</f>
        <v xml:space="preserve"> </v>
      </c>
      <c r="D17" s="10"/>
      <c r="E17" s="85"/>
      <c r="F17" s="10"/>
      <c r="G17" s="85"/>
      <c r="H17" s="10"/>
      <c r="I17" s="85"/>
      <c r="J17" s="86"/>
      <c r="K17" s="79"/>
      <c r="L17" s="81">
        <f>'Player Stats'!D18</f>
        <v>0</v>
      </c>
      <c r="M17" s="81">
        <f>'Player Stats'!E18</f>
        <v>0</v>
      </c>
      <c r="N17" s="81">
        <f>'Player Stats'!F18</f>
        <v>0</v>
      </c>
      <c r="O17" s="81">
        <f>'Player Stats'!G18</f>
        <v>0</v>
      </c>
      <c r="P17" s="81">
        <f>'Player Stats'!H18</f>
        <v>0</v>
      </c>
      <c r="Q17" s="81">
        <f>'Player Stats'!I18</f>
        <v>0</v>
      </c>
      <c r="R17" s="81">
        <f>'Player Stats'!J18</f>
        <v>0</v>
      </c>
      <c r="S17" s="81">
        <f>'Player Stats'!K18</f>
        <v>0</v>
      </c>
      <c r="T17" s="81">
        <f>'Player Stats'!L18</f>
        <v>0</v>
      </c>
      <c r="U17" s="81">
        <f>'Player Stats'!M18</f>
        <v>0</v>
      </c>
      <c r="W17" s="109"/>
      <c r="X17" s="109"/>
      <c r="Y17" s="84" t="str">
        <f>'Team Info'!$B$20&amp;": "&amp;O17&amp;""</f>
        <v>Last Season: 0</v>
      </c>
      <c r="Z17" s="84" t="str">
        <f>'Team Info'!$B$20&amp;": "&amp;N17&amp;""</f>
        <v>Last Season: 0</v>
      </c>
      <c r="AB17" s="83" t="str">
        <f t="shared" si="0"/>
        <v>0 PPG</v>
      </c>
      <c r="AC17" s="83" t="str">
        <f t="shared" si="1"/>
        <v>0 FG</v>
      </c>
      <c r="AD17" s="83" t="str">
        <f t="shared" si="2"/>
        <v>0 3-PT FG</v>
      </c>
      <c r="AE17" s="83" t="str">
        <f t="shared" si="3"/>
        <v>0 FT</v>
      </c>
      <c r="AF17" s="83" t="str">
        <f t="shared" si="4"/>
        <v>0 RPG</v>
      </c>
      <c r="AG17" s="83" t="str">
        <f t="shared" si="5"/>
        <v>0 APG</v>
      </c>
      <c r="AH17" s="83" t="str">
        <f t="shared" si="6"/>
        <v>0 BPG</v>
      </c>
      <c r="AI17" s="83" t="str">
        <f t="shared" si="7"/>
        <v>0 SPG</v>
      </c>
      <c r="AJ17" s="83" t="str">
        <f t="shared" si="8"/>
        <v>0 MPG</v>
      </c>
    </row>
    <row r="18" spans="1:36" x14ac:dyDescent="0.25">
      <c r="A18" s="40">
        <v>17</v>
      </c>
      <c r="B18" s="40">
        <v>17</v>
      </c>
      <c r="C18" s="78" t="str">
        <f>Roster!$T20</f>
        <v xml:space="preserve"> </v>
      </c>
      <c r="D18" s="10"/>
      <c r="E18" s="85"/>
      <c r="F18" s="10"/>
      <c r="G18" s="85"/>
      <c r="H18" s="10"/>
      <c r="I18" s="85"/>
      <c r="J18" s="86"/>
      <c r="K18" s="79"/>
      <c r="L18" s="81">
        <f>'Player Stats'!D19</f>
        <v>0</v>
      </c>
      <c r="M18" s="81">
        <f>'Player Stats'!E19</f>
        <v>0</v>
      </c>
      <c r="N18" s="81">
        <f>'Player Stats'!F19</f>
        <v>0</v>
      </c>
      <c r="O18" s="81">
        <f>'Player Stats'!G19</f>
        <v>0</v>
      </c>
      <c r="P18" s="81">
        <f>'Player Stats'!H19</f>
        <v>0</v>
      </c>
      <c r="Q18" s="81">
        <f>'Player Stats'!I19</f>
        <v>0</v>
      </c>
      <c r="R18" s="81">
        <f>'Player Stats'!J19</f>
        <v>0</v>
      </c>
      <c r="S18" s="81">
        <f>'Player Stats'!K19</f>
        <v>0</v>
      </c>
      <c r="T18" s="81">
        <f>'Player Stats'!L19</f>
        <v>0</v>
      </c>
      <c r="U18" s="81">
        <f>'Player Stats'!M19</f>
        <v>0</v>
      </c>
      <c r="W18" s="109"/>
      <c r="X18" s="109"/>
      <c r="Y18" s="84" t="str">
        <f>'Team Info'!$B$20&amp;": "&amp;O18&amp;""</f>
        <v>Last Season: 0</v>
      </c>
      <c r="Z18" s="84" t="str">
        <f>'Team Info'!$B$20&amp;": "&amp;N18&amp;""</f>
        <v>Last Season: 0</v>
      </c>
      <c r="AB18" s="83" t="str">
        <f t="shared" si="0"/>
        <v>0 PPG</v>
      </c>
      <c r="AC18" s="83" t="str">
        <f t="shared" si="1"/>
        <v>0 FG</v>
      </c>
      <c r="AD18" s="83" t="str">
        <f t="shared" si="2"/>
        <v>0 3-PT FG</v>
      </c>
      <c r="AE18" s="83" t="str">
        <f t="shared" si="3"/>
        <v>0 FT</v>
      </c>
      <c r="AF18" s="83" t="str">
        <f t="shared" si="4"/>
        <v>0 RPG</v>
      </c>
      <c r="AG18" s="83" t="str">
        <f t="shared" si="5"/>
        <v>0 APG</v>
      </c>
      <c r="AH18" s="83" t="str">
        <f t="shared" si="6"/>
        <v>0 BPG</v>
      </c>
      <c r="AI18" s="83" t="str">
        <f t="shared" si="7"/>
        <v>0 SPG</v>
      </c>
      <c r="AJ18" s="83" t="str">
        <f t="shared" si="8"/>
        <v>0 MPG</v>
      </c>
    </row>
    <row r="19" spans="1:36" x14ac:dyDescent="0.25">
      <c r="A19" s="40">
        <v>18</v>
      </c>
      <c r="B19" s="40">
        <v>18</v>
      </c>
      <c r="C19" s="78" t="str">
        <f>Roster!$T21</f>
        <v xml:space="preserve"> </v>
      </c>
      <c r="D19" s="10"/>
      <c r="E19" s="85"/>
      <c r="F19" s="10"/>
      <c r="G19" s="85"/>
      <c r="H19" s="10"/>
      <c r="I19" s="85"/>
      <c r="J19" s="86"/>
      <c r="K19" s="79"/>
      <c r="L19" s="81">
        <f>'Player Stats'!D20</f>
        <v>0</v>
      </c>
      <c r="M19" s="81">
        <f>'Player Stats'!E20</f>
        <v>0</v>
      </c>
      <c r="N19" s="81">
        <f>'Player Stats'!F20</f>
        <v>0</v>
      </c>
      <c r="O19" s="81">
        <f>'Player Stats'!G20</f>
        <v>0</v>
      </c>
      <c r="P19" s="81">
        <f>'Player Stats'!H20</f>
        <v>0</v>
      </c>
      <c r="Q19" s="81">
        <f>'Player Stats'!I20</f>
        <v>0</v>
      </c>
      <c r="R19" s="81">
        <f>'Player Stats'!J20</f>
        <v>0</v>
      </c>
      <c r="S19" s="81">
        <f>'Player Stats'!K20</f>
        <v>0</v>
      </c>
      <c r="T19" s="81">
        <f>'Player Stats'!L20</f>
        <v>0</v>
      </c>
      <c r="U19" s="81">
        <f>'Player Stats'!M20</f>
        <v>0</v>
      </c>
      <c r="W19" s="109"/>
      <c r="X19" s="109"/>
      <c r="Y19" s="84" t="str">
        <f>'Team Info'!$B$20&amp;": "&amp;O19&amp;""</f>
        <v>Last Season: 0</v>
      </c>
      <c r="Z19" s="84" t="str">
        <f>'Team Info'!$B$20&amp;": "&amp;N19&amp;""</f>
        <v>Last Season: 0</v>
      </c>
      <c r="AB19" s="83" t="str">
        <f t="shared" si="0"/>
        <v>0 PPG</v>
      </c>
      <c r="AC19" s="83" t="str">
        <f t="shared" si="1"/>
        <v>0 FG</v>
      </c>
      <c r="AD19" s="83" t="str">
        <f t="shared" si="2"/>
        <v>0 3-PT FG</v>
      </c>
      <c r="AE19" s="83" t="str">
        <f t="shared" si="3"/>
        <v>0 FT</v>
      </c>
      <c r="AF19" s="83" t="str">
        <f t="shared" si="4"/>
        <v>0 RPG</v>
      </c>
      <c r="AG19" s="83" t="str">
        <f t="shared" si="5"/>
        <v>0 APG</v>
      </c>
      <c r="AH19" s="83" t="str">
        <f t="shared" si="6"/>
        <v>0 BPG</v>
      </c>
      <c r="AI19" s="83" t="str">
        <f t="shared" si="7"/>
        <v>0 SPG</v>
      </c>
      <c r="AJ19" s="83" t="str">
        <f t="shared" si="8"/>
        <v>0 MPG</v>
      </c>
    </row>
    <row r="20" spans="1:36" x14ac:dyDescent="0.25">
      <c r="A20" s="40">
        <v>19</v>
      </c>
      <c r="B20" s="40">
        <v>19</v>
      </c>
      <c r="C20" s="78" t="str">
        <f>Roster!$T22</f>
        <v xml:space="preserve"> </v>
      </c>
      <c r="D20" s="10"/>
      <c r="E20" s="85"/>
      <c r="F20" s="10"/>
      <c r="G20" s="85"/>
      <c r="H20" s="10"/>
      <c r="I20" s="85"/>
      <c r="J20" s="86"/>
      <c r="K20" s="79"/>
      <c r="L20" s="81">
        <f>'Player Stats'!D21</f>
        <v>0</v>
      </c>
      <c r="M20" s="81">
        <f>'Player Stats'!E21</f>
        <v>0</v>
      </c>
      <c r="N20" s="81">
        <f>'Player Stats'!F21</f>
        <v>0</v>
      </c>
      <c r="O20" s="81">
        <f>'Player Stats'!G21</f>
        <v>0</v>
      </c>
      <c r="P20" s="81">
        <f>'Player Stats'!H21</f>
        <v>0</v>
      </c>
      <c r="Q20" s="81">
        <f>'Player Stats'!I21</f>
        <v>0</v>
      </c>
      <c r="R20" s="81">
        <f>'Player Stats'!J21</f>
        <v>0</v>
      </c>
      <c r="S20" s="81">
        <f>'Player Stats'!K21</f>
        <v>0</v>
      </c>
      <c r="T20" s="81">
        <f>'Player Stats'!L21</f>
        <v>0</v>
      </c>
      <c r="U20" s="81">
        <f>'Player Stats'!M21</f>
        <v>0</v>
      </c>
      <c r="W20" s="109"/>
      <c r="X20" s="109"/>
      <c r="Y20" s="84" t="str">
        <f>'Team Info'!$B$20&amp;": "&amp;O20&amp;""</f>
        <v>Last Season: 0</v>
      </c>
      <c r="Z20" s="84" t="str">
        <f>'Team Info'!$B$20&amp;": "&amp;N20&amp;""</f>
        <v>Last Season: 0</v>
      </c>
      <c r="AB20" s="83" t="str">
        <f t="shared" si="0"/>
        <v>0 PPG</v>
      </c>
      <c r="AC20" s="83" t="str">
        <f t="shared" si="1"/>
        <v>0 FG</v>
      </c>
      <c r="AD20" s="83" t="str">
        <f t="shared" si="2"/>
        <v>0 3-PT FG</v>
      </c>
      <c r="AE20" s="83" t="str">
        <f t="shared" si="3"/>
        <v>0 FT</v>
      </c>
      <c r="AF20" s="83" t="str">
        <f t="shared" si="4"/>
        <v>0 RPG</v>
      </c>
      <c r="AG20" s="83" t="str">
        <f t="shared" si="5"/>
        <v>0 APG</v>
      </c>
      <c r="AH20" s="83" t="str">
        <f t="shared" si="6"/>
        <v>0 BPG</v>
      </c>
      <c r="AI20" s="83" t="str">
        <f t="shared" si="7"/>
        <v>0 SPG</v>
      </c>
      <c r="AJ20" s="83" t="str">
        <f t="shared" si="8"/>
        <v>0 MPG</v>
      </c>
    </row>
    <row r="21" spans="1:36" x14ac:dyDescent="0.25">
      <c r="A21" s="40">
        <v>20</v>
      </c>
      <c r="B21" s="40">
        <v>20</v>
      </c>
      <c r="C21" s="78" t="str">
        <f>Roster!$T23</f>
        <v xml:space="preserve"> </v>
      </c>
      <c r="D21" s="10"/>
      <c r="E21" s="85"/>
      <c r="F21" s="10"/>
      <c r="G21" s="85"/>
      <c r="H21" s="10"/>
      <c r="I21" s="85"/>
      <c r="J21" s="86"/>
      <c r="K21" s="79"/>
      <c r="L21" s="81">
        <f>'Player Stats'!D22</f>
        <v>0</v>
      </c>
      <c r="M21" s="81">
        <f>'Player Stats'!E22</f>
        <v>0</v>
      </c>
      <c r="N21" s="81">
        <f>'Player Stats'!F22</f>
        <v>0</v>
      </c>
      <c r="O21" s="81">
        <f>'Player Stats'!G22</f>
        <v>0</v>
      </c>
      <c r="P21" s="81">
        <f>'Player Stats'!H22</f>
        <v>0</v>
      </c>
      <c r="Q21" s="81">
        <f>'Player Stats'!I22</f>
        <v>0</v>
      </c>
      <c r="R21" s="81">
        <f>'Player Stats'!J22</f>
        <v>0</v>
      </c>
      <c r="S21" s="81">
        <f>'Player Stats'!K22</f>
        <v>0</v>
      </c>
      <c r="T21" s="81">
        <f>'Player Stats'!L22</f>
        <v>0</v>
      </c>
      <c r="U21" s="81">
        <f>'Player Stats'!M22</f>
        <v>0</v>
      </c>
      <c r="W21" s="109"/>
      <c r="X21" s="109"/>
      <c r="Y21" s="84" t="str">
        <f>'Team Info'!$B$20&amp;": "&amp;O21&amp;""</f>
        <v>Last Season: 0</v>
      </c>
      <c r="Z21" s="84" t="str">
        <f>'Team Info'!$B$20&amp;": "&amp;N21&amp;""</f>
        <v>Last Season: 0</v>
      </c>
      <c r="AB21" s="83" t="str">
        <f t="shared" si="0"/>
        <v>0 PPG</v>
      </c>
      <c r="AC21" s="83" t="str">
        <f t="shared" si="1"/>
        <v>0 FG</v>
      </c>
      <c r="AD21" s="83" t="str">
        <f t="shared" si="2"/>
        <v>0 3-PT FG</v>
      </c>
      <c r="AE21" s="83" t="str">
        <f t="shared" si="3"/>
        <v>0 FT</v>
      </c>
      <c r="AF21" s="83" t="str">
        <f t="shared" si="4"/>
        <v>0 RPG</v>
      </c>
      <c r="AG21" s="83" t="str">
        <f t="shared" si="5"/>
        <v>0 APG</v>
      </c>
      <c r="AH21" s="83" t="str">
        <f t="shared" si="6"/>
        <v>0 BPG</v>
      </c>
      <c r="AI21" s="83" t="str">
        <f t="shared" si="7"/>
        <v>0 SPG</v>
      </c>
      <c r="AJ21" s="83" t="str">
        <f t="shared" si="8"/>
        <v>0 MPG</v>
      </c>
    </row>
    <row r="22" spans="1:36" x14ac:dyDescent="0.25">
      <c r="A22" s="40">
        <v>21</v>
      </c>
      <c r="B22" s="40">
        <v>21</v>
      </c>
      <c r="C22" s="78" t="str">
        <f>Roster!$T24</f>
        <v xml:space="preserve"> </v>
      </c>
      <c r="D22" s="10"/>
      <c r="E22" s="85"/>
      <c r="F22" s="10"/>
      <c r="G22" s="85"/>
      <c r="H22" s="10"/>
      <c r="I22" s="85"/>
      <c r="J22" s="86"/>
      <c r="K22" s="79"/>
      <c r="L22" s="81">
        <f>'Player Stats'!D23</f>
        <v>0</v>
      </c>
      <c r="M22" s="81">
        <f>'Player Stats'!E23</f>
        <v>0</v>
      </c>
      <c r="N22" s="81">
        <f>'Player Stats'!F23</f>
        <v>0</v>
      </c>
      <c r="O22" s="81">
        <f>'Player Stats'!G23</f>
        <v>0</v>
      </c>
      <c r="P22" s="81">
        <f>'Player Stats'!H23</f>
        <v>0</v>
      </c>
      <c r="Q22" s="81">
        <f>'Player Stats'!I23</f>
        <v>0</v>
      </c>
      <c r="R22" s="81">
        <f>'Player Stats'!J23</f>
        <v>0</v>
      </c>
      <c r="S22" s="81">
        <f>'Player Stats'!K23</f>
        <v>0</v>
      </c>
      <c r="T22" s="81">
        <f>'Player Stats'!L23</f>
        <v>0</v>
      </c>
      <c r="U22" s="81">
        <f>'Player Stats'!M23</f>
        <v>0</v>
      </c>
      <c r="W22" s="109"/>
      <c r="X22" s="109"/>
      <c r="Y22" s="84" t="str">
        <f>'Team Info'!$B$20&amp;": "&amp;O22&amp;""</f>
        <v>Last Season: 0</v>
      </c>
      <c r="Z22" s="84" t="str">
        <f>'Team Info'!$B$20&amp;": "&amp;N22&amp;""</f>
        <v>Last Season: 0</v>
      </c>
      <c r="AB22" s="83" t="str">
        <f t="shared" si="0"/>
        <v>0 PPG</v>
      </c>
      <c r="AC22" s="83" t="str">
        <f t="shared" si="1"/>
        <v>0 FG</v>
      </c>
      <c r="AD22" s="83" t="str">
        <f t="shared" si="2"/>
        <v>0 3-PT FG</v>
      </c>
      <c r="AE22" s="83" t="str">
        <f t="shared" si="3"/>
        <v>0 FT</v>
      </c>
      <c r="AF22" s="83" t="str">
        <f t="shared" si="4"/>
        <v>0 RPG</v>
      </c>
      <c r="AG22" s="83" t="str">
        <f t="shared" si="5"/>
        <v>0 APG</v>
      </c>
      <c r="AH22" s="83" t="str">
        <f t="shared" si="6"/>
        <v>0 BPG</v>
      </c>
      <c r="AI22" s="83" t="str">
        <f t="shared" si="7"/>
        <v>0 SPG</v>
      </c>
      <c r="AJ22" s="83" t="str">
        <f t="shared" si="8"/>
        <v>0 MPG</v>
      </c>
    </row>
    <row r="23" spans="1:36" x14ac:dyDescent="0.25">
      <c r="A23" s="40">
        <v>22</v>
      </c>
      <c r="B23" s="40">
        <v>22</v>
      </c>
      <c r="C23" s="78" t="str">
        <f>Roster!$T25</f>
        <v xml:space="preserve"> </v>
      </c>
      <c r="D23" s="10"/>
      <c r="E23" s="85"/>
      <c r="F23" s="10"/>
      <c r="G23" s="85"/>
      <c r="H23" s="10"/>
      <c r="I23" s="85"/>
      <c r="J23" s="86"/>
      <c r="K23" s="79"/>
      <c r="L23" s="81">
        <f>'Player Stats'!D24</f>
        <v>0</v>
      </c>
      <c r="M23" s="81">
        <f>'Player Stats'!E24</f>
        <v>0</v>
      </c>
      <c r="N23" s="81">
        <f>'Player Stats'!F24</f>
        <v>0</v>
      </c>
      <c r="O23" s="81">
        <f>'Player Stats'!G24</f>
        <v>0</v>
      </c>
      <c r="P23" s="81">
        <f>'Player Stats'!H24</f>
        <v>0</v>
      </c>
      <c r="Q23" s="81">
        <f>'Player Stats'!I24</f>
        <v>0</v>
      </c>
      <c r="R23" s="81">
        <f>'Player Stats'!J24</f>
        <v>0</v>
      </c>
      <c r="S23" s="81">
        <f>'Player Stats'!K24</f>
        <v>0</v>
      </c>
      <c r="T23" s="81">
        <f>'Player Stats'!L24</f>
        <v>0</v>
      </c>
      <c r="U23" s="81">
        <f>'Player Stats'!M24</f>
        <v>0</v>
      </c>
      <c r="W23" s="109"/>
      <c r="X23" s="109"/>
      <c r="Y23" s="84" t="str">
        <f>'Team Info'!$B$20&amp;": "&amp;O23&amp;""</f>
        <v>Last Season: 0</v>
      </c>
      <c r="Z23" s="84" t="str">
        <f>'Team Info'!$B$20&amp;": "&amp;N23&amp;""</f>
        <v>Last Season: 0</v>
      </c>
      <c r="AB23" s="83" t="str">
        <f t="shared" si="0"/>
        <v>0 PPG</v>
      </c>
      <c r="AC23" s="83" t="str">
        <f t="shared" si="1"/>
        <v>0 FG</v>
      </c>
      <c r="AD23" s="83" t="str">
        <f t="shared" si="2"/>
        <v>0 3-PT FG</v>
      </c>
      <c r="AE23" s="83" t="str">
        <f t="shared" si="3"/>
        <v>0 FT</v>
      </c>
      <c r="AF23" s="83" t="str">
        <f t="shared" si="4"/>
        <v>0 RPG</v>
      </c>
      <c r="AG23" s="83" t="str">
        <f t="shared" si="5"/>
        <v>0 APG</v>
      </c>
      <c r="AH23" s="83" t="str">
        <f t="shared" si="6"/>
        <v>0 BPG</v>
      </c>
      <c r="AI23" s="83" t="str">
        <f t="shared" si="7"/>
        <v>0 SPG</v>
      </c>
      <c r="AJ23" s="83" t="str">
        <f t="shared" si="8"/>
        <v>0 MPG</v>
      </c>
    </row>
    <row r="24" spans="1:36" x14ac:dyDescent="0.25">
      <c r="A24" s="40">
        <v>23</v>
      </c>
      <c r="B24" s="40">
        <v>23</v>
      </c>
      <c r="C24" s="78" t="str">
        <f>Roster!$T26</f>
        <v xml:space="preserve"> </v>
      </c>
      <c r="D24" s="10"/>
      <c r="E24" s="85"/>
      <c r="F24" s="10"/>
      <c r="G24" s="85"/>
      <c r="H24" s="10"/>
      <c r="I24" s="85"/>
      <c r="J24" s="86"/>
      <c r="K24" s="79"/>
      <c r="L24" s="81">
        <f>'Player Stats'!D25</f>
        <v>0</v>
      </c>
      <c r="M24" s="81">
        <f>'Player Stats'!E25</f>
        <v>0</v>
      </c>
      <c r="N24" s="81">
        <f>'Player Stats'!F25</f>
        <v>0</v>
      </c>
      <c r="O24" s="81">
        <f>'Player Stats'!G25</f>
        <v>0</v>
      </c>
      <c r="P24" s="81">
        <f>'Player Stats'!H25</f>
        <v>0</v>
      </c>
      <c r="Q24" s="81">
        <f>'Player Stats'!I25</f>
        <v>0</v>
      </c>
      <c r="R24" s="81">
        <f>'Player Stats'!J25</f>
        <v>0</v>
      </c>
      <c r="S24" s="81">
        <f>'Player Stats'!K25</f>
        <v>0</v>
      </c>
      <c r="T24" s="81">
        <f>'Player Stats'!L25</f>
        <v>0</v>
      </c>
      <c r="U24" s="81">
        <f>'Player Stats'!M25</f>
        <v>0</v>
      </c>
      <c r="W24" s="109"/>
      <c r="X24" s="109"/>
      <c r="Y24" s="84" t="str">
        <f>'Team Info'!$B$20&amp;": "&amp;O24&amp;""</f>
        <v>Last Season: 0</v>
      </c>
      <c r="Z24" s="84" t="str">
        <f>'Team Info'!$B$20&amp;": "&amp;N24&amp;""</f>
        <v>Last Season: 0</v>
      </c>
      <c r="AB24" s="83" t="str">
        <f t="shared" si="0"/>
        <v>0 PPG</v>
      </c>
      <c r="AC24" s="83" t="str">
        <f t="shared" si="1"/>
        <v>0 FG</v>
      </c>
      <c r="AD24" s="83" t="str">
        <f t="shared" si="2"/>
        <v>0 3-PT FG</v>
      </c>
      <c r="AE24" s="83" t="str">
        <f t="shared" si="3"/>
        <v>0 FT</v>
      </c>
      <c r="AF24" s="83" t="str">
        <f t="shared" si="4"/>
        <v>0 RPG</v>
      </c>
      <c r="AG24" s="83" t="str">
        <f t="shared" si="5"/>
        <v>0 APG</v>
      </c>
      <c r="AH24" s="83" t="str">
        <f t="shared" si="6"/>
        <v>0 BPG</v>
      </c>
      <c r="AI24" s="83" t="str">
        <f t="shared" si="7"/>
        <v>0 SPG</v>
      </c>
      <c r="AJ24" s="83" t="str">
        <f t="shared" si="8"/>
        <v>0 MPG</v>
      </c>
    </row>
    <row r="25" spans="1:36" x14ac:dyDescent="0.25">
      <c r="A25" s="40">
        <v>24</v>
      </c>
      <c r="B25" s="40">
        <v>24</v>
      </c>
      <c r="C25" s="78" t="str">
        <f>Roster!$T27</f>
        <v xml:space="preserve"> </v>
      </c>
      <c r="D25" s="10"/>
      <c r="E25" s="85"/>
      <c r="F25" s="10"/>
      <c r="G25" s="85"/>
      <c r="H25" s="10"/>
      <c r="I25" s="85"/>
      <c r="J25" s="86"/>
      <c r="K25" s="79"/>
      <c r="L25" s="81">
        <f>'Player Stats'!D26</f>
        <v>0</v>
      </c>
      <c r="M25" s="81">
        <f>'Player Stats'!E26</f>
        <v>0</v>
      </c>
      <c r="N25" s="81">
        <f>'Player Stats'!F26</f>
        <v>0</v>
      </c>
      <c r="O25" s="81">
        <f>'Player Stats'!G26</f>
        <v>0</v>
      </c>
      <c r="P25" s="81">
        <f>'Player Stats'!H26</f>
        <v>0</v>
      </c>
      <c r="Q25" s="81">
        <f>'Player Stats'!I26</f>
        <v>0</v>
      </c>
      <c r="R25" s="81">
        <f>'Player Stats'!J26</f>
        <v>0</v>
      </c>
      <c r="S25" s="81">
        <f>'Player Stats'!K26</f>
        <v>0</v>
      </c>
      <c r="T25" s="81">
        <f>'Player Stats'!L26</f>
        <v>0</v>
      </c>
      <c r="U25" s="81">
        <f>'Player Stats'!M26</f>
        <v>0</v>
      </c>
      <c r="W25" s="109"/>
      <c r="X25" s="109"/>
      <c r="Y25" s="84" t="str">
        <f>'Team Info'!$B$20&amp;": "&amp;O25&amp;""</f>
        <v>Last Season: 0</v>
      </c>
      <c r="Z25" s="84" t="str">
        <f>'Team Info'!$B$20&amp;": "&amp;N25&amp;""</f>
        <v>Last Season: 0</v>
      </c>
      <c r="AB25" s="83" t="str">
        <f t="shared" si="0"/>
        <v>0 PPG</v>
      </c>
      <c r="AC25" s="83" t="str">
        <f t="shared" si="1"/>
        <v>0 FG</v>
      </c>
      <c r="AD25" s="83" t="str">
        <f t="shared" si="2"/>
        <v>0 3-PT FG</v>
      </c>
      <c r="AE25" s="83" t="str">
        <f t="shared" si="3"/>
        <v>0 FT</v>
      </c>
      <c r="AF25" s="83" t="str">
        <f t="shared" si="4"/>
        <v>0 RPG</v>
      </c>
      <c r="AG25" s="83" t="str">
        <f t="shared" si="5"/>
        <v>0 APG</v>
      </c>
      <c r="AH25" s="83" t="str">
        <f t="shared" si="6"/>
        <v>0 BPG</v>
      </c>
      <c r="AI25" s="83" t="str">
        <f t="shared" si="7"/>
        <v>0 SPG</v>
      </c>
      <c r="AJ25" s="83" t="str">
        <f t="shared" si="8"/>
        <v>0 MPG</v>
      </c>
    </row>
    <row r="26" spans="1:36" x14ac:dyDescent="0.25">
      <c r="A26" s="40">
        <v>25</v>
      </c>
      <c r="B26" s="40">
        <v>25</v>
      </c>
      <c r="C26" s="78" t="str">
        <f>Roster!$T28</f>
        <v xml:space="preserve"> </v>
      </c>
      <c r="D26" s="10"/>
      <c r="E26" s="85"/>
      <c r="F26" s="10"/>
      <c r="G26" s="85"/>
      <c r="H26" s="10"/>
      <c r="I26" s="85"/>
      <c r="J26" s="86"/>
      <c r="K26" s="79"/>
      <c r="L26" s="81">
        <f>'Player Stats'!D27</f>
        <v>0</v>
      </c>
      <c r="M26" s="81">
        <f>'Player Stats'!E27</f>
        <v>0</v>
      </c>
      <c r="N26" s="81">
        <f>'Player Stats'!F27</f>
        <v>0</v>
      </c>
      <c r="O26" s="81">
        <f>'Player Stats'!G27</f>
        <v>0</v>
      </c>
      <c r="P26" s="81">
        <f>'Player Stats'!H27</f>
        <v>0</v>
      </c>
      <c r="Q26" s="81">
        <f>'Player Stats'!I27</f>
        <v>0</v>
      </c>
      <c r="R26" s="81">
        <f>'Player Stats'!J27</f>
        <v>0</v>
      </c>
      <c r="S26" s="81">
        <f>'Player Stats'!K27</f>
        <v>0</v>
      </c>
      <c r="T26" s="81">
        <f>'Player Stats'!L27</f>
        <v>0</v>
      </c>
      <c r="U26" s="81">
        <f>'Player Stats'!M27</f>
        <v>0</v>
      </c>
      <c r="W26" s="109"/>
      <c r="X26" s="109"/>
      <c r="Y26" s="84" t="str">
        <f>'Team Info'!$B$20&amp;": "&amp;O26&amp;""</f>
        <v>Last Season: 0</v>
      </c>
      <c r="Z26" s="84" t="str">
        <f>'Team Info'!$B$20&amp;": "&amp;N26&amp;""</f>
        <v>Last Season: 0</v>
      </c>
      <c r="AB26" s="83" t="str">
        <f t="shared" si="0"/>
        <v>0 PPG</v>
      </c>
      <c r="AC26" s="83" t="str">
        <f t="shared" si="1"/>
        <v>0 FG</v>
      </c>
      <c r="AD26" s="83" t="str">
        <f t="shared" si="2"/>
        <v>0 3-PT FG</v>
      </c>
      <c r="AE26" s="83" t="str">
        <f t="shared" si="3"/>
        <v>0 FT</v>
      </c>
      <c r="AF26" s="83" t="str">
        <f t="shared" si="4"/>
        <v>0 RPG</v>
      </c>
      <c r="AG26" s="83" t="str">
        <f t="shared" si="5"/>
        <v>0 APG</v>
      </c>
      <c r="AH26" s="83" t="str">
        <f t="shared" si="6"/>
        <v>0 BPG</v>
      </c>
      <c r="AI26" s="83" t="str">
        <f t="shared" si="7"/>
        <v>0 SPG</v>
      </c>
      <c r="AJ26" s="83" t="str">
        <f t="shared" si="8"/>
        <v>0 MPG</v>
      </c>
    </row>
    <row r="27" spans="1:36" x14ac:dyDescent="0.25">
      <c r="A27" s="40">
        <v>26</v>
      </c>
      <c r="B27" s="40">
        <v>26</v>
      </c>
      <c r="C27" s="78" t="str">
        <f>Roster!$T29</f>
        <v xml:space="preserve"> </v>
      </c>
      <c r="D27" s="10"/>
      <c r="E27" s="85"/>
      <c r="F27" s="10"/>
      <c r="G27" s="85"/>
      <c r="H27" s="10"/>
      <c r="I27" s="85"/>
      <c r="J27" s="86"/>
      <c r="K27" s="79"/>
      <c r="L27" s="81">
        <f>'Player Stats'!D28</f>
        <v>0</v>
      </c>
      <c r="M27" s="81">
        <f>'Player Stats'!E28</f>
        <v>0</v>
      </c>
      <c r="N27" s="81">
        <f>'Player Stats'!F28</f>
        <v>0</v>
      </c>
      <c r="O27" s="81">
        <f>'Player Stats'!G28</f>
        <v>0</v>
      </c>
      <c r="P27" s="81">
        <f>'Player Stats'!H28</f>
        <v>0</v>
      </c>
      <c r="Q27" s="81">
        <f>'Player Stats'!I28</f>
        <v>0</v>
      </c>
      <c r="R27" s="81">
        <f>'Player Stats'!J28</f>
        <v>0</v>
      </c>
      <c r="S27" s="81">
        <f>'Player Stats'!K28</f>
        <v>0</v>
      </c>
      <c r="T27" s="81">
        <f>'Player Stats'!L28</f>
        <v>0</v>
      </c>
      <c r="U27" s="81">
        <f>'Player Stats'!M28</f>
        <v>0</v>
      </c>
      <c r="W27" s="109"/>
      <c r="X27" s="109"/>
      <c r="Y27" s="84" t="str">
        <f>'Team Info'!$B$20&amp;": "&amp;O27&amp;""</f>
        <v>Last Season: 0</v>
      </c>
      <c r="Z27" s="84" t="str">
        <f>'Team Info'!$B$20&amp;": "&amp;N27&amp;""</f>
        <v>Last Season: 0</v>
      </c>
      <c r="AB27" s="83" t="str">
        <f t="shared" si="0"/>
        <v>0 PPG</v>
      </c>
      <c r="AC27" s="83" t="str">
        <f t="shared" si="1"/>
        <v>0 FG</v>
      </c>
      <c r="AD27" s="83" t="str">
        <f t="shared" si="2"/>
        <v>0 3-PT FG</v>
      </c>
      <c r="AE27" s="83" t="str">
        <f t="shared" si="3"/>
        <v>0 FT</v>
      </c>
      <c r="AF27" s="83" t="str">
        <f t="shared" si="4"/>
        <v>0 RPG</v>
      </c>
      <c r="AG27" s="83" t="str">
        <f t="shared" si="5"/>
        <v>0 APG</v>
      </c>
      <c r="AH27" s="83" t="str">
        <f t="shared" si="6"/>
        <v>0 BPG</v>
      </c>
      <c r="AI27" s="83" t="str">
        <f t="shared" si="7"/>
        <v>0 SPG</v>
      </c>
      <c r="AJ27" s="83" t="str">
        <f t="shared" si="8"/>
        <v>0 MPG</v>
      </c>
    </row>
    <row r="28" spans="1:36" x14ac:dyDescent="0.25">
      <c r="A28" s="40">
        <v>27</v>
      </c>
      <c r="B28" s="40">
        <v>27</v>
      </c>
      <c r="C28" s="78" t="str">
        <f>Roster!$T30</f>
        <v xml:space="preserve"> </v>
      </c>
      <c r="D28" s="10"/>
      <c r="E28" s="85"/>
      <c r="F28" s="10"/>
      <c r="G28" s="85"/>
      <c r="H28" s="10"/>
      <c r="I28" s="85"/>
      <c r="J28" s="86"/>
      <c r="K28" s="79"/>
      <c r="L28" s="81">
        <f>'Player Stats'!D29</f>
        <v>0</v>
      </c>
      <c r="M28" s="81">
        <f>'Player Stats'!E29</f>
        <v>0</v>
      </c>
      <c r="N28" s="81">
        <f>'Player Stats'!F29</f>
        <v>0</v>
      </c>
      <c r="O28" s="81">
        <f>'Player Stats'!G29</f>
        <v>0</v>
      </c>
      <c r="P28" s="81">
        <f>'Player Stats'!H29</f>
        <v>0</v>
      </c>
      <c r="Q28" s="81">
        <f>'Player Stats'!I29</f>
        <v>0</v>
      </c>
      <c r="R28" s="81">
        <f>'Player Stats'!J29</f>
        <v>0</v>
      </c>
      <c r="S28" s="81">
        <f>'Player Stats'!K29</f>
        <v>0</v>
      </c>
      <c r="T28" s="81">
        <f>'Player Stats'!L29</f>
        <v>0</v>
      </c>
      <c r="U28" s="81">
        <f>'Player Stats'!M29</f>
        <v>0</v>
      </c>
      <c r="W28" s="109"/>
      <c r="X28" s="109"/>
      <c r="Y28" s="84" t="str">
        <f>'Team Info'!$B$20&amp;": "&amp;O28&amp;""</f>
        <v>Last Season: 0</v>
      </c>
      <c r="Z28" s="84" t="str">
        <f>'Team Info'!$B$20&amp;": "&amp;N28&amp;""</f>
        <v>Last Season: 0</v>
      </c>
      <c r="AB28" s="83" t="str">
        <f t="shared" si="0"/>
        <v>0 PPG</v>
      </c>
      <c r="AC28" s="83" t="str">
        <f t="shared" si="1"/>
        <v>0 FG</v>
      </c>
      <c r="AD28" s="83" t="str">
        <f t="shared" si="2"/>
        <v>0 3-PT FG</v>
      </c>
      <c r="AE28" s="83" t="str">
        <f t="shared" si="3"/>
        <v>0 FT</v>
      </c>
      <c r="AF28" s="83" t="str">
        <f t="shared" si="4"/>
        <v>0 RPG</v>
      </c>
      <c r="AG28" s="83" t="str">
        <f t="shared" si="5"/>
        <v>0 APG</v>
      </c>
      <c r="AH28" s="83" t="str">
        <f t="shared" si="6"/>
        <v>0 BPG</v>
      </c>
      <c r="AI28" s="83" t="str">
        <f t="shared" si="7"/>
        <v>0 SPG</v>
      </c>
      <c r="AJ28" s="83" t="str">
        <f t="shared" si="8"/>
        <v>0 MPG</v>
      </c>
    </row>
    <row r="29" spans="1:36" x14ac:dyDescent="0.25">
      <c r="A29" s="40">
        <v>28</v>
      </c>
      <c r="B29" s="40">
        <v>28</v>
      </c>
      <c r="C29" s="78" t="str">
        <f>Roster!$T31</f>
        <v xml:space="preserve"> </v>
      </c>
      <c r="D29" s="10"/>
      <c r="E29" s="85"/>
      <c r="F29" s="10"/>
      <c r="G29" s="85"/>
      <c r="H29" s="10"/>
      <c r="I29" s="85"/>
      <c r="J29" s="86"/>
      <c r="K29" s="79"/>
      <c r="L29" s="81">
        <f>'Player Stats'!D30</f>
        <v>0</v>
      </c>
      <c r="M29" s="81">
        <f>'Player Stats'!E30</f>
        <v>0</v>
      </c>
      <c r="N29" s="81">
        <f>'Player Stats'!F30</f>
        <v>0</v>
      </c>
      <c r="O29" s="81">
        <f>'Player Stats'!G30</f>
        <v>0</v>
      </c>
      <c r="P29" s="81">
        <f>'Player Stats'!H30</f>
        <v>0</v>
      </c>
      <c r="Q29" s="81">
        <f>'Player Stats'!I30</f>
        <v>0</v>
      </c>
      <c r="R29" s="81">
        <f>'Player Stats'!J30</f>
        <v>0</v>
      </c>
      <c r="S29" s="81">
        <f>'Player Stats'!K30</f>
        <v>0</v>
      </c>
      <c r="T29" s="81">
        <f>'Player Stats'!L30</f>
        <v>0</v>
      </c>
      <c r="U29" s="81">
        <f>'Player Stats'!M30</f>
        <v>0</v>
      </c>
      <c r="W29" s="109"/>
      <c r="X29" s="109"/>
      <c r="Y29" s="84" t="str">
        <f>'Team Info'!$B$20&amp;": "&amp;O29&amp;""</f>
        <v>Last Season: 0</v>
      </c>
      <c r="Z29" s="84" t="str">
        <f>'Team Info'!$B$20&amp;": "&amp;N29&amp;""</f>
        <v>Last Season: 0</v>
      </c>
      <c r="AB29" s="83" t="str">
        <f t="shared" si="0"/>
        <v>0 PPG</v>
      </c>
      <c r="AC29" s="83" t="str">
        <f t="shared" si="1"/>
        <v>0 FG</v>
      </c>
      <c r="AD29" s="83" t="str">
        <f t="shared" si="2"/>
        <v>0 3-PT FG</v>
      </c>
      <c r="AE29" s="83" t="str">
        <f t="shared" si="3"/>
        <v>0 FT</v>
      </c>
      <c r="AF29" s="83" t="str">
        <f t="shared" si="4"/>
        <v>0 RPG</v>
      </c>
      <c r="AG29" s="83" t="str">
        <f t="shared" si="5"/>
        <v>0 APG</v>
      </c>
      <c r="AH29" s="83" t="str">
        <f t="shared" si="6"/>
        <v>0 BPG</v>
      </c>
      <c r="AI29" s="83" t="str">
        <f t="shared" si="7"/>
        <v>0 SPG</v>
      </c>
      <c r="AJ29" s="83" t="str">
        <f t="shared" si="8"/>
        <v>0 MPG</v>
      </c>
    </row>
    <row r="30" spans="1:36" x14ac:dyDescent="0.25">
      <c r="A30" s="40">
        <v>29</v>
      </c>
      <c r="B30" s="40">
        <v>29</v>
      </c>
      <c r="C30" s="78" t="str">
        <f>Roster!$T32</f>
        <v xml:space="preserve"> </v>
      </c>
      <c r="D30" s="10"/>
      <c r="E30" s="85"/>
      <c r="F30" s="10"/>
      <c r="G30" s="85"/>
      <c r="H30" s="10"/>
      <c r="I30" s="85"/>
      <c r="J30" s="86"/>
      <c r="K30" s="79"/>
      <c r="L30" s="81">
        <f>'Player Stats'!D31</f>
        <v>0</v>
      </c>
      <c r="M30" s="81">
        <f>'Player Stats'!E31</f>
        <v>0</v>
      </c>
      <c r="N30" s="81">
        <f>'Player Stats'!F31</f>
        <v>0</v>
      </c>
      <c r="O30" s="81">
        <f>'Player Stats'!G31</f>
        <v>0</v>
      </c>
      <c r="P30" s="81">
        <f>'Player Stats'!H31</f>
        <v>0</v>
      </c>
      <c r="Q30" s="81">
        <f>'Player Stats'!I31</f>
        <v>0</v>
      </c>
      <c r="R30" s="81">
        <f>'Player Stats'!J31</f>
        <v>0</v>
      </c>
      <c r="S30" s="81">
        <f>'Player Stats'!K31</f>
        <v>0</v>
      </c>
      <c r="T30" s="81">
        <f>'Player Stats'!L31</f>
        <v>0</v>
      </c>
      <c r="U30" s="81">
        <f>'Player Stats'!M31</f>
        <v>0</v>
      </c>
      <c r="W30" s="109"/>
      <c r="X30" s="109"/>
      <c r="Y30" s="84" t="str">
        <f>'Team Info'!$B$20&amp;": "&amp;O30&amp;""</f>
        <v>Last Season: 0</v>
      </c>
      <c r="Z30" s="84" t="str">
        <f>'Team Info'!$B$20&amp;": "&amp;N30&amp;""</f>
        <v>Last Season: 0</v>
      </c>
      <c r="AB30" s="83" t="str">
        <f t="shared" si="0"/>
        <v>0 PPG</v>
      </c>
      <c r="AC30" s="83" t="str">
        <f t="shared" si="1"/>
        <v>0 FG</v>
      </c>
      <c r="AD30" s="83" t="str">
        <f t="shared" si="2"/>
        <v>0 3-PT FG</v>
      </c>
      <c r="AE30" s="83" t="str">
        <f t="shared" si="3"/>
        <v>0 FT</v>
      </c>
      <c r="AF30" s="83" t="str">
        <f t="shared" si="4"/>
        <v>0 RPG</v>
      </c>
      <c r="AG30" s="83" t="str">
        <f t="shared" si="5"/>
        <v>0 APG</v>
      </c>
      <c r="AH30" s="83" t="str">
        <f t="shared" si="6"/>
        <v>0 BPG</v>
      </c>
      <c r="AI30" s="83" t="str">
        <f t="shared" si="7"/>
        <v>0 SPG</v>
      </c>
      <c r="AJ30" s="83" t="str">
        <f t="shared" si="8"/>
        <v>0 MPG</v>
      </c>
    </row>
    <row r="31" spans="1:36" x14ac:dyDescent="0.25">
      <c r="A31" s="40">
        <v>30</v>
      </c>
      <c r="B31" s="40">
        <v>30</v>
      </c>
      <c r="C31" s="78" t="str">
        <f>Roster!$T33</f>
        <v xml:space="preserve"> </v>
      </c>
      <c r="D31" s="10"/>
      <c r="E31" s="85"/>
      <c r="F31" s="10"/>
      <c r="G31" s="85"/>
      <c r="H31" s="10"/>
      <c r="I31" s="85"/>
      <c r="J31" s="86"/>
      <c r="K31" s="79"/>
      <c r="L31" s="81">
        <f>'Player Stats'!D32</f>
        <v>0</v>
      </c>
      <c r="M31" s="81">
        <f>'Player Stats'!E32</f>
        <v>0</v>
      </c>
      <c r="N31" s="81">
        <f>'Player Stats'!F32</f>
        <v>0</v>
      </c>
      <c r="O31" s="81">
        <f>'Player Stats'!G32</f>
        <v>0</v>
      </c>
      <c r="P31" s="81">
        <f>'Player Stats'!H32</f>
        <v>0</v>
      </c>
      <c r="Q31" s="81">
        <f>'Player Stats'!I32</f>
        <v>0</v>
      </c>
      <c r="R31" s="81">
        <f>'Player Stats'!J32</f>
        <v>0</v>
      </c>
      <c r="S31" s="81">
        <f>'Player Stats'!K32</f>
        <v>0</v>
      </c>
      <c r="T31" s="81">
        <f>'Player Stats'!L32</f>
        <v>0</v>
      </c>
      <c r="U31" s="81">
        <f>'Player Stats'!M32</f>
        <v>0</v>
      </c>
      <c r="W31" s="109"/>
      <c r="X31" s="109"/>
      <c r="Y31" s="84" t="str">
        <f>'Team Info'!$B$20&amp;": "&amp;O31&amp;""</f>
        <v>Last Season: 0</v>
      </c>
      <c r="Z31" s="84" t="str">
        <f>'Team Info'!$B$20&amp;": "&amp;N31&amp;""</f>
        <v>Last Season: 0</v>
      </c>
      <c r="AB31" s="83" t="str">
        <f t="shared" si="0"/>
        <v>0 PPG</v>
      </c>
      <c r="AC31" s="83" t="str">
        <f t="shared" si="1"/>
        <v>0 FG</v>
      </c>
      <c r="AD31" s="83" t="str">
        <f t="shared" si="2"/>
        <v>0 3-PT FG</v>
      </c>
      <c r="AE31" s="83" t="str">
        <f t="shared" si="3"/>
        <v>0 FT</v>
      </c>
      <c r="AF31" s="83" t="str">
        <f t="shared" si="4"/>
        <v>0 RPG</v>
      </c>
      <c r="AG31" s="83" t="str">
        <f t="shared" si="5"/>
        <v>0 APG</v>
      </c>
      <c r="AH31" s="83" t="str">
        <f t="shared" si="6"/>
        <v>0 BPG</v>
      </c>
      <c r="AI31" s="83" t="str">
        <f t="shared" si="7"/>
        <v>0 SPG</v>
      </c>
      <c r="AJ31" s="83" t="str">
        <f t="shared" si="8"/>
        <v>0 MPG</v>
      </c>
    </row>
    <row r="32" spans="1:36" x14ac:dyDescent="0.25">
      <c r="A32" s="40">
        <v>31</v>
      </c>
      <c r="B32" s="40">
        <v>31</v>
      </c>
      <c r="C32" s="78" t="str">
        <f>Roster!$T34</f>
        <v xml:space="preserve"> </v>
      </c>
      <c r="D32" s="10"/>
      <c r="E32" s="85"/>
      <c r="F32" s="10"/>
      <c r="G32" s="85"/>
      <c r="H32" s="10"/>
      <c r="I32" s="85"/>
      <c r="J32" s="86"/>
      <c r="K32" s="79"/>
      <c r="L32" s="81">
        <f>'Player Stats'!D33</f>
        <v>0</v>
      </c>
      <c r="M32" s="81">
        <f>'Player Stats'!E33</f>
        <v>0</v>
      </c>
      <c r="N32" s="81">
        <f>'Player Stats'!F33</f>
        <v>0</v>
      </c>
      <c r="O32" s="81">
        <f>'Player Stats'!G33</f>
        <v>0</v>
      </c>
      <c r="P32" s="81">
        <f>'Player Stats'!H33</f>
        <v>0</v>
      </c>
      <c r="Q32" s="81">
        <f>'Player Stats'!I33</f>
        <v>0</v>
      </c>
      <c r="R32" s="81">
        <f>'Player Stats'!J33</f>
        <v>0</v>
      </c>
      <c r="S32" s="81">
        <f>'Player Stats'!K33</f>
        <v>0</v>
      </c>
      <c r="T32" s="81">
        <f>'Player Stats'!L33</f>
        <v>0</v>
      </c>
      <c r="U32" s="81">
        <f>'Player Stats'!M33</f>
        <v>0</v>
      </c>
      <c r="W32" s="109"/>
      <c r="X32" s="109"/>
      <c r="Y32" s="84" t="str">
        <f>'Team Info'!$B$20&amp;": "&amp;O32&amp;""</f>
        <v>Last Season: 0</v>
      </c>
      <c r="Z32" s="84" t="str">
        <f>'Team Info'!$B$20&amp;": "&amp;N32&amp;""</f>
        <v>Last Season: 0</v>
      </c>
      <c r="AB32" s="83" t="str">
        <f t="shared" si="0"/>
        <v>0 PPG</v>
      </c>
      <c r="AC32" s="83" t="str">
        <f t="shared" si="1"/>
        <v>0 FG</v>
      </c>
      <c r="AD32" s="83" t="str">
        <f t="shared" si="2"/>
        <v>0 3-PT FG</v>
      </c>
      <c r="AE32" s="83" t="str">
        <f t="shared" si="3"/>
        <v>0 FT</v>
      </c>
      <c r="AF32" s="83" t="str">
        <f t="shared" si="4"/>
        <v>0 RPG</v>
      </c>
      <c r="AG32" s="83" t="str">
        <f t="shared" si="5"/>
        <v>0 APG</v>
      </c>
      <c r="AH32" s="83" t="str">
        <f t="shared" si="6"/>
        <v>0 BPG</v>
      </c>
      <c r="AI32" s="83" t="str">
        <f t="shared" si="7"/>
        <v>0 SPG</v>
      </c>
      <c r="AJ32" s="83" t="str">
        <f t="shared" si="8"/>
        <v>0 MPG</v>
      </c>
    </row>
    <row r="33" spans="1:36" x14ac:dyDescent="0.25">
      <c r="A33" s="40">
        <v>32</v>
      </c>
      <c r="B33" s="40">
        <v>32</v>
      </c>
      <c r="C33" s="78" t="str">
        <f>Roster!$T35</f>
        <v xml:space="preserve"> </v>
      </c>
      <c r="D33" s="10"/>
      <c r="E33" s="85"/>
      <c r="F33" s="10"/>
      <c r="G33" s="85"/>
      <c r="H33" s="10"/>
      <c r="I33" s="85"/>
      <c r="J33" s="86"/>
      <c r="K33" s="79"/>
      <c r="L33" s="81">
        <f>'Player Stats'!D34</f>
        <v>0</v>
      </c>
      <c r="M33" s="81">
        <f>'Player Stats'!E34</f>
        <v>0</v>
      </c>
      <c r="N33" s="81">
        <f>'Player Stats'!F34</f>
        <v>0</v>
      </c>
      <c r="O33" s="81">
        <f>'Player Stats'!G34</f>
        <v>0</v>
      </c>
      <c r="P33" s="81">
        <f>'Player Stats'!H34</f>
        <v>0</v>
      </c>
      <c r="Q33" s="81">
        <f>'Player Stats'!I34</f>
        <v>0</v>
      </c>
      <c r="R33" s="81">
        <f>'Player Stats'!J34</f>
        <v>0</v>
      </c>
      <c r="S33" s="81">
        <f>'Player Stats'!K34</f>
        <v>0</v>
      </c>
      <c r="T33" s="81">
        <f>'Player Stats'!L34</f>
        <v>0</v>
      </c>
      <c r="U33" s="81">
        <f>'Player Stats'!M34</f>
        <v>0</v>
      </c>
      <c r="W33" s="109"/>
      <c r="X33" s="109"/>
      <c r="Y33" s="84" t="str">
        <f>'Team Info'!$B$20&amp;": "&amp;O33&amp;""</f>
        <v>Last Season: 0</v>
      </c>
      <c r="Z33" s="84" t="str">
        <f>'Team Info'!$B$20&amp;": "&amp;N33&amp;""</f>
        <v>Last Season: 0</v>
      </c>
      <c r="AB33" s="83" t="str">
        <f t="shared" si="0"/>
        <v>0 PPG</v>
      </c>
      <c r="AC33" s="83" t="str">
        <f t="shared" si="1"/>
        <v>0 FG</v>
      </c>
      <c r="AD33" s="83" t="str">
        <f t="shared" si="2"/>
        <v>0 3-PT FG</v>
      </c>
      <c r="AE33" s="83" t="str">
        <f t="shared" si="3"/>
        <v>0 FT</v>
      </c>
      <c r="AF33" s="83" t="str">
        <f t="shared" si="4"/>
        <v>0 RPG</v>
      </c>
      <c r="AG33" s="83" t="str">
        <f t="shared" si="5"/>
        <v>0 APG</v>
      </c>
      <c r="AH33" s="83" t="str">
        <f t="shared" si="6"/>
        <v>0 BPG</v>
      </c>
      <c r="AI33" s="83" t="str">
        <f t="shared" si="7"/>
        <v>0 SPG</v>
      </c>
      <c r="AJ33" s="83" t="str">
        <f t="shared" si="8"/>
        <v>0 MPG</v>
      </c>
    </row>
    <row r="34" spans="1:36" x14ac:dyDescent="0.25">
      <c r="A34" s="40">
        <v>33</v>
      </c>
      <c r="B34" s="40">
        <v>33</v>
      </c>
      <c r="C34" s="78" t="str">
        <f>Roster!$T36</f>
        <v xml:space="preserve"> </v>
      </c>
      <c r="D34" s="10"/>
      <c r="E34" s="85"/>
      <c r="F34" s="10"/>
      <c r="G34" s="85"/>
      <c r="H34" s="10"/>
      <c r="I34" s="85"/>
      <c r="J34" s="86"/>
      <c r="K34" s="79"/>
      <c r="L34" s="81">
        <f>'Player Stats'!D35</f>
        <v>0</v>
      </c>
      <c r="M34" s="81">
        <f>'Player Stats'!E35</f>
        <v>0</v>
      </c>
      <c r="N34" s="81">
        <f>'Player Stats'!F35</f>
        <v>0</v>
      </c>
      <c r="O34" s="81">
        <f>'Player Stats'!G35</f>
        <v>0</v>
      </c>
      <c r="P34" s="81">
        <f>'Player Stats'!H35</f>
        <v>0</v>
      </c>
      <c r="Q34" s="81">
        <f>'Player Stats'!I35</f>
        <v>0</v>
      </c>
      <c r="R34" s="81">
        <f>'Player Stats'!J35</f>
        <v>0</v>
      </c>
      <c r="S34" s="81">
        <f>'Player Stats'!K35</f>
        <v>0</v>
      </c>
      <c r="T34" s="81">
        <f>'Player Stats'!L35</f>
        <v>0</v>
      </c>
      <c r="U34" s="81">
        <f>'Player Stats'!M35</f>
        <v>0</v>
      </c>
      <c r="W34" s="109"/>
      <c r="X34" s="109"/>
      <c r="Y34" s="84" t="str">
        <f>'Team Info'!$B$20&amp;": "&amp;O34&amp;""</f>
        <v>Last Season: 0</v>
      </c>
      <c r="Z34" s="84" t="str">
        <f>'Team Info'!$B$20&amp;": "&amp;N34&amp;""</f>
        <v>Last Season: 0</v>
      </c>
      <c r="AB34" s="83" t="str">
        <f t="shared" si="0"/>
        <v>0 PPG</v>
      </c>
      <c r="AC34" s="83" t="str">
        <f t="shared" si="1"/>
        <v>0 FG</v>
      </c>
      <c r="AD34" s="83" t="str">
        <f t="shared" si="2"/>
        <v>0 3-PT FG</v>
      </c>
      <c r="AE34" s="83" t="str">
        <f t="shared" si="3"/>
        <v>0 FT</v>
      </c>
      <c r="AF34" s="83" t="str">
        <f t="shared" si="4"/>
        <v>0 RPG</v>
      </c>
      <c r="AG34" s="83" t="str">
        <f t="shared" si="5"/>
        <v>0 APG</v>
      </c>
      <c r="AH34" s="83" t="str">
        <f t="shared" si="6"/>
        <v>0 BPG</v>
      </c>
      <c r="AI34" s="83" t="str">
        <f t="shared" si="7"/>
        <v>0 SPG</v>
      </c>
      <c r="AJ34" s="83" t="str">
        <f t="shared" si="8"/>
        <v>0 MPG</v>
      </c>
    </row>
    <row r="35" spans="1:36" x14ac:dyDescent="0.25">
      <c r="A35" s="40">
        <v>34</v>
      </c>
      <c r="B35" s="40">
        <v>34</v>
      </c>
      <c r="C35" s="78" t="str">
        <f>Roster!$T37</f>
        <v xml:space="preserve"> </v>
      </c>
      <c r="D35" s="10"/>
      <c r="E35" s="85"/>
      <c r="F35" s="10"/>
      <c r="G35" s="85"/>
      <c r="H35" s="10"/>
      <c r="I35" s="85"/>
      <c r="J35" s="86"/>
      <c r="K35" s="79"/>
      <c r="L35" s="81">
        <f>'Player Stats'!D36</f>
        <v>0</v>
      </c>
      <c r="M35" s="81">
        <f>'Player Stats'!E36</f>
        <v>0</v>
      </c>
      <c r="N35" s="81">
        <f>'Player Stats'!F36</f>
        <v>0</v>
      </c>
      <c r="O35" s="81">
        <f>'Player Stats'!G36</f>
        <v>0</v>
      </c>
      <c r="P35" s="81">
        <f>'Player Stats'!H36</f>
        <v>0</v>
      </c>
      <c r="Q35" s="81">
        <f>'Player Stats'!I36</f>
        <v>0</v>
      </c>
      <c r="R35" s="81">
        <f>'Player Stats'!J36</f>
        <v>0</v>
      </c>
      <c r="S35" s="81">
        <f>'Player Stats'!K36</f>
        <v>0</v>
      </c>
      <c r="T35" s="81">
        <f>'Player Stats'!L36</f>
        <v>0</v>
      </c>
      <c r="U35" s="81">
        <f>'Player Stats'!M36</f>
        <v>0</v>
      </c>
      <c r="W35" s="109"/>
      <c r="X35" s="109"/>
      <c r="Y35" s="84" t="str">
        <f>'Team Info'!$B$20&amp;": "&amp;O35&amp;""</f>
        <v>Last Season: 0</v>
      </c>
      <c r="Z35" s="84" t="str">
        <f>'Team Info'!$B$20&amp;": "&amp;N35&amp;""</f>
        <v>Last Season: 0</v>
      </c>
      <c r="AB35" s="83" t="str">
        <f t="shared" si="0"/>
        <v>0 PPG</v>
      </c>
      <c r="AC35" s="83" t="str">
        <f t="shared" si="1"/>
        <v>0 FG</v>
      </c>
      <c r="AD35" s="83" t="str">
        <f t="shared" si="2"/>
        <v>0 3-PT FG</v>
      </c>
      <c r="AE35" s="83" t="str">
        <f t="shared" si="3"/>
        <v>0 FT</v>
      </c>
      <c r="AF35" s="83" t="str">
        <f t="shared" si="4"/>
        <v>0 RPG</v>
      </c>
      <c r="AG35" s="83" t="str">
        <f t="shared" si="5"/>
        <v>0 APG</v>
      </c>
      <c r="AH35" s="83" t="str">
        <f t="shared" si="6"/>
        <v>0 BPG</v>
      </c>
      <c r="AI35" s="83" t="str">
        <f t="shared" si="7"/>
        <v>0 SPG</v>
      </c>
      <c r="AJ35" s="83" t="str">
        <f t="shared" si="8"/>
        <v>0 MPG</v>
      </c>
    </row>
    <row r="36" spans="1:36" x14ac:dyDescent="0.25">
      <c r="A36" s="40">
        <v>35</v>
      </c>
      <c r="B36" s="40">
        <v>35</v>
      </c>
      <c r="C36" s="78" t="str">
        <f>Roster!$T38</f>
        <v xml:space="preserve"> </v>
      </c>
      <c r="D36" s="10"/>
      <c r="E36" s="85"/>
      <c r="F36" s="10"/>
      <c r="G36" s="85"/>
      <c r="H36" s="10"/>
      <c r="I36" s="85"/>
      <c r="J36" s="86"/>
      <c r="K36" s="79"/>
      <c r="L36" s="81">
        <f>'Player Stats'!D37</f>
        <v>0</v>
      </c>
      <c r="M36" s="81">
        <f>'Player Stats'!E37</f>
        <v>0</v>
      </c>
      <c r="N36" s="81">
        <f>'Player Stats'!F37</f>
        <v>0</v>
      </c>
      <c r="O36" s="81">
        <f>'Player Stats'!G37</f>
        <v>0</v>
      </c>
      <c r="P36" s="81">
        <f>'Player Stats'!H37</f>
        <v>0</v>
      </c>
      <c r="Q36" s="81">
        <f>'Player Stats'!I37</f>
        <v>0</v>
      </c>
      <c r="R36" s="81">
        <f>'Player Stats'!J37</f>
        <v>0</v>
      </c>
      <c r="S36" s="81">
        <f>'Player Stats'!K37</f>
        <v>0</v>
      </c>
      <c r="T36" s="81">
        <f>'Player Stats'!L37</f>
        <v>0</v>
      </c>
      <c r="U36" s="81">
        <f>'Player Stats'!M37</f>
        <v>0</v>
      </c>
      <c r="W36" s="109"/>
      <c r="X36" s="109"/>
      <c r="Y36" s="84" t="str">
        <f>'Team Info'!$B$20&amp;": "&amp;O36&amp;""</f>
        <v>Last Season: 0</v>
      </c>
      <c r="Z36" s="84" t="str">
        <f>'Team Info'!$B$20&amp;": "&amp;N36&amp;""</f>
        <v>Last Season: 0</v>
      </c>
      <c r="AB36" s="83" t="str">
        <f t="shared" si="0"/>
        <v>0 PPG</v>
      </c>
      <c r="AC36" s="83" t="str">
        <f t="shared" si="1"/>
        <v>0 FG</v>
      </c>
      <c r="AD36" s="83" t="str">
        <f t="shared" si="2"/>
        <v>0 3-PT FG</v>
      </c>
      <c r="AE36" s="83" t="str">
        <f t="shared" si="3"/>
        <v>0 FT</v>
      </c>
      <c r="AF36" s="83" t="str">
        <f t="shared" si="4"/>
        <v>0 RPG</v>
      </c>
      <c r="AG36" s="83" t="str">
        <f t="shared" si="5"/>
        <v>0 APG</v>
      </c>
      <c r="AH36" s="83" t="str">
        <f t="shared" si="6"/>
        <v>0 BPG</v>
      </c>
      <c r="AI36" s="83" t="str">
        <f t="shared" si="7"/>
        <v>0 SPG</v>
      </c>
      <c r="AJ36" s="83" t="str">
        <f t="shared" si="8"/>
        <v>0 MPG</v>
      </c>
    </row>
    <row r="37" spans="1:36" x14ac:dyDescent="0.25">
      <c r="A37" s="40">
        <v>36</v>
      </c>
      <c r="B37" s="40">
        <v>36</v>
      </c>
      <c r="C37" s="78" t="str">
        <f>Roster!$T39</f>
        <v xml:space="preserve"> </v>
      </c>
      <c r="D37" s="10"/>
      <c r="E37" s="85"/>
      <c r="F37" s="10"/>
      <c r="G37" s="85"/>
      <c r="H37" s="10"/>
      <c r="I37" s="85"/>
      <c r="J37" s="86"/>
      <c r="K37" s="79"/>
      <c r="L37" s="81">
        <f>'Player Stats'!D38</f>
        <v>0</v>
      </c>
      <c r="M37" s="81">
        <f>'Player Stats'!E38</f>
        <v>0</v>
      </c>
      <c r="N37" s="81">
        <f>'Player Stats'!F38</f>
        <v>0</v>
      </c>
      <c r="O37" s="81">
        <f>'Player Stats'!G38</f>
        <v>0</v>
      </c>
      <c r="P37" s="81">
        <f>'Player Stats'!H38</f>
        <v>0</v>
      </c>
      <c r="Q37" s="81">
        <f>'Player Stats'!I38</f>
        <v>0</v>
      </c>
      <c r="R37" s="81">
        <f>'Player Stats'!J38</f>
        <v>0</v>
      </c>
      <c r="S37" s="81">
        <f>'Player Stats'!K38</f>
        <v>0</v>
      </c>
      <c r="T37" s="81">
        <f>'Player Stats'!L38</f>
        <v>0</v>
      </c>
      <c r="U37" s="81">
        <f>'Player Stats'!M38</f>
        <v>0</v>
      </c>
      <c r="W37" s="109"/>
      <c r="X37" s="109"/>
      <c r="Y37" s="84" t="str">
        <f>'Team Info'!$B$20&amp;": "&amp;O37&amp;""</f>
        <v>Last Season: 0</v>
      </c>
      <c r="Z37" s="84" t="str">
        <f>'Team Info'!$B$20&amp;": "&amp;N37&amp;""</f>
        <v>Last Season: 0</v>
      </c>
      <c r="AB37" s="83" t="str">
        <f t="shared" si="0"/>
        <v>0 PPG</v>
      </c>
      <c r="AC37" s="83" t="str">
        <f t="shared" si="1"/>
        <v>0 FG</v>
      </c>
      <c r="AD37" s="83" t="str">
        <f t="shared" si="2"/>
        <v>0 3-PT FG</v>
      </c>
      <c r="AE37" s="83" t="str">
        <f t="shared" si="3"/>
        <v>0 FT</v>
      </c>
      <c r="AF37" s="83" t="str">
        <f t="shared" si="4"/>
        <v>0 RPG</v>
      </c>
      <c r="AG37" s="83" t="str">
        <f t="shared" si="5"/>
        <v>0 APG</v>
      </c>
      <c r="AH37" s="83" t="str">
        <f t="shared" si="6"/>
        <v>0 BPG</v>
      </c>
      <c r="AI37" s="83" t="str">
        <f t="shared" si="7"/>
        <v>0 SPG</v>
      </c>
      <c r="AJ37" s="83" t="str">
        <f t="shared" si="8"/>
        <v>0 MPG</v>
      </c>
    </row>
    <row r="38" spans="1:36" x14ac:dyDescent="0.25">
      <c r="A38" s="40">
        <v>37</v>
      </c>
      <c r="B38" s="40">
        <v>37</v>
      </c>
      <c r="C38" s="78" t="str">
        <f>Roster!$T40</f>
        <v xml:space="preserve"> </v>
      </c>
      <c r="D38" s="10"/>
      <c r="E38" s="85"/>
      <c r="F38" s="10"/>
      <c r="G38" s="85"/>
      <c r="H38" s="10"/>
      <c r="I38" s="85"/>
      <c r="J38" s="86"/>
      <c r="K38" s="79"/>
      <c r="L38" s="81">
        <f>'Player Stats'!D39</f>
        <v>0</v>
      </c>
      <c r="M38" s="81">
        <f>'Player Stats'!E39</f>
        <v>0</v>
      </c>
      <c r="N38" s="81">
        <f>'Player Stats'!F39</f>
        <v>0</v>
      </c>
      <c r="O38" s="81">
        <f>'Player Stats'!G39</f>
        <v>0</v>
      </c>
      <c r="P38" s="81">
        <f>'Player Stats'!H39</f>
        <v>0</v>
      </c>
      <c r="Q38" s="81">
        <f>'Player Stats'!I39</f>
        <v>0</v>
      </c>
      <c r="R38" s="81">
        <f>'Player Stats'!J39</f>
        <v>0</v>
      </c>
      <c r="S38" s="81">
        <f>'Player Stats'!K39</f>
        <v>0</v>
      </c>
      <c r="T38" s="81">
        <f>'Player Stats'!L39</f>
        <v>0</v>
      </c>
      <c r="U38" s="81">
        <f>'Player Stats'!M39</f>
        <v>0</v>
      </c>
      <c r="W38" s="109"/>
      <c r="X38" s="109"/>
      <c r="Y38" s="84" t="str">
        <f>'Team Info'!$B$20&amp;": "&amp;O38&amp;""</f>
        <v>Last Season: 0</v>
      </c>
      <c r="Z38" s="84" t="str">
        <f>'Team Info'!$B$20&amp;": "&amp;N38&amp;""</f>
        <v>Last Season: 0</v>
      </c>
      <c r="AB38" s="83" t="str">
        <f t="shared" si="0"/>
        <v>0 PPG</v>
      </c>
      <c r="AC38" s="83" t="str">
        <f t="shared" si="1"/>
        <v>0 FG</v>
      </c>
      <c r="AD38" s="83" t="str">
        <f t="shared" si="2"/>
        <v>0 3-PT FG</v>
      </c>
      <c r="AE38" s="83" t="str">
        <f t="shared" si="3"/>
        <v>0 FT</v>
      </c>
      <c r="AF38" s="83" t="str">
        <f t="shared" si="4"/>
        <v>0 RPG</v>
      </c>
      <c r="AG38" s="83" t="str">
        <f t="shared" si="5"/>
        <v>0 APG</v>
      </c>
      <c r="AH38" s="83" t="str">
        <f t="shared" si="6"/>
        <v>0 BPG</v>
      </c>
      <c r="AI38" s="83" t="str">
        <f t="shared" si="7"/>
        <v>0 SPG</v>
      </c>
      <c r="AJ38" s="83" t="str">
        <f t="shared" si="8"/>
        <v>0 MPG</v>
      </c>
    </row>
    <row r="39" spans="1:36" x14ac:dyDescent="0.25">
      <c r="A39" s="40">
        <v>38</v>
      </c>
      <c r="B39" s="40">
        <v>38</v>
      </c>
      <c r="C39" s="78" t="str">
        <f>Roster!$T41</f>
        <v xml:space="preserve"> </v>
      </c>
      <c r="D39" s="10"/>
      <c r="E39" s="85"/>
      <c r="F39" s="10"/>
      <c r="G39" s="85"/>
      <c r="H39" s="10"/>
      <c r="I39" s="85"/>
      <c r="J39" s="86"/>
      <c r="K39" s="79"/>
      <c r="L39" s="81">
        <f>'Player Stats'!D40</f>
        <v>0</v>
      </c>
      <c r="M39" s="81">
        <f>'Player Stats'!E40</f>
        <v>0</v>
      </c>
      <c r="N39" s="81">
        <f>'Player Stats'!F40</f>
        <v>0</v>
      </c>
      <c r="O39" s="81">
        <f>'Player Stats'!G40</f>
        <v>0</v>
      </c>
      <c r="P39" s="81">
        <f>'Player Stats'!H40</f>
        <v>0</v>
      </c>
      <c r="Q39" s="81">
        <f>'Player Stats'!I40</f>
        <v>0</v>
      </c>
      <c r="R39" s="81">
        <f>'Player Stats'!J40</f>
        <v>0</v>
      </c>
      <c r="S39" s="81">
        <f>'Player Stats'!K40</f>
        <v>0</v>
      </c>
      <c r="T39" s="81">
        <f>'Player Stats'!L40</f>
        <v>0</v>
      </c>
      <c r="U39" s="81">
        <f>'Player Stats'!M40</f>
        <v>0</v>
      </c>
      <c r="W39" s="109"/>
      <c r="X39" s="109"/>
      <c r="Y39" s="84" t="str">
        <f>'Team Info'!$B$20&amp;": "&amp;O39&amp;""</f>
        <v>Last Season: 0</v>
      </c>
      <c r="Z39" s="84" t="str">
        <f>'Team Info'!$B$20&amp;": "&amp;N39&amp;""</f>
        <v>Last Season: 0</v>
      </c>
      <c r="AB39" s="83" t="str">
        <f t="shared" si="0"/>
        <v>0 PPG</v>
      </c>
      <c r="AC39" s="83" t="str">
        <f t="shared" si="1"/>
        <v>0 FG</v>
      </c>
      <c r="AD39" s="83" t="str">
        <f t="shared" si="2"/>
        <v>0 3-PT FG</v>
      </c>
      <c r="AE39" s="83" t="str">
        <f t="shared" si="3"/>
        <v>0 FT</v>
      </c>
      <c r="AF39" s="83" t="str">
        <f t="shared" si="4"/>
        <v>0 RPG</v>
      </c>
      <c r="AG39" s="83" t="str">
        <f t="shared" si="5"/>
        <v>0 APG</v>
      </c>
      <c r="AH39" s="83" t="str">
        <f t="shared" si="6"/>
        <v>0 BPG</v>
      </c>
      <c r="AI39" s="83" t="str">
        <f t="shared" si="7"/>
        <v>0 SPG</v>
      </c>
      <c r="AJ39" s="83" t="str">
        <f t="shared" si="8"/>
        <v>0 MPG</v>
      </c>
    </row>
    <row r="40" spans="1:36" x14ac:dyDescent="0.25">
      <c r="A40" s="40">
        <v>39</v>
      </c>
      <c r="B40" s="40">
        <v>39</v>
      </c>
      <c r="C40" s="78" t="str">
        <f>Roster!$T42</f>
        <v xml:space="preserve"> </v>
      </c>
      <c r="D40" s="10"/>
      <c r="E40" s="85"/>
      <c r="F40" s="10"/>
      <c r="G40" s="85"/>
      <c r="H40" s="10"/>
      <c r="I40" s="85"/>
      <c r="J40" s="86"/>
      <c r="K40" s="79"/>
      <c r="L40" s="81">
        <f>'Player Stats'!D41</f>
        <v>0</v>
      </c>
      <c r="M40" s="81">
        <f>'Player Stats'!E41</f>
        <v>0</v>
      </c>
      <c r="N40" s="81">
        <f>'Player Stats'!F41</f>
        <v>0</v>
      </c>
      <c r="O40" s="81">
        <f>'Player Stats'!G41</f>
        <v>0</v>
      </c>
      <c r="P40" s="81">
        <f>'Player Stats'!H41</f>
        <v>0</v>
      </c>
      <c r="Q40" s="81">
        <f>'Player Stats'!I41</f>
        <v>0</v>
      </c>
      <c r="R40" s="81">
        <f>'Player Stats'!J41</f>
        <v>0</v>
      </c>
      <c r="S40" s="81">
        <f>'Player Stats'!K41</f>
        <v>0</v>
      </c>
      <c r="T40" s="81">
        <f>'Player Stats'!L41</f>
        <v>0</v>
      </c>
      <c r="U40" s="81">
        <f>'Player Stats'!M41</f>
        <v>0</v>
      </c>
      <c r="W40" s="109"/>
      <c r="X40" s="109"/>
      <c r="Y40" s="84" t="str">
        <f>'Team Info'!$B$20&amp;": "&amp;O40&amp;""</f>
        <v>Last Season: 0</v>
      </c>
      <c r="Z40" s="84" t="str">
        <f>'Team Info'!$B$20&amp;": "&amp;N40&amp;""</f>
        <v>Last Season: 0</v>
      </c>
      <c r="AB40" s="83" t="str">
        <f t="shared" si="0"/>
        <v>0 PPG</v>
      </c>
      <c r="AC40" s="83" t="str">
        <f t="shared" si="1"/>
        <v>0 FG</v>
      </c>
      <c r="AD40" s="83" t="str">
        <f t="shared" si="2"/>
        <v>0 3-PT FG</v>
      </c>
      <c r="AE40" s="83" t="str">
        <f t="shared" si="3"/>
        <v>0 FT</v>
      </c>
      <c r="AF40" s="83" t="str">
        <f t="shared" si="4"/>
        <v>0 RPG</v>
      </c>
      <c r="AG40" s="83" t="str">
        <f t="shared" si="5"/>
        <v>0 APG</v>
      </c>
      <c r="AH40" s="83" t="str">
        <f t="shared" si="6"/>
        <v>0 BPG</v>
      </c>
      <c r="AI40" s="83" t="str">
        <f t="shared" si="7"/>
        <v>0 SPG</v>
      </c>
      <c r="AJ40" s="83" t="str">
        <f t="shared" si="8"/>
        <v>0 MPG</v>
      </c>
    </row>
    <row r="41" spans="1:36" x14ac:dyDescent="0.25">
      <c r="A41" s="40">
        <v>40</v>
      </c>
      <c r="B41" s="40">
        <v>40</v>
      </c>
      <c r="C41" s="78" t="str">
        <f>Roster!$T43</f>
        <v xml:space="preserve"> </v>
      </c>
      <c r="D41" s="10"/>
      <c r="E41" s="85"/>
      <c r="F41" s="10"/>
      <c r="G41" s="85"/>
      <c r="H41" s="10"/>
      <c r="I41" s="85"/>
      <c r="J41" s="86"/>
      <c r="K41" s="79"/>
      <c r="L41" s="81">
        <f>'Player Stats'!D42</f>
        <v>0</v>
      </c>
      <c r="M41" s="81">
        <f>'Player Stats'!E42</f>
        <v>0</v>
      </c>
      <c r="N41" s="81">
        <f>'Player Stats'!F42</f>
        <v>0</v>
      </c>
      <c r="O41" s="81">
        <f>'Player Stats'!G42</f>
        <v>0</v>
      </c>
      <c r="P41" s="81">
        <f>'Player Stats'!H42</f>
        <v>0</v>
      </c>
      <c r="Q41" s="81">
        <f>'Player Stats'!I42</f>
        <v>0</v>
      </c>
      <c r="R41" s="81">
        <f>'Player Stats'!J42</f>
        <v>0</v>
      </c>
      <c r="S41" s="81">
        <f>'Player Stats'!K42</f>
        <v>0</v>
      </c>
      <c r="T41" s="81">
        <f>'Player Stats'!L42</f>
        <v>0</v>
      </c>
      <c r="U41" s="81">
        <f>'Player Stats'!M42</f>
        <v>0</v>
      </c>
      <c r="W41" s="109"/>
      <c r="X41" s="109"/>
      <c r="Y41" s="84" t="str">
        <f>'Team Info'!$B$20&amp;": "&amp;O41&amp;""</f>
        <v>Last Season: 0</v>
      </c>
      <c r="Z41" s="84" t="str">
        <f>'Team Info'!$B$20&amp;": "&amp;N41&amp;""</f>
        <v>Last Season: 0</v>
      </c>
      <c r="AB41" s="83" t="str">
        <f t="shared" si="0"/>
        <v>0 PPG</v>
      </c>
      <c r="AC41" s="83" t="str">
        <f t="shared" si="1"/>
        <v>0 FG</v>
      </c>
      <c r="AD41" s="83" t="str">
        <f t="shared" si="2"/>
        <v>0 3-PT FG</v>
      </c>
      <c r="AE41" s="83" t="str">
        <f t="shared" si="3"/>
        <v>0 FT</v>
      </c>
      <c r="AF41" s="83" t="str">
        <f t="shared" si="4"/>
        <v>0 RPG</v>
      </c>
      <c r="AG41" s="83" t="str">
        <f t="shared" si="5"/>
        <v>0 APG</v>
      </c>
      <c r="AH41" s="83" t="str">
        <f t="shared" si="6"/>
        <v>0 BPG</v>
      </c>
      <c r="AI41" s="83" t="str">
        <f t="shared" si="7"/>
        <v>0 SPG</v>
      </c>
      <c r="AJ41" s="83" t="str">
        <f t="shared" si="8"/>
        <v>0 MPG</v>
      </c>
    </row>
    <row r="42" spans="1:36" x14ac:dyDescent="0.25">
      <c r="A42" s="40">
        <v>41</v>
      </c>
      <c r="B42" s="40">
        <v>41</v>
      </c>
      <c r="C42" s="78" t="str">
        <f>Roster!$T44</f>
        <v xml:space="preserve"> </v>
      </c>
      <c r="D42" s="10"/>
      <c r="E42" s="85"/>
      <c r="F42" s="10"/>
      <c r="G42" s="85"/>
      <c r="H42" s="10"/>
      <c r="I42" s="85"/>
      <c r="J42" s="86"/>
      <c r="K42" s="79"/>
      <c r="L42" s="81">
        <f>'Player Stats'!D43</f>
        <v>0</v>
      </c>
      <c r="M42" s="81">
        <f>'Player Stats'!E43</f>
        <v>0</v>
      </c>
      <c r="N42" s="81">
        <f>'Player Stats'!F43</f>
        <v>0</v>
      </c>
      <c r="O42" s="81">
        <f>'Player Stats'!G43</f>
        <v>0</v>
      </c>
      <c r="P42" s="81">
        <f>'Player Stats'!H43</f>
        <v>0</v>
      </c>
      <c r="Q42" s="81">
        <f>'Player Stats'!I43</f>
        <v>0</v>
      </c>
      <c r="R42" s="81">
        <f>'Player Stats'!J43</f>
        <v>0</v>
      </c>
      <c r="S42" s="81">
        <f>'Player Stats'!K43</f>
        <v>0</v>
      </c>
      <c r="T42" s="81">
        <f>'Player Stats'!L43</f>
        <v>0</v>
      </c>
      <c r="U42" s="81">
        <f>'Player Stats'!M43</f>
        <v>0</v>
      </c>
      <c r="W42" s="109"/>
      <c r="X42" s="109"/>
      <c r="Y42" s="84" t="str">
        <f>'Team Info'!$B$20&amp;": "&amp;O42&amp;""</f>
        <v>Last Season: 0</v>
      </c>
      <c r="Z42" s="84" t="str">
        <f>'Team Info'!$B$20&amp;": "&amp;N42&amp;""</f>
        <v>Last Season: 0</v>
      </c>
      <c r="AB42" s="83" t="str">
        <f t="shared" si="0"/>
        <v>0 PPG</v>
      </c>
      <c r="AC42" s="83" t="str">
        <f t="shared" si="1"/>
        <v>0 FG</v>
      </c>
      <c r="AD42" s="83" t="str">
        <f t="shared" si="2"/>
        <v>0 3-PT FG</v>
      </c>
      <c r="AE42" s="83" t="str">
        <f t="shared" si="3"/>
        <v>0 FT</v>
      </c>
      <c r="AF42" s="83" t="str">
        <f t="shared" si="4"/>
        <v>0 RPG</v>
      </c>
      <c r="AG42" s="83" t="str">
        <f t="shared" si="5"/>
        <v>0 APG</v>
      </c>
      <c r="AH42" s="83" t="str">
        <f t="shared" si="6"/>
        <v>0 BPG</v>
      </c>
      <c r="AI42" s="83" t="str">
        <f t="shared" si="7"/>
        <v>0 SPG</v>
      </c>
      <c r="AJ42" s="83" t="str">
        <f t="shared" si="8"/>
        <v>0 MPG</v>
      </c>
    </row>
    <row r="43" spans="1:36" x14ac:dyDescent="0.25">
      <c r="A43" s="40">
        <v>42</v>
      </c>
      <c r="B43" s="40">
        <v>42</v>
      </c>
      <c r="C43" s="78" t="str">
        <f>Roster!$T45</f>
        <v xml:space="preserve"> </v>
      </c>
      <c r="D43" s="10"/>
      <c r="E43" s="85"/>
      <c r="F43" s="10"/>
      <c r="G43" s="85"/>
      <c r="H43" s="10"/>
      <c r="I43" s="85"/>
      <c r="J43" s="86"/>
      <c r="K43" s="79"/>
      <c r="L43" s="81">
        <f>'Player Stats'!D44</f>
        <v>0</v>
      </c>
      <c r="M43" s="81">
        <f>'Player Stats'!E44</f>
        <v>0</v>
      </c>
      <c r="N43" s="81">
        <f>'Player Stats'!F44</f>
        <v>0</v>
      </c>
      <c r="O43" s="81">
        <f>'Player Stats'!G44</f>
        <v>0</v>
      </c>
      <c r="P43" s="81">
        <f>'Player Stats'!H44</f>
        <v>0</v>
      </c>
      <c r="Q43" s="81">
        <f>'Player Stats'!I44</f>
        <v>0</v>
      </c>
      <c r="R43" s="81">
        <f>'Player Stats'!J44</f>
        <v>0</v>
      </c>
      <c r="S43" s="81">
        <f>'Player Stats'!K44</f>
        <v>0</v>
      </c>
      <c r="T43" s="81">
        <f>'Player Stats'!L44</f>
        <v>0</v>
      </c>
      <c r="U43" s="81">
        <f>'Player Stats'!M44</f>
        <v>0</v>
      </c>
      <c r="W43" s="109"/>
      <c r="X43" s="109"/>
      <c r="Y43" s="84" t="str">
        <f>'Team Info'!$B$20&amp;": "&amp;O43&amp;""</f>
        <v>Last Season: 0</v>
      </c>
      <c r="Z43" s="84" t="str">
        <f>'Team Info'!$B$20&amp;": "&amp;N43&amp;""</f>
        <v>Last Season: 0</v>
      </c>
      <c r="AB43" s="83" t="str">
        <f t="shared" si="0"/>
        <v>0 PPG</v>
      </c>
      <c r="AC43" s="83" t="str">
        <f t="shared" si="1"/>
        <v>0 FG</v>
      </c>
      <c r="AD43" s="83" t="str">
        <f t="shared" si="2"/>
        <v>0 3-PT FG</v>
      </c>
      <c r="AE43" s="83" t="str">
        <f t="shared" si="3"/>
        <v>0 FT</v>
      </c>
      <c r="AF43" s="83" t="str">
        <f t="shared" si="4"/>
        <v>0 RPG</v>
      </c>
      <c r="AG43" s="83" t="str">
        <f t="shared" si="5"/>
        <v>0 APG</v>
      </c>
      <c r="AH43" s="83" t="str">
        <f t="shared" si="6"/>
        <v>0 BPG</v>
      </c>
      <c r="AI43" s="83" t="str">
        <f t="shared" si="7"/>
        <v>0 SPG</v>
      </c>
      <c r="AJ43" s="83" t="str">
        <f t="shared" si="8"/>
        <v>0 MPG</v>
      </c>
    </row>
    <row r="44" spans="1:36" x14ac:dyDescent="0.25">
      <c r="A44" s="40">
        <v>43</v>
      </c>
      <c r="B44" s="40">
        <v>43</v>
      </c>
      <c r="C44" s="78" t="str">
        <f>Roster!$T46</f>
        <v xml:space="preserve"> </v>
      </c>
      <c r="D44" s="10"/>
      <c r="E44" s="85"/>
      <c r="F44" s="10"/>
      <c r="G44" s="85"/>
      <c r="H44" s="10"/>
      <c r="I44" s="85"/>
      <c r="J44" s="86"/>
      <c r="K44" s="79"/>
      <c r="L44" s="81">
        <f>'Player Stats'!D45</f>
        <v>0</v>
      </c>
      <c r="M44" s="81">
        <f>'Player Stats'!E45</f>
        <v>0</v>
      </c>
      <c r="N44" s="81">
        <f>'Player Stats'!F45</f>
        <v>0</v>
      </c>
      <c r="O44" s="81">
        <f>'Player Stats'!G45</f>
        <v>0</v>
      </c>
      <c r="P44" s="81">
        <f>'Player Stats'!H45</f>
        <v>0</v>
      </c>
      <c r="Q44" s="81">
        <f>'Player Stats'!I45</f>
        <v>0</v>
      </c>
      <c r="R44" s="81">
        <f>'Player Stats'!J45</f>
        <v>0</v>
      </c>
      <c r="S44" s="81">
        <f>'Player Stats'!K45</f>
        <v>0</v>
      </c>
      <c r="T44" s="81">
        <f>'Player Stats'!L45</f>
        <v>0</v>
      </c>
      <c r="U44" s="81">
        <f>'Player Stats'!M45</f>
        <v>0</v>
      </c>
      <c r="W44" s="109"/>
      <c r="X44" s="109"/>
      <c r="Y44" s="84" t="str">
        <f>'Team Info'!$B$20&amp;": "&amp;O44&amp;""</f>
        <v>Last Season: 0</v>
      </c>
      <c r="Z44" s="84" t="str">
        <f>'Team Info'!$B$20&amp;": "&amp;N44&amp;""</f>
        <v>Last Season: 0</v>
      </c>
      <c r="AB44" s="83" t="str">
        <f t="shared" si="0"/>
        <v>0 PPG</v>
      </c>
      <c r="AC44" s="83" t="str">
        <f t="shared" si="1"/>
        <v>0 FG</v>
      </c>
      <c r="AD44" s="83" t="str">
        <f t="shared" si="2"/>
        <v>0 3-PT FG</v>
      </c>
      <c r="AE44" s="83" t="str">
        <f t="shared" si="3"/>
        <v>0 FT</v>
      </c>
      <c r="AF44" s="83" t="str">
        <f t="shared" si="4"/>
        <v>0 RPG</v>
      </c>
      <c r="AG44" s="83" t="str">
        <f t="shared" si="5"/>
        <v>0 APG</v>
      </c>
      <c r="AH44" s="83" t="str">
        <f t="shared" si="6"/>
        <v>0 BPG</v>
      </c>
      <c r="AI44" s="83" t="str">
        <f t="shared" si="7"/>
        <v>0 SPG</v>
      </c>
      <c r="AJ44" s="83" t="str">
        <f t="shared" si="8"/>
        <v>0 MPG</v>
      </c>
    </row>
    <row r="45" spans="1:36" x14ac:dyDescent="0.25">
      <c r="A45" s="40">
        <v>44</v>
      </c>
      <c r="B45" s="40">
        <v>44</v>
      </c>
      <c r="C45" s="78" t="str">
        <f>Roster!$T47</f>
        <v xml:space="preserve"> </v>
      </c>
      <c r="D45" s="10"/>
      <c r="E45" s="85"/>
      <c r="F45" s="10"/>
      <c r="G45" s="85"/>
      <c r="H45" s="10"/>
      <c r="I45" s="85"/>
      <c r="J45" s="86"/>
      <c r="K45" s="79"/>
      <c r="L45" s="81">
        <f>'Player Stats'!D46</f>
        <v>0</v>
      </c>
      <c r="M45" s="81">
        <f>'Player Stats'!E46</f>
        <v>0</v>
      </c>
      <c r="N45" s="81">
        <f>'Player Stats'!F46</f>
        <v>0</v>
      </c>
      <c r="O45" s="81">
        <f>'Player Stats'!G46</f>
        <v>0</v>
      </c>
      <c r="P45" s="81">
        <f>'Player Stats'!H46</f>
        <v>0</v>
      </c>
      <c r="Q45" s="81">
        <f>'Player Stats'!I46</f>
        <v>0</v>
      </c>
      <c r="R45" s="81">
        <f>'Player Stats'!J46</f>
        <v>0</v>
      </c>
      <c r="S45" s="81">
        <f>'Player Stats'!K46</f>
        <v>0</v>
      </c>
      <c r="T45" s="81">
        <f>'Player Stats'!L46</f>
        <v>0</v>
      </c>
      <c r="U45" s="81">
        <f>'Player Stats'!M46</f>
        <v>0</v>
      </c>
      <c r="W45" s="109"/>
      <c r="X45" s="109"/>
      <c r="Y45" s="84" t="str">
        <f>'Team Info'!$B$20&amp;": "&amp;O45&amp;""</f>
        <v>Last Season: 0</v>
      </c>
      <c r="Z45" s="84" t="str">
        <f>'Team Info'!$B$20&amp;": "&amp;N45&amp;""</f>
        <v>Last Season: 0</v>
      </c>
      <c r="AB45" s="83" t="str">
        <f t="shared" si="0"/>
        <v>0 PPG</v>
      </c>
      <c r="AC45" s="83" t="str">
        <f t="shared" si="1"/>
        <v>0 FG</v>
      </c>
      <c r="AD45" s="83" t="str">
        <f t="shared" si="2"/>
        <v>0 3-PT FG</v>
      </c>
      <c r="AE45" s="83" t="str">
        <f t="shared" si="3"/>
        <v>0 FT</v>
      </c>
      <c r="AF45" s="83" t="str">
        <f t="shared" si="4"/>
        <v>0 RPG</v>
      </c>
      <c r="AG45" s="83" t="str">
        <f t="shared" si="5"/>
        <v>0 APG</v>
      </c>
      <c r="AH45" s="83" t="str">
        <f t="shared" si="6"/>
        <v>0 BPG</v>
      </c>
      <c r="AI45" s="83" t="str">
        <f t="shared" si="7"/>
        <v>0 SPG</v>
      </c>
      <c r="AJ45" s="83" t="str">
        <f t="shared" si="8"/>
        <v>0 MPG</v>
      </c>
    </row>
    <row r="46" spans="1:36" x14ac:dyDescent="0.25">
      <c r="A46" s="40">
        <v>45</v>
      </c>
      <c r="B46" s="40">
        <v>45</v>
      </c>
      <c r="C46" s="78" t="str">
        <f>Roster!$T48</f>
        <v xml:space="preserve"> </v>
      </c>
      <c r="D46" s="10"/>
      <c r="E46" s="85"/>
      <c r="F46" s="10"/>
      <c r="G46" s="85"/>
      <c r="H46" s="10"/>
      <c r="I46" s="85"/>
      <c r="J46" s="86"/>
      <c r="K46" s="79"/>
      <c r="L46" s="81">
        <f>'Player Stats'!D47</f>
        <v>0</v>
      </c>
      <c r="M46" s="81">
        <f>'Player Stats'!E47</f>
        <v>0</v>
      </c>
      <c r="N46" s="81">
        <f>'Player Stats'!F47</f>
        <v>0</v>
      </c>
      <c r="O46" s="81">
        <f>'Player Stats'!G47</f>
        <v>0</v>
      </c>
      <c r="P46" s="81">
        <f>'Player Stats'!H47</f>
        <v>0</v>
      </c>
      <c r="Q46" s="81">
        <f>'Player Stats'!I47</f>
        <v>0</v>
      </c>
      <c r="R46" s="81">
        <f>'Player Stats'!J47</f>
        <v>0</v>
      </c>
      <c r="S46" s="81">
        <f>'Player Stats'!K47</f>
        <v>0</v>
      </c>
      <c r="T46" s="81">
        <f>'Player Stats'!L47</f>
        <v>0</v>
      </c>
      <c r="U46" s="81">
        <f>'Player Stats'!M47</f>
        <v>0</v>
      </c>
      <c r="W46" s="109"/>
      <c r="X46" s="109"/>
      <c r="Y46" s="84" t="str">
        <f>'Team Info'!$B$20&amp;": "&amp;O46&amp;""</f>
        <v>Last Season: 0</v>
      </c>
      <c r="Z46" s="84" t="str">
        <f>'Team Info'!$B$20&amp;": "&amp;N46&amp;""</f>
        <v>Last Season: 0</v>
      </c>
      <c r="AB46" s="83" t="str">
        <f t="shared" si="0"/>
        <v>0 PPG</v>
      </c>
      <c r="AC46" s="83" t="str">
        <f t="shared" si="1"/>
        <v>0 FG</v>
      </c>
      <c r="AD46" s="83" t="str">
        <f t="shared" si="2"/>
        <v>0 3-PT FG</v>
      </c>
      <c r="AE46" s="83" t="str">
        <f t="shared" si="3"/>
        <v>0 FT</v>
      </c>
      <c r="AF46" s="83" t="str">
        <f t="shared" si="4"/>
        <v>0 RPG</v>
      </c>
      <c r="AG46" s="83" t="str">
        <f t="shared" si="5"/>
        <v>0 APG</v>
      </c>
      <c r="AH46" s="83" t="str">
        <f t="shared" si="6"/>
        <v>0 BPG</v>
      </c>
      <c r="AI46" s="83" t="str">
        <f t="shared" si="7"/>
        <v>0 SPG</v>
      </c>
      <c r="AJ46" s="83" t="str">
        <f t="shared" si="8"/>
        <v>0 MPG</v>
      </c>
    </row>
    <row r="47" spans="1:36" x14ac:dyDescent="0.25">
      <c r="A47" s="40">
        <v>46</v>
      </c>
      <c r="B47" s="40">
        <v>46</v>
      </c>
      <c r="C47" s="78" t="str">
        <f>Roster!$T49</f>
        <v xml:space="preserve"> </v>
      </c>
      <c r="D47" s="10"/>
      <c r="E47" s="85"/>
      <c r="F47" s="10"/>
      <c r="G47" s="85"/>
      <c r="H47" s="10"/>
      <c r="I47" s="85"/>
      <c r="J47" s="86"/>
      <c r="K47" s="79"/>
      <c r="L47" s="81">
        <f>'Player Stats'!D48</f>
        <v>0</v>
      </c>
      <c r="M47" s="81">
        <f>'Player Stats'!E48</f>
        <v>0</v>
      </c>
      <c r="N47" s="81">
        <f>'Player Stats'!F48</f>
        <v>0</v>
      </c>
      <c r="O47" s="81">
        <f>'Player Stats'!G48</f>
        <v>0</v>
      </c>
      <c r="P47" s="81">
        <f>'Player Stats'!H48</f>
        <v>0</v>
      </c>
      <c r="Q47" s="81">
        <f>'Player Stats'!I48</f>
        <v>0</v>
      </c>
      <c r="R47" s="81">
        <f>'Player Stats'!J48</f>
        <v>0</v>
      </c>
      <c r="S47" s="81">
        <f>'Player Stats'!K48</f>
        <v>0</v>
      </c>
      <c r="T47" s="81">
        <f>'Player Stats'!L48</f>
        <v>0</v>
      </c>
      <c r="U47" s="81">
        <f>'Player Stats'!M48</f>
        <v>0</v>
      </c>
      <c r="W47" s="109"/>
      <c r="X47" s="109"/>
      <c r="Y47" s="84" t="str">
        <f>'Team Info'!$B$20&amp;": "&amp;O47&amp;""</f>
        <v>Last Season: 0</v>
      </c>
      <c r="Z47" s="84" t="str">
        <f>'Team Info'!$B$20&amp;": "&amp;N47&amp;""</f>
        <v>Last Season: 0</v>
      </c>
      <c r="AB47" s="83" t="str">
        <f t="shared" si="0"/>
        <v>0 PPG</v>
      </c>
      <c r="AC47" s="83" t="str">
        <f t="shared" si="1"/>
        <v>0 FG</v>
      </c>
      <c r="AD47" s="83" t="str">
        <f t="shared" si="2"/>
        <v>0 3-PT FG</v>
      </c>
      <c r="AE47" s="83" t="str">
        <f t="shared" si="3"/>
        <v>0 FT</v>
      </c>
      <c r="AF47" s="83" t="str">
        <f t="shared" si="4"/>
        <v>0 RPG</v>
      </c>
      <c r="AG47" s="83" t="str">
        <f t="shared" si="5"/>
        <v>0 APG</v>
      </c>
      <c r="AH47" s="83" t="str">
        <f t="shared" si="6"/>
        <v>0 BPG</v>
      </c>
      <c r="AI47" s="83" t="str">
        <f t="shared" si="7"/>
        <v>0 SPG</v>
      </c>
      <c r="AJ47" s="83" t="str">
        <f t="shared" si="8"/>
        <v>0 MPG</v>
      </c>
    </row>
    <row r="48" spans="1:36" x14ac:dyDescent="0.25">
      <c r="A48" s="40">
        <v>47</v>
      </c>
      <c r="B48" s="40">
        <v>47</v>
      </c>
      <c r="C48" s="78" t="str">
        <f>Roster!$T50</f>
        <v xml:space="preserve"> </v>
      </c>
      <c r="D48" s="10"/>
      <c r="E48" s="85"/>
      <c r="F48" s="10"/>
      <c r="G48" s="85"/>
      <c r="H48" s="10"/>
      <c r="I48" s="85"/>
      <c r="J48" s="86"/>
      <c r="K48" s="79"/>
      <c r="L48" s="81">
        <f>'Player Stats'!D49</f>
        <v>0</v>
      </c>
      <c r="M48" s="81">
        <f>'Player Stats'!E49</f>
        <v>0</v>
      </c>
      <c r="N48" s="81">
        <f>'Player Stats'!F49</f>
        <v>0</v>
      </c>
      <c r="O48" s="81">
        <f>'Player Stats'!G49</f>
        <v>0</v>
      </c>
      <c r="P48" s="81">
        <f>'Player Stats'!H49</f>
        <v>0</v>
      </c>
      <c r="Q48" s="81">
        <f>'Player Stats'!I49</f>
        <v>0</v>
      </c>
      <c r="R48" s="81">
        <f>'Player Stats'!J49</f>
        <v>0</v>
      </c>
      <c r="S48" s="81">
        <f>'Player Stats'!K49</f>
        <v>0</v>
      </c>
      <c r="T48" s="81">
        <f>'Player Stats'!L49</f>
        <v>0</v>
      </c>
      <c r="U48" s="81">
        <f>'Player Stats'!M49</f>
        <v>0</v>
      </c>
      <c r="W48" s="109"/>
      <c r="X48" s="109"/>
      <c r="Y48" s="84" t="str">
        <f>'Team Info'!$B$20&amp;": "&amp;O48&amp;""</f>
        <v>Last Season: 0</v>
      </c>
      <c r="Z48" s="84" t="str">
        <f>'Team Info'!$B$20&amp;": "&amp;N48&amp;""</f>
        <v>Last Season: 0</v>
      </c>
      <c r="AB48" s="83" t="str">
        <f t="shared" si="0"/>
        <v>0 PPG</v>
      </c>
      <c r="AC48" s="83" t="str">
        <f t="shared" si="1"/>
        <v>0 FG</v>
      </c>
      <c r="AD48" s="83" t="str">
        <f t="shared" si="2"/>
        <v>0 3-PT FG</v>
      </c>
      <c r="AE48" s="83" t="str">
        <f t="shared" si="3"/>
        <v>0 FT</v>
      </c>
      <c r="AF48" s="83" t="str">
        <f t="shared" si="4"/>
        <v>0 RPG</v>
      </c>
      <c r="AG48" s="83" t="str">
        <f t="shared" si="5"/>
        <v>0 APG</v>
      </c>
      <c r="AH48" s="83" t="str">
        <f t="shared" si="6"/>
        <v>0 BPG</v>
      </c>
      <c r="AI48" s="83" t="str">
        <f t="shared" si="7"/>
        <v>0 SPG</v>
      </c>
      <c r="AJ48" s="83" t="str">
        <f t="shared" si="8"/>
        <v>0 MPG</v>
      </c>
    </row>
    <row r="49" spans="1:36" x14ac:dyDescent="0.25">
      <c r="A49" s="40">
        <v>48</v>
      </c>
      <c r="B49" s="40">
        <v>48</v>
      </c>
      <c r="C49" s="78" t="str">
        <f>Roster!$T51</f>
        <v xml:space="preserve"> </v>
      </c>
      <c r="D49" s="10"/>
      <c r="E49" s="85"/>
      <c r="F49" s="10"/>
      <c r="G49" s="85"/>
      <c r="H49" s="10"/>
      <c r="I49" s="85"/>
      <c r="J49" s="86"/>
      <c r="K49" s="79"/>
      <c r="L49" s="81">
        <f>'Player Stats'!D50</f>
        <v>0</v>
      </c>
      <c r="M49" s="81">
        <f>'Player Stats'!E50</f>
        <v>0</v>
      </c>
      <c r="N49" s="81">
        <f>'Player Stats'!F50</f>
        <v>0</v>
      </c>
      <c r="O49" s="81">
        <f>'Player Stats'!G50</f>
        <v>0</v>
      </c>
      <c r="P49" s="81">
        <f>'Player Stats'!H50</f>
        <v>0</v>
      </c>
      <c r="Q49" s="81">
        <f>'Player Stats'!I50</f>
        <v>0</v>
      </c>
      <c r="R49" s="81">
        <f>'Player Stats'!J50</f>
        <v>0</v>
      </c>
      <c r="S49" s="81">
        <f>'Player Stats'!K50</f>
        <v>0</v>
      </c>
      <c r="T49" s="81">
        <f>'Player Stats'!L50</f>
        <v>0</v>
      </c>
      <c r="U49" s="81">
        <f>'Player Stats'!M50</f>
        <v>0</v>
      </c>
      <c r="W49" s="109"/>
      <c r="X49" s="109"/>
      <c r="Y49" s="84" t="str">
        <f>'Team Info'!$B$20&amp;": "&amp;O49&amp;""</f>
        <v>Last Season: 0</v>
      </c>
      <c r="Z49" s="84" t="str">
        <f>'Team Info'!$B$20&amp;": "&amp;N49&amp;""</f>
        <v>Last Season: 0</v>
      </c>
      <c r="AB49" s="83" t="str">
        <f t="shared" si="0"/>
        <v>0 PPG</v>
      </c>
      <c r="AC49" s="83" t="str">
        <f t="shared" si="1"/>
        <v>0 FG</v>
      </c>
      <c r="AD49" s="83" t="str">
        <f t="shared" si="2"/>
        <v>0 3-PT FG</v>
      </c>
      <c r="AE49" s="83" t="str">
        <f t="shared" si="3"/>
        <v>0 FT</v>
      </c>
      <c r="AF49" s="83" t="str">
        <f t="shared" si="4"/>
        <v>0 RPG</v>
      </c>
      <c r="AG49" s="83" t="str">
        <f t="shared" si="5"/>
        <v>0 APG</v>
      </c>
      <c r="AH49" s="83" t="str">
        <f t="shared" si="6"/>
        <v>0 BPG</v>
      </c>
      <c r="AI49" s="83" t="str">
        <f t="shared" si="7"/>
        <v>0 SPG</v>
      </c>
      <c r="AJ49" s="83" t="str">
        <f t="shared" si="8"/>
        <v>0 MPG</v>
      </c>
    </row>
    <row r="50" spans="1:36" x14ac:dyDescent="0.25">
      <c r="A50" s="40">
        <v>49</v>
      </c>
      <c r="B50" s="40">
        <v>49</v>
      </c>
      <c r="C50" s="78" t="str">
        <f>Roster!$T52</f>
        <v xml:space="preserve"> </v>
      </c>
      <c r="D50" s="10"/>
      <c r="E50" s="85"/>
      <c r="F50" s="10"/>
      <c r="G50" s="85"/>
      <c r="H50" s="10"/>
      <c r="I50" s="85"/>
      <c r="J50" s="86"/>
      <c r="K50" s="79"/>
      <c r="L50" s="81">
        <f>'Player Stats'!D51</f>
        <v>0</v>
      </c>
      <c r="M50" s="81">
        <f>'Player Stats'!E51</f>
        <v>0</v>
      </c>
      <c r="N50" s="81">
        <f>'Player Stats'!F51</f>
        <v>0</v>
      </c>
      <c r="O50" s="81">
        <f>'Player Stats'!G51</f>
        <v>0</v>
      </c>
      <c r="P50" s="81">
        <f>'Player Stats'!H51</f>
        <v>0</v>
      </c>
      <c r="Q50" s="81">
        <f>'Player Stats'!I51</f>
        <v>0</v>
      </c>
      <c r="R50" s="81">
        <f>'Player Stats'!J51</f>
        <v>0</v>
      </c>
      <c r="S50" s="81">
        <f>'Player Stats'!K51</f>
        <v>0</v>
      </c>
      <c r="T50" s="81">
        <f>'Player Stats'!L51</f>
        <v>0</v>
      </c>
      <c r="U50" s="81">
        <f>'Player Stats'!M51</f>
        <v>0</v>
      </c>
      <c r="W50" s="109"/>
      <c r="X50" s="109"/>
      <c r="Y50" s="84" t="str">
        <f>'Team Info'!$B$20&amp;": "&amp;O50&amp;""</f>
        <v>Last Season: 0</v>
      </c>
      <c r="Z50" s="84" t="str">
        <f>'Team Info'!$B$20&amp;": "&amp;N50&amp;""</f>
        <v>Last Season: 0</v>
      </c>
      <c r="AB50" s="83" t="str">
        <f t="shared" si="0"/>
        <v>0 PPG</v>
      </c>
      <c r="AC50" s="83" t="str">
        <f t="shared" si="1"/>
        <v>0 FG</v>
      </c>
      <c r="AD50" s="83" t="str">
        <f t="shared" si="2"/>
        <v>0 3-PT FG</v>
      </c>
      <c r="AE50" s="83" t="str">
        <f t="shared" si="3"/>
        <v>0 FT</v>
      </c>
      <c r="AF50" s="83" t="str">
        <f t="shared" si="4"/>
        <v>0 RPG</v>
      </c>
      <c r="AG50" s="83" t="str">
        <f t="shared" si="5"/>
        <v>0 APG</v>
      </c>
      <c r="AH50" s="83" t="str">
        <f t="shared" si="6"/>
        <v>0 BPG</v>
      </c>
      <c r="AI50" s="83" t="str">
        <f t="shared" si="7"/>
        <v>0 SPG</v>
      </c>
      <c r="AJ50" s="83" t="str">
        <f t="shared" si="8"/>
        <v>0 MPG</v>
      </c>
    </row>
    <row r="51" spans="1:36" x14ac:dyDescent="0.25">
      <c r="A51" s="40">
        <v>50</v>
      </c>
      <c r="B51" s="40">
        <v>50</v>
      </c>
      <c r="C51" s="78" t="str">
        <f>Roster!$T53</f>
        <v xml:space="preserve"> </v>
      </c>
      <c r="D51" s="10"/>
      <c r="E51" s="85"/>
      <c r="F51" s="10"/>
      <c r="G51" s="85"/>
      <c r="H51" s="10"/>
      <c r="I51" s="85"/>
      <c r="J51" s="86"/>
      <c r="K51" s="79"/>
      <c r="L51" s="81">
        <f>'Player Stats'!D52</f>
        <v>0</v>
      </c>
      <c r="M51" s="81">
        <f>'Player Stats'!E52</f>
        <v>0</v>
      </c>
      <c r="N51" s="81">
        <f>'Player Stats'!F52</f>
        <v>0</v>
      </c>
      <c r="O51" s="81">
        <f>'Player Stats'!G52</f>
        <v>0</v>
      </c>
      <c r="P51" s="81">
        <f>'Player Stats'!H52</f>
        <v>0</v>
      </c>
      <c r="Q51" s="81">
        <f>'Player Stats'!I52</f>
        <v>0</v>
      </c>
      <c r="R51" s="81">
        <f>'Player Stats'!J52</f>
        <v>0</v>
      </c>
      <c r="S51" s="81">
        <f>'Player Stats'!K52</f>
        <v>0</v>
      </c>
      <c r="T51" s="81">
        <f>'Player Stats'!L52</f>
        <v>0</v>
      </c>
      <c r="U51" s="81">
        <f>'Player Stats'!M52</f>
        <v>0</v>
      </c>
      <c r="W51" s="109"/>
      <c r="X51" s="109"/>
      <c r="Y51" s="84" t="str">
        <f>'Team Info'!$B$20&amp;": "&amp;O51&amp;""</f>
        <v>Last Season: 0</v>
      </c>
      <c r="Z51" s="84" t="str">
        <f>'Team Info'!$B$20&amp;": "&amp;N51&amp;""</f>
        <v>Last Season: 0</v>
      </c>
      <c r="AB51" s="83" t="str">
        <f t="shared" si="0"/>
        <v>0 PPG</v>
      </c>
      <c r="AC51" s="83" t="str">
        <f t="shared" si="1"/>
        <v>0 FG</v>
      </c>
      <c r="AD51" s="83" t="str">
        <f t="shared" si="2"/>
        <v>0 3-PT FG</v>
      </c>
      <c r="AE51" s="83" t="str">
        <f t="shared" si="3"/>
        <v>0 FT</v>
      </c>
      <c r="AF51" s="83" t="str">
        <f t="shared" si="4"/>
        <v>0 RPG</v>
      </c>
      <c r="AG51" s="83" t="str">
        <f t="shared" si="5"/>
        <v>0 APG</v>
      </c>
      <c r="AH51" s="83" t="str">
        <f t="shared" si="6"/>
        <v>0 BPG</v>
      </c>
      <c r="AI51" s="83" t="str">
        <f t="shared" si="7"/>
        <v>0 SPG</v>
      </c>
      <c r="AJ51" s="83" t="str">
        <f t="shared" si="8"/>
        <v>0 MPG</v>
      </c>
    </row>
    <row r="52" spans="1:36" x14ac:dyDescent="0.25">
      <c r="A52" s="40">
        <v>51</v>
      </c>
      <c r="B52" s="40">
        <v>51</v>
      </c>
      <c r="C52" s="78" t="str">
        <f>Roster!$T54</f>
        <v xml:space="preserve"> </v>
      </c>
      <c r="D52" s="10"/>
      <c r="E52" s="85"/>
      <c r="F52" s="10"/>
      <c r="G52" s="85"/>
      <c r="H52" s="10"/>
      <c r="I52" s="85"/>
      <c r="J52" s="86"/>
      <c r="K52" s="79"/>
      <c r="L52" s="81">
        <f>'Player Stats'!D53</f>
        <v>0</v>
      </c>
      <c r="M52" s="81">
        <f>'Player Stats'!E53</f>
        <v>0</v>
      </c>
      <c r="N52" s="81">
        <f>'Player Stats'!F53</f>
        <v>0</v>
      </c>
      <c r="O52" s="81">
        <f>'Player Stats'!G53</f>
        <v>0</v>
      </c>
      <c r="P52" s="81">
        <f>'Player Stats'!H53</f>
        <v>0</v>
      </c>
      <c r="Q52" s="81">
        <f>'Player Stats'!I53</f>
        <v>0</v>
      </c>
      <c r="R52" s="81">
        <f>'Player Stats'!J53</f>
        <v>0</v>
      </c>
      <c r="S52" s="81">
        <f>'Player Stats'!K53</f>
        <v>0</v>
      </c>
      <c r="T52" s="81">
        <f>'Player Stats'!L53</f>
        <v>0</v>
      </c>
      <c r="U52" s="81">
        <f>'Player Stats'!M53</f>
        <v>0</v>
      </c>
      <c r="W52" s="109"/>
      <c r="X52" s="109"/>
      <c r="Y52" s="84" t="str">
        <f>'Team Info'!$B$20&amp;": "&amp;O52&amp;""</f>
        <v>Last Season: 0</v>
      </c>
      <c r="Z52" s="84" t="str">
        <f>'Team Info'!$B$20&amp;": "&amp;N52&amp;""</f>
        <v>Last Season: 0</v>
      </c>
      <c r="AB52" s="83" t="str">
        <f t="shared" si="0"/>
        <v>0 PPG</v>
      </c>
      <c r="AC52" s="83" t="str">
        <f t="shared" si="1"/>
        <v>0 FG</v>
      </c>
      <c r="AD52" s="83" t="str">
        <f t="shared" si="2"/>
        <v>0 3-PT FG</v>
      </c>
      <c r="AE52" s="83" t="str">
        <f t="shared" si="3"/>
        <v>0 FT</v>
      </c>
      <c r="AF52" s="83" t="str">
        <f t="shared" si="4"/>
        <v>0 RPG</v>
      </c>
      <c r="AG52" s="83" t="str">
        <f t="shared" si="5"/>
        <v>0 APG</v>
      </c>
      <c r="AH52" s="83" t="str">
        <f t="shared" si="6"/>
        <v>0 BPG</v>
      </c>
      <c r="AI52" s="83" t="str">
        <f t="shared" si="7"/>
        <v>0 SPG</v>
      </c>
      <c r="AJ52" s="83" t="str">
        <f t="shared" si="8"/>
        <v>0 MPG</v>
      </c>
    </row>
    <row r="53" spans="1:36" x14ac:dyDescent="0.25">
      <c r="A53" s="40">
        <v>52</v>
      </c>
      <c r="B53" s="40">
        <v>52</v>
      </c>
      <c r="C53" s="78" t="str">
        <f>Roster!$T55</f>
        <v xml:space="preserve"> </v>
      </c>
      <c r="D53" s="10"/>
      <c r="E53" s="85"/>
      <c r="F53" s="10"/>
      <c r="G53" s="85"/>
      <c r="H53" s="10"/>
      <c r="I53" s="85"/>
      <c r="J53" s="86"/>
      <c r="K53" s="79"/>
      <c r="L53" s="81">
        <f>'Player Stats'!D54</f>
        <v>0</v>
      </c>
      <c r="M53" s="81">
        <f>'Player Stats'!E54</f>
        <v>0</v>
      </c>
      <c r="N53" s="81">
        <f>'Player Stats'!F54</f>
        <v>0</v>
      </c>
      <c r="O53" s="81">
        <f>'Player Stats'!G54</f>
        <v>0</v>
      </c>
      <c r="P53" s="81">
        <f>'Player Stats'!H54</f>
        <v>0</v>
      </c>
      <c r="Q53" s="81">
        <f>'Player Stats'!I54</f>
        <v>0</v>
      </c>
      <c r="R53" s="81">
        <f>'Player Stats'!J54</f>
        <v>0</v>
      </c>
      <c r="S53" s="81">
        <f>'Player Stats'!K54</f>
        <v>0</v>
      </c>
      <c r="T53" s="81">
        <f>'Player Stats'!L54</f>
        <v>0</v>
      </c>
      <c r="U53" s="81">
        <f>'Player Stats'!M54</f>
        <v>0</v>
      </c>
      <c r="W53" s="109"/>
      <c r="X53" s="109"/>
      <c r="Y53" s="84" t="str">
        <f>'Team Info'!$B$20&amp;": "&amp;O53&amp;""</f>
        <v>Last Season: 0</v>
      </c>
      <c r="Z53" s="84" t="str">
        <f>'Team Info'!$B$20&amp;": "&amp;N53&amp;""</f>
        <v>Last Season: 0</v>
      </c>
      <c r="AB53" s="83" t="str">
        <f t="shared" si="0"/>
        <v>0 PPG</v>
      </c>
      <c r="AC53" s="83" t="str">
        <f t="shared" si="1"/>
        <v>0 FG</v>
      </c>
      <c r="AD53" s="83" t="str">
        <f t="shared" si="2"/>
        <v>0 3-PT FG</v>
      </c>
      <c r="AE53" s="83" t="str">
        <f t="shared" si="3"/>
        <v>0 FT</v>
      </c>
      <c r="AF53" s="83" t="str">
        <f t="shared" si="4"/>
        <v>0 RPG</v>
      </c>
      <c r="AG53" s="83" t="str">
        <f t="shared" si="5"/>
        <v>0 APG</v>
      </c>
      <c r="AH53" s="83" t="str">
        <f t="shared" si="6"/>
        <v>0 BPG</v>
      </c>
      <c r="AI53" s="83" t="str">
        <f t="shared" si="7"/>
        <v>0 SPG</v>
      </c>
      <c r="AJ53" s="83" t="str">
        <f t="shared" si="8"/>
        <v>0 MPG</v>
      </c>
    </row>
    <row r="54" spans="1:36" x14ac:dyDescent="0.25">
      <c r="A54" s="40">
        <v>53</v>
      </c>
      <c r="B54" s="40">
        <v>53</v>
      </c>
      <c r="C54" s="78" t="str">
        <f>Roster!$T56</f>
        <v xml:space="preserve"> </v>
      </c>
      <c r="D54" s="10"/>
      <c r="E54" s="85"/>
      <c r="F54" s="10"/>
      <c r="G54" s="85"/>
      <c r="H54" s="10"/>
      <c r="I54" s="85"/>
      <c r="J54" s="86"/>
      <c r="K54" s="79"/>
      <c r="L54" s="81">
        <f>'Player Stats'!D55</f>
        <v>0</v>
      </c>
      <c r="M54" s="81">
        <f>'Player Stats'!E55</f>
        <v>0</v>
      </c>
      <c r="N54" s="81">
        <f>'Player Stats'!F55</f>
        <v>0</v>
      </c>
      <c r="O54" s="81">
        <f>'Player Stats'!G55</f>
        <v>0</v>
      </c>
      <c r="P54" s="81">
        <f>'Player Stats'!H55</f>
        <v>0</v>
      </c>
      <c r="Q54" s="81">
        <f>'Player Stats'!I55</f>
        <v>0</v>
      </c>
      <c r="R54" s="81">
        <f>'Player Stats'!J55</f>
        <v>0</v>
      </c>
      <c r="S54" s="81">
        <f>'Player Stats'!K55</f>
        <v>0</v>
      </c>
      <c r="T54" s="81">
        <f>'Player Stats'!L55</f>
        <v>0</v>
      </c>
      <c r="U54" s="81">
        <f>'Player Stats'!M55</f>
        <v>0</v>
      </c>
      <c r="W54" s="109"/>
      <c r="X54" s="109"/>
      <c r="Y54" s="84" t="str">
        <f>'Team Info'!$B$20&amp;": "&amp;O54&amp;""</f>
        <v>Last Season: 0</v>
      </c>
      <c r="Z54" s="84" t="str">
        <f>'Team Info'!$B$20&amp;": "&amp;N54&amp;""</f>
        <v>Last Season: 0</v>
      </c>
      <c r="AB54" s="83" t="str">
        <f t="shared" si="0"/>
        <v>0 PPG</v>
      </c>
      <c r="AC54" s="83" t="str">
        <f t="shared" si="1"/>
        <v>0 FG</v>
      </c>
      <c r="AD54" s="83" t="str">
        <f t="shared" si="2"/>
        <v>0 3-PT FG</v>
      </c>
      <c r="AE54" s="83" t="str">
        <f t="shared" si="3"/>
        <v>0 FT</v>
      </c>
      <c r="AF54" s="83" t="str">
        <f t="shared" si="4"/>
        <v>0 RPG</v>
      </c>
      <c r="AG54" s="83" t="str">
        <f t="shared" si="5"/>
        <v>0 APG</v>
      </c>
      <c r="AH54" s="83" t="str">
        <f t="shared" si="6"/>
        <v>0 BPG</v>
      </c>
      <c r="AI54" s="83" t="str">
        <f t="shared" si="7"/>
        <v>0 SPG</v>
      </c>
      <c r="AJ54" s="83" t="str">
        <f t="shared" si="8"/>
        <v>0 MPG</v>
      </c>
    </row>
    <row r="55" spans="1:36" x14ac:dyDescent="0.25">
      <c r="A55" s="40">
        <v>54</v>
      </c>
      <c r="B55" s="40">
        <v>54</v>
      </c>
      <c r="C55" s="78" t="str">
        <f>Roster!$T57</f>
        <v xml:space="preserve"> </v>
      </c>
      <c r="D55" s="10"/>
      <c r="E55" s="85"/>
      <c r="F55" s="10"/>
      <c r="G55" s="85"/>
      <c r="H55" s="10"/>
      <c r="I55" s="85"/>
      <c r="J55" s="86"/>
      <c r="K55" s="79"/>
      <c r="L55" s="81">
        <f>'Player Stats'!D56</f>
        <v>0</v>
      </c>
      <c r="M55" s="81">
        <f>'Player Stats'!E56</f>
        <v>0</v>
      </c>
      <c r="N55" s="81">
        <f>'Player Stats'!F56</f>
        <v>0</v>
      </c>
      <c r="O55" s="81">
        <f>'Player Stats'!G56</f>
        <v>0</v>
      </c>
      <c r="P55" s="81">
        <f>'Player Stats'!H56</f>
        <v>0</v>
      </c>
      <c r="Q55" s="81">
        <f>'Player Stats'!I56</f>
        <v>0</v>
      </c>
      <c r="R55" s="81">
        <f>'Player Stats'!J56</f>
        <v>0</v>
      </c>
      <c r="S55" s="81">
        <f>'Player Stats'!K56</f>
        <v>0</v>
      </c>
      <c r="T55" s="81">
        <f>'Player Stats'!L56</f>
        <v>0</v>
      </c>
      <c r="U55" s="81">
        <f>'Player Stats'!M56</f>
        <v>0</v>
      </c>
      <c r="W55" s="109"/>
      <c r="X55" s="109"/>
      <c r="Y55" s="84" t="str">
        <f>'Team Info'!$B$20&amp;": "&amp;O55&amp;""</f>
        <v>Last Season: 0</v>
      </c>
      <c r="Z55" s="84" t="str">
        <f>'Team Info'!$B$20&amp;": "&amp;N55&amp;""</f>
        <v>Last Season: 0</v>
      </c>
      <c r="AB55" s="83" t="str">
        <f t="shared" si="0"/>
        <v>0 PPG</v>
      </c>
      <c r="AC55" s="83" t="str">
        <f t="shared" si="1"/>
        <v>0 FG</v>
      </c>
      <c r="AD55" s="83" t="str">
        <f t="shared" si="2"/>
        <v>0 3-PT FG</v>
      </c>
      <c r="AE55" s="83" t="str">
        <f t="shared" si="3"/>
        <v>0 FT</v>
      </c>
      <c r="AF55" s="83" t="str">
        <f t="shared" si="4"/>
        <v>0 RPG</v>
      </c>
      <c r="AG55" s="83" t="str">
        <f t="shared" si="5"/>
        <v>0 APG</v>
      </c>
      <c r="AH55" s="83" t="str">
        <f t="shared" si="6"/>
        <v>0 BPG</v>
      </c>
      <c r="AI55" s="83" t="str">
        <f t="shared" si="7"/>
        <v>0 SPG</v>
      </c>
      <c r="AJ55" s="83" t="str">
        <f t="shared" si="8"/>
        <v>0 MPG</v>
      </c>
    </row>
    <row r="56" spans="1:36" x14ac:dyDescent="0.25">
      <c r="A56" s="40">
        <v>55</v>
      </c>
      <c r="B56" s="40">
        <v>55</v>
      </c>
      <c r="C56" s="78" t="str">
        <f>Roster!$T58</f>
        <v xml:space="preserve"> </v>
      </c>
      <c r="D56" s="10"/>
      <c r="E56" s="85"/>
      <c r="F56" s="10"/>
      <c r="G56" s="85"/>
      <c r="H56" s="10"/>
      <c r="I56" s="85"/>
      <c r="J56" s="86"/>
      <c r="K56" s="79"/>
      <c r="L56" s="81">
        <f>'Player Stats'!D57</f>
        <v>0</v>
      </c>
      <c r="M56" s="81">
        <f>'Player Stats'!E57</f>
        <v>0</v>
      </c>
      <c r="N56" s="81">
        <f>'Player Stats'!F57</f>
        <v>0</v>
      </c>
      <c r="O56" s="81">
        <f>'Player Stats'!G57</f>
        <v>0</v>
      </c>
      <c r="P56" s="81">
        <f>'Player Stats'!H57</f>
        <v>0</v>
      </c>
      <c r="Q56" s="81">
        <f>'Player Stats'!I57</f>
        <v>0</v>
      </c>
      <c r="R56" s="81">
        <f>'Player Stats'!J57</f>
        <v>0</v>
      </c>
      <c r="S56" s="81">
        <f>'Player Stats'!K57</f>
        <v>0</v>
      </c>
      <c r="T56" s="81">
        <f>'Player Stats'!L57</f>
        <v>0</v>
      </c>
      <c r="U56" s="81">
        <f>'Player Stats'!M57</f>
        <v>0</v>
      </c>
      <c r="W56" s="109"/>
      <c r="X56" s="109"/>
      <c r="Y56" s="84" t="str">
        <f>'Team Info'!$B$20&amp;": "&amp;O56&amp;""</f>
        <v>Last Season: 0</v>
      </c>
      <c r="Z56" s="84" t="str">
        <f>'Team Info'!$B$20&amp;": "&amp;N56&amp;""</f>
        <v>Last Season: 0</v>
      </c>
      <c r="AB56" s="83" t="str">
        <f t="shared" si="0"/>
        <v>0 PPG</v>
      </c>
      <c r="AC56" s="83" t="str">
        <f t="shared" si="1"/>
        <v>0 FG</v>
      </c>
      <c r="AD56" s="83" t="str">
        <f t="shared" si="2"/>
        <v>0 3-PT FG</v>
      </c>
      <c r="AE56" s="83" t="str">
        <f t="shared" si="3"/>
        <v>0 FT</v>
      </c>
      <c r="AF56" s="83" t="str">
        <f t="shared" si="4"/>
        <v>0 RPG</v>
      </c>
      <c r="AG56" s="83" t="str">
        <f t="shared" si="5"/>
        <v>0 APG</v>
      </c>
      <c r="AH56" s="83" t="str">
        <f t="shared" si="6"/>
        <v>0 BPG</v>
      </c>
      <c r="AI56" s="83" t="str">
        <f t="shared" si="7"/>
        <v>0 SPG</v>
      </c>
      <c r="AJ56" s="83" t="str">
        <f t="shared" si="8"/>
        <v>0 MPG</v>
      </c>
    </row>
    <row r="57" spans="1:36" x14ac:dyDescent="0.25">
      <c r="A57" s="40">
        <v>56</v>
      </c>
      <c r="B57" s="40">
        <v>56</v>
      </c>
      <c r="C57" s="78" t="str">
        <f>Roster!$T59</f>
        <v xml:space="preserve"> </v>
      </c>
      <c r="D57" s="10"/>
      <c r="E57" s="85"/>
      <c r="F57" s="10"/>
      <c r="G57" s="85"/>
      <c r="H57" s="10"/>
      <c r="I57" s="85"/>
      <c r="J57" s="86"/>
      <c r="K57" s="79"/>
      <c r="L57" s="81">
        <f>'Player Stats'!D58</f>
        <v>0</v>
      </c>
      <c r="M57" s="81">
        <f>'Player Stats'!E58</f>
        <v>0</v>
      </c>
      <c r="N57" s="81">
        <f>'Player Stats'!F58</f>
        <v>0</v>
      </c>
      <c r="O57" s="81">
        <f>'Player Stats'!G58</f>
        <v>0</v>
      </c>
      <c r="P57" s="81">
        <f>'Player Stats'!H58</f>
        <v>0</v>
      </c>
      <c r="Q57" s="81">
        <f>'Player Stats'!I58</f>
        <v>0</v>
      </c>
      <c r="R57" s="81">
        <f>'Player Stats'!J58</f>
        <v>0</v>
      </c>
      <c r="S57" s="81">
        <f>'Player Stats'!K58</f>
        <v>0</v>
      </c>
      <c r="T57" s="81">
        <f>'Player Stats'!L58</f>
        <v>0</v>
      </c>
      <c r="U57" s="81">
        <f>'Player Stats'!M58</f>
        <v>0</v>
      </c>
      <c r="W57" s="109"/>
      <c r="X57" s="109"/>
      <c r="Y57" s="84" t="str">
        <f>'Team Info'!$B$20&amp;": "&amp;O57&amp;""</f>
        <v>Last Season: 0</v>
      </c>
      <c r="Z57" s="84" t="str">
        <f>'Team Info'!$B$20&amp;": "&amp;N57&amp;""</f>
        <v>Last Season: 0</v>
      </c>
      <c r="AB57" s="83" t="str">
        <f t="shared" si="0"/>
        <v>0 PPG</v>
      </c>
      <c r="AC57" s="83" t="str">
        <f t="shared" si="1"/>
        <v>0 FG</v>
      </c>
      <c r="AD57" s="83" t="str">
        <f t="shared" si="2"/>
        <v>0 3-PT FG</v>
      </c>
      <c r="AE57" s="83" t="str">
        <f t="shared" si="3"/>
        <v>0 FT</v>
      </c>
      <c r="AF57" s="83" t="str">
        <f t="shared" si="4"/>
        <v>0 RPG</v>
      </c>
      <c r="AG57" s="83" t="str">
        <f t="shared" si="5"/>
        <v>0 APG</v>
      </c>
      <c r="AH57" s="83" t="str">
        <f t="shared" si="6"/>
        <v>0 BPG</v>
      </c>
      <c r="AI57" s="83" t="str">
        <f t="shared" si="7"/>
        <v>0 SPG</v>
      </c>
      <c r="AJ57" s="83" t="str">
        <f t="shared" si="8"/>
        <v>0 MPG</v>
      </c>
    </row>
    <row r="58" spans="1:36" x14ac:dyDescent="0.25">
      <c r="A58" s="40">
        <v>57</v>
      </c>
      <c r="B58" s="40">
        <v>57</v>
      </c>
      <c r="C58" s="78" t="str">
        <f>Roster!$T60</f>
        <v xml:space="preserve"> </v>
      </c>
      <c r="D58" s="10"/>
      <c r="E58" s="85"/>
      <c r="F58" s="10"/>
      <c r="G58" s="85"/>
      <c r="H58" s="10"/>
      <c r="I58" s="85"/>
      <c r="J58" s="86"/>
      <c r="K58" s="79"/>
      <c r="L58" s="81">
        <f>'Player Stats'!D59</f>
        <v>0</v>
      </c>
      <c r="M58" s="81">
        <f>'Player Stats'!E59</f>
        <v>0</v>
      </c>
      <c r="N58" s="81">
        <f>'Player Stats'!F59</f>
        <v>0</v>
      </c>
      <c r="O58" s="81">
        <f>'Player Stats'!G59</f>
        <v>0</v>
      </c>
      <c r="P58" s="81">
        <f>'Player Stats'!H59</f>
        <v>0</v>
      </c>
      <c r="Q58" s="81">
        <f>'Player Stats'!I59</f>
        <v>0</v>
      </c>
      <c r="R58" s="81">
        <f>'Player Stats'!J59</f>
        <v>0</v>
      </c>
      <c r="S58" s="81">
        <f>'Player Stats'!K59</f>
        <v>0</v>
      </c>
      <c r="T58" s="81">
        <f>'Player Stats'!L59</f>
        <v>0</v>
      </c>
      <c r="U58" s="81">
        <f>'Player Stats'!M59</f>
        <v>0</v>
      </c>
      <c r="W58" s="109"/>
      <c r="X58" s="109"/>
      <c r="Y58" s="84" t="str">
        <f>'Team Info'!$B$20&amp;": "&amp;O58&amp;""</f>
        <v>Last Season: 0</v>
      </c>
      <c r="Z58" s="84" t="str">
        <f>'Team Info'!$B$20&amp;": "&amp;N58&amp;""</f>
        <v>Last Season: 0</v>
      </c>
      <c r="AB58" s="83" t="str">
        <f t="shared" si="0"/>
        <v>0 PPG</v>
      </c>
      <c r="AC58" s="83" t="str">
        <f t="shared" si="1"/>
        <v>0 FG</v>
      </c>
      <c r="AD58" s="83" t="str">
        <f t="shared" si="2"/>
        <v>0 3-PT FG</v>
      </c>
      <c r="AE58" s="83" t="str">
        <f t="shared" si="3"/>
        <v>0 FT</v>
      </c>
      <c r="AF58" s="83" t="str">
        <f t="shared" si="4"/>
        <v>0 RPG</v>
      </c>
      <c r="AG58" s="83" t="str">
        <f t="shared" si="5"/>
        <v>0 APG</v>
      </c>
      <c r="AH58" s="83" t="str">
        <f t="shared" si="6"/>
        <v>0 BPG</v>
      </c>
      <c r="AI58" s="83" t="str">
        <f t="shared" si="7"/>
        <v>0 SPG</v>
      </c>
      <c r="AJ58" s="83" t="str">
        <f t="shared" si="8"/>
        <v>0 MPG</v>
      </c>
    </row>
    <row r="59" spans="1:36" x14ac:dyDescent="0.25">
      <c r="A59" s="40">
        <v>58</v>
      </c>
      <c r="B59" s="40">
        <v>58</v>
      </c>
      <c r="C59" s="78" t="str">
        <f>Roster!$T61</f>
        <v xml:space="preserve"> </v>
      </c>
      <c r="D59" s="10"/>
      <c r="E59" s="85"/>
      <c r="F59" s="10"/>
      <c r="G59" s="85"/>
      <c r="H59" s="10"/>
      <c r="I59" s="85"/>
      <c r="J59" s="86"/>
      <c r="K59" s="79"/>
      <c r="L59" s="81">
        <f>'Player Stats'!D60</f>
        <v>0</v>
      </c>
      <c r="M59" s="81">
        <f>'Player Stats'!E60</f>
        <v>0</v>
      </c>
      <c r="N59" s="81">
        <f>'Player Stats'!F60</f>
        <v>0</v>
      </c>
      <c r="O59" s="81">
        <f>'Player Stats'!G60</f>
        <v>0</v>
      </c>
      <c r="P59" s="81">
        <f>'Player Stats'!H60</f>
        <v>0</v>
      </c>
      <c r="Q59" s="81">
        <f>'Player Stats'!I60</f>
        <v>0</v>
      </c>
      <c r="R59" s="81">
        <f>'Player Stats'!J60</f>
        <v>0</v>
      </c>
      <c r="S59" s="81">
        <f>'Player Stats'!K60</f>
        <v>0</v>
      </c>
      <c r="T59" s="81">
        <f>'Player Stats'!L60</f>
        <v>0</v>
      </c>
      <c r="U59" s="81">
        <f>'Player Stats'!M60</f>
        <v>0</v>
      </c>
      <c r="W59" s="109"/>
      <c r="X59" s="109"/>
      <c r="Y59" s="84" t="str">
        <f>'Team Info'!$B$20&amp;": "&amp;O59&amp;""</f>
        <v>Last Season: 0</v>
      </c>
      <c r="Z59" s="84" t="str">
        <f>'Team Info'!$B$20&amp;": "&amp;N59&amp;""</f>
        <v>Last Season: 0</v>
      </c>
      <c r="AB59" s="83" t="str">
        <f t="shared" si="0"/>
        <v>0 PPG</v>
      </c>
      <c r="AC59" s="83" t="str">
        <f t="shared" si="1"/>
        <v>0 FG</v>
      </c>
      <c r="AD59" s="83" t="str">
        <f t="shared" si="2"/>
        <v>0 3-PT FG</v>
      </c>
      <c r="AE59" s="83" t="str">
        <f t="shared" si="3"/>
        <v>0 FT</v>
      </c>
      <c r="AF59" s="83" t="str">
        <f t="shared" si="4"/>
        <v>0 RPG</v>
      </c>
      <c r="AG59" s="83" t="str">
        <f t="shared" si="5"/>
        <v>0 APG</v>
      </c>
      <c r="AH59" s="83" t="str">
        <f t="shared" si="6"/>
        <v>0 BPG</v>
      </c>
      <c r="AI59" s="83" t="str">
        <f t="shared" si="7"/>
        <v>0 SPG</v>
      </c>
      <c r="AJ59" s="83" t="str">
        <f t="shared" si="8"/>
        <v>0 MPG</v>
      </c>
    </row>
    <row r="60" spans="1:36" x14ac:dyDescent="0.25">
      <c r="A60" s="40">
        <v>59</v>
      </c>
      <c r="B60" s="40">
        <v>59</v>
      </c>
      <c r="C60" s="78" t="str">
        <f>Roster!$T62</f>
        <v xml:space="preserve"> </v>
      </c>
      <c r="D60" s="10"/>
      <c r="E60" s="85"/>
      <c r="F60" s="10"/>
      <c r="G60" s="85"/>
      <c r="H60" s="10"/>
      <c r="I60" s="85"/>
      <c r="J60" s="86"/>
      <c r="K60" s="79"/>
      <c r="L60" s="81">
        <f>'Player Stats'!D61</f>
        <v>0</v>
      </c>
      <c r="M60" s="81">
        <f>'Player Stats'!E61</f>
        <v>0</v>
      </c>
      <c r="N60" s="81">
        <f>'Player Stats'!F61</f>
        <v>0</v>
      </c>
      <c r="O60" s="81">
        <f>'Player Stats'!G61</f>
        <v>0</v>
      </c>
      <c r="P60" s="81">
        <f>'Player Stats'!H61</f>
        <v>0</v>
      </c>
      <c r="Q60" s="81">
        <f>'Player Stats'!I61</f>
        <v>0</v>
      </c>
      <c r="R60" s="81">
        <f>'Player Stats'!J61</f>
        <v>0</v>
      </c>
      <c r="S60" s="81">
        <f>'Player Stats'!K61</f>
        <v>0</v>
      </c>
      <c r="T60" s="81">
        <f>'Player Stats'!L61</f>
        <v>0</v>
      </c>
      <c r="U60" s="81">
        <f>'Player Stats'!M61</f>
        <v>0</v>
      </c>
      <c r="W60" s="109"/>
      <c r="X60" s="109"/>
      <c r="Y60" s="84" t="str">
        <f>'Team Info'!$B$20&amp;": "&amp;O60&amp;""</f>
        <v>Last Season: 0</v>
      </c>
      <c r="Z60" s="84" t="str">
        <f>'Team Info'!$B$20&amp;": "&amp;N60&amp;""</f>
        <v>Last Season: 0</v>
      </c>
      <c r="AB60" s="83" t="str">
        <f t="shared" si="0"/>
        <v>0 PPG</v>
      </c>
      <c r="AC60" s="83" t="str">
        <f t="shared" si="1"/>
        <v>0 FG</v>
      </c>
      <c r="AD60" s="83" t="str">
        <f t="shared" si="2"/>
        <v>0 3-PT FG</v>
      </c>
      <c r="AE60" s="83" t="str">
        <f t="shared" si="3"/>
        <v>0 FT</v>
      </c>
      <c r="AF60" s="83" t="str">
        <f t="shared" si="4"/>
        <v>0 RPG</v>
      </c>
      <c r="AG60" s="83" t="str">
        <f t="shared" si="5"/>
        <v>0 APG</v>
      </c>
      <c r="AH60" s="83" t="str">
        <f t="shared" si="6"/>
        <v>0 BPG</v>
      </c>
      <c r="AI60" s="83" t="str">
        <f t="shared" si="7"/>
        <v>0 SPG</v>
      </c>
      <c r="AJ60" s="83" t="str">
        <f t="shared" si="8"/>
        <v>0 MPG</v>
      </c>
    </row>
    <row r="61" spans="1:36" x14ac:dyDescent="0.25">
      <c r="A61" s="40">
        <v>60</v>
      </c>
      <c r="B61" s="40">
        <v>60</v>
      </c>
      <c r="C61" s="78" t="str">
        <f>Roster!$T63</f>
        <v xml:space="preserve"> </v>
      </c>
      <c r="D61" s="10"/>
      <c r="E61" s="85"/>
      <c r="F61" s="10"/>
      <c r="G61" s="85"/>
      <c r="H61" s="10"/>
      <c r="I61" s="85"/>
      <c r="J61" s="86"/>
      <c r="K61" s="79"/>
      <c r="L61" s="81">
        <f>'Player Stats'!D62</f>
        <v>0</v>
      </c>
      <c r="M61" s="81">
        <f>'Player Stats'!E62</f>
        <v>0</v>
      </c>
      <c r="N61" s="81">
        <f>'Player Stats'!F62</f>
        <v>0</v>
      </c>
      <c r="O61" s="81">
        <f>'Player Stats'!G62</f>
        <v>0</v>
      </c>
      <c r="P61" s="81">
        <f>'Player Stats'!H62</f>
        <v>0</v>
      </c>
      <c r="Q61" s="81">
        <f>'Player Stats'!I62</f>
        <v>0</v>
      </c>
      <c r="R61" s="81">
        <f>'Player Stats'!J62</f>
        <v>0</v>
      </c>
      <c r="S61" s="81">
        <f>'Player Stats'!K62</f>
        <v>0</v>
      </c>
      <c r="T61" s="81">
        <f>'Player Stats'!L62</f>
        <v>0</v>
      </c>
      <c r="U61" s="81">
        <f>'Player Stats'!M62</f>
        <v>0</v>
      </c>
      <c r="W61" s="109"/>
      <c r="X61" s="109"/>
      <c r="Y61" s="84" t="str">
        <f>'Team Info'!$B$20&amp;": "&amp;O61&amp;""</f>
        <v>Last Season: 0</v>
      </c>
      <c r="Z61" s="84" t="str">
        <f>'Team Info'!$B$20&amp;": "&amp;N61&amp;""</f>
        <v>Last Season: 0</v>
      </c>
      <c r="AB61" s="83" t="str">
        <f t="shared" si="0"/>
        <v>0 PPG</v>
      </c>
      <c r="AC61" s="83" t="str">
        <f t="shared" si="1"/>
        <v>0 FG</v>
      </c>
      <c r="AD61" s="83" t="str">
        <f t="shared" si="2"/>
        <v>0 3-PT FG</v>
      </c>
      <c r="AE61" s="83" t="str">
        <f t="shared" si="3"/>
        <v>0 FT</v>
      </c>
      <c r="AF61" s="83" t="str">
        <f t="shared" si="4"/>
        <v>0 RPG</v>
      </c>
      <c r="AG61" s="83" t="str">
        <f t="shared" si="5"/>
        <v>0 APG</v>
      </c>
      <c r="AH61" s="83" t="str">
        <f t="shared" si="6"/>
        <v>0 BPG</v>
      </c>
      <c r="AI61" s="83" t="str">
        <f t="shared" si="7"/>
        <v>0 SPG</v>
      </c>
      <c r="AJ61" s="83" t="str">
        <f t="shared" si="8"/>
        <v>0 MPG</v>
      </c>
    </row>
    <row r="62" spans="1:36" x14ac:dyDescent="0.25">
      <c r="A62" s="40">
        <v>61</v>
      </c>
      <c r="B62" s="40">
        <v>61</v>
      </c>
      <c r="C62" s="78" t="str">
        <f>Roster!$T64</f>
        <v xml:space="preserve"> </v>
      </c>
      <c r="D62" s="10"/>
      <c r="E62" s="85"/>
      <c r="F62" s="10"/>
      <c r="G62" s="85"/>
      <c r="H62" s="10"/>
      <c r="I62" s="85"/>
      <c r="J62" s="86"/>
      <c r="K62" s="79"/>
      <c r="L62" s="81">
        <f>'Player Stats'!D63</f>
        <v>0</v>
      </c>
      <c r="M62" s="81">
        <f>'Player Stats'!E63</f>
        <v>0</v>
      </c>
      <c r="N62" s="81">
        <f>'Player Stats'!F63</f>
        <v>0</v>
      </c>
      <c r="O62" s="81">
        <f>'Player Stats'!G63</f>
        <v>0</v>
      </c>
      <c r="P62" s="81">
        <f>'Player Stats'!H63</f>
        <v>0</v>
      </c>
      <c r="Q62" s="81">
        <f>'Player Stats'!I63</f>
        <v>0</v>
      </c>
      <c r="R62" s="81">
        <f>'Player Stats'!J63</f>
        <v>0</v>
      </c>
      <c r="S62" s="81">
        <f>'Player Stats'!K63</f>
        <v>0</v>
      </c>
      <c r="T62" s="81">
        <f>'Player Stats'!L63</f>
        <v>0</v>
      </c>
      <c r="U62" s="81">
        <f>'Player Stats'!M63</f>
        <v>0</v>
      </c>
      <c r="W62" s="109"/>
      <c r="X62" s="109"/>
      <c r="Y62" s="84" t="str">
        <f>'Team Info'!$B$20&amp;": "&amp;O62&amp;""</f>
        <v>Last Season: 0</v>
      </c>
      <c r="Z62" s="84" t="str">
        <f>'Team Info'!$B$20&amp;": "&amp;N62&amp;""</f>
        <v>Last Season: 0</v>
      </c>
      <c r="AB62" s="83" t="str">
        <f t="shared" si="0"/>
        <v>0 PPG</v>
      </c>
      <c r="AC62" s="83" t="str">
        <f t="shared" si="1"/>
        <v>0 FG</v>
      </c>
      <c r="AD62" s="83" t="str">
        <f t="shared" si="2"/>
        <v>0 3-PT FG</v>
      </c>
      <c r="AE62" s="83" t="str">
        <f t="shared" si="3"/>
        <v>0 FT</v>
      </c>
      <c r="AF62" s="83" t="str">
        <f t="shared" si="4"/>
        <v>0 RPG</v>
      </c>
      <c r="AG62" s="83" t="str">
        <f t="shared" si="5"/>
        <v>0 APG</v>
      </c>
      <c r="AH62" s="83" t="str">
        <f t="shared" si="6"/>
        <v>0 BPG</v>
      </c>
      <c r="AI62" s="83" t="str">
        <f t="shared" si="7"/>
        <v>0 SPG</v>
      </c>
      <c r="AJ62" s="83" t="str">
        <f t="shared" si="8"/>
        <v>0 MPG</v>
      </c>
    </row>
    <row r="63" spans="1:36" x14ac:dyDescent="0.25">
      <c r="A63" s="40">
        <v>62</v>
      </c>
      <c r="B63" s="40">
        <v>62</v>
      </c>
      <c r="C63" s="78" t="str">
        <f>Roster!$T65</f>
        <v xml:space="preserve"> </v>
      </c>
      <c r="D63" s="10"/>
      <c r="E63" s="85"/>
      <c r="F63" s="10"/>
      <c r="G63" s="85"/>
      <c r="H63" s="10"/>
      <c r="I63" s="85"/>
      <c r="J63" s="86"/>
      <c r="K63" s="79"/>
      <c r="L63" s="81">
        <f>'Player Stats'!D64</f>
        <v>0</v>
      </c>
      <c r="M63" s="81">
        <f>'Player Stats'!E64</f>
        <v>0</v>
      </c>
      <c r="N63" s="81">
        <f>'Player Stats'!F64</f>
        <v>0</v>
      </c>
      <c r="O63" s="81">
        <f>'Player Stats'!G64</f>
        <v>0</v>
      </c>
      <c r="P63" s="81">
        <f>'Player Stats'!H64</f>
        <v>0</v>
      </c>
      <c r="Q63" s="81">
        <f>'Player Stats'!I64</f>
        <v>0</v>
      </c>
      <c r="R63" s="81">
        <f>'Player Stats'!J64</f>
        <v>0</v>
      </c>
      <c r="S63" s="81">
        <f>'Player Stats'!K64</f>
        <v>0</v>
      </c>
      <c r="T63" s="81">
        <f>'Player Stats'!L64</f>
        <v>0</v>
      </c>
      <c r="U63" s="81">
        <f>'Player Stats'!M64</f>
        <v>0</v>
      </c>
      <c r="W63" s="109"/>
      <c r="X63" s="109"/>
      <c r="Y63" s="84" t="str">
        <f>'Team Info'!$B$20&amp;": "&amp;O63&amp;""</f>
        <v>Last Season: 0</v>
      </c>
      <c r="Z63" s="84" t="str">
        <f>'Team Info'!$B$20&amp;": "&amp;N63&amp;""</f>
        <v>Last Season: 0</v>
      </c>
      <c r="AB63" s="83" t="str">
        <f t="shared" si="0"/>
        <v>0 PPG</v>
      </c>
      <c r="AC63" s="83" t="str">
        <f t="shared" si="1"/>
        <v>0 FG</v>
      </c>
      <c r="AD63" s="83" t="str">
        <f t="shared" si="2"/>
        <v>0 3-PT FG</v>
      </c>
      <c r="AE63" s="83" t="str">
        <f t="shared" si="3"/>
        <v>0 FT</v>
      </c>
      <c r="AF63" s="83" t="str">
        <f t="shared" si="4"/>
        <v>0 RPG</v>
      </c>
      <c r="AG63" s="83" t="str">
        <f t="shared" si="5"/>
        <v>0 APG</v>
      </c>
      <c r="AH63" s="83" t="str">
        <f t="shared" si="6"/>
        <v>0 BPG</v>
      </c>
      <c r="AI63" s="83" t="str">
        <f t="shared" si="7"/>
        <v>0 SPG</v>
      </c>
      <c r="AJ63" s="83" t="str">
        <f t="shared" si="8"/>
        <v>0 MPG</v>
      </c>
    </row>
    <row r="64" spans="1:36" x14ac:dyDescent="0.25">
      <c r="A64" s="40">
        <v>63</v>
      </c>
      <c r="B64" s="40">
        <v>63</v>
      </c>
      <c r="C64" s="78" t="str">
        <f>Roster!$T66</f>
        <v xml:space="preserve"> </v>
      </c>
      <c r="D64" s="10"/>
      <c r="E64" s="85"/>
      <c r="F64" s="10"/>
      <c r="G64" s="85"/>
      <c r="H64" s="10"/>
      <c r="I64" s="85"/>
      <c r="J64" s="86"/>
      <c r="K64" s="79"/>
      <c r="L64" s="81">
        <f>'Player Stats'!D65</f>
        <v>0</v>
      </c>
      <c r="M64" s="81">
        <f>'Player Stats'!E65</f>
        <v>0</v>
      </c>
      <c r="N64" s="81">
        <f>'Player Stats'!F65</f>
        <v>0</v>
      </c>
      <c r="O64" s="81">
        <f>'Player Stats'!G65</f>
        <v>0</v>
      </c>
      <c r="P64" s="81">
        <f>'Player Stats'!H65</f>
        <v>0</v>
      </c>
      <c r="Q64" s="81">
        <f>'Player Stats'!I65</f>
        <v>0</v>
      </c>
      <c r="R64" s="81">
        <f>'Player Stats'!J65</f>
        <v>0</v>
      </c>
      <c r="S64" s="81">
        <f>'Player Stats'!K65</f>
        <v>0</v>
      </c>
      <c r="T64" s="81">
        <f>'Player Stats'!L65</f>
        <v>0</v>
      </c>
      <c r="U64" s="81">
        <f>'Player Stats'!M65</f>
        <v>0</v>
      </c>
      <c r="W64" s="109"/>
      <c r="X64" s="109"/>
      <c r="Y64" s="84" t="str">
        <f>'Team Info'!$B$20&amp;": "&amp;O64&amp;""</f>
        <v>Last Season: 0</v>
      </c>
      <c r="Z64" s="84" t="str">
        <f>'Team Info'!$B$20&amp;": "&amp;N64&amp;""</f>
        <v>Last Season: 0</v>
      </c>
      <c r="AB64" s="83" t="str">
        <f t="shared" si="0"/>
        <v>0 PPG</v>
      </c>
      <c r="AC64" s="83" t="str">
        <f t="shared" si="1"/>
        <v>0 FG</v>
      </c>
      <c r="AD64" s="83" t="str">
        <f t="shared" si="2"/>
        <v>0 3-PT FG</v>
      </c>
      <c r="AE64" s="83" t="str">
        <f t="shared" si="3"/>
        <v>0 FT</v>
      </c>
      <c r="AF64" s="83" t="str">
        <f t="shared" si="4"/>
        <v>0 RPG</v>
      </c>
      <c r="AG64" s="83" t="str">
        <f t="shared" si="5"/>
        <v>0 APG</v>
      </c>
      <c r="AH64" s="83" t="str">
        <f t="shared" si="6"/>
        <v>0 BPG</v>
      </c>
      <c r="AI64" s="83" t="str">
        <f t="shared" si="7"/>
        <v>0 SPG</v>
      </c>
      <c r="AJ64" s="83" t="str">
        <f t="shared" si="8"/>
        <v>0 MPG</v>
      </c>
    </row>
    <row r="65" spans="1:36" x14ac:dyDescent="0.25">
      <c r="A65" s="40">
        <v>64</v>
      </c>
      <c r="B65" s="40">
        <v>64</v>
      </c>
      <c r="C65" s="78" t="str">
        <f>Roster!$T67</f>
        <v xml:space="preserve"> </v>
      </c>
      <c r="D65" s="10"/>
      <c r="E65" s="85"/>
      <c r="F65" s="10"/>
      <c r="G65" s="85"/>
      <c r="H65" s="10"/>
      <c r="I65" s="85"/>
      <c r="J65" s="86"/>
      <c r="K65" s="79"/>
      <c r="L65" s="81">
        <f>'Player Stats'!D66</f>
        <v>0</v>
      </c>
      <c r="M65" s="81">
        <f>'Player Stats'!E66</f>
        <v>0</v>
      </c>
      <c r="N65" s="81">
        <f>'Player Stats'!F66</f>
        <v>0</v>
      </c>
      <c r="O65" s="81">
        <f>'Player Stats'!G66</f>
        <v>0</v>
      </c>
      <c r="P65" s="81">
        <f>'Player Stats'!H66</f>
        <v>0</v>
      </c>
      <c r="Q65" s="81">
        <f>'Player Stats'!I66</f>
        <v>0</v>
      </c>
      <c r="R65" s="81">
        <f>'Player Stats'!J66</f>
        <v>0</v>
      </c>
      <c r="S65" s="81">
        <f>'Player Stats'!K66</f>
        <v>0</v>
      </c>
      <c r="T65" s="81">
        <f>'Player Stats'!L66</f>
        <v>0</v>
      </c>
      <c r="U65" s="81">
        <f>'Player Stats'!M66</f>
        <v>0</v>
      </c>
      <c r="W65" s="109"/>
      <c r="X65" s="109"/>
      <c r="Y65" s="84" t="str">
        <f>'Team Info'!$B$20&amp;": "&amp;O65&amp;""</f>
        <v>Last Season: 0</v>
      </c>
      <c r="Z65" s="84" t="str">
        <f>'Team Info'!$B$20&amp;": "&amp;N65&amp;""</f>
        <v>Last Season: 0</v>
      </c>
      <c r="AB65" s="83" t="str">
        <f t="shared" si="0"/>
        <v>0 PPG</v>
      </c>
      <c r="AC65" s="83" t="str">
        <f t="shared" si="1"/>
        <v>0 FG</v>
      </c>
      <c r="AD65" s="83" t="str">
        <f t="shared" si="2"/>
        <v>0 3-PT FG</v>
      </c>
      <c r="AE65" s="83" t="str">
        <f t="shared" si="3"/>
        <v>0 FT</v>
      </c>
      <c r="AF65" s="83" t="str">
        <f t="shared" si="4"/>
        <v>0 RPG</v>
      </c>
      <c r="AG65" s="83" t="str">
        <f t="shared" si="5"/>
        <v>0 APG</v>
      </c>
      <c r="AH65" s="83" t="str">
        <f t="shared" si="6"/>
        <v>0 BPG</v>
      </c>
      <c r="AI65" s="83" t="str">
        <f t="shared" si="7"/>
        <v>0 SPG</v>
      </c>
      <c r="AJ65" s="83" t="str">
        <f t="shared" si="8"/>
        <v>0 MPG</v>
      </c>
    </row>
    <row r="66" spans="1:36" x14ac:dyDescent="0.25">
      <c r="A66" s="40">
        <v>65</v>
      </c>
      <c r="B66" s="40">
        <v>65</v>
      </c>
      <c r="C66" s="78" t="str">
        <f>Roster!$T68</f>
        <v xml:space="preserve"> </v>
      </c>
      <c r="D66" s="10"/>
      <c r="E66" s="85"/>
      <c r="F66" s="10"/>
      <c r="G66" s="85"/>
      <c r="H66" s="10"/>
      <c r="I66" s="85"/>
      <c r="J66" s="86"/>
      <c r="K66" s="79"/>
      <c r="L66" s="81">
        <f>'Player Stats'!D67</f>
        <v>0</v>
      </c>
      <c r="M66" s="81">
        <f>'Player Stats'!E67</f>
        <v>0</v>
      </c>
      <c r="N66" s="81">
        <f>'Player Stats'!F67</f>
        <v>0</v>
      </c>
      <c r="O66" s="81">
        <f>'Player Stats'!G67</f>
        <v>0</v>
      </c>
      <c r="P66" s="81">
        <f>'Player Stats'!H67</f>
        <v>0</v>
      </c>
      <c r="Q66" s="81">
        <f>'Player Stats'!I67</f>
        <v>0</v>
      </c>
      <c r="R66" s="81">
        <f>'Player Stats'!J67</f>
        <v>0</v>
      </c>
      <c r="S66" s="81">
        <f>'Player Stats'!K67</f>
        <v>0</v>
      </c>
      <c r="T66" s="81">
        <f>'Player Stats'!L67</f>
        <v>0</v>
      </c>
      <c r="U66" s="81">
        <f>'Player Stats'!M67</f>
        <v>0</v>
      </c>
      <c r="W66" s="109"/>
      <c r="X66" s="109"/>
      <c r="Y66" s="84" t="str">
        <f>'Team Info'!$B$20&amp;": "&amp;O66&amp;""</f>
        <v>Last Season: 0</v>
      </c>
      <c r="Z66" s="84" t="str">
        <f>'Team Info'!$B$20&amp;": "&amp;N66&amp;""</f>
        <v>Last Season: 0</v>
      </c>
      <c r="AB66" s="83" t="str">
        <f t="shared" si="0"/>
        <v>0 PPG</v>
      </c>
      <c r="AC66" s="83" t="str">
        <f t="shared" si="1"/>
        <v>0 FG</v>
      </c>
      <c r="AD66" s="83" t="str">
        <f t="shared" si="2"/>
        <v>0 3-PT FG</v>
      </c>
      <c r="AE66" s="83" t="str">
        <f t="shared" si="3"/>
        <v>0 FT</v>
      </c>
      <c r="AF66" s="83" t="str">
        <f t="shared" si="4"/>
        <v>0 RPG</v>
      </c>
      <c r="AG66" s="83" t="str">
        <f t="shared" si="5"/>
        <v>0 APG</v>
      </c>
      <c r="AH66" s="83" t="str">
        <f t="shared" si="6"/>
        <v>0 BPG</v>
      </c>
      <c r="AI66" s="83" t="str">
        <f t="shared" si="7"/>
        <v>0 SPG</v>
      </c>
      <c r="AJ66" s="83" t="str">
        <f t="shared" si="8"/>
        <v>0 MPG</v>
      </c>
    </row>
    <row r="67" spans="1:36" x14ac:dyDescent="0.25">
      <c r="A67" s="40">
        <v>66</v>
      </c>
      <c r="B67" s="40">
        <v>66</v>
      </c>
      <c r="C67" s="78" t="str">
        <f>Roster!$T69</f>
        <v xml:space="preserve"> </v>
      </c>
      <c r="D67" s="10"/>
      <c r="E67" s="85"/>
      <c r="F67" s="10"/>
      <c r="G67" s="85"/>
      <c r="H67" s="10"/>
      <c r="I67" s="85"/>
      <c r="J67" s="86"/>
      <c r="K67" s="79"/>
      <c r="L67" s="81">
        <f>'Player Stats'!D68</f>
        <v>0</v>
      </c>
      <c r="M67" s="81">
        <f>'Player Stats'!E68</f>
        <v>0</v>
      </c>
      <c r="N67" s="81">
        <f>'Player Stats'!F68</f>
        <v>0</v>
      </c>
      <c r="O67" s="81">
        <f>'Player Stats'!G68</f>
        <v>0</v>
      </c>
      <c r="P67" s="81">
        <f>'Player Stats'!H68</f>
        <v>0</v>
      </c>
      <c r="Q67" s="81">
        <f>'Player Stats'!I68</f>
        <v>0</v>
      </c>
      <c r="R67" s="81">
        <f>'Player Stats'!J68</f>
        <v>0</v>
      </c>
      <c r="S67" s="81">
        <f>'Player Stats'!K68</f>
        <v>0</v>
      </c>
      <c r="T67" s="81">
        <f>'Player Stats'!L68</f>
        <v>0</v>
      </c>
      <c r="U67" s="81">
        <f>'Player Stats'!M68</f>
        <v>0</v>
      </c>
      <c r="W67" s="109"/>
      <c r="X67" s="109"/>
      <c r="Y67" s="84" t="str">
        <f>'Team Info'!$B$20&amp;": "&amp;O67&amp;""</f>
        <v>Last Season: 0</v>
      </c>
      <c r="Z67" s="84" t="str">
        <f>'Team Info'!$B$20&amp;": "&amp;N67&amp;""</f>
        <v>Last Season: 0</v>
      </c>
      <c r="AB67" s="83" t="str">
        <f t="shared" ref="AB67:AB99" si="9">L67&amp;" PPG"</f>
        <v>0 PPG</v>
      </c>
      <c r="AC67" s="83" t="str">
        <f t="shared" ref="AC67:AC99" si="10">M67&amp;" FG"</f>
        <v>0 FG</v>
      </c>
      <c r="AD67" s="83" t="str">
        <f t="shared" ref="AD67:AD100" si="11">N67&amp;" 3-PT FG"</f>
        <v>0 3-PT FG</v>
      </c>
      <c r="AE67" s="83" t="str">
        <f t="shared" ref="AE67:AE99" si="12">O67&amp;" FT"</f>
        <v>0 FT</v>
      </c>
      <c r="AF67" s="83" t="str">
        <f t="shared" ref="AF67:AF99" si="13">P67&amp;" RPG"</f>
        <v>0 RPG</v>
      </c>
      <c r="AG67" s="83" t="str">
        <f t="shared" ref="AG67:AG99" si="14">Q67&amp;" APG"</f>
        <v>0 APG</v>
      </c>
      <c r="AH67" s="83" t="str">
        <f t="shared" ref="AH67:AH99" si="15">R67&amp;" BPG"</f>
        <v>0 BPG</v>
      </c>
      <c r="AI67" s="83" t="str">
        <f t="shared" ref="AI67:AI99" si="16">S67&amp;" SPG"</f>
        <v>0 SPG</v>
      </c>
      <c r="AJ67" s="83" t="str">
        <f t="shared" ref="AJ67:AJ99" si="17">T67&amp;" MPG"</f>
        <v>0 MPG</v>
      </c>
    </row>
    <row r="68" spans="1:36" x14ac:dyDescent="0.25">
      <c r="A68" s="40">
        <v>67</v>
      </c>
      <c r="B68" s="40">
        <v>67</v>
      </c>
      <c r="C68" s="78" t="str">
        <f>Roster!$T70</f>
        <v xml:space="preserve"> </v>
      </c>
      <c r="D68" s="10"/>
      <c r="E68" s="85"/>
      <c r="F68" s="10"/>
      <c r="G68" s="85"/>
      <c r="H68" s="10"/>
      <c r="I68" s="85"/>
      <c r="J68" s="86"/>
      <c r="K68" s="79"/>
      <c r="L68" s="81">
        <f>'Player Stats'!D69</f>
        <v>0</v>
      </c>
      <c r="M68" s="81">
        <f>'Player Stats'!E69</f>
        <v>0</v>
      </c>
      <c r="N68" s="81">
        <f>'Player Stats'!F69</f>
        <v>0</v>
      </c>
      <c r="O68" s="81">
        <f>'Player Stats'!G69</f>
        <v>0</v>
      </c>
      <c r="P68" s="81">
        <f>'Player Stats'!H69</f>
        <v>0</v>
      </c>
      <c r="Q68" s="81">
        <f>'Player Stats'!I69</f>
        <v>0</v>
      </c>
      <c r="R68" s="81">
        <f>'Player Stats'!J69</f>
        <v>0</v>
      </c>
      <c r="S68" s="81">
        <f>'Player Stats'!K69</f>
        <v>0</v>
      </c>
      <c r="T68" s="81">
        <f>'Player Stats'!L69</f>
        <v>0</v>
      </c>
      <c r="U68" s="81">
        <f>'Player Stats'!M69</f>
        <v>0</v>
      </c>
      <c r="W68" s="109"/>
      <c r="X68" s="109"/>
      <c r="Y68" s="84" t="str">
        <f>'Team Info'!$B$20&amp;": "&amp;O68&amp;""</f>
        <v>Last Season: 0</v>
      </c>
      <c r="Z68" s="84" t="str">
        <f>'Team Info'!$B$20&amp;": "&amp;N68&amp;""</f>
        <v>Last Season: 0</v>
      </c>
      <c r="AB68" s="83" t="str">
        <f t="shared" si="9"/>
        <v>0 PPG</v>
      </c>
      <c r="AC68" s="83" t="str">
        <f t="shared" si="10"/>
        <v>0 FG</v>
      </c>
      <c r="AD68" s="83" t="str">
        <f t="shared" si="11"/>
        <v>0 3-PT FG</v>
      </c>
      <c r="AE68" s="83" t="str">
        <f t="shared" si="12"/>
        <v>0 FT</v>
      </c>
      <c r="AF68" s="83" t="str">
        <f t="shared" si="13"/>
        <v>0 RPG</v>
      </c>
      <c r="AG68" s="83" t="str">
        <f t="shared" si="14"/>
        <v>0 APG</v>
      </c>
      <c r="AH68" s="83" t="str">
        <f t="shared" si="15"/>
        <v>0 BPG</v>
      </c>
      <c r="AI68" s="83" t="str">
        <f t="shared" si="16"/>
        <v>0 SPG</v>
      </c>
      <c r="AJ68" s="83" t="str">
        <f t="shared" si="17"/>
        <v>0 MPG</v>
      </c>
    </row>
    <row r="69" spans="1:36" x14ac:dyDescent="0.25">
      <c r="A69" s="40">
        <v>68</v>
      </c>
      <c r="B69" s="40">
        <v>68</v>
      </c>
      <c r="C69" s="78" t="str">
        <f>Roster!$T71</f>
        <v xml:space="preserve"> </v>
      </c>
      <c r="D69" s="10"/>
      <c r="E69" s="85"/>
      <c r="F69" s="10"/>
      <c r="G69" s="85"/>
      <c r="H69" s="10"/>
      <c r="I69" s="85"/>
      <c r="J69" s="86"/>
      <c r="K69" s="79"/>
      <c r="L69" s="81">
        <f>'Player Stats'!D70</f>
        <v>0</v>
      </c>
      <c r="M69" s="81">
        <f>'Player Stats'!E70</f>
        <v>0</v>
      </c>
      <c r="N69" s="81">
        <f>'Player Stats'!F70</f>
        <v>0</v>
      </c>
      <c r="O69" s="81">
        <f>'Player Stats'!G70</f>
        <v>0</v>
      </c>
      <c r="P69" s="81">
        <f>'Player Stats'!H70</f>
        <v>0</v>
      </c>
      <c r="Q69" s="81">
        <f>'Player Stats'!I70</f>
        <v>0</v>
      </c>
      <c r="R69" s="81">
        <f>'Player Stats'!J70</f>
        <v>0</v>
      </c>
      <c r="S69" s="81">
        <f>'Player Stats'!K70</f>
        <v>0</v>
      </c>
      <c r="T69" s="81">
        <f>'Player Stats'!L70</f>
        <v>0</v>
      </c>
      <c r="U69" s="81">
        <f>'Player Stats'!M70</f>
        <v>0</v>
      </c>
      <c r="W69" s="109"/>
      <c r="X69" s="109"/>
      <c r="Y69" s="84" t="str">
        <f>'Team Info'!$B$20&amp;": "&amp;O69&amp;""</f>
        <v>Last Season: 0</v>
      </c>
      <c r="Z69" s="84" t="str">
        <f>'Team Info'!$B$20&amp;": "&amp;N69&amp;""</f>
        <v>Last Season: 0</v>
      </c>
      <c r="AB69" s="83" t="str">
        <f t="shared" si="9"/>
        <v>0 PPG</v>
      </c>
      <c r="AC69" s="83" t="str">
        <f t="shared" si="10"/>
        <v>0 FG</v>
      </c>
      <c r="AD69" s="83" t="str">
        <f t="shared" si="11"/>
        <v>0 3-PT FG</v>
      </c>
      <c r="AE69" s="83" t="str">
        <f t="shared" si="12"/>
        <v>0 FT</v>
      </c>
      <c r="AF69" s="83" t="str">
        <f t="shared" si="13"/>
        <v>0 RPG</v>
      </c>
      <c r="AG69" s="83" t="str">
        <f t="shared" si="14"/>
        <v>0 APG</v>
      </c>
      <c r="AH69" s="83" t="str">
        <f t="shared" si="15"/>
        <v>0 BPG</v>
      </c>
      <c r="AI69" s="83" t="str">
        <f t="shared" si="16"/>
        <v>0 SPG</v>
      </c>
      <c r="AJ69" s="83" t="str">
        <f t="shared" si="17"/>
        <v>0 MPG</v>
      </c>
    </row>
    <row r="70" spans="1:36" x14ac:dyDescent="0.25">
      <c r="A70" s="40">
        <v>69</v>
      </c>
      <c r="B70" s="40">
        <v>69</v>
      </c>
      <c r="C70" s="78" t="str">
        <f>Roster!$T72</f>
        <v xml:space="preserve"> </v>
      </c>
      <c r="D70" s="10"/>
      <c r="E70" s="85"/>
      <c r="F70" s="10"/>
      <c r="G70" s="85"/>
      <c r="H70" s="10"/>
      <c r="I70" s="85"/>
      <c r="J70" s="86"/>
      <c r="K70" s="79"/>
      <c r="L70" s="81">
        <f>'Player Stats'!D71</f>
        <v>0</v>
      </c>
      <c r="M70" s="81">
        <f>'Player Stats'!E71</f>
        <v>0</v>
      </c>
      <c r="N70" s="81">
        <f>'Player Stats'!F71</f>
        <v>0</v>
      </c>
      <c r="O70" s="81">
        <f>'Player Stats'!G71</f>
        <v>0</v>
      </c>
      <c r="P70" s="81">
        <f>'Player Stats'!H71</f>
        <v>0</v>
      </c>
      <c r="Q70" s="81">
        <f>'Player Stats'!I71</f>
        <v>0</v>
      </c>
      <c r="R70" s="81">
        <f>'Player Stats'!J71</f>
        <v>0</v>
      </c>
      <c r="S70" s="81">
        <f>'Player Stats'!K71</f>
        <v>0</v>
      </c>
      <c r="T70" s="81">
        <f>'Player Stats'!L71</f>
        <v>0</v>
      </c>
      <c r="U70" s="81">
        <f>'Player Stats'!M71</f>
        <v>0</v>
      </c>
      <c r="W70" s="109"/>
      <c r="X70" s="109"/>
      <c r="Y70" s="84" t="str">
        <f>'Team Info'!$B$20&amp;": "&amp;O70&amp;""</f>
        <v>Last Season: 0</v>
      </c>
      <c r="Z70" s="84" t="str">
        <f>'Team Info'!$B$20&amp;": "&amp;N70&amp;""</f>
        <v>Last Season: 0</v>
      </c>
      <c r="AB70" s="83" t="str">
        <f t="shared" si="9"/>
        <v>0 PPG</v>
      </c>
      <c r="AC70" s="83" t="str">
        <f t="shared" si="10"/>
        <v>0 FG</v>
      </c>
      <c r="AD70" s="83" t="str">
        <f t="shared" si="11"/>
        <v>0 3-PT FG</v>
      </c>
      <c r="AE70" s="83" t="str">
        <f t="shared" si="12"/>
        <v>0 FT</v>
      </c>
      <c r="AF70" s="83" t="str">
        <f t="shared" si="13"/>
        <v>0 RPG</v>
      </c>
      <c r="AG70" s="83" t="str">
        <f t="shared" si="14"/>
        <v>0 APG</v>
      </c>
      <c r="AH70" s="83" t="str">
        <f t="shared" si="15"/>
        <v>0 BPG</v>
      </c>
      <c r="AI70" s="83" t="str">
        <f t="shared" si="16"/>
        <v>0 SPG</v>
      </c>
      <c r="AJ70" s="83" t="str">
        <f t="shared" si="17"/>
        <v>0 MPG</v>
      </c>
    </row>
    <row r="71" spans="1:36" x14ac:dyDescent="0.25">
      <c r="A71" s="40">
        <v>70</v>
      </c>
      <c r="B71" s="40">
        <v>70</v>
      </c>
      <c r="C71" s="78" t="str">
        <f>Roster!$T73</f>
        <v xml:space="preserve"> </v>
      </c>
      <c r="D71" s="10"/>
      <c r="E71" s="85"/>
      <c r="F71" s="10"/>
      <c r="G71" s="85"/>
      <c r="H71" s="10"/>
      <c r="I71" s="85"/>
      <c r="J71" s="86"/>
      <c r="K71" s="79"/>
      <c r="L71" s="81">
        <f>'Player Stats'!D72</f>
        <v>0</v>
      </c>
      <c r="M71" s="81">
        <f>'Player Stats'!E72</f>
        <v>0</v>
      </c>
      <c r="N71" s="81">
        <f>'Player Stats'!F72</f>
        <v>0</v>
      </c>
      <c r="O71" s="81">
        <f>'Player Stats'!G72</f>
        <v>0</v>
      </c>
      <c r="P71" s="81">
        <f>'Player Stats'!H72</f>
        <v>0</v>
      </c>
      <c r="Q71" s="81">
        <f>'Player Stats'!I72</f>
        <v>0</v>
      </c>
      <c r="R71" s="81">
        <f>'Player Stats'!J72</f>
        <v>0</v>
      </c>
      <c r="S71" s="81">
        <f>'Player Stats'!K72</f>
        <v>0</v>
      </c>
      <c r="T71" s="81">
        <f>'Player Stats'!L72</f>
        <v>0</v>
      </c>
      <c r="U71" s="81">
        <f>'Player Stats'!M72</f>
        <v>0</v>
      </c>
      <c r="W71" s="109"/>
      <c r="X71" s="109"/>
      <c r="Y71" s="84" t="str">
        <f>'Team Info'!$B$20&amp;": "&amp;O71&amp;""</f>
        <v>Last Season: 0</v>
      </c>
      <c r="Z71" s="84" t="str">
        <f>'Team Info'!$B$20&amp;": "&amp;N71&amp;""</f>
        <v>Last Season: 0</v>
      </c>
      <c r="AB71" s="83" t="str">
        <f t="shared" si="9"/>
        <v>0 PPG</v>
      </c>
      <c r="AC71" s="83" t="str">
        <f t="shared" si="10"/>
        <v>0 FG</v>
      </c>
      <c r="AD71" s="83" t="str">
        <f t="shared" si="11"/>
        <v>0 3-PT FG</v>
      </c>
      <c r="AE71" s="83" t="str">
        <f t="shared" si="12"/>
        <v>0 FT</v>
      </c>
      <c r="AF71" s="83" t="str">
        <f t="shared" si="13"/>
        <v>0 RPG</v>
      </c>
      <c r="AG71" s="83" t="str">
        <f t="shared" si="14"/>
        <v>0 APG</v>
      </c>
      <c r="AH71" s="83" t="str">
        <f t="shared" si="15"/>
        <v>0 BPG</v>
      </c>
      <c r="AI71" s="83" t="str">
        <f t="shared" si="16"/>
        <v>0 SPG</v>
      </c>
      <c r="AJ71" s="83" t="str">
        <f t="shared" si="17"/>
        <v>0 MPG</v>
      </c>
    </row>
    <row r="72" spans="1:36" x14ac:dyDescent="0.25">
      <c r="A72" s="40">
        <v>71</v>
      </c>
      <c r="B72" s="40">
        <v>71</v>
      </c>
      <c r="C72" s="78" t="str">
        <f>Roster!$T74</f>
        <v xml:space="preserve"> </v>
      </c>
      <c r="D72" s="10"/>
      <c r="E72" s="85"/>
      <c r="F72" s="10"/>
      <c r="G72" s="85"/>
      <c r="H72" s="10"/>
      <c r="I72" s="85"/>
      <c r="J72" s="86"/>
      <c r="K72" s="79"/>
      <c r="L72" s="81">
        <f>'Player Stats'!D73</f>
        <v>0</v>
      </c>
      <c r="M72" s="81">
        <f>'Player Stats'!E73</f>
        <v>0</v>
      </c>
      <c r="N72" s="81">
        <f>'Player Stats'!F73</f>
        <v>0</v>
      </c>
      <c r="O72" s="81">
        <f>'Player Stats'!G73</f>
        <v>0</v>
      </c>
      <c r="P72" s="81">
        <f>'Player Stats'!H73</f>
        <v>0</v>
      </c>
      <c r="Q72" s="81">
        <f>'Player Stats'!I73</f>
        <v>0</v>
      </c>
      <c r="R72" s="81">
        <f>'Player Stats'!J73</f>
        <v>0</v>
      </c>
      <c r="S72" s="81">
        <f>'Player Stats'!K73</f>
        <v>0</v>
      </c>
      <c r="T72" s="81">
        <f>'Player Stats'!L73</f>
        <v>0</v>
      </c>
      <c r="U72" s="81">
        <f>'Player Stats'!M73</f>
        <v>0</v>
      </c>
      <c r="W72" s="109"/>
      <c r="X72" s="109"/>
      <c r="Y72" s="84" t="str">
        <f>'Team Info'!$B$20&amp;": "&amp;O72&amp;""</f>
        <v>Last Season: 0</v>
      </c>
      <c r="Z72" s="84" t="str">
        <f>'Team Info'!$B$20&amp;": "&amp;N72&amp;""</f>
        <v>Last Season: 0</v>
      </c>
      <c r="AB72" s="83" t="str">
        <f t="shared" si="9"/>
        <v>0 PPG</v>
      </c>
      <c r="AC72" s="83" t="str">
        <f t="shared" si="10"/>
        <v>0 FG</v>
      </c>
      <c r="AD72" s="83" t="str">
        <f t="shared" si="11"/>
        <v>0 3-PT FG</v>
      </c>
      <c r="AE72" s="83" t="str">
        <f t="shared" si="12"/>
        <v>0 FT</v>
      </c>
      <c r="AF72" s="83" t="str">
        <f t="shared" si="13"/>
        <v>0 RPG</v>
      </c>
      <c r="AG72" s="83" t="str">
        <f t="shared" si="14"/>
        <v>0 APG</v>
      </c>
      <c r="AH72" s="83" t="str">
        <f t="shared" si="15"/>
        <v>0 BPG</v>
      </c>
      <c r="AI72" s="83" t="str">
        <f t="shared" si="16"/>
        <v>0 SPG</v>
      </c>
      <c r="AJ72" s="83" t="str">
        <f t="shared" si="17"/>
        <v>0 MPG</v>
      </c>
    </row>
    <row r="73" spans="1:36" x14ac:dyDescent="0.25">
      <c r="A73" s="40">
        <v>72</v>
      </c>
      <c r="B73" s="40">
        <v>72</v>
      </c>
      <c r="C73" s="78" t="str">
        <f>Roster!$T75</f>
        <v xml:space="preserve"> </v>
      </c>
      <c r="D73" s="10"/>
      <c r="E73" s="85"/>
      <c r="F73" s="10"/>
      <c r="G73" s="85"/>
      <c r="H73" s="10"/>
      <c r="I73" s="85"/>
      <c r="J73" s="86"/>
      <c r="K73" s="79"/>
      <c r="L73" s="81">
        <f>'Player Stats'!D74</f>
        <v>0</v>
      </c>
      <c r="M73" s="81">
        <f>'Player Stats'!E74</f>
        <v>0</v>
      </c>
      <c r="N73" s="81">
        <f>'Player Stats'!F74</f>
        <v>0</v>
      </c>
      <c r="O73" s="81">
        <f>'Player Stats'!G74</f>
        <v>0</v>
      </c>
      <c r="P73" s="81">
        <f>'Player Stats'!H74</f>
        <v>0</v>
      </c>
      <c r="Q73" s="81">
        <f>'Player Stats'!I74</f>
        <v>0</v>
      </c>
      <c r="R73" s="81">
        <f>'Player Stats'!J74</f>
        <v>0</v>
      </c>
      <c r="S73" s="81">
        <f>'Player Stats'!K74</f>
        <v>0</v>
      </c>
      <c r="T73" s="81">
        <f>'Player Stats'!L74</f>
        <v>0</v>
      </c>
      <c r="U73" s="81">
        <f>'Player Stats'!M74</f>
        <v>0</v>
      </c>
      <c r="W73" s="109"/>
      <c r="X73" s="109"/>
      <c r="Y73" s="84" t="str">
        <f>'Team Info'!$B$20&amp;": "&amp;O73&amp;""</f>
        <v>Last Season: 0</v>
      </c>
      <c r="Z73" s="84" t="str">
        <f>'Team Info'!$B$20&amp;": "&amp;N73&amp;""</f>
        <v>Last Season: 0</v>
      </c>
      <c r="AB73" s="83" t="str">
        <f t="shared" si="9"/>
        <v>0 PPG</v>
      </c>
      <c r="AC73" s="83" t="str">
        <f t="shared" si="10"/>
        <v>0 FG</v>
      </c>
      <c r="AD73" s="83" t="str">
        <f t="shared" si="11"/>
        <v>0 3-PT FG</v>
      </c>
      <c r="AE73" s="83" t="str">
        <f t="shared" si="12"/>
        <v>0 FT</v>
      </c>
      <c r="AF73" s="83" t="str">
        <f t="shared" si="13"/>
        <v>0 RPG</v>
      </c>
      <c r="AG73" s="83" t="str">
        <f t="shared" si="14"/>
        <v>0 APG</v>
      </c>
      <c r="AH73" s="83" t="str">
        <f t="shared" si="15"/>
        <v>0 BPG</v>
      </c>
      <c r="AI73" s="83" t="str">
        <f t="shared" si="16"/>
        <v>0 SPG</v>
      </c>
      <c r="AJ73" s="83" t="str">
        <f t="shared" si="17"/>
        <v>0 MPG</v>
      </c>
    </row>
    <row r="74" spans="1:36" x14ac:dyDescent="0.25">
      <c r="A74" s="40">
        <v>73</v>
      </c>
      <c r="B74" s="40">
        <v>73</v>
      </c>
      <c r="C74" s="78" t="str">
        <f>Roster!$T76</f>
        <v xml:space="preserve"> </v>
      </c>
      <c r="D74" s="10"/>
      <c r="E74" s="85"/>
      <c r="F74" s="10"/>
      <c r="G74" s="85"/>
      <c r="H74" s="10"/>
      <c r="I74" s="85"/>
      <c r="J74" s="86"/>
      <c r="K74" s="79"/>
      <c r="L74" s="81">
        <f>'Player Stats'!D75</f>
        <v>0</v>
      </c>
      <c r="M74" s="81">
        <f>'Player Stats'!E75</f>
        <v>0</v>
      </c>
      <c r="N74" s="81">
        <f>'Player Stats'!F75</f>
        <v>0</v>
      </c>
      <c r="O74" s="81">
        <f>'Player Stats'!G75</f>
        <v>0</v>
      </c>
      <c r="P74" s="81">
        <f>'Player Stats'!H75</f>
        <v>0</v>
      </c>
      <c r="Q74" s="81">
        <f>'Player Stats'!I75</f>
        <v>0</v>
      </c>
      <c r="R74" s="81">
        <f>'Player Stats'!J75</f>
        <v>0</v>
      </c>
      <c r="S74" s="81">
        <f>'Player Stats'!K75</f>
        <v>0</v>
      </c>
      <c r="T74" s="81">
        <f>'Player Stats'!L75</f>
        <v>0</v>
      </c>
      <c r="U74" s="81">
        <f>'Player Stats'!M75</f>
        <v>0</v>
      </c>
      <c r="W74" s="109"/>
      <c r="X74" s="109"/>
      <c r="Y74" s="84" t="str">
        <f>'Team Info'!$B$20&amp;": "&amp;O74&amp;""</f>
        <v>Last Season: 0</v>
      </c>
      <c r="Z74" s="84" t="str">
        <f>'Team Info'!$B$20&amp;": "&amp;N74&amp;""</f>
        <v>Last Season: 0</v>
      </c>
      <c r="AB74" s="83" t="str">
        <f t="shared" si="9"/>
        <v>0 PPG</v>
      </c>
      <c r="AC74" s="83" t="str">
        <f t="shared" si="10"/>
        <v>0 FG</v>
      </c>
      <c r="AD74" s="83" t="str">
        <f t="shared" si="11"/>
        <v>0 3-PT FG</v>
      </c>
      <c r="AE74" s="83" t="str">
        <f t="shared" si="12"/>
        <v>0 FT</v>
      </c>
      <c r="AF74" s="83" t="str">
        <f t="shared" si="13"/>
        <v>0 RPG</v>
      </c>
      <c r="AG74" s="83" t="str">
        <f t="shared" si="14"/>
        <v>0 APG</v>
      </c>
      <c r="AH74" s="83" t="str">
        <f t="shared" si="15"/>
        <v>0 BPG</v>
      </c>
      <c r="AI74" s="83" t="str">
        <f t="shared" si="16"/>
        <v>0 SPG</v>
      </c>
      <c r="AJ74" s="83" t="str">
        <f t="shared" si="17"/>
        <v>0 MPG</v>
      </c>
    </row>
    <row r="75" spans="1:36" x14ac:dyDescent="0.25">
      <c r="A75" s="40">
        <v>74</v>
      </c>
      <c r="B75" s="40">
        <v>74</v>
      </c>
      <c r="C75" s="78" t="str">
        <f>Roster!$T77</f>
        <v xml:space="preserve"> </v>
      </c>
      <c r="D75" s="10"/>
      <c r="E75" s="85"/>
      <c r="F75" s="10"/>
      <c r="G75" s="85"/>
      <c r="H75" s="10"/>
      <c r="I75" s="85"/>
      <c r="J75" s="86"/>
      <c r="K75" s="79"/>
      <c r="L75" s="81">
        <f>'Player Stats'!D76</f>
        <v>0</v>
      </c>
      <c r="M75" s="81">
        <f>'Player Stats'!E76</f>
        <v>0</v>
      </c>
      <c r="N75" s="81">
        <f>'Player Stats'!F76</f>
        <v>0</v>
      </c>
      <c r="O75" s="81">
        <f>'Player Stats'!G76</f>
        <v>0</v>
      </c>
      <c r="P75" s="81">
        <f>'Player Stats'!H76</f>
        <v>0</v>
      </c>
      <c r="Q75" s="81">
        <f>'Player Stats'!I76</f>
        <v>0</v>
      </c>
      <c r="R75" s="81">
        <f>'Player Stats'!J76</f>
        <v>0</v>
      </c>
      <c r="S75" s="81">
        <f>'Player Stats'!K76</f>
        <v>0</v>
      </c>
      <c r="T75" s="81">
        <f>'Player Stats'!L76</f>
        <v>0</v>
      </c>
      <c r="U75" s="81">
        <f>'Player Stats'!M76</f>
        <v>0</v>
      </c>
      <c r="W75" s="109"/>
      <c r="X75" s="109"/>
      <c r="Y75" s="84" t="str">
        <f>'Team Info'!$B$20&amp;": "&amp;O75&amp;""</f>
        <v>Last Season: 0</v>
      </c>
      <c r="Z75" s="84" t="str">
        <f>'Team Info'!$B$20&amp;": "&amp;N75&amp;""</f>
        <v>Last Season: 0</v>
      </c>
      <c r="AB75" s="83" t="str">
        <f t="shared" si="9"/>
        <v>0 PPG</v>
      </c>
      <c r="AC75" s="83" t="str">
        <f t="shared" si="10"/>
        <v>0 FG</v>
      </c>
      <c r="AD75" s="83" t="str">
        <f t="shared" si="11"/>
        <v>0 3-PT FG</v>
      </c>
      <c r="AE75" s="83" t="str">
        <f t="shared" si="12"/>
        <v>0 FT</v>
      </c>
      <c r="AF75" s="83" t="str">
        <f t="shared" si="13"/>
        <v>0 RPG</v>
      </c>
      <c r="AG75" s="83" t="str">
        <f t="shared" si="14"/>
        <v>0 APG</v>
      </c>
      <c r="AH75" s="83" t="str">
        <f t="shared" si="15"/>
        <v>0 BPG</v>
      </c>
      <c r="AI75" s="83" t="str">
        <f t="shared" si="16"/>
        <v>0 SPG</v>
      </c>
      <c r="AJ75" s="83" t="str">
        <f t="shared" si="17"/>
        <v>0 MPG</v>
      </c>
    </row>
    <row r="76" spans="1:36" x14ac:dyDescent="0.25">
      <c r="A76" s="40">
        <v>75</v>
      </c>
      <c r="B76" s="40">
        <v>75</v>
      </c>
      <c r="C76" s="78" t="str">
        <f>Roster!$T78</f>
        <v xml:space="preserve"> </v>
      </c>
      <c r="D76" s="10"/>
      <c r="E76" s="85"/>
      <c r="F76" s="10"/>
      <c r="G76" s="85"/>
      <c r="H76" s="10"/>
      <c r="I76" s="85"/>
      <c r="J76" s="86"/>
      <c r="K76" s="79"/>
      <c r="L76" s="81" t="s">
        <v>62</v>
      </c>
      <c r="M76" s="81" t="s">
        <v>62</v>
      </c>
      <c r="N76" s="81">
        <f>'Player Stats'!F77</f>
        <v>0</v>
      </c>
      <c r="O76" s="81" t="s">
        <v>62</v>
      </c>
      <c r="P76" s="81">
        <f>'Player Stats'!H77</f>
        <v>0</v>
      </c>
      <c r="Q76" s="81" t="s">
        <v>62</v>
      </c>
      <c r="R76" s="81">
        <f>'Player Stats'!J77</f>
        <v>0</v>
      </c>
      <c r="S76" s="81" t="s">
        <v>62</v>
      </c>
      <c r="T76" s="81">
        <f>'Player Stats'!L77</f>
        <v>0</v>
      </c>
      <c r="U76" s="81">
        <f>'Player Stats'!M77</f>
        <v>0</v>
      </c>
      <c r="W76" s="109"/>
      <c r="X76" s="109"/>
      <c r="Y76" s="84" t="str">
        <f>'Team Info'!$B$20&amp;": "&amp;O76&amp;""</f>
        <v>Last Season: 0</v>
      </c>
      <c r="Z76" s="84" t="str">
        <f>'Team Info'!$B$20&amp;": "&amp;N76&amp;""</f>
        <v>Last Season: 0</v>
      </c>
      <c r="AB76" s="83" t="str">
        <f t="shared" si="9"/>
        <v>0 PPG</v>
      </c>
      <c r="AC76" s="83" t="str">
        <f t="shared" si="10"/>
        <v>0 FG</v>
      </c>
      <c r="AD76" s="83" t="str">
        <f t="shared" si="11"/>
        <v>0 3-PT FG</v>
      </c>
      <c r="AE76" s="83" t="str">
        <f t="shared" si="12"/>
        <v>0 FT</v>
      </c>
      <c r="AF76" s="83" t="str">
        <f t="shared" si="13"/>
        <v>0 RPG</v>
      </c>
      <c r="AG76" s="83" t="str">
        <f t="shared" si="14"/>
        <v>0 APG</v>
      </c>
      <c r="AH76" s="83" t="str">
        <f t="shared" si="15"/>
        <v>0 BPG</v>
      </c>
      <c r="AI76" s="83" t="str">
        <f t="shared" si="16"/>
        <v>0 SPG</v>
      </c>
      <c r="AJ76" s="83" t="str">
        <f t="shared" si="17"/>
        <v>0 MPG</v>
      </c>
    </row>
    <row r="77" spans="1:36" x14ac:dyDescent="0.25">
      <c r="A77" s="40">
        <v>76</v>
      </c>
      <c r="B77" s="40">
        <v>76</v>
      </c>
      <c r="C77" s="78" t="str">
        <f>Roster!$T79</f>
        <v xml:space="preserve"> </v>
      </c>
      <c r="D77" s="10"/>
      <c r="E77" s="85"/>
      <c r="F77" s="10"/>
      <c r="G77" s="85"/>
      <c r="H77" s="10"/>
      <c r="I77" s="85"/>
      <c r="J77" s="86"/>
      <c r="K77" s="79"/>
      <c r="L77" s="81">
        <f>'Player Stats'!D78</f>
        <v>0</v>
      </c>
      <c r="M77" s="81">
        <f>'Player Stats'!E78</f>
        <v>0</v>
      </c>
      <c r="N77" s="81">
        <f>'Player Stats'!F78</f>
        <v>0</v>
      </c>
      <c r="O77" s="81">
        <f>'Player Stats'!G78</f>
        <v>0</v>
      </c>
      <c r="P77" s="81">
        <f>'Player Stats'!H78</f>
        <v>0</v>
      </c>
      <c r="Q77" s="81">
        <f>'Player Stats'!I78</f>
        <v>0</v>
      </c>
      <c r="R77" s="81">
        <f>'Player Stats'!J78</f>
        <v>0</v>
      </c>
      <c r="S77" s="81">
        <f>'Player Stats'!K78</f>
        <v>0</v>
      </c>
      <c r="T77" s="81">
        <f>'Player Stats'!L78</f>
        <v>0</v>
      </c>
      <c r="U77" s="81">
        <f>'Player Stats'!M78</f>
        <v>0</v>
      </c>
      <c r="W77" s="109"/>
      <c r="X77" s="109"/>
      <c r="Y77" s="84" t="str">
        <f>'Team Info'!$B$20&amp;": "&amp;O77&amp;""</f>
        <v>Last Season: 0</v>
      </c>
      <c r="Z77" s="84" t="str">
        <f>'Team Info'!$B$20&amp;": "&amp;N77&amp;""</f>
        <v>Last Season: 0</v>
      </c>
      <c r="AB77" s="83" t="str">
        <f t="shared" si="9"/>
        <v>0 PPG</v>
      </c>
      <c r="AC77" s="83" t="str">
        <f t="shared" si="10"/>
        <v>0 FG</v>
      </c>
      <c r="AD77" s="83" t="str">
        <f t="shared" si="11"/>
        <v>0 3-PT FG</v>
      </c>
      <c r="AE77" s="83" t="str">
        <f t="shared" si="12"/>
        <v>0 FT</v>
      </c>
      <c r="AF77" s="83" t="str">
        <f t="shared" si="13"/>
        <v>0 RPG</v>
      </c>
      <c r="AG77" s="83" t="str">
        <f t="shared" si="14"/>
        <v>0 APG</v>
      </c>
      <c r="AH77" s="83" t="str">
        <f t="shared" si="15"/>
        <v>0 BPG</v>
      </c>
      <c r="AI77" s="83" t="str">
        <f t="shared" si="16"/>
        <v>0 SPG</v>
      </c>
      <c r="AJ77" s="83" t="str">
        <f t="shared" si="17"/>
        <v>0 MPG</v>
      </c>
    </row>
    <row r="78" spans="1:36" x14ac:dyDescent="0.25">
      <c r="A78" s="40">
        <v>77</v>
      </c>
      <c r="B78" s="40">
        <v>77</v>
      </c>
      <c r="C78" s="78" t="str">
        <f>Roster!$T80</f>
        <v xml:space="preserve"> </v>
      </c>
      <c r="D78" s="10"/>
      <c r="E78" s="85"/>
      <c r="F78" s="10"/>
      <c r="G78" s="85"/>
      <c r="H78" s="10"/>
      <c r="I78" s="85"/>
      <c r="J78" s="86"/>
      <c r="K78" s="79"/>
      <c r="L78" s="81">
        <f>'Player Stats'!D79</f>
        <v>0</v>
      </c>
      <c r="M78" s="81">
        <f>'Player Stats'!E79</f>
        <v>0</v>
      </c>
      <c r="N78" s="81">
        <f>'Player Stats'!F79</f>
        <v>0</v>
      </c>
      <c r="O78" s="81">
        <f>'Player Stats'!G79</f>
        <v>0</v>
      </c>
      <c r="P78" s="81">
        <f>'Player Stats'!H79</f>
        <v>0</v>
      </c>
      <c r="Q78" s="81">
        <f>'Player Stats'!I79</f>
        <v>0</v>
      </c>
      <c r="R78" s="81">
        <f>'Player Stats'!J79</f>
        <v>0</v>
      </c>
      <c r="S78" s="81">
        <f>'Player Stats'!K79</f>
        <v>0</v>
      </c>
      <c r="T78" s="81">
        <f>'Player Stats'!L79</f>
        <v>0</v>
      </c>
      <c r="U78" s="81">
        <f>'Player Stats'!M79</f>
        <v>0</v>
      </c>
      <c r="W78" s="109"/>
      <c r="X78" s="109"/>
      <c r="Y78" s="84" t="str">
        <f>'Team Info'!$B$20&amp;": "&amp;O78&amp;""</f>
        <v>Last Season: 0</v>
      </c>
      <c r="Z78" s="84" t="str">
        <f>'Team Info'!$B$20&amp;": "&amp;N78&amp;""</f>
        <v>Last Season: 0</v>
      </c>
      <c r="AB78" s="83" t="str">
        <f t="shared" si="9"/>
        <v>0 PPG</v>
      </c>
      <c r="AC78" s="83" t="str">
        <f t="shared" si="10"/>
        <v>0 FG</v>
      </c>
      <c r="AD78" s="83" t="str">
        <f t="shared" si="11"/>
        <v>0 3-PT FG</v>
      </c>
      <c r="AE78" s="83" t="str">
        <f t="shared" si="12"/>
        <v>0 FT</v>
      </c>
      <c r="AF78" s="83" t="str">
        <f t="shared" si="13"/>
        <v>0 RPG</v>
      </c>
      <c r="AG78" s="83" t="str">
        <f t="shared" si="14"/>
        <v>0 APG</v>
      </c>
      <c r="AH78" s="83" t="str">
        <f t="shared" si="15"/>
        <v>0 BPG</v>
      </c>
      <c r="AI78" s="83" t="str">
        <f t="shared" si="16"/>
        <v>0 SPG</v>
      </c>
      <c r="AJ78" s="83" t="str">
        <f t="shared" si="17"/>
        <v>0 MPG</v>
      </c>
    </row>
    <row r="79" spans="1:36" x14ac:dyDescent="0.25">
      <c r="A79" s="40">
        <v>78</v>
      </c>
      <c r="B79" s="40">
        <v>78</v>
      </c>
      <c r="C79" s="78" t="str">
        <f>Roster!$T81</f>
        <v xml:space="preserve"> </v>
      </c>
      <c r="D79" s="10"/>
      <c r="E79" s="85"/>
      <c r="F79" s="10"/>
      <c r="G79" s="85"/>
      <c r="H79" s="10"/>
      <c r="I79" s="85"/>
      <c r="J79" s="86"/>
      <c r="K79" s="79"/>
      <c r="L79" s="81">
        <f>'Player Stats'!D80</f>
        <v>0</v>
      </c>
      <c r="M79" s="81">
        <f>'Player Stats'!E80</f>
        <v>0</v>
      </c>
      <c r="N79" s="81">
        <f>'Player Stats'!F80</f>
        <v>0</v>
      </c>
      <c r="O79" s="81">
        <f>'Player Stats'!G80</f>
        <v>0</v>
      </c>
      <c r="P79" s="81">
        <f>'Player Stats'!H80</f>
        <v>0</v>
      </c>
      <c r="Q79" s="81">
        <f>'Player Stats'!I80</f>
        <v>0</v>
      </c>
      <c r="R79" s="81">
        <f>'Player Stats'!J80</f>
        <v>0</v>
      </c>
      <c r="S79" s="81">
        <f>'Player Stats'!K80</f>
        <v>0</v>
      </c>
      <c r="T79" s="81">
        <f>'Player Stats'!L80</f>
        <v>0</v>
      </c>
      <c r="U79" s="81">
        <f>'Player Stats'!M80</f>
        <v>0</v>
      </c>
      <c r="W79" s="109"/>
      <c r="X79" s="109"/>
      <c r="Y79" s="84" t="str">
        <f>'Team Info'!$B$20&amp;": "&amp;O79&amp;""</f>
        <v>Last Season: 0</v>
      </c>
      <c r="Z79" s="84" t="str">
        <f>'Team Info'!$B$20&amp;": "&amp;N79&amp;""</f>
        <v>Last Season: 0</v>
      </c>
      <c r="AB79" s="83" t="str">
        <f t="shared" si="9"/>
        <v>0 PPG</v>
      </c>
      <c r="AC79" s="83" t="str">
        <f t="shared" si="10"/>
        <v>0 FG</v>
      </c>
      <c r="AD79" s="83" t="str">
        <f t="shared" si="11"/>
        <v>0 3-PT FG</v>
      </c>
      <c r="AE79" s="83" t="str">
        <f t="shared" si="12"/>
        <v>0 FT</v>
      </c>
      <c r="AF79" s="83" t="str">
        <f t="shared" si="13"/>
        <v>0 RPG</v>
      </c>
      <c r="AG79" s="83" t="str">
        <f t="shared" si="14"/>
        <v>0 APG</v>
      </c>
      <c r="AH79" s="83" t="str">
        <f t="shared" si="15"/>
        <v>0 BPG</v>
      </c>
      <c r="AI79" s="83" t="str">
        <f t="shared" si="16"/>
        <v>0 SPG</v>
      </c>
      <c r="AJ79" s="83" t="str">
        <f t="shared" si="17"/>
        <v>0 MPG</v>
      </c>
    </row>
    <row r="80" spans="1:36" x14ac:dyDescent="0.25">
      <c r="A80" s="40">
        <v>79</v>
      </c>
      <c r="B80" s="40">
        <v>79</v>
      </c>
      <c r="C80" s="78" t="str">
        <f>Roster!$T82</f>
        <v xml:space="preserve"> </v>
      </c>
      <c r="D80" s="10"/>
      <c r="E80" s="85"/>
      <c r="F80" s="10"/>
      <c r="G80" s="85"/>
      <c r="H80" s="10"/>
      <c r="I80" s="85"/>
      <c r="J80" s="86"/>
      <c r="K80" s="79"/>
      <c r="L80" s="81">
        <f>'Player Stats'!D81</f>
        <v>0</v>
      </c>
      <c r="M80" s="81">
        <f>'Player Stats'!E81</f>
        <v>0</v>
      </c>
      <c r="N80" s="81">
        <f>'Player Stats'!F81</f>
        <v>0</v>
      </c>
      <c r="O80" s="81">
        <f>'Player Stats'!G81</f>
        <v>0</v>
      </c>
      <c r="P80" s="81">
        <f>'Player Stats'!H81</f>
        <v>0</v>
      </c>
      <c r="Q80" s="81">
        <f>'Player Stats'!I81</f>
        <v>0</v>
      </c>
      <c r="R80" s="81">
        <f>'Player Stats'!J81</f>
        <v>0</v>
      </c>
      <c r="S80" s="81">
        <f>'Player Stats'!K81</f>
        <v>0</v>
      </c>
      <c r="T80" s="81">
        <f>'Player Stats'!L81</f>
        <v>0</v>
      </c>
      <c r="U80" s="81">
        <f>'Player Stats'!M81</f>
        <v>0</v>
      </c>
      <c r="W80" s="109"/>
      <c r="X80" s="109"/>
      <c r="Y80" s="84" t="str">
        <f>'Team Info'!$B$20&amp;": "&amp;O80&amp;""</f>
        <v>Last Season: 0</v>
      </c>
      <c r="Z80" s="84" t="str">
        <f>'Team Info'!$B$20&amp;": "&amp;N80&amp;""</f>
        <v>Last Season: 0</v>
      </c>
      <c r="AB80" s="83" t="str">
        <f t="shared" si="9"/>
        <v>0 PPG</v>
      </c>
      <c r="AC80" s="83" t="str">
        <f t="shared" si="10"/>
        <v>0 FG</v>
      </c>
      <c r="AD80" s="83" t="str">
        <f t="shared" si="11"/>
        <v>0 3-PT FG</v>
      </c>
      <c r="AE80" s="83" t="str">
        <f t="shared" si="12"/>
        <v>0 FT</v>
      </c>
      <c r="AF80" s="83" t="str">
        <f t="shared" si="13"/>
        <v>0 RPG</v>
      </c>
      <c r="AG80" s="83" t="str">
        <f t="shared" si="14"/>
        <v>0 APG</v>
      </c>
      <c r="AH80" s="83" t="str">
        <f t="shared" si="15"/>
        <v>0 BPG</v>
      </c>
      <c r="AI80" s="83" t="str">
        <f t="shared" si="16"/>
        <v>0 SPG</v>
      </c>
      <c r="AJ80" s="83" t="str">
        <f t="shared" si="17"/>
        <v>0 MPG</v>
      </c>
    </row>
    <row r="81" spans="1:36" x14ac:dyDescent="0.25">
      <c r="A81" s="40">
        <v>80</v>
      </c>
      <c r="B81" s="40">
        <v>80</v>
      </c>
      <c r="C81" s="78" t="str">
        <f>Roster!$T83</f>
        <v xml:space="preserve"> </v>
      </c>
      <c r="D81" s="10"/>
      <c r="E81" s="85"/>
      <c r="F81" s="10"/>
      <c r="G81" s="85"/>
      <c r="H81" s="10"/>
      <c r="I81" s="85"/>
      <c r="J81" s="86"/>
      <c r="K81" s="79"/>
      <c r="L81" s="81">
        <f>'Player Stats'!D82</f>
        <v>0</v>
      </c>
      <c r="M81" s="81">
        <f>'Player Stats'!E82</f>
        <v>0</v>
      </c>
      <c r="N81" s="81">
        <f>'Player Stats'!F82</f>
        <v>0</v>
      </c>
      <c r="O81" s="81">
        <f>'Player Stats'!G82</f>
        <v>0</v>
      </c>
      <c r="P81" s="81">
        <f>'Player Stats'!H82</f>
        <v>0</v>
      </c>
      <c r="Q81" s="81">
        <f>'Player Stats'!I82</f>
        <v>0</v>
      </c>
      <c r="R81" s="81">
        <f>'Player Stats'!J82</f>
        <v>0</v>
      </c>
      <c r="S81" s="81">
        <f>'Player Stats'!K82</f>
        <v>0</v>
      </c>
      <c r="T81" s="81">
        <f>'Player Stats'!L82</f>
        <v>0</v>
      </c>
      <c r="U81" s="81">
        <f>'Player Stats'!M82</f>
        <v>0</v>
      </c>
      <c r="W81" s="109"/>
      <c r="X81" s="109"/>
      <c r="Y81" s="84" t="str">
        <f>'Team Info'!$B$20&amp;": "&amp;O81&amp;""</f>
        <v>Last Season: 0</v>
      </c>
      <c r="Z81" s="84" t="str">
        <f>'Team Info'!$B$20&amp;": "&amp;N81&amp;""</f>
        <v>Last Season: 0</v>
      </c>
      <c r="AB81" s="83" t="str">
        <f t="shared" si="9"/>
        <v>0 PPG</v>
      </c>
      <c r="AC81" s="83" t="str">
        <f t="shared" si="10"/>
        <v>0 FG</v>
      </c>
      <c r="AD81" s="83" t="str">
        <f t="shared" si="11"/>
        <v>0 3-PT FG</v>
      </c>
      <c r="AE81" s="83" t="str">
        <f t="shared" si="12"/>
        <v>0 FT</v>
      </c>
      <c r="AF81" s="83" t="str">
        <f t="shared" si="13"/>
        <v>0 RPG</v>
      </c>
      <c r="AG81" s="83" t="str">
        <f t="shared" si="14"/>
        <v>0 APG</v>
      </c>
      <c r="AH81" s="83" t="str">
        <f t="shared" si="15"/>
        <v>0 BPG</v>
      </c>
      <c r="AI81" s="83" t="str">
        <f t="shared" si="16"/>
        <v>0 SPG</v>
      </c>
      <c r="AJ81" s="83" t="str">
        <f t="shared" si="17"/>
        <v>0 MPG</v>
      </c>
    </row>
    <row r="82" spans="1:36" x14ac:dyDescent="0.25">
      <c r="A82" s="40">
        <v>81</v>
      </c>
      <c r="B82" s="40">
        <v>81</v>
      </c>
      <c r="C82" s="78" t="str">
        <f>Roster!$T84</f>
        <v xml:space="preserve"> </v>
      </c>
      <c r="D82" s="10"/>
      <c r="E82" s="85"/>
      <c r="F82" s="10"/>
      <c r="G82" s="85"/>
      <c r="H82" s="10"/>
      <c r="I82" s="85"/>
      <c r="J82" s="86"/>
      <c r="K82" s="79"/>
      <c r="L82" s="81">
        <f>'Player Stats'!D83</f>
        <v>0</v>
      </c>
      <c r="M82" s="81">
        <f>'Player Stats'!E83</f>
        <v>0</v>
      </c>
      <c r="N82" s="81">
        <f>'Player Stats'!F83</f>
        <v>0</v>
      </c>
      <c r="O82" s="81">
        <f>'Player Stats'!G83</f>
        <v>0</v>
      </c>
      <c r="P82" s="81">
        <f>'Player Stats'!H83</f>
        <v>0</v>
      </c>
      <c r="Q82" s="81">
        <f>'Player Stats'!I83</f>
        <v>0</v>
      </c>
      <c r="R82" s="81">
        <f>'Player Stats'!J83</f>
        <v>0</v>
      </c>
      <c r="S82" s="81">
        <f>'Player Stats'!K83</f>
        <v>0</v>
      </c>
      <c r="T82" s="81">
        <f>'Player Stats'!L83</f>
        <v>0</v>
      </c>
      <c r="U82" s="81">
        <f>'Player Stats'!M83</f>
        <v>0</v>
      </c>
      <c r="W82" s="109"/>
      <c r="X82" s="109"/>
      <c r="Y82" s="84" t="str">
        <f>'Team Info'!$B$20&amp;": "&amp;O82&amp;""</f>
        <v>Last Season: 0</v>
      </c>
      <c r="Z82" s="84" t="str">
        <f>'Team Info'!$B$20&amp;": "&amp;N82&amp;""</f>
        <v>Last Season: 0</v>
      </c>
      <c r="AB82" s="83" t="str">
        <f t="shared" si="9"/>
        <v>0 PPG</v>
      </c>
      <c r="AC82" s="83" t="str">
        <f t="shared" si="10"/>
        <v>0 FG</v>
      </c>
      <c r="AD82" s="83" t="str">
        <f t="shared" si="11"/>
        <v>0 3-PT FG</v>
      </c>
      <c r="AE82" s="83" t="str">
        <f t="shared" si="12"/>
        <v>0 FT</v>
      </c>
      <c r="AF82" s="83" t="str">
        <f t="shared" si="13"/>
        <v>0 RPG</v>
      </c>
      <c r="AG82" s="83" t="str">
        <f t="shared" si="14"/>
        <v>0 APG</v>
      </c>
      <c r="AH82" s="83" t="str">
        <f t="shared" si="15"/>
        <v>0 BPG</v>
      </c>
      <c r="AI82" s="83" t="str">
        <f t="shared" si="16"/>
        <v>0 SPG</v>
      </c>
      <c r="AJ82" s="83" t="str">
        <f t="shared" si="17"/>
        <v>0 MPG</v>
      </c>
    </row>
    <row r="83" spans="1:36" x14ac:dyDescent="0.25">
      <c r="A83" s="40">
        <v>82</v>
      </c>
      <c r="B83" s="40">
        <v>82</v>
      </c>
      <c r="C83" s="78" t="str">
        <f>Roster!$T85</f>
        <v xml:space="preserve"> </v>
      </c>
      <c r="D83" s="10"/>
      <c r="E83" s="85"/>
      <c r="F83" s="10"/>
      <c r="G83" s="85"/>
      <c r="H83" s="10"/>
      <c r="I83" s="85"/>
      <c r="J83" s="86"/>
      <c r="K83" s="79"/>
      <c r="L83" s="81">
        <f>'Player Stats'!D84</f>
        <v>0</v>
      </c>
      <c r="M83" s="81">
        <f>'Player Stats'!E84</f>
        <v>0</v>
      </c>
      <c r="N83" s="81">
        <f>'Player Stats'!F84</f>
        <v>0</v>
      </c>
      <c r="O83" s="81">
        <f>'Player Stats'!G84</f>
        <v>0</v>
      </c>
      <c r="P83" s="81">
        <f>'Player Stats'!H84</f>
        <v>0</v>
      </c>
      <c r="Q83" s="81">
        <f>'Player Stats'!I84</f>
        <v>0</v>
      </c>
      <c r="R83" s="81">
        <f>'Player Stats'!J84</f>
        <v>0</v>
      </c>
      <c r="S83" s="81">
        <f>'Player Stats'!K84</f>
        <v>0</v>
      </c>
      <c r="T83" s="81">
        <f>'Player Stats'!L84</f>
        <v>0</v>
      </c>
      <c r="U83" s="81">
        <f>'Player Stats'!M84</f>
        <v>0</v>
      </c>
      <c r="W83" s="109"/>
      <c r="X83" s="109"/>
      <c r="Y83" s="84" t="str">
        <f>'Team Info'!$B$20&amp;": "&amp;O83&amp;""</f>
        <v>Last Season: 0</v>
      </c>
      <c r="Z83" s="84" t="str">
        <f>'Team Info'!$B$20&amp;": "&amp;N83&amp;""</f>
        <v>Last Season: 0</v>
      </c>
      <c r="AB83" s="83" t="str">
        <f t="shared" si="9"/>
        <v>0 PPG</v>
      </c>
      <c r="AC83" s="83" t="str">
        <f t="shared" si="10"/>
        <v>0 FG</v>
      </c>
      <c r="AD83" s="83" t="str">
        <f t="shared" si="11"/>
        <v>0 3-PT FG</v>
      </c>
      <c r="AE83" s="83" t="str">
        <f t="shared" si="12"/>
        <v>0 FT</v>
      </c>
      <c r="AF83" s="83" t="str">
        <f t="shared" si="13"/>
        <v>0 RPG</v>
      </c>
      <c r="AG83" s="83" t="str">
        <f t="shared" si="14"/>
        <v>0 APG</v>
      </c>
      <c r="AH83" s="83" t="str">
        <f t="shared" si="15"/>
        <v>0 BPG</v>
      </c>
      <c r="AI83" s="83" t="str">
        <f t="shared" si="16"/>
        <v>0 SPG</v>
      </c>
      <c r="AJ83" s="83" t="str">
        <f t="shared" si="17"/>
        <v>0 MPG</v>
      </c>
    </row>
    <row r="84" spans="1:36" x14ac:dyDescent="0.25">
      <c r="A84" s="40">
        <v>83</v>
      </c>
      <c r="B84" s="40">
        <v>83</v>
      </c>
      <c r="C84" s="78" t="str">
        <f>Roster!$T86</f>
        <v xml:space="preserve"> </v>
      </c>
      <c r="D84" s="10"/>
      <c r="E84" s="85"/>
      <c r="F84" s="10"/>
      <c r="G84" s="85"/>
      <c r="H84" s="10"/>
      <c r="I84" s="85"/>
      <c r="J84" s="86"/>
      <c r="K84" s="79"/>
      <c r="L84" s="81">
        <f>'Player Stats'!D85</f>
        <v>0</v>
      </c>
      <c r="M84" s="81">
        <f>'Player Stats'!E85</f>
        <v>0</v>
      </c>
      <c r="N84" s="81">
        <f>'Player Stats'!F85</f>
        <v>0</v>
      </c>
      <c r="O84" s="81">
        <f>'Player Stats'!G85</f>
        <v>0</v>
      </c>
      <c r="P84" s="81">
        <f>'Player Stats'!H85</f>
        <v>0</v>
      </c>
      <c r="Q84" s="81">
        <f>'Player Stats'!I85</f>
        <v>0</v>
      </c>
      <c r="R84" s="81">
        <f>'Player Stats'!J85</f>
        <v>0</v>
      </c>
      <c r="S84" s="81">
        <f>'Player Stats'!K85</f>
        <v>0</v>
      </c>
      <c r="T84" s="81">
        <f>'Player Stats'!L85</f>
        <v>0</v>
      </c>
      <c r="U84" s="81">
        <f>'Player Stats'!M85</f>
        <v>0</v>
      </c>
      <c r="W84" s="109"/>
      <c r="X84" s="109"/>
      <c r="Y84" s="84" t="str">
        <f>'Team Info'!$B$20&amp;": "&amp;O84&amp;""</f>
        <v>Last Season: 0</v>
      </c>
      <c r="Z84" s="84" t="str">
        <f>'Team Info'!$B$20&amp;": "&amp;N84&amp;""</f>
        <v>Last Season: 0</v>
      </c>
      <c r="AB84" s="83" t="str">
        <f t="shared" si="9"/>
        <v>0 PPG</v>
      </c>
      <c r="AC84" s="83" t="str">
        <f t="shared" si="10"/>
        <v>0 FG</v>
      </c>
      <c r="AD84" s="83" t="str">
        <f t="shared" si="11"/>
        <v>0 3-PT FG</v>
      </c>
      <c r="AE84" s="83" t="str">
        <f t="shared" si="12"/>
        <v>0 FT</v>
      </c>
      <c r="AF84" s="83" t="str">
        <f t="shared" si="13"/>
        <v>0 RPG</v>
      </c>
      <c r="AG84" s="83" t="str">
        <f t="shared" si="14"/>
        <v>0 APG</v>
      </c>
      <c r="AH84" s="83" t="str">
        <f t="shared" si="15"/>
        <v>0 BPG</v>
      </c>
      <c r="AI84" s="83" t="str">
        <f t="shared" si="16"/>
        <v>0 SPG</v>
      </c>
      <c r="AJ84" s="83" t="str">
        <f t="shared" si="17"/>
        <v>0 MPG</v>
      </c>
    </row>
    <row r="85" spans="1:36" x14ac:dyDescent="0.25">
      <c r="A85" s="40">
        <v>84</v>
      </c>
      <c r="B85" s="40">
        <v>84</v>
      </c>
      <c r="C85" s="78" t="str">
        <f>Roster!$T87</f>
        <v xml:space="preserve"> </v>
      </c>
      <c r="D85" s="10"/>
      <c r="E85" s="85"/>
      <c r="F85" s="10"/>
      <c r="G85" s="85"/>
      <c r="H85" s="10"/>
      <c r="I85" s="85"/>
      <c r="J85" s="86"/>
      <c r="K85" s="79"/>
      <c r="L85" s="81">
        <f>'Player Stats'!D86</f>
        <v>0</v>
      </c>
      <c r="M85" s="81">
        <f>'Player Stats'!E86</f>
        <v>0</v>
      </c>
      <c r="N85" s="81">
        <f>'Player Stats'!F86</f>
        <v>0</v>
      </c>
      <c r="O85" s="81">
        <f>'Player Stats'!G86</f>
        <v>0</v>
      </c>
      <c r="P85" s="81">
        <f>'Player Stats'!H86</f>
        <v>0</v>
      </c>
      <c r="Q85" s="81">
        <f>'Player Stats'!I86</f>
        <v>0</v>
      </c>
      <c r="R85" s="81">
        <f>'Player Stats'!J86</f>
        <v>0</v>
      </c>
      <c r="S85" s="81">
        <f>'Player Stats'!K86</f>
        <v>0</v>
      </c>
      <c r="T85" s="81">
        <f>'Player Stats'!L86</f>
        <v>0</v>
      </c>
      <c r="U85" s="81">
        <f>'Player Stats'!M86</f>
        <v>0</v>
      </c>
      <c r="W85" s="109"/>
      <c r="X85" s="109"/>
      <c r="Y85" s="84" t="str">
        <f>'Team Info'!$B$20&amp;": "&amp;O85&amp;""</f>
        <v>Last Season: 0</v>
      </c>
      <c r="Z85" s="84" t="str">
        <f>'Team Info'!$B$20&amp;": "&amp;N85&amp;""</f>
        <v>Last Season: 0</v>
      </c>
      <c r="AB85" s="83" t="str">
        <f t="shared" si="9"/>
        <v>0 PPG</v>
      </c>
      <c r="AC85" s="83" t="str">
        <f t="shared" si="10"/>
        <v>0 FG</v>
      </c>
      <c r="AD85" s="83" t="str">
        <f t="shared" si="11"/>
        <v>0 3-PT FG</v>
      </c>
      <c r="AE85" s="83" t="str">
        <f t="shared" si="12"/>
        <v>0 FT</v>
      </c>
      <c r="AF85" s="83" t="str">
        <f t="shared" si="13"/>
        <v>0 RPG</v>
      </c>
      <c r="AG85" s="83" t="str">
        <f t="shared" si="14"/>
        <v>0 APG</v>
      </c>
      <c r="AH85" s="83" t="str">
        <f t="shared" si="15"/>
        <v>0 BPG</v>
      </c>
      <c r="AI85" s="83" t="str">
        <f t="shared" si="16"/>
        <v>0 SPG</v>
      </c>
      <c r="AJ85" s="83" t="str">
        <f t="shared" si="17"/>
        <v>0 MPG</v>
      </c>
    </row>
    <row r="86" spans="1:36" x14ac:dyDescent="0.25">
      <c r="A86" s="40">
        <v>85</v>
      </c>
      <c r="B86" s="40">
        <v>85</v>
      </c>
      <c r="C86" s="78" t="str">
        <f>Roster!$T88</f>
        <v xml:space="preserve"> </v>
      </c>
      <c r="D86" s="10"/>
      <c r="E86" s="85"/>
      <c r="F86" s="10"/>
      <c r="G86" s="85"/>
      <c r="H86" s="10"/>
      <c r="I86" s="85"/>
      <c r="J86" s="86"/>
      <c r="K86" s="79"/>
      <c r="L86" s="81">
        <f>'Player Stats'!D87</f>
        <v>0</v>
      </c>
      <c r="M86" s="81">
        <f>'Player Stats'!E87</f>
        <v>0</v>
      </c>
      <c r="N86" s="81">
        <f>'Player Stats'!F87</f>
        <v>0</v>
      </c>
      <c r="O86" s="81">
        <f>'Player Stats'!G87</f>
        <v>0</v>
      </c>
      <c r="P86" s="81">
        <f>'Player Stats'!H87</f>
        <v>0</v>
      </c>
      <c r="Q86" s="81">
        <f>'Player Stats'!I87</f>
        <v>0</v>
      </c>
      <c r="R86" s="81">
        <f>'Player Stats'!J87</f>
        <v>0</v>
      </c>
      <c r="S86" s="81">
        <f>'Player Stats'!K87</f>
        <v>0</v>
      </c>
      <c r="T86" s="81">
        <f>'Player Stats'!L87</f>
        <v>0</v>
      </c>
      <c r="U86" s="81">
        <f>'Player Stats'!M87</f>
        <v>0</v>
      </c>
      <c r="W86" s="109"/>
      <c r="X86" s="109"/>
      <c r="Y86" s="84" t="str">
        <f>'Team Info'!$B$20&amp;": "&amp;O86&amp;""</f>
        <v>Last Season: 0</v>
      </c>
      <c r="Z86" s="84" t="str">
        <f>'Team Info'!$B$20&amp;": "&amp;N86&amp;""</f>
        <v>Last Season: 0</v>
      </c>
      <c r="AB86" s="83" t="str">
        <f t="shared" si="9"/>
        <v>0 PPG</v>
      </c>
      <c r="AC86" s="83" t="str">
        <f t="shared" si="10"/>
        <v>0 FG</v>
      </c>
      <c r="AD86" s="83" t="str">
        <f t="shared" si="11"/>
        <v>0 3-PT FG</v>
      </c>
      <c r="AE86" s="83" t="str">
        <f t="shared" si="12"/>
        <v>0 FT</v>
      </c>
      <c r="AF86" s="83" t="str">
        <f t="shared" si="13"/>
        <v>0 RPG</v>
      </c>
      <c r="AG86" s="83" t="str">
        <f t="shared" si="14"/>
        <v>0 APG</v>
      </c>
      <c r="AH86" s="83" t="str">
        <f t="shared" si="15"/>
        <v>0 BPG</v>
      </c>
      <c r="AI86" s="83" t="str">
        <f t="shared" si="16"/>
        <v>0 SPG</v>
      </c>
      <c r="AJ86" s="83" t="str">
        <f t="shared" si="17"/>
        <v>0 MPG</v>
      </c>
    </row>
    <row r="87" spans="1:36" x14ac:dyDescent="0.25">
      <c r="A87" s="40">
        <v>86</v>
      </c>
      <c r="B87" s="40">
        <v>86</v>
      </c>
      <c r="C87" s="78" t="str">
        <f>Roster!$T89</f>
        <v xml:space="preserve"> </v>
      </c>
      <c r="D87" s="10"/>
      <c r="E87" s="85"/>
      <c r="F87" s="10"/>
      <c r="G87" s="85"/>
      <c r="H87" s="10"/>
      <c r="I87" s="85"/>
      <c r="J87" s="86"/>
      <c r="K87" s="79"/>
      <c r="L87" s="81">
        <f>'Player Stats'!D88</f>
        <v>0</v>
      </c>
      <c r="M87" s="81">
        <f>'Player Stats'!E88</f>
        <v>0</v>
      </c>
      <c r="N87" s="81">
        <f>'Player Stats'!F88</f>
        <v>0</v>
      </c>
      <c r="O87" s="81">
        <f>'Player Stats'!G88</f>
        <v>0</v>
      </c>
      <c r="P87" s="81">
        <f>'Player Stats'!H88</f>
        <v>0</v>
      </c>
      <c r="Q87" s="81">
        <f>'Player Stats'!I88</f>
        <v>0</v>
      </c>
      <c r="R87" s="81">
        <f>'Player Stats'!J88</f>
        <v>0</v>
      </c>
      <c r="S87" s="81">
        <f>'Player Stats'!K88</f>
        <v>0</v>
      </c>
      <c r="T87" s="81">
        <f>'Player Stats'!L88</f>
        <v>0</v>
      </c>
      <c r="U87" s="81">
        <f>'Player Stats'!M88</f>
        <v>0</v>
      </c>
      <c r="W87" s="109"/>
      <c r="X87" s="109"/>
      <c r="Y87" s="84" t="str">
        <f>'Team Info'!$B$20&amp;": "&amp;O87&amp;""</f>
        <v>Last Season: 0</v>
      </c>
      <c r="Z87" s="84" t="str">
        <f>'Team Info'!$B$20&amp;": "&amp;N87&amp;""</f>
        <v>Last Season: 0</v>
      </c>
      <c r="AB87" s="83" t="str">
        <f t="shared" si="9"/>
        <v>0 PPG</v>
      </c>
      <c r="AC87" s="83" t="str">
        <f t="shared" si="10"/>
        <v>0 FG</v>
      </c>
      <c r="AD87" s="83" t="str">
        <f t="shared" si="11"/>
        <v>0 3-PT FG</v>
      </c>
      <c r="AE87" s="83" t="str">
        <f t="shared" si="12"/>
        <v>0 FT</v>
      </c>
      <c r="AF87" s="83" t="str">
        <f t="shared" si="13"/>
        <v>0 RPG</v>
      </c>
      <c r="AG87" s="83" t="str">
        <f t="shared" si="14"/>
        <v>0 APG</v>
      </c>
      <c r="AH87" s="83" t="str">
        <f t="shared" si="15"/>
        <v>0 BPG</v>
      </c>
      <c r="AI87" s="83" t="str">
        <f t="shared" si="16"/>
        <v>0 SPG</v>
      </c>
      <c r="AJ87" s="83" t="str">
        <f t="shared" si="17"/>
        <v>0 MPG</v>
      </c>
    </row>
    <row r="88" spans="1:36" x14ac:dyDescent="0.25">
      <c r="A88" s="40">
        <v>87</v>
      </c>
      <c r="B88" s="40">
        <v>87</v>
      </c>
      <c r="C88" s="78" t="str">
        <f>Roster!$T90</f>
        <v xml:space="preserve"> </v>
      </c>
      <c r="D88" s="10"/>
      <c r="E88" s="85"/>
      <c r="F88" s="10"/>
      <c r="G88" s="85"/>
      <c r="H88" s="10"/>
      <c r="I88" s="85"/>
      <c r="J88" s="86"/>
      <c r="K88" s="79"/>
      <c r="L88" s="81">
        <f>'Player Stats'!D89</f>
        <v>0</v>
      </c>
      <c r="M88" s="81">
        <f>'Player Stats'!E89</f>
        <v>0</v>
      </c>
      <c r="N88" s="81">
        <f>'Player Stats'!F89</f>
        <v>0</v>
      </c>
      <c r="O88" s="81">
        <f>'Player Stats'!G89</f>
        <v>0</v>
      </c>
      <c r="P88" s="81">
        <f>'Player Stats'!H89</f>
        <v>0</v>
      </c>
      <c r="Q88" s="81">
        <f>'Player Stats'!I89</f>
        <v>0</v>
      </c>
      <c r="R88" s="81">
        <f>'Player Stats'!J89</f>
        <v>0</v>
      </c>
      <c r="S88" s="81">
        <f>'Player Stats'!K89</f>
        <v>0</v>
      </c>
      <c r="T88" s="81">
        <f>'Player Stats'!L89</f>
        <v>0</v>
      </c>
      <c r="U88" s="81">
        <f>'Player Stats'!M89</f>
        <v>0</v>
      </c>
      <c r="W88" s="109"/>
      <c r="X88" s="109"/>
      <c r="Y88" s="84" t="str">
        <f>'Team Info'!$B$20&amp;": "&amp;O88&amp;""</f>
        <v>Last Season: 0</v>
      </c>
      <c r="Z88" s="84" t="str">
        <f>'Team Info'!$B$20&amp;": "&amp;N88&amp;""</f>
        <v>Last Season: 0</v>
      </c>
      <c r="AB88" s="83" t="str">
        <f t="shared" si="9"/>
        <v>0 PPG</v>
      </c>
      <c r="AC88" s="83" t="str">
        <f t="shared" si="10"/>
        <v>0 FG</v>
      </c>
      <c r="AD88" s="83" t="str">
        <f t="shared" si="11"/>
        <v>0 3-PT FG</v>
      </c>
      <c r="AE88" s="83" t="str">
        <f t="shared" si="12"/>
        <v>0 FT</v>
      </c>
      <c r="AF88" s="83" t="str">
        <f t="shared" si="13"/>
        <v>0 RPG</v>
      </c>
      <c r="AG88" s="83" t="str">
        <f t="shared" si="14"/>
        <v>0 APG</v>
      </c>
      <c r="AH88" s="83" t="str">
        <f t="shared" si="15"/>
        <v>0 BPG</v>
      </c>
      <c r="AI88" s="83" t="str">
        <f t="shared" si="16"/>
        <v>0 SPG</v>
      </c>
      <c r="AJ88" s="83" t="str">
        <f t="shared" si="17"/>
        <v>0 MPG</v>
      </c>
    </row>
    <row r="89" spans="1:36" x14ac:dyDescent="0.25">
      <c r="A89" s="40">
        <v>88</v>
      </c>
      <c r="B89" s="40">
        <v>88</v>
      </c>
      <c r="C89" s="78" t="str">
        <f>Roster!$T91</f>
        <v xml:space="preserve"> </v>
      </c>
      <c r="D89" s="10"/>
      <c r="E89" s="85"/>
      <c r="F89" s="10"/>
      <c r="G89" s="85"/>
      <c r="H89" s="10"/>
      <c r="I89" s="85"/>
      <c r="J89" s="86"/>
      <c r="K89" s="79"/>
      <c r="L89" s="81">
        <f>'Player Stats'!D90</f>
        <v>0</v>
      </c>
      <c r="M89" s="81">
        <f>'Player Stats'!E90</f>
        <v>0</v>
      </c>
      <c r="N89" s="81">
        <f>'Player Stats'!F90</f>
        <v>0</v>
      </c>
      <c r="O89" s="81">
        <f>'Player Stats'!G90</f>
        <v>0</v>
      </c>
      <c r="P89" s="81">
        <f>'Player Stats'!H90</f>
        <v>0</v>
      </c>
      <c r="Q89" s="81">
        <f>'Player Stats'!I90</f>
        <v>0</v>
      </c>
      <c r="R89" s="81">
        <f>'Player Stats'!J90</f>
        <v>0</v>
      </c>
      <c r="S89" s="81">
        <f>'Player Stats'!K90</f>
        <v>0</v>
      </c>
      <c r="T89" s="81">
        <f>'Player Stats'!L90</f>
        <v>0</v>
      </c>
      <c r="U89" s="81">
        <f>'Player Stats'!M90</f>
        <v>0</v>
      </c>
      <c r="W89" s="109"/>
      <c r="X89" s="109"/>
      <c r="Y89" s="84" t="str">
        <f>'Team Info'!$B$20&amp;": "&amp;O89&amp;""</f>
        <v>Last Season: 0</v>
      </c>
      <c r="Z89" s="84" t="str">
        <f>'Team Info'!$B$20&amp;": "&amp;N89&amp;""</f>
        <v>Last Season: 0</v>
      </c>
      <c r="AB89" s="83" t="str">
        <f t="shared" si="9"/>
        <v>0 PPG</v>
      </c>
      <c r="AC89" s="83" t="str">
        <f t="shared" si="10"/>
        <v>0 FG</v>
      </c>
      <c r="AD89" s="83" t="str">
        <f t="shared" si="11"/>
        <v>0 3-PT FG</v>
      </c>
      <c r="AE89" s="83" t="str">
        <f t="shared" si="12"/>
        <v>0 FT</v>
      </c>
      <c r="AF89" s="83" t="str">
        <f t="shared" si="13"/>
        <v>0 RPG</v>
      </c>
      <c r="AG89" s="83" t="str">
        <f t="shared" si="14"/>
        <v>0 APG</v>
      </c>
      <c r="AH89" s="83" t="str">
        <f t="shared" si="15"/>
        <v>0 BPG</v>
      </c>
      <c r="AI89" s="83" t="str">
        <f t="shared" si="16"/>
        <v>0 SPG</v>
      </c>
      <c r="AJ89" s="83" t="str">
        <f t="shared" si="17"/>
        <v>0 MPG</v>
      </c>
    </row>
    <row r="90" spans="1:36" x14ac:dyDescent="0.25">
      <c r="A90" s="40">
        <v>89</v>
      </c>
      <c r="B90" s="40">
        <v>89</v>
      </c>
      <c r="C90" s="78" t="str">
        <f>Roster!$T92</f>
        <v xml:space="preserve"> </v>
      </c>
      <c r="D90" s="10"/>
      <c r="E90" s="85"/>
      <c r="F90" s="10"/>
      <c r="G90" s="85"/>
      <c r="H90" s="10"/>
      <c r="I90" s="85"/>
      <c r="J90" s="86"/>
      <c r="K90" s="79"/>
      <c r="L90" s="81">
        <f>'Player Stats'!D91</f>
        <v>0</v>
      </c>
      <c r="M90" s="81">
        <f>'Player Stats'!E91</f>
        <v>0</v>
      </c>
      <c r="N90" s="81">
        <f>'Player Stats'!F91</f>
        <v>0</v>
      </c>
      <c r="O90" s="81">
        <f>'Player Stats'!G91</f>
        <v>0</v>
      </c>
      <c r="P90" s="81">
        <f>'Player Stats'!H91</f>
        <v>0</v>
      </c>
      <c r="Q90" s="81">
        <f>'Player Stats'!I91</f>
        <v>0</v>
      </c>
      <c r="R90" s="81">
        <f>'Player Stats'!J91</f>
        <v>0</v>
      </c>
      <c r="S90" s="81">
        <f>'Player Stats'!K91</f>
        <v>0</v>
      </c>
      <c r="T90" s="81">
        <f>'Player Stats'!L91</f>
        <v>0</v>
      </c>
      <c r="U90" s="81">
        <f>'Player Stats'!M91</f>
        <v>0</v>
      </c>
      <c r="W90" s="109"/>
      <c r="X90" s="109"/>
      <c r="Y90" s="84" t="str">
        <f>'Team Info'!$B$20&amp;": "&amp;O90&amp;""</f>
        <v>Last Season: 0</v>
      </c>
      <c r="Z90" s="84" t="str">
        <f>'Team Info'!$B$20&amp;": "&amp;N90&amp;""</f>
        <v>Last Season: 0</v>
      </c>
      <c r="AB90" s="83" t="str">
        <f t="shared" si="9"/>
        <v>0 PPG</v>
      </c>
      <c r="AC90" s="83" t="str">
        <f t="shared" si="10"/>
        <v>0 FG</v>
      </c>
      <c r="AD90" s="83" t="str">
        <f t="shared" si="11"/>
        <v>0 3-PT FG</v>
      </c>
      <c r="AE90" s="83" t="str">
        <f t="shared" si="12"/>
        <v>0 FT</v>
      </c>
      <c r="AF90" s="83" t="str">
        <f t="shared" si="13"/>
        <v>0 RPG</v>
      </c>
      <c r="AG90" s="83" t="str">
        <f t="shared" si="14"/>
        <v>0 APG</v>
      </c>
      <c r="AH90" s="83" t="str">
        <f t="shared" si="15"/>
        <v>0 BPG</v>
      </c>
      <c r="AI90" s="83" t="str">
        <f t="shared" si="16"/>
        <v>0 SPG</v>
      </c>
      <c r="AJ90" s="83" t="str">
        <f t="shared" si="17"/>
        <v>0 MPG</v>
      </c>
    </row>
    <row r="91" spans="1:36" x14ac:dyDescent="0.25">
      <c r="A91" s="40">
        <v>90</v>
      </c>
      <c r="B91" s="40">
        <v>0</v>
      </c>
      <c r="C91" s="78" t="str">
        <f>C104</f>
        <v xml:space="preserve"> </v>
      </c>
      <c r="D91" s="249" t="str">
        <f t="shared" ref="D91:J91" si="18">D$104</f>
        <v>0 PPG</v>
      </c>
      <c r="E91" s="249">
        <f t="shared" si="18"/>
        <v>0</v>
      </c>
      <c r="F91" s="249" t="str">
        <f t="shared" si="18"/>
        <v>0 FG</v>
      </c>
      <c r="G91" s="249">
        <f t="shared" si="18"/>
        <v>0</v>
      </c>
      <c r="H91" s="249" t="str">
        <f t="shared" si="18"/>
        <v>0 3-PT</v>
      </c>
      <c r="I91" s="249">
        <f t="shared" si="18"/>
        <v>0</v>
      </c>
      <c r="J91" s="250">
        <f t="shared" si="18"/>
        <v>0</v>
      </c>
      <c r="K91" s="79"/>
      <c r="L91" s="81">
        <f>L$104</f>
        <v>0</v>
      </c>
      <c r="M91" s="81">
        <f t="shared" ref="M91:U91" si="19">M$104</f>
        <v>0</v>
      </c>
      <c r="N91" s="81">
        <f t="shared" si="19"/>
        <v>0</v>
      </c>
      <c r="O91" s="81">
        <f t="shared" si="19"/>
        <v>0</v>
      </c>
      <c r="P91" s="81">
        <f t="shared" si="19"/>
        <v>0</v>
      </c>
      <c r="Q91" s="81">
        <f t="shared" si="19"/>
        <v>0</v>
      </c>
      <c r="R91" s="81">
        <f t="shared" si="19"/>
        <v>0</v>
      </c>
      <c r="S91" s="81">
        <f t="shared" si="19"/>
        <v>0</v>
      </c>
      <c r="T91" s="81">
        <f t="shared" si="19"/>
        <v>0</v>
      </c>
      <c r="U91" s="81">
        <f t="shared" si="19"/>
        <v>0</v>
      </c>
      <c r="W91" s="109" t="str">
        <f>W$104</f>
        <v>0 PPG</v>
      </c>
      <c r="X91" s="109" t="str">
        <f>X$104</f>
        <v>0 FG</v>
      </c>
      <c r="Y91" s="84" t="str">
        <f>'Team Info'!$B$20&amp;": "&amp;O91&amp;""</f>
        <v>Last Season: 0</v>
      </c>
      <c r="Z91" s="84" t="str">
        <f>'Team Info'!$B$20&amp;": "&amp;N91&amp;""</f>
        <v>Last Season: 0</v>
      </c>
      <c r="AB91" s="83" t="str">
        <f>AB$104</f>
        <v>0 PPG</v>
      </c>
      <c r="AC91" s="83" t="str">
        <f t="shared" ref="AC91:AJ91" si="20">AC$104</f>
        <v>0 FG</v>
      </c>
      <c r="AD91" s="83" t="str">
        <f t="shared" si="11"/>
        <v>0 3-PT FG</v>
      </c>
      <c r="AE91" s="83" t="str">
        <f t="shared" si="20"/>
        <v>0 FT</v>
      </c>
      <c r="AF91" s="83" t="str">
        <f t="shared" si="20"/>
        <v>0 RPG</v>
      </c>
      <c r="AG91" s="83" t="str">
        <f t="shared" si="20"/>
        <v>0 APG</v>
      </c>
      <c r="AH91" s="83" t="str">
        <f t="shared" si="20"/>
        <v>0 BPG</v>
      </c>
      <c r="AI91" s="83" t="str">
        <f t="shared" si="20"/>
        <v>0 SPG</v>
      </c>
      <c r="AJ91" s="83" t="str">
        <f t="shared" si="20"/>
        <v>0 MPG</v>
      </c>
    </row>
    <row r="92" spans="1:36" x14ac:dyDescent="0.25">
      <c r="A92" s="40">
        <v>91</v>
      </c>
      <c r="B92" s="40">
        <v>91</v>
      </c>
      <c r="C92" s="78" t="str">
        <f>Roster!$T94</f>
        <v xml:space="preserve"> </v>
      </c>
      <c r="D92" s="10"/>
      <c r="E92" s="85"/>
      <c r="F92" s="10"/>
      <c r="G92" s="85"/>
      <c r="H92" s="10"/>
      <c r="I92" s="85"/>
      <c r="J92" s="86"/>
      <c r="K92" s="79"/>
      <c r="L92" s="81">
        <f>'Player Stats'!D93</f>
        <v>0</v>
      </c>
      <c r="M92" s="81">
        <f>'Player Stats'!E93</f>
        <v>0</v>
      </c>
      <c r="N92" s="81">
        <f>'Player Stats'!F93</f>
        <v>0</v>
      </c>
      <c r="O92" s="81">
        <f>'Player Stats'!G93</f>
        <v>0</v>
      </c>
      <c r="P92" s="81">
        <f>'Player Stats'!H93</f>
        <v>0</v>
      </c>
      <c r="Q92" s="81">
        <f>'Player Stats'!I93</f>
        <v>0</v>
      </c>
      <c r="R92" s="81">
        <f>'Player Stats'!J93</f>
        <v>0</v>
      </c>
      <c r="S92" s="81">
        <f>'Player Stats'!K93</f>
        <v>0</v>
      </c>
      <c r="T92" s="81">
        <f>'Player Stats'!L93</f>
        <v>0</v>
      </c>
      <c r="U92" s="81">
        <f>'Player Stats'!M93</f>
        <v>0</v>
      </c>
      <c r="W92" s="109"/>
      <c r="X92" s="109"/>
      <c r="Y92" s="84" t="str">
        <f>'Team Info'!$B$20&amp;": "&amp;O92&amp;""</f>
        <v>Last Season: 0</v>
      </c>
      <c r="Z92" s="84" t="str">
        <f>'Team Info'!$B$20&amp;": "&amp;N92&amp;""</f>
        <v>Last Season: 0</v>
      </c>
      <c r="AB92" s="83" t="str">
        <f t="shared" si="9"/>
        <v>0 PPG</v>
      </c>
      <c r="AC92" s="83" t="str">
        <f t="shared" si="10"/>
        <v>0 FG</v>
      </c>
      <c r="AD92" s="83" t="str">
        <f t="shared" si="11"/>
        <v>0 3-PT FG</v>
      </c>
      <c r="AE92" s="83" t="str">
        <f t="shared" si="12"/>
        <v>0 FT</v>
      </c>
      <c r="AF92" s="83" t="str">
        <f t="shared" si="13"/>
        <v>0 RPG</v>
      </c>
      <c r="AG92" s="83" t="str">
        <f t="shared" si="14"/>
        <v>0 APG</v>
      </c>
      <c r="AH92" s="83" t="str">
        <f t="shared" si="15"/>
        <v>0 BPG</v>
      </c>
      <c r="AI92" s="83" t="str">
        <f t="shared" si="16"/>
        <v>0 SPG</v>
      </c>
      <c r="AJ92" s="83" t="str">
        <f t="shared" si="17"/>
        <v>0 MPG</v>
      </c>
    </row>
    <row r="93" spans="1:36" x14ac:dyDescent="0.25">
      <c r="A93" s="40">
        <v>92</v>
      </c>
      <c r="B93" s="40">
        <v>92</v>
      </c>
      <c r="C93" s="78" t="str">
        <f>Roster!$T95</f>
        <v xml:space="preserve"> </v>
      </c>
      <c r="D93" s="10"/>
      <c r="E93" s="85"/>
      <c r="F93" s="10"/>
      <c r="G93" s="85"/>
      <c r="H93" s="10"/>
      <c r="I93" s="85"/>
      <c r="J93" s="86"/>
      <c r="K93" s="79"/>
      <c r="L93" s="81">
        <f>'Player Stats'!D94</f>
        <v>0</v>
      </c>
      <c r="M93" s="81">
        <f>'Player Stats'!E94</f>
        <v>0</v>
      </c>
      <c r="N93" s="81">
        <f>'Player Stats'!F94</f>
        <v>0</v>
      </c>
      <c r="O93" s="81">
        <f>'Player Stats'!G94</f>
        <v>0</v>
      </c>
      <c r="P93" s="81">
        <f>'Player Stats'!H94</f>
        <v>0</v>
      </c>
      <c r="Q93" s="81">
        <f>'Player Stats'!I94</f>
        <v>0</v>
      </c>
      <c r="R93" s="81">
        <f>'Player Stats'!J94</f>
        <v>0</v>
      </c>
      <c r="S93" s="81">
        <f>'Player Stats'!K94</f>
        <v>0</v>
      </c>
      <c r="T93" s="81">
        <f>'Player Stats'!L94</f>
        <v>0</v>
      </c>
      <c r="U93" s="81">
        <f>'Player Stats'!M94</f>
        <v>0</v>
      </c>
      <c r="W93" s="109"/>
      <c r="X93" s="109"/>
      <c r="Y93" s="84" t="str">
        <f>'Team Info'!$B$20&amp;": "&amp;O93&amp;""</f>
        <v>Last Season: 0</v>
      </c>
      <c r="Z93" s="84" t="str">
        <f>'Team Info'!$B$20&amp;": "&amp;N93&amp;""</f>
        <v>Last Season: 0</v>
      </c>
      <c r="AB93" s="83" t="str">
        <f t="shared" si="9"/>
        <v>0 PPG</v>
      </c>
      <c r="AC93" s="83" t="str">
        <f t="shared" si="10"/>
        <v>0 FG</v>
      </c>
      <c r="AD93" s="83" t="str">
        <f t="shared" si="11"/>
        <v>0 3-PT FG</v>
      </c>
      <c r="AE93" s="83" t="str">
        <f t="shared" si="12"/>
        <v>0 FT</v>
      </c>
      <c r="AF93" s="83" t="str">
        <f t="shared" si="13"/>
        <v>0 RPG</v>
      </c>
      <c r="AG93" s="83" t="str">
        <f t="shared" si="14"/>
        <v>0 APG</v>
      </c>
      <c r="AH93" s="83" t="str">
        <f t="shared" si="15"/>
        <v>0 BPG</v>
      </c>
      <c r="AI93" s="83" t="str">
        <f t="shared" si="16"/>
        <v>0 SPG</v>
      </c>
      <c r="AJ93" s="83" t="str">
        <f t="shared" si="17"/>
        <v>0 MPG</v>
      </c>
    </row>
    <row r="94" spans="1:36" x14ac:dyDescent="0.25">
      <c r="A94" s="40">
        <v>93</v>
      </c>
      <c r="B94" s="40">
        <v>93</v>
      </c>
      <c r="C94" s="78" t="str">
        <f>Roster!$T96</f>
        <v xml:space="preserve"> </v>
      </c>
      <c r="D94" s="10"/>
      <c r="E94" s="85"/>
      <c r="F94" s="10"/>
      <c r="G94" s="85"/>
      <c r="H94" s="10"/>
      <c r="I94" s="85"/>
      <c r="J94" s="86"/>
      <c r="K94" s="79"/>
      <c r="L94" s="81">
        <f>'Player Stats'!D95</f>
        <v>0</v>
      </c>
      <c r="M94" s="81">
        <f>'Player Stats'!E95</f>
        <v>0</v>
      </c>
      <c r="N94" s="81">
        <f>'Player Stats'!F95</f>
        <v>0</v>
      </c>
      <c r="O94" s="81">
        <f>'Player Stats'!G95</f>
        <v>0</v>
      </c>
      <c r="P94" s="81">
        <f>'Player Stats'!H95</f>
        <v>0</v>
      </c>
      <c r="Q94" s="81">
        <f>'Player Stats'!I95</f>
        <v>0</v>
      </c>
      <c r="R94" s="81">
        <f>'Player Stats'!J95</f>
        <v>0</v>
      </c>
      <c r="S94" s="81">
        <f>'Player Stats'!K95</f>
        <v>0</v>
      </c>
      <c r="T94" s="81">
        <f>'Player Stats'!L95</f>
        <v>0</v>
      </c>
      <c r="U94" s="81">
        <f>'Player Stats'!M95</f>
        <v>0</v>
      </c>
      <c r="W94" s="109"/>
      <c r="X94" s="109"/>
      <c r="Y94" s="84" t="str">
        <f>'Team Info'!$B$20&amp;": "&amp;O94&amp;""</f>
        <v>Last Season: 0</v>
      </c>
      <c r="Z94" s="84" t="str">
        <f>'Team Info'!$B$20&amp;": "&amp;N94&amp;""</f>
        <v>Last Season: 0</v>
      </c>
      <c r="AB94" s="83" t="str">
        <f t="shared" si="9"/>
        <v>0 PPG</v>
      </c>
      <c r="AC94" s="83" t="str">
        <f t="shared" si="10"/>
        <v>0 FG</v>
      </c>
      <c r="AD94" s="83" t="str">
        <f t="shared" si="11"/>
        <v>0 3-PT FG</v>
      </c>
      <c r="AE94" s="83" t="str">
        <f t="shared" si="12"/>
        <v>0 FT</v>
      </c>
      <c r="AF94" s="83" t="str">
        <f t="shared" si="13"/>
        <v>0 RPG</v>
      </c>
      <c r="AG94" s="83" t="str">
        <f t="shared" si="14"/>
        <v>0 APG</v>
      </c>
      <c r="AH94" s="83" t="str">
        <f t="shared" si="15"/>
        <v>0 BPG</v>
      </c>
      <c r="AI94" s="83" t="str">
        <f t="shared" si="16"/>
        <v>0 SPG</v>
      </c>
      <c r="AJ94" s="83" t="str">
        <f t="shared" si="17"/>
        <v>0 MPG</v>
      </c>
    </row>
    <row r="95" spans="1:36" x14ac:dyDescent="0.25">
      <c r="A95" s="40">
        <v>94</v>
      </c>
      <c r="B95" s="40">
        <v>94</v>
      </c>
      <c r="C95" s="78" t="str">
        <f>Roster!$T97</f>
        <v xml:space="preserve"> </v>
      </c>
      <c r="D95" s="10"/>
      <c r="E95" s="85"/>
      <c r="F95" s="10"/>
      <c r="G95" s="85"/>
      <c r="H95" s="10"/>
      <c r="I95" s="85"/>
      <c r="J95" s="86"/>
      <c r="K95" s="79"/>
      <c r="L95" s="81">
        <f>'Player Stats'!D96</f>
        <v>0</v>
      </c>
      <c r="M95" s="81">
        <f>'Player Stats'!E96</f>
        <v>0</v>
      </c>
      <c r="N95" s="81">
        <f>'Player Stats'!F96</f>
        <v>0</v>
      </c>
      <c r="O95" s="81">
        <f>'Player Stats'!G96</f>
        <v>0</v>
      </c>
      <c r="P95" s="81">
        <f>'Player Stats'!H96</f>
        <v>0</v>
      </c>
      <c r="Q95" s="81">
        <f>'Player Stats'!I96</f>
        <v>0</v>
      </c>
      <c r="R95" s="81">
        <f>'Player Stats'!J96</f>
        <v>0</v>
      </c>
      <c r="S95" s="81">
        <f>'Player Stats'!K96</f>
        <v>0</v>
      </c>
      <c r="T95" s="81">
        <f>'Player Stats'!L96</f>
        <v>0</v>
      </c>
      <c r="U95" s="81">
        <f>'Player Stats'!M96</f>
        <v>0</v>
      </c>
      <c r="W95" s="109"/>
      <c r="X95" s="109"/>
      <c r="Y95" s="84" t="str">
        <f>'Team Info'!$B$20&amp;": "&amp;O95&amp;""</f>
        <v>Last Season: 0</v>
      </c>
      <c r="Z95" s="84" t="str">
        <f>'Team Info'!$B$20&amp;": "&amp;N95&amp;""</f>
        <v>Last Season: 0</v>
      </c>
      <c r="AB95" s="83" t="str">
        <f t="shared" si="9"/>
        <v>0 PPG</v>
      </c>
      <c r="AC95" s="83" t="str">
        <f t="shared" si="10"/>
        <v>0 FG</v>
      </c>
      <c r="AD95" s="83" t="str">
        <f t="shared" si="11"/>
        <v>0 3-PT FG</v>
      </c>
      <c r="AE95" s="83" t="str">
        <f t="shared" si="12"/>
        <v>0 FT</v>
      </c>
      <c r="AF95" s="83" t="str">
        <f t="shared" si="13"/>
        <v>0 RPG</v>
      </c>
      <c r="AG95" s="83" t="str">
        <f t="shared" si="14"/>
        <v>0 APG</v>
      </c>
      <c r="AH95" s="83" t="str">
        <f t="shared" si="15"/>
        <v>0 BPG</v>
      </c>
      <c r="AI95" s="83" t="str">
        <f t="shared" si="16"/>
        <v>0 SPG</v>
      </c>
      <c r="AJ95" s="83" t="str">
        <f t="shared" si="17"/>
        <v>0 MPG</v>
      </c>
    </row>
    <row r="96" spans="1:36" x14ac:dyDescent="0.25">
      <c r="A96" s="40">
        <v>95</v>
      </c>
      <c r="B96" s="40">
        <v>95</v>
      </c>
      <c r="C96" s="78" t="str">
        <f>Roster!$T98</f>
        <v xml:space="preserve"> </v>
      </c>
      <c r="D96" s="10"/>
      <c r="E96" s="85"/>
      <c r="F96" s="10"/>
      <c r="G96" s="85"/>
      <c r="H96" s="10"/>
      <c r="I96" s="85"/>
      <c r="J96" s="86"/>
      <c r="K96" s="79"/>
      <c r="L96" s="81">
        <f>'Player Stats'!D97</f>
        <v>0</v>
      </c>
      <c r="M96" s="81">
        <f>'Player Stats'!E97</f>
        <v>0</v>
      </c>
      <c r="N96" s="81">
        <f>'Player Stats'!F97</f>
        <v>0</v>
      </c>
      <c r="O96" s="81">
        <f>'Player Stats'!G97</f>
        <v>0</v>
      </c>
      <c r="P96" s="81">
        <f>'Player Stats'!H97</f>
        <v>0</v>
      </c>
      <c r="Q96" s="81">
        <f>'Player Stats'!I97</f>
        <v>0</v>
      </c>
      <c r="R96" s="81">
        <f>'Player Stats'!J97</f>
        <v>0</v>
      </c>
      <c r="S96" s="81">
        <f>'Player Stats'!K97</f>
        <v>0</v>
      </c>
      <c r="T96" s="81">
        <f>'Player Stats'!L97</f>
        <v>0</v>
      </c>
      <c r="U96" s="81">
        <f>'Player Stats'!M97</f>
        <v>0</v>
      </c>
      <c r="W96" s="109"/>
      <c r="X96" s="109"/>
      <c r="Y96" s="84" t="str">
        <f>'Team Info'!$B$20&amp;": "&amp;O96&amp;""</f>
        <v>Last Season: 0</v>
      </c>
      <c r="Z96" s="84" t="str">
        <f>'Team Info'!$B$20&amp;": "&amp;N96&amp;""</f>
        <v>Last Season: 0</v>
      </c>
      <c r="AB96" s="83" t="str">
        <f t="shared" si="9"/>
        <v>0 PPG</v>
      </c>
      <c r="AC96" s="83" t="str">
        <f t="shared" si="10"/>
        <v>0 FG</v>
      </c>
      <c r="AD96" s="83" t="str">
        <f t="shared" si="11"/>
        <v>0 3-PT FG</v>
      </c>
      <c r="AE96" s="83" t="str">
        <f t="shared" si="12"/>
        <v>0 FT</v>
      </c>
      <c r="AF96" s="83" t="str">
        <f t="shared" si="13"/>
        <v>0 RPG</v>
      </c>
      <c r="AG96" s="83" t="str">
        <f t="shared" si="14"/>
        <v>0 APG</v>
      </c>
      <c r="AH96" s="83" t="str">
        <f t="shared" si="15"/>
        <v>0 BPG</v>
      </c>
      <c r="AI96" s="83" t="str">
        <f t="shared" si="16"/>
        <v>0 SPG</v>
      </c>
      <c r="AJ96" s="83" t="str">
        <f t="shared" si="17"/>
        <v>0 MPG</v>
      </c>
    </row>
    <row r="97" spans="1:36" x14ac:dyDescent="0.25">
      <c r="A97" s="40">
        <v>96</v>
      </c>
      <c r="B97" s="40">
        <v>96</v>
      </c>
      <c r="C97" s="78" t="str">
        <f>Roster!$T99</f>
        <v xml:space="preserve"> </v>
      </c>
      <c r="D97" s="10"/>
      <c r="E97" s="85"/>
      <c r="F97" s="10"/>
      <c r="G97" s="85"/>
      <c r="H97" s="10"/>
      <c r="I97" s="85"/>
      <c r="J97" s="86"/>
      <c r="K97" s="79"/>
      <c r="L97" s="81">
        <f>'Player Stats'!D98</f>
        <v>0</v>
      </c>
      <c r="M97" s="81">
        <f>'Player Stats'!E98</f>
        <v>0</v>
      </c>
      <c r="N97" s="81">
        <f>'Player Stats'!F98</f>
        <v>0</v>
      </c>
      <c r="O97" s="81">
        <f>'Player Stats'!G98</f>
        <v>0</v>
      </c>
      <c r="P97" s="81">
        <f>'Player Stats'!H98</f>
        <v>0</v>
      </c>
      <c r="Q97" s="81">
        <f>'Player Stats'!I98</f>
        <v>0</v>
      </c>
      <c r="R97" s="81">
        <f>'Player Stats'!J98</f>
        <v>0</v>
      </c>
      <c r="S97" s="81">
        <f>'Player Stats'!K98</f>
        <v>0</v>
      </c>
      <c r="T97" s="81">
        <f>'Player Stats'!L98</f>
        <v>0</v>
      </c>
      <c r="U97" s="81">
        <f>'Player Stats'!M98</f>
        <v>0</v>
      </c>
      <c r="W97" s="109"/>
      <c r="X97" s="109"/>
      <c r="Y97" s="84" t="str">
        <f>'Team Info'!$B$20&amp;": "&amp;O97&amp;""</f>
        <v>Last Season: 0</v>
      </c>
      <c r="Z97" s="84" t="str">
        <f>'Team Info'!$B$20&amp;": "&amp;N97&amp;""</f>
        <v>Last Season: 0</v>
      </c>
      <c r="AB97" s="83" t="str">
        <f t="shared" si="9"/>
        <v>0 PPG</v>
      </c>
      <c r="AC97" s="83" t="str">
        <f t="shared" si="10"/>
        <v>0 FG</v>
      </c>
      <c r="AD97" s="83" t="str">
        <f t="shared" si="11"/>
        <v>0 3-PT FG</v>
      </c>
      <c r="AE97" s="83" t="str">
        <f t="shared" si="12"/>
        <v>0 FT</v>
      </c>
      <c r="AF97" s="83" t="str">
        <f t="shared" si="13"/>
        <v>0 RPG</v>
      </c>
      <c r="AG97" s="83" t="str">
        <f t="shared" si="14"/>
        <v>0 APG</v>
      </c>
      <c r="AH97" s="83" t="str">
        <f t="shared" si="15"/>
        <v>0 BPG</v>
      </c>
      <c r="AI97" s="83" t="str">
        <f t="shared" si="16"/>
        <v>0 SPG</v>
      </c>
      <c r="AJ97" s="83" t="str">
        <f t="shared" si="17"/>
        <v>0 MPG</v>
      </c>
    </row>
    <row r="98" spans="1:36" x14ac:dyDescent="0.25">
      <c r="A98" s="40">
        <v>97</v>
      </c>
      <c r="B98" s="40">
        <v>97</v>
      </c>
      <c r="C98" s="78" t="str">
        <f>Roster!$T100</f>
        <v xml:space="preserve"> </v>
      </c>
      <c r="D98" s="10"/>
      <c r="E98" s="85"/>
      <c r="F98" s="10"/>
      <c r="G98" s="85"/>
      <c r="H98" s="10"/>
      <c r="I98" s="85"/>
      <c r="J98" s="86"/>
      <c r="K98" s="79"/>
      <c r="L98" s="81">
        <f>'Player Stats'!D99</f>
        <v>0</v>
      </c>
      <c r="M98" s="81">
        <f>'Player Stats'!E99</f>
        <v>0</v>
      </c>
      <c r="N98" s="81">
        <f>'Player Stats'!F99</f>
        <v>0</v>
      </c>
      <c r="O98" s="81">
        <f>'Player Stats'!G99</f>
        <v>0</v>
      </c>
      <c r="P98" s="81">
        <f>'Player Stats'!H99</f>
        <v>0</v>
      </c>
      <c r="Q98" s="81">
        <f>'Player Stats'!I99</f>
        <v>0</v>
      </c>
      <c r="R98" s="81">
        <f>'Player Stats'!J99</f>
        <v>0</v>
      </c>
      <c r="S98" s="81">
        <f>'Player Stats'!K99</f>
        <v>0</v>
      </c>
      <c r="T98" s="81">
        <f>'Player Stats'!L99</f>
        <v>0</v>
      </c>
      <c r="U98" s="81">
        <f>'Player Stats'!M99</f>
        <v>0</v>
      </c>
      <c r="W98" s="109"/>
      <c r="X98" s="109"/>
      <c r="Y98" s="84" t="str">
        <f>'Team Info'!$B$20&amp;": "&amp;O98&amp;""</f>
        <v>Last Season: 0</v>
      </c>
      <c r="Z98" s="84" t="str">
        <f>'Team Info'!$B$20&amp;": "&amp;N98&amp;""</f>
        <v>Last Season: 0</v>
      </c>
      <c r="AB98" s="83" t="str">
        <f t="shared" si="9"/>
        <v>0 PPG</v>
      </c>
      <c r="AC98" s="83" t="str">
        <f t="shared" si="10"/>
        <v>0 FG</v>
      </c>
      <c r="AD98" s="83" t="str">
        <f t="shared" si="11"/>
        <v>0 3-PT FG</v>
      </c>
      <c r="AE98" s="83" t="str">
        <f t="shared" si="12"/>
        <v>0 FT</v>
      </c>
      <c r="AF98" s="83" t="str">
        <f t="shared" si="13"/>
        <v>0 RPG</v>
      </c>
      <c r="AG98" s="83" t="str">
        <f t="shared" si="14"/>
        <v>0 APG</v>
      </c>
      <c r="AH98" s="83" t="str">
        <f t="shared" si="15"/>
        <v>0 BPG</v>
      </c>
      <c r="AI98" s="83" t="str">
        <f t="shared" si="16"/>
        <v>0 SPG</v>
      </c>
      <c r="AJ98" s="83" t="str">
        <f t="shared" si="17"/>
        <v>0 MPG</v>
      </c>
    </row>
    <row r="99" spans="1:36" x14ac:dyDescent="0.25">
      <c r="A99" s="40">
        <v>98</v>
      </c>
      <c r="B99" s="40">
        <v>98</v>
      </c>
      <c r="C99" s="78" t="str">
        <f>Roster!$T101</f>
        <v xml:space="preserve"> </v>
      </c>
      <c r="D99" s="10"/>
      <c r="E99" s="85"/>
      <c r="F99" s="10"/>
      <c r="G99" s="85"/>
      <c r="H99" s="10"/>
      <c r="I99" s="85"/>
      <c r="J99" s="86"/>
      <c r="K99" s="79"/>
      <c r="L99" s="81">
        <f>'Player Stats'!D100</f>
        <v>0</v>
      </c>
      <c r="M99" s="81">
        <f>'Player Stats'!E100</f>
        <v>0</v>
      </c>
      <c r="N99" s="81">
        <f>'Player Stats'!F100</f>
        <v>0</v>
      </c>
      <c r="O99" s="81">
        <f>'Player Stats'!G100</f>
        <v>0</v>
      </c>
      <c r="P99" s="81">
        <f>'Player Stats'!H100</f>
        <v>0</v>
      </c>
      <c r="Q99" s="81">
        <f>'Player Stats'!I100</f>
        <v>0</v>
      </c>
      <c r="R99" s="81">
        <f>'Player Stats'!J100</f>
        <v>0</v>
      </c>
      <c r="S99" s="81">
        <f>'Player Stats'!K100</f>
        <v>0</v>
      </c>
      <c r="T99" s="81">
        <f>'Player Stats'!L100</f>
        <v>0</v>
      </c>
      <c r="U99" s="81">
        <f>'Player Stats'!M100</f>
        <v>0</v>
      </c>
      <c r="W99" s="109"/>
      <c r="X99" s="109"/>
      <c r="Y99" s="84" t="str">
        <f>'Team Info'!$B$20&amp;": "&amp;O99&amp;""</f>
        <v>Last Season: 0</v>
      </c>
      <c r="Z99" s="84" t="str">
        <f>'Team Info'!$B$20&amp;": "&amp;N99&amp;""</f>
        <v>Last Season: 0</v>
      </c>
      <c r="AB99" s="83" t="str">
        <f t="shared" si="9"/>
        <v>0 PPG</v>
      </c>
      <c r="AC99" s="83" t="str">
        <f t="shared" si="10"/>
        <v>0 FG</v>
      </c>
      <c r="AD99" s="83" t="str">
        <f t="shared" si="11"/>
        <v>0 3-PT FG</v>
      </c>
      <c r="AE99" s="83" t="str">
        <f t="shared" si="12"/>
        <v>0 FT</v>
      </c>
      <c r="AF99" s="83" t="str">
        <f t="shared" si="13"/>
        <v>0 RPG</v>
      </c>
      <c r="AG99" s="83" t="str">
        <f t="shared" si="14"/>
        <v>0 APG</v>
      </c>
      <c r="AH99" s="83" t="str">
        <f t="shared" si="15"/>
        <v>0 BPG</v>
      </c>
      <c r="AI99" s="83" t="str">
        <f t="shared" si="16"/>
        <v>0 SPG</v>
      </c>
      <c r="AJ99" s="83" t="str">
        <f t="shared" si="17"/>
        <v>0 MPG</v>
      </c>
    </row>
    <row r="100" spans="1:36" x14ac:dyDescent="0.25">
      <c r="A100" s="40">
        <v>99</v>
      </c>
      <c r="B100" s="184" t="s">
        <v>784</v>
      </c>
      <c r="C100" s="78" t="str">
        <f>C104</f>
        <v xml:space="preserve"> </v>
      </c>
      <c r="D100" s="249" t="str">
        <f t="shared" ref="D100:J100" si="21">D$104</f>
        <v>0 PPG</v>
      </c>
      <c r="E100" s="249">
        <f t="shared" si="21"/>
        <v>0</v>
      </c>
      <c r="F100" s="249" t="str">
        <f t="shared" si="21"/>
        <v>0 FG</v>
      </c>
      <c r="G100" s="249">
        <f t="shared" si="21"/>
        <v>0</v>
      </c>
      <c r="H100" s="249" t="str">
        <f t="shared" si="21"/>
        <v>0 3-PT</v>
      </c>
      <c r="I100" s="249">
        <f t="shared" si="21"/>
        <v>0</v>
      </c>
      <c r="J100" s="250">
        <f t="shared" si="21"/>
        <v>0</v>
      </c>
      <c r="K100" s="79"/>
      <c r="L100" s="81">
        <f>L$104</f>
        <v>0</v>
      </c>
      <c r="M100" s="81">
        <f t="shared" ref="M100:U100" si="22">M$104</f>
        <v>0</v>
      </c>
      <c r="N100" s="81">
        <f t="shared" si="22"/>
        <v>0</v>
      </c>
      <c r="O100" s="81">
        <f t="shared" si="22"/>
        <v>0</v>
      </c>
      <c r="P100" s="81">
        <f t="shared" si="22"/>
        <v>0</v>
      </c>
      <c r="Q100" s="81">
        <f t="shared" si="22"/>
        <v>0</v>
      </c>
      <c r="R100" s="81">
        <f t="shared" si="22"/>
        <v>0</v>
      </c>
      <c r="S100" s="81">
        <f t="shared" si="22"/>
        <v>0</v>
      </c>
      <c r="T100" s="81">
        <f t="shared" si="22"/>
        <v>0</v>
      </c>
      <c r="U100" s="81">
        <f t="shared" si="22"/>
        <v>0</v>
      </c>
      <c r="W100" s="109" t="str">
        <f>W$104</f>
        <v>0 PPG</v>
      </c>
      <c r="X100" s="109" t="str">
        <f>X$104</f>
        <v>0 FG</v>
      </c>
      <c r="Y100" s="84" t="str">
        <f>'Team Info'!$B$20&amp;": "&amp;O100&amp;""</f>
        <v>Last Season: 0</v>
      </c>
      <c r="Z100" s="84" t="str">
        <f>'Team Info'!$B$20&amp;": "&amp;N100&amp;""</f>
        <v>Last Season: 0</v>
      </c>
      <c r="AB100" s="83" t="str">
        <f>AB$104</f>
        <v>0 PPG</v>
      </c>
      <c r="AC100" s="83" t="str">
        <f t="shared" ref="AC100:AJ100" si="23">AC$104</f>
        <v>0 FG</v>
      </c>
      <c r="AD100" s="83" t="str">
        <f t="shared" si="11"/>
        <v>0 3-PT FG</v>
      </c>
      <c r="AE100" s="83" t="str">
        <f t="shared" si="23"/>
        <v>0 FT</v>
      </c>
      <c r="AF100" s="83" t="str">
        <f t="shared" si="23"/>
        <v>0 RPG</v>
      </c>
      <c r="AG100" s="83" t="str">
        <f t="shared" si="23"/>
        <v>0 APG</v>
      </c>
      <c r="AH100" s="83" t="str">
        <f t="shared" si="23"/>
        <v>0 BPG</v>
      </c>
      <c r="AI100" s="83" t="str">
        <f t="shared" si="23"/>
        <v>0 SPG</v>
      </c>
      <c r="AJ100" s="83" t="str">
        <f t="shared" si="23"/>
        <v>0 MPG</v>
      </c>
    </row>
    <row r="102" spans="1:36" ht="15.75" thickBot="1" x14ac:dyDescent="0.3"/>
    <row r="103" spans="1:36" ht="15.75" thickBot="1" x14ac:dyDescent="0.3">
      <c r="A103" s="242" t="s">
        <v>863</v>
      </c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5"/>
      <c r="X103" s="155"/>
    </row>
    <row r="104" spans="1:36" x14ac:dyDescent="0.25">
      <c r="A104" s="87">
        <v>99</v>
      </c>
      <c r="B104" s="251" t="s">
        <v>784</v>
      </c>
      <c r="C104" s="88" t="str">
        <f>Roster!$T102</f>
        <v xml:space="preserve"> </v>
      </c>
      <c r="D104" s="89" t="s">
        <v>874</v>
      </c>
      <c r="E104" s="90"/>
      <c r="F104" s="89" t="s">
        <v>875</v>
      </c>
      <c r="G104" s="90"/>
      <c r="H104" s="89" t="s">
        <v>876</v>
      </c>
      <c r="I104" s="90"/>
      <c r="J104" s="91"/>
      <c r="K104" s="252"/>
      <c r="L104" s="253">
        <f>'Player Stats'!D101</f>
        <v>0</v>
      </c>
      <c r="M104" s="253">
        <f>'Player Stats'!E101</f>
        <v>0</v>
      </c>
      <c r="N104" s="253">
        <f>'Player Stats'!F101</f>
        <v>0</v>
      </c>
      <c r="O104" s="253">
        <f>'Player Stats'!G101</f>
        <v>0</v>
      </c>
      <c r="P104" s="253">
        <f>'Player Stats'!H101</f>
        <v>0</v>
      </c>
      <c r="Q104" s="253">
        <f>'Player Stats'!I101</f>
        <v>0</v>
      </c>
      <c r="R104" s="253">
        <f>'Player Stats'!J101</f>
        <v>0</v>
      </c>
      <c r="S104" s="253">
        <f>'Player Stats'!K101</f>
        <v>0</v>
      </c>
      <c r="T104" s="253">
        <f>'Player Stats'!L101</f>
        <v>0</v>
      </c>
      <c r="U104" s="253">
        <f>'Player Stats'!M101</f>
        <v>0</v>
      </c>
      <c r="W104" s="108" t="s">
        <v>874</v>
      </c>
      <c r="X104" s="108" t="s">
        <v>875</v>
      </c>
      <c r="Y104" s="84" t="str">
        <f>'Team Info'!$B$20&amp;": "&amp;O100&amp;""</f>
        <v>Last Season: 0</v>
      </c>
      <c r="Z104" s="84" t="str">
        <f>'Team Info'!$B$20&amp;": "&amp;N100&amp;""</f>
        <v>Last Season: 0</v>
      </c>
      <c r="AB104" s="83" t="str">
        <f>L100&amp;" PPG"</f>
        <v>0 PPG</v>
      </c>
      <c r="AC104" s="83" t="str">
        <f>M100&amp;" FG"</f>
        <v>0 FG</v>
      </c>
      <c r="AD104" s="83" t="str">
        <f t="shared" ref="AD104" si="24">N104&amp;" 3-PT FG"</f>
        <v>0 3-PT FG</v>
      </c>
      <c r="AE104" s="83" t="str">
        <f>O100&amp;" FT"</f>
        <v>0 FT</v>
      </c>
      <c r="AF104" s="83" t="str">
        <f>P100&amp;" RPG"</f>
        <v>0 RPG</v>
      </c>
      <c r="AG104" s="83" t="str">
        <f>Q100&amp;" APG"</f>
        <v>0 APG</v>
      </c>
      <c r="AH104" s="83" t="str">
        <f>R100&amp;" BPG"</f>
        <v>0 BPG</v>
      </c>
      <c r="AI104" s="83" t="str">
        <f>S100&amp;" SPG"</f>
        <v>0 SPG</v>
      </c>
      <c r="AJ104" s="83" t="str">
        <f>T100&amp;" MPG"</f>
        <v>0 MPG</v>
      </c>
    </row>
  </sheetData>
  <customSheetViews>
    <customSheetView guid="{42F19D52-E208-414F-9E2E-506DF902926F}" showPageBreaks="1" printArea="1" hiddenColumns="1">
      <pane ySplit="1" topLeftCell="A2" activePane="bottomLeft" state="frozen"/>
      <selection pane="bottomLeft" activeCell="H3" sqref="H3"/>
      <pageMargins left="0.7" right="0.7" top="0.75" bottom="0.75" header="0.3" footer="0.3"/>
      <pageSetup orientation="portrait" r:id="rId1"/>
    </customSheetView>
    <customSheetView guid="{BE266B8E-38B0-4631-9C30-67CA48A8BD7F}" showPageBreaks="1" printArea="1" hiddenColumns="1">
      <pane ySplit="1" topLeftCell="A2" activePane="bottomLeft" state="frozen"/>
      <selection pane="bottomLeft" activeCell="H3" sqref="H3"/>
      <pageMargins left="0.7" right="0.7" top="0.75" bottom="0.75" header="0.3" footer="0.3"/>
      <pageSetup orientation="portrait" r:id="rId2"/>
    </customSheetView>
    <customSheetView guid="{BD1DF852-269B-4C2F-AF89-1FA576EA4603}" showPageBreaks="1" hiddenColumns="1" view="pageBreakPreview">
      <pane ySplit="1" topLeftCell="A2" activePane="bottomLeft" state="frozen"/>
      <selection pane="bottomLeft" activeCell="H1" activeCellId="2" sqref="D1:D1048576 F1:F1048576 H1:H1048576"/>
      <pageMargins left="0.7" right="0.7" top="0.75" bottom="0.75" header="0.3" footer="0.3"/>
      <pageSetup orientation="portrait" r:id="rId3"/>
    </customSheetView>
    <customSheetView guid="{C8D72D7B-AEA0-45E3-A14B-3F039B04C62C}" hiddenColumns="1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4"/>
    </customSheetView>
    <customSheetView guid="{6A3B2C41-2DBC-4B17-AB58-12C85E3A6B8A}" showPageBreaks="1" printArea="1" hiddenColumns="1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5"/>
    </customSheetView>
    <customSheetView guid="{46B088B4-7F51-4D35-9F00-2268626FA819}" showPageBreaks="1" hiddenRows="1" hiddenColumns="1" view="pageBreakPreview">
      <pane ySplit="1" topLeftCell="A2" activePane="bottomLeft" state="frozen"/>
      <selection pane="bottomLeft" activeCell="B101" sqref="B101"/>
      <pageMargins left="0.7" right="0.7" top="0.75" bottom="0.75" header="0.3" footer="0.3"/>
      <pageSetup orientation="portrait" r:id="rId6"/>
    </customSheetView>
    <customSheetView guid="{BC153CFA-E879-4863-BF97-64855FD940E5}" hiddenColumns="1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7"/>
    </customSheetView>
  </customSheetViews>
  <dataValidations count="98">
    <dataValidation type="list" allowBlank="1" showInputMessage="1" showErrorMessage="1" sqref="D2 F2 H2 W2:X2">
      <formula1>ZZZ_PLAYER1</formula1>
    </dataValidation>
    <dataValidation type="list" allowBlank="1" showInputMessage="1" showErrorMessage="1" sqref="D3 F3 H3 W3:X3">
      <formula1>ZZZ_PLAYER2</formula1>
    </dataValidation>
    <dataValidation type="list" allowBlank="1" showInputMessage="1" showErrorMessage="1" sqref="D4 F4 H4 W4:X4">
      <formula1>ZZZ_PLAYER3</formula1>
    </dataValidation>
    <dataValidation type="list" allowBlank="1" showInputMessage="1" showErrorMessage="1" sqref="D5 F5 H5 W5:X5">
      <formula1>ZZZ_PLAYER4</formula1>
    </dataValidation>
    <dataValidation type="list" allowBlank="1" showInputMessage="1" showErrorMessage="1" sqref="D6 F6 H6 W6:X6">
      <formula1>ZZZ_PLAYER5</formula1>
    </dataValidation>
    <dataValidation type="list" allowBlank="1" showInputMessage="1" showErrorMessage="1" sqref="D7 F7 H7 W7:X7">
      <formula1>ZZZ_PLAYER6</formula1>
    </dataValidation>
    <dataValidation type="list" allowBlank="1" showInputMessage="1" showErrorMessage="1" sqref="D8 F8 H8 W8:X8">
      <formula1>ZZZ_PLAYER7</formula1>
    </dataValidation>
    <dataValidation type="list" allowBlank="1" showInputMessage="1" showErrorMessage="1" sqref="D9 F9 H9 W9:X9">
      <formula1>ZZZ_PLAYER8</formula1>
    </dataValidation>
    <dataValidation type="list" allowBlank="1" showInputMessage="1" showErrorMessage="1" sqref="D10 F10 H10 W10:X10">
      <formula1>ZZZ_PLAYER9</formula1>
    </dataValidation>
    <dataValidation type="list" allowBlank="1" showInputMessage="1" showErrorMessage="1" sqref="D11 F11 H11 W11:X11">
      <formula1>ZZZ_PLAYER10</formula1>
    </dataValidation>
    <dataValidation type="list" allowBlank="1" showInputMessage="1" showErrorMessage="1" sqref="D12 F12 H12 W12:X12">
      <formula1>ZZZ_PLAYER11</formula1>
    </dataValidation>
    <dataValidation type="list" allowBlank="1" showInputMessage="1" showErrorMessage="1" sqref="D13 F13 H13 W13:X13">
      <formula1>ZZZ_PLAYER12</formula1>
    </dataValidation>
    <dataValidation type="list" allowBlank="1" showInputMessage="1" showErrorMessage="1" sqref="D14 F14 H14 W14:X14">
      <formula1>ZZZ_PLAYER13</formula1>
    </dataValidation>
    <dataValidation type="list" allowBlank="1" showInputMessage="1" showErrorMessage="1" sqref="D15 F15 H15 W15:X15">
      <formula1>ZZZ_PLAYER14</formula1>
    </dataValidation>
    <dataValidation type="list" allowBlank="1" showInputMessage="1" showErrorMessage="1" sqref="D16 F16 H16 W16:X16">
      <formula1>ZZZ_PLAYER15</formula1>
    </dataValidation>
    <dataValidation type="list" allowBlank="1" showInputMessage="1" showErrorMessage="1" sqref="D17 F17 H17 W17:X17">
      <formula1>ZZZ_PLAYER16</formula1>
    </dataValidation>
    <dataValidation type="list" allowBlank="1" showInputMessage="1" showErrorMessage="1" sqref="D18 F18 H18 W18:X18">
      <formula1>ZZZ_PLAYER17</formula1>
    </dataValidation>
    <dataValidation type="list" allowBlank="1" showInputMessage="1" showErrorMessage="1" sqref="D19 F19 H19 W19:X19">
      <formula1>ZZZ_PLAYER18</formula1>
    </dataValidation>
    <dataValidation type="list" allowBlank="1" showInputMessage="1" showErrorMessage="1" sqref="D20 F20 H20 W20:X20">
      <formula1>ZZZ_PLAYER19</formula1>
    </dataValidation>
    <dataValidation type="list" allowBlank="1" showInputMessage="1" showErrorMessage="1" sqref="D21 F21 H21 W21:X21">
      <formula1>ZZZ_PLAYER20</formula1>
    </dataValidation>
    <dataValidation type="list" allowBlank="1" showInputMessage="1" showErrorMessage="1" sqref="D22 F22 H22 W22:X22">
      <formula1>ZZZ_PLAYER21</formula1>
    </dataValidation>
    <dataValidation type="list" allowBlank="1" showInputMessage="1" showErrorMessage="1" sqref="D23 F23 H23 W23:X23">
      <formula1>ZZZ_PLAYER22</formula1>
    </dataValidation>
    <dataValidation type="list" allowBlank="1" showInputMessage="1" showErrorMessage="1" sqref="D24 F24 H24 W24:X24">
      <formula1>ZZZ_PLAYER23</formula1>
    </dataValidation>
    <dataValidation type="list" allowBlank="1" showInputMessage="1" showErrorMessage="1" sqref="D25 F25 H25 W25:X25">
      <formula1>ZZZ_PLAYER24</formula1>
    </dataValidation>
    <dataValidation type="list" allowBlank="1" showInputMessage="1" showErrorMessage="1" sqref="D26 F26 H26 W26:X26">
      <formula1>ZZZ_PLAYER25</formula1>
    </dataValidation>
    <dataValidation type="list" allowBlank="1" showInputMessage="1" showErrorMessage="1" sqref="D27 F27 H27 W27:X27">
      <formula1>ZZZ_PLAYER26</formula1>
    </dataValidation>
    <dataValidation type="list" allowBlank="1" showInputMessage="1" showErrorMessage="1" sqref="D28 F28 H28 W28:X28">
      <formula1>ZZZ_PLAYER27</formula1>
    </dataValidation>
    <dataValidation type="list" allowBlank="1" showInputMessage="1" showErrorMessage="1" sqref="D29 F29 H29 W29:X29">
      <formula1>ZZZ_PLAYER28</formula1>
    </dataValidation>
    <dataValidation type="list" allowBlank="1" showInputMessage="1" showErrorMessage="1" sqref="D30 F30 H30 W30:X30">
      <formula1>ZZZ_PLAYER29</formula1>
    </dataValidation>
    <dataValidation type="list" allowBlank="1" showInputMessage="1" showErrorMessage="1" sqref="D31 F31 H31 W31:X31">
      <formula1>ZZZ_PLAYER30</formula1>
    </dataValidation>
    <dataValidation type="list" allowBlank="1" showInputMessage="1" showErrorMessage="1" sqref="D32 F32 H32 W32:X32">
      <formula1>ZZZ_PLAYER31</formula1>
    </dataValidation>
    <dataValidation type="list" allowBlank="1" showInputMessage="1" showErrorMessage="1" sqref="D33 F33 H33 W33:X33">
      <formula1>ZZZ_PLAYER32</formula1>
    </dataValidation>
    <dataValidation type="list" allowBlank="1" showInputMessage="1" showErrorMessage="1" sqref="D34 F34 H34 W34:X34">
      <formula1>ZZZ_PLAYER33</formula1>
    </dataValidation>
    <dataValidation type="list" allowBlank="1" showInputMessage="1" showErrorMessage="1" sqref="D35 F35 H35 W35:X35">
      <formula1>ZZZ_PLAYER34</formula1>
    </dataValidation>
    <dataValidation type="list" allowBlank="1" showInputMessage="1" showErrorMessage="1" sqref="D36 F36 H36 W36:X36">
      <formula1>ZZZ_PLAYER35</formula1>
    </dataValidation>
    <dataValidation type="list" allowBlank="1" showInputMessage="1" showErrorMessage="1" sqref="D37 F37 H37 W37:X37">
      <formula1>ZZZ_PLAYER36</formula1>
    </dataValidation>
    <dataValidation type="list" allowBlank="1" showInputMessage="1" showErrorMessage="1" sqref="D38 F38 H38 W38:X38">
      <formula1>ZZZ_PLAYER37</formula1>
    </dataValidation>
    <dataValidation type="list" allowBlank="1" showInputMessage="1" showErrorMessage="1" sqref="D39 F39 H39 W39:X39">
      <formula1>ZZZ_PLAYER38</formula1>
    </dataValidation>
    <dataValidation type="list" allowBlank="1" showInputMessage="1" showErrorMessage="1" sqref="D40 F40 H40 W40:X40">
      <formula1>ZZZ_PLAYER39</formula1>
    </dataValidation>
    <dataValidation type="list" allowBlank="1" showInputMessage="1" showErrorMessage="1" sqref="D41 F41 H41 W41:X41">
      <formula1>ZZZ_PLAYER40</formula1>
    </dataValidation>
    <dataValidation type="list" allowBlank="1" showInputMessage="1" showErrorMessage="1" sqref="D42 F42 H42 W42:X42">
      <formula1>ZZZ_PLAYER41</formula1>
    </dataValidation>
    <dataValidation type="list" allowBlank="1" showInputMessage="1" showErrorMessage="1" sqref="D43 F43 H43 W43:X43">
      <formula1>ZZZ_PLAYER42</formula1>
    </dataValidation>
    <dataValidation type="list" allowBlank="1" showInputMessage="1" showErrorMessage="1" sqref="D44 F44 H44 W44:X44">
      <formula1>ZZZ_PLAYER43</formula1>
    </dataValidation>
    <dataValidation type="list" allowBlank="1" showInputMessage="1" showErrorMessage="1" sqref="D45 F45 H45 W45:X45">
      <formula1>ZZZ_PLAYER44</formula1>
    </dataValidation>
    <dataValidation type="list" allowBlank="1" showInputMessage="1" showErrorMessage="1" sqref="D46 F46 H46 W46:X46">
      <formula1>ZZZ_PLAYER45</formula1>
    </dataValidation>
    <dataValidation type="list" allowBlank="1" showInputMessage="1" showErrorMessage="1" sqref="D47 F47 H47 W47:X47">
      <formula1>ZZZ_PLAYER46</formula1>
    </dataValidation>
    <dataValidation type="list" allowBlank="1" showInputMessage="1" showErrorMessage="1" sqref="D48 F48 H48 W48:X48">
      <formula1>ZZZ_PLAYER47</formula1>
    </dataValidation>
    <dataValidation type="list" allowBlank="1" showInputMessage="1" showErrorMessage="1" sqref="D49 F49 H49 W49:X49">
      <formula1>ZZZ_PLAYER48</formula1>
    </dataValidation>
    <dataValidation type="list" allowBlank="1" showInputMessage="1" showErrorMessage="1" sqref="D50 F50 H50 W50:X50">
      <formula1>ZZZ_PLAYER49</formula1>
    </dataValidation>
    <dataValidation type="list" allowBlank="1" showInputMessage="1" showErrorMessage="1" sqref="D51 F51 H51 W51:X51">
      <formula1>ZZZ_PLAYER50</formula1>
    </dataValidation>
    <dataValidation type="list" allowBlank="1" showInputMessage="1" showErrorMessage="1" sqref="D52 F52 H52 W52:X52">
      <formula1>ZZZ_PLAYER51</formula1>
    </dataValidation>
    <dataValidation type="list" allowBlank="1" showInputMessage="1" showErrorMessage="1" sqref="D53 F53 H53 W53:X53">
      <formula1>ZZZ_PLAYER52</formula1>
    </dataValidation>
    <dataValidation type="list" allowBlank="1" showInputMessage="1" showErrorMessage="1" sqref="D54 F54 H54 W54:X54">
      <formula1>ZZZ_PLAYER53</formula1>
    </dataValidation>
    <dataValidation type="list" allowBlank="1" showInputMessage="1" showErrorMessage="1" sqref="D55 F55 H55 W55:X55">
      <formula1>ZZZ_PLAYER54</formula1>
    </dataValidation>
    <dataValidation type="list" allowBlank="1" showInputMessage="1" showErrorMessage="1" sqref="D56 F56 H56 W56:X56">
      <formula1>ZZZ_PLAYER55</formula1>
    </dataValidation>
    <dataValidation type="list" allowBlank="1" showInputMessage="1" showErrorMessage="1" sqref="D57 F57 H57 W57:X57">
      <formula1>ZZZ_PLAYER56</formula1>
    </dataValidation>
    <dataValidation type="list" allowBlank="1" showInputMessage="1" showErrorMessage="1" sqref="D58 F58 H58 W58:X58">
      <formula1>ZZZ_PLAYER57</formula1>
    </dataValidation>
    <dataValidation type="list" allowBlank="1" showInputMessage="1" showErrorMessage="1" sqref="D59 F59 H59 W59:X59">
      <formula1>ZZZ_PLAYER58</formula1>
    </dataValidation>
    <dataValidation type="list" allowBlank="1" showInputMessage="1" showErrorMessage="1" sqref="D60 F60 H60 W60:X60">
      <formula1>ZZZ_PLAYER59</formula1>
    </dataValidation>
    <dataValidation type="list" allowBlank="1" showInputMessage="1" showErrorMessage="1" sqref="D61 F61 H61 W61:X61">
      <formula1>ZZZ_PLAYER60</formula1>
    </dataValidation>
    <dataValidation type="list" allowBlank="1" showInputMessage="1" showErrorMessage="1" sqref="D62 F62 H62 W62:X62">
      <formula1>ZZZ_PLAYER61</formula1>
    </dataValidation>
    <dataValidation type="list" allowBlank="1" showInputMessage="1" showErrorMessage="1" sqref="D63 F63 H63 W63:X63">
      <formula1>ZZZ_PLAYER62</formula1>
    </dataValidation>
    <dataValidation type="list" allowBlank="1" showInputMessage="1" showErrorMessage="1" sqref="D64 F64 H64 W64:X64">
      <formula1>ZZZ_PLAYER63</formula1>
    </dataValidation>
    <dataValidation type="list" allowBlank="1" showInputMessage="1" showErrorMessage="1" sqref="D65 F65 H65 W65:X65">
      <formula1>ZZZ_PLAYER64</formula1>
    </dataValidation>
    <dataValidation type="list" allowBlank="1" showInputMessage="1" showErrorMessage="1" sqref="D66 F66 H66 W66:X66">
      <formula1>ZZZ_PLAYER65</formula1>
    </dataValidation>
    <dataValidation type="list" allowBlank="1" showInputMessage="1" showErrorMessage="1" sqref="D67 F67 H67 W67:X67">
      <formula1>ZZZ_PLAYER66</formula1>
    </dataValidation>
    <dataValidation type="list" allowBlank="1" showInputMessage="1" showErrorMessage="1" sqref="D68 F68 H68 W68:X68">
      <formula1>ZZZ_PLAYER67</formula1>
    </dataValidation>
    <dataValidation type="list" allowBlank="1" showInputMessage="1" showErrorMessage="1" sqref="D69 F69 H69 W69:X69">
      <formula1>ZZZ_PLAYER68</formula1>
    </dataValidation>
    <dataValidation type="list" allowBlank="1" showInputMessage="1" showErrorMessage="1" sqref="D70 F70 H70 W70:X70">
      <formula1>ZZZ_PLAYER69</formula1>
    </dataValidation>
    <dataValidation type="list" allowBlank="1" showInputMessage="1" showErrorMessage="1" sqref="D71 F71 H71 W71:X71">
      <formula1>ZZZ_PLAYER70</formula1>
    </dataValidation>
    <dataValidation type="list" allowBlank="1" showInputMessage="1" showErrorMessage="1" sqref="D72 F72 H72 W72:X72">
      <formula1>ZZZ_PLAYER71</formula1>
    </dataValidation>
    <dataValidation type="list" allowBlank="1" showInputMessage="1" showErrorMessage="1" sqref="D73 F73 H73 W73:X73">
      <formula1>ZZZ_PLAYER72</formula1>
    </dataValidation>
    <dataValidation type="list" allowBlank="1" showInputMessage="1" showErrorMessage="1" sqref="D74 F74 H74 W74:X74">
      <formula1>ZZZ_PLAYER73</formula1>
    </dataValidation>
    <dataValidation type="list" allowBlank="1" showInputMessage="1" showErrorMessage="1" sqref="D75 F75 H75 W75:X75">
      <formula1>ZZZ_PLAYER74</formula1>
    </dataValidation>
    <dataValidation type="list" allowBlank="1" showInputMessage="1" showErrorMessage="1" sqref="D76 F76 H76 W76:X76">
      <formula1>ZZZ_PLAYER75</formula1>
    </dataValidation>
    <dataValidation type="list" allowBlank="1" showInputMessage="1" showErrorMessage="1" sqref="D77 F77 H77 W77:X77">
      <formula1>ZZZ_PLAYER76</formula1>
    </dataValidation>
    <dataValidation type="list" allowBlank="1" showInputMessage="1" showErrorMessage="1" sqref="D78 F78 H78 W78:X78">
      <formula1>ZZZ_PLAYER77</formula1>
    </dataValidation>
    <dataValidation type="list" allowBlank="1" showInputMessage="1" showErrorMessage="1" sqref="D79 F79 H79 W79:X79">
      <formula1>ZZZ_PLAYER78</formula1>
    </dataValidation>
    <dataValidation type="list" allowBlank="1" showInputMessage="1" showErrorMessage="1" sqref="D80 F80 H80 W80:X80">
      <formula1>ZZZ_PLAYER79</formula1>
    </dataValidation>
    <dataValidation type="list" allowBlank="1" showInputMessage="1" showErrorMessage="1" sqref="D81 F81 H81 W81:X81">
      <formula1>ZZZ_PLAYER80</formula1>
    </dataValidation>
    <dataValidation type="list" allowBlank="1" showInputMessage="1" showErrorMessage="1" sqref="D82 F82 H82 W82:X82">
      <formula1>ZZZ_PLAYER81</formula1>
    </dataValidation>
    <dataValidation type="list" allowBlank="1" showInputMessage="1" showErrorMessage="1" sqref="D83 F83 H83 W83:X83">
      <formula1>ZZZ_PLAYER82</formula1>
    </dataValidation>
    <dataValidation type="list" allowBlank="1" showInputMessage="1" showErrorMessage="1" sqref="D84 F84 H84 W84:X84">
      <formula1>ZZZ_PLAYER83</formula1>
    </dataValidation>
    <dataValidation type="list" allowBlank="1" showInputMessage="1" showErrorMessage="1" sqref="D85 F85 H85 W85:X85">
      <formula1>ZZZ_PLAYER84</formula1>
    </dataValidation>
    <dataValidation type="list" allowBlank="1" showInputMessage="1" showErrorMessage="1" sqref="D86 F86 H86 W86:X86">
      <formula1>ZZZ_PLAYER85</formula1>
    </dataValidation>
    <dataValidation type="list" allowBlank="1" showInputMessage="1" showErrorMessage="1" sqref="D87 F87 H87 W87:X87">
      <formula1>ZZZ_PLAYER86</formula1>
    </dataValidation>
    <dataValidation type="list" allowBlank="1" showInputMessage="1" showErrorMessage="1" sqref="D88 F88 H88 W88:X88">
      <formula1>ZZZ_PLAYER87</formula1>
    </dataValidation>
    <dataValidation type="list" allowBlank="1" showInputMessage="1" showErrorMessage="1" sqref="D89 F89 H89 W89:X89">
      <formula1>ZZZ_PLAYER88</formula1>
    </dataValidation>
    <dataValidation type="list" allowBlank="1" showInputMessage="1" showErrorMessage="1" sqref="D90 F90 H90 W90:X90">
      <formula1>ZZZ_PLAYER89</formula1>
    </dataValidation>
    <dataValidation type="list" allowBlank="1" showInputMessage="1" showErrorMessage="1" sqref="D92 F92 H92 W92:X92">
      <formula1>ZZZ_PLAYER91</formula1>
    </dataValidation>
    <dataValidation type="list" allowBlank="1" showInputMessage="1" showErrorMessage="1" sqref="D93 F93 H93 W93:X93">
      <formula1>ZZZ_PLAYER92</formula1>
    </dataValidation>
    <dataValidation type="list" allowBlank="1" showInputMessage="1" showErrorMessage="1" sqref="D94 F94 H94 W94:X94">
      <formula1>ZZZ_PLAYER93</formula1>
    </dataValidation>
    <dataValidation type="list" allowBlank="1" showInputMessage="1" showErrorMessage="1" sqref="D95 F95 H95 W95:X95">
      <formula1>ZZZ_PLAYER94</formula1>
    </dataValidation>
    <dataValidation type="list" allowBlank="1" showInputMessage="1" showErrorMessage="1" sqref="D96 F96 H96 W96:X96">
      <formula1>ZZZ_PLAYER95</formula1>
    </dataValidation>
    <dataValidation type="list" allowBlank="1" showInputMessage="1" showErrorMessage="1" sqref="D97 F97 H97 W97:X97">
      <formula1>ZZZ_PLAYER96</formula1>
    </dataValidation>
    <dataValidation type="list" allowBlank="1" showInputMessage="1" showErrorMessage="1" sqref="D98 F98 H98 W98:X98">
      <formula1>ZZZ_PLAYER97</formula1>
    </dataValidation>
    <dataValidation type="list" allowBlank="1" showInputMessage="1" showErrorMessage="1" sqref="D99 F99 H99 W99:X99">
      <formula1>ZZZ_PLAYER98</formula1>
    </dataValidation>
    <dataValidation type="list" allowBlank="1" showInputMessage="1" showErrorMessage="1" sqref="W104:X104 H104 F104 D104">
      <formula1>ZZZ_PLAYER99</formula1>
    </dataValidation>
  </dataValidations>
  <pageMargins left="0.7" right="0.7" top="0.75" bottom="0.75" header="0.3" footer="0.3"/>
  <pageSetup orientation="portrait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I19" sqref="I19"/>
    </sheetView>
  </sheetViews>
  <sheetFormatPr defaultRowHeight="15" x14ac:dyDescent="0.25"/>
  <cols>
    <col min="1" max="1" width="30.7109375" customWidth="1"/>
    <col min="2" max="3" width="20.7109375" customWidth="1"/>
    <col min="4" max="4" width="5.7109375" customWidth="1"/>
    <col min="5" max="6" width="20.7109375" style="9" customWidth="1"/>
    <col min="7" max="7" width="30.7109375" style="9" customWidth="1"/>
    <col min="9" max="12" width="12.7109375" customWidth="1"/>
    <col min="13" max="13" width="15.7109375" customWidth="1"/>
  </cols>
  <sheetData>
    <row r="1" spans="1:13" ht="15.75" thickBot="1" x14ac:dyDescent="0.3">
      <c r="A1" s="101" t="s">
        <v>57</v>
      </c>
      <c r="B1" s="99" t="s">
        <v>58</v>
      </c>
      <c r="C1" s="100" t="s">
        <v>59</v>
      </c>
      <c r="D1" s="41"/>
      <c r="E1" s="98" t="s">
        <v>60</v>
      </c>
      <c r="F1" s="99" t="s">
        <v>59</v>
      </c>
      <c r="G1" s="100" t="s">
        <v>61</v>
      </c>
      <c r="I1" s="131" t="s">
        <v>757</v>
      </c>
      <c r="J1" s="132" t="s">
        <v>758</v>
      </c>
      <c r="K1" s="132" t="s">
        <v>759</v>
      </c>
      <c r="L1" s="132" t="s">
        <v>760</v>
      </c>
      <c r="M1" s="133" t="s">
        <v>761</v>
      </c>
    </row>
    <row r="2" spans="1:13" x14ac:dyDescent="0.25">
      <c r="A2" s="24" t="s">
        <v>721</v>
      </c>
      <c r="B2" s="26" t="s">
        <v>910</v>
      </c>
      <c r="C2" s="27" t="s">
        <v>725</v>
      </c>
      <c r="D2" s="42"/>
      <c r="E2" s="96" t="str">
        <f t="shared" ref="E2:E7" si="0">B2</f>
        <v>46%</v>
      </c>
      <c r="F2" s="97" t="str">
        <f t="shared" ref="F2:F12" si="1">"("&amp;C2&amp;")"</f>
        <v>(4th in Big 12)</v>
      </c>
      <c r="G2" s="97" t="str">
        <f>E2&amp;" "&amp;F2</f>
        <v>46% (4th in Big 12)</v>
      </c>
      <c r="I2" s="134">
        <v>1710</v>
      </c>
      <c r="J2" s="137">
        <v>2710</v>
      </c>
      <c r="K2" s="134">
        <v>710</v>
      </c>
      <c r="L2" s="137">
        <v>810</v>
      </c>
      <c r="M2" s="191">
        <v>350</v>
      </c>
    </row>
    <row r="3" spans="1:13" x14ac:dyDescent="0.25">
      <c r="A3" s="24" t="s">
        <v>722</v>
      </c>
      <c r="B3" s="26" t="s">
        <v>909</v>
      </c>
      <c r="C3" s="27" t="s">
        <v>726</v>
      </c>
      <c r="D3" s="42"/>
      <c r="E3" s="96" t="str">
        <f t="shared" si="0"/>
        <v>75%</v>
      </c>
      <c r="F3" s="45" t="str">
        <f t="shared" si="1"/>
        <v>(5th in Big 12)</v>
      </c>
      <c r="G3" s="45" t="str">
        <f t="shared" ref="G3:G7" si="2">E3&amp;" "&amp;F3</f>
        <v>75% (5th in Big 12)</v>
      </c>
      <c r="I3" s="135">
        <v>1711</v>
      </c>
      <c r="J3" s="138">
        <v>2711</v>
      </c>
      <c r="K3" s="135">
        <v>711</v>
      </c>
      <c r="L3" s="138">
        <v>811</v>
      </c>
      <c r="M3" s="192">
        <v>351</v>
      </c>
    </row>
    <row r="4" spans="1:13" x14ac:dyDescent="0.25">
      <c r="A4" s="24" t="s">
        <v>753</v>
      </c>
      <c r="B4" s="28" t="s">
        <v>911</v>
      </c>
      <c r="C4" s="27" t="s">
        <v>727</v>
      </c>
      <c r="D4" s="42"/>
      <c r="E4" s="96" t="str">
        <f t="shared" si="0"/>
        <v>28%</v>
      </c>
      <c r="F4" s="45" t="str">
        <f t="shared" si="1"/>
        <v>(10th in NCAA)</v>
      </c>
      <c r="G4" s="45" t="str">
        <f t="shared" si="2"/>
        <v>28% (10th in NCAA)</v>
      </c>
      <c r="I4" s="135">
        <v>1712</v>
      </c>
      <c r="J4" s="138">
        <v>2712</v>
      </c>
      <c r="K4" s="135">
        <v>712</v>
      </c>
      <c r="L4" s="138">
        <v>812</v>
      </c>
      <c r="M4" s="192">
        <v>352</v>
      </c>
    </row>
    <row r="5" spans="1:13" x14ac:dyDescent="0.25">
      <c r="A5" s="24" t="s">
        <v>723</v>
      </c>
      <c r="B5" s="28">
        <v>37.94</v>
      </c>
      <c r="C5" s="27" t="s">
        <v>728</v>
      </c>
      <c r="D5" s="42"/>
      <c r="E5" s="96">
        <f t="shared" si="0"/>
        <v>37.94</v>
      </c>
      <c r="F5" s="45" t="str">
        <f t="shared" si="1"/>
        <v>(7th in Big 12)</v>
      </c>
      <c r="G5" s="45" t="str">
        <f t="shared" si="2"/>
        <v>37.94 (7th in Big 12)</v>
      </c>
      <c r="I5" s="135">
        <v>1713</v>
      </c>
      <c r="J5" s="138">
        <v>2713</v>
      </c>
      <c r="K5" s="135">
        <v>713</v>
      </c>
      <c r="L5" s="138">
        <v>813</v>
      </c>
      <c r="M5" s="192">
        <v>353</v>
      </c>
    </row>
    <row r="6" spans="1:13" x14ac:dyDescent="0.25">
      <c r="A6" s="24" t="s">
        <v>63</v>
      </c>
      <c r="B6" s="28">
        <v>12.81</v>
      </c>
      <c r="C6" s="27" t="s">
        <v>729</v>
      </c>
      <c r="D6" s="42"/>
      <c r="E6" s="96">
        <f t="shared" si="0"/>
        <v>12.81</v>
      </c>
      <c r="F6" s="45" t="str">
        <f t="shared" si="1"/>
        <v>(5th fewest in NCAA)</v>
      </c>
      <c r="G6" s="45" t="str">
        <f t="shared" si="2"/>
        <v>12.81 (5th fewest in NCAA)</v>
      </c>
      <c r="I6" s="135">
        <v>1714</v>
      </c>
      <c r="J6" s="138">
        <v>2714</v>
      </c>
      <c r="K6" s="135">
        <v>714</v>
      </c>
      <c r="L6" s="138">
        <v>814</v>
      </c>
      <c r="M6" s="192">
        <v>354</v>
      </c>
    </row>
    <row r="7" spans="1:13" x14ac:dyDescent="0.25">
      <c r="A7" s="24" t="s">
        <v>754</v>
      </c>
      <c r="B7" s="28" t="s">
        <v>904</v>
      </c>
      <c r="C7" s="29" t="s">
        <v>730</v>
      </c>
      <c r="D7" s="43"/>
      <c r="E7" s="96" t="str">
        <f t="shared" si="0"/>
        <v>43%</v>
      </c>
      <c r="F7" s="45" t="str">
        <f t="shared" si="1"/>
        <v>(6th in Big 12)</v>
      </c>
      <c r="G7" s="45" t="str">
        <f t="shared" si="2"/>
        <v>43% (6th in Big 12)</v>
      </c>
      <c r="I7" s="135">
        <v>1715</v>
      </c>
      <c r="J7" s="138">
        <v>2715</v>
      </c>
      <c r="K7" s="135">
        <v>715</v>
      </c>
      <c r="L7" s="138">
        <v>815</v>
      </c>
      <c r="M7" s="192">
        <v>355</v>
      </c>
    </row>
    <row r="8" spans="1:13" x14ac:dyDescent="0.25">
      <c r="A8" s="24" t="s">
        <v>724</v>
      </c>
      <c r="B8" s="28">
        <v>69.7</v>
      </c>
      <c r="C8" s="29" t="s">
        <v>730</v>
      </c>
      <c r="D8" s="43"/>
      <c r="E8" s="96">
        <f t="shared" ref="E8:E12" si="3">B8</f>
        <v>69.7</v>
      </c>
      <c r="F8" s="45" t="str">
        <f t="shared" si="1"/>
        <v>(6th in Big 12)</v>
      </c>
      <c r="G8" s="45" t="str">
        <f t="shared" ref="G8:G12" si="4">E8&amp;" "&amp;F8</f>
        <v>69.7 (6th in Big 12)</v>
      </c>
      <c r="I8" s="135">
        <v>1716</v>
      </c>
      <c r="J8" s="138">
        <v>2716</v>
      </c>
      <c r="K8" s="135">
        <v>716</v>
      </c>
      <c r="L8" s="138">
        <v>816</v>
      </c>
      <c r="M8" s="192">
        <v>356</v>
      </c>
    </row>
    <row r="9" spans="1:13" x14ac:dyDescent="0.25">
      <c r="A9" s="24" t="s">
        <v>64</v>
      </c>
      <c r="B9" s="28">
        <v>61.4</v>
      </c>
      <c r="C9" s="30" t="s">
        <v>725</v>
      </c>
      <c r="D9" s="42"/>
      <c r="E9" s="96">
        <f t="shared" si="3"/>
        <v>61.4</v>
      </c>
      <c r="F9" s="45" t="str">
        <f t="shared" si="1"/>
        <v>(4th in Big 12)</v>
      </c>
      <c r="G9" s="45" t="str">
        <f t="shared" si="4"/>
        <v>61.4 (4th in Big 12)</v>
      </c>
      <c r="I9" s="135">
        <v>1717</v>
      </c>
      <c r="J9" s="138">
        <v>2717</v>
      </c>
      <c r="K9" s="135">
        <v>717</v>
      </c>
      <c r="L9" s="138">
        <v>817</v>
      </c>
      <c r="M9" s="192">
        <v>357</v>
      </c>
    </row>
    <row r="10" spans="1:13" x14ac:dyDescent="0.25">
      <c r="A10" s="24" t="s">
        <v>750</v>
      </c>
      <c r="B10" s="28">
        <v>17.100000000000001</v>
      </c>
      <c r="C10" s="29" t="s">
        <v>728</v>
      </c>
      <c r="D10" s="43"/>
      <c r="E10" s="96">
        <f t="shared" si="3"/>
        <v>17.100000000000001</v>
      </c>
      <c r="F10" s="45" t="str">
        <f t="shared" si="1"/>
        <v>(7th in Big 12)</v>
      </c>
      <c r="G10" s="45" t="str">
        <f t="shared" si="4"/>
        <v>17.1 (7th in Big 12)</v>
      </c>
      <c r="I10" s="135">
        <v>1718</v>
      </c>
      <c r="J10" s="138">
        <v>2718</v>
      </c>
      <c r="K10" s="135">
        <v>718</v>
      </c>
      <c r="L10" s="138">
        <v>818</v>
      </c>
      <c r="M10" s="192">
        <v>358</v>
      </c>
    </row>
    <row r="11" spans="1:13" x14ac:dyDescent="0.25">
      <c r="A11" s="24" t="s">
        <v>755</v>
      </c>
      <c r="B11" s="28" t="s">
        <v>791</v>
      </c>
      <c r="C11" s="29" t="s">
        <v>728</v>
      </c>
      <c r="D11" s="42"/>
      <c r="E11" s="96" t="str">
        <f t="shared" si="3"/>
        <v/>
      </c>
      <c r="F11" s="97" t="str">
        <f t="shared" si="1"/>
        <v>(7th in Big 12)</v>
      </c>
      <c r="G11" s="97" t="str">
        <f t="shared" si="4"/>
        <v xml:space="preserve"> (7th in Big 12)</v>
      </c>
      <c r="I11" s="135">
        <v>1719</v>
      </c>
      <c r="J11" s="138">
        <v>2719</v>
      </c>
      <c r="K11" s="135">
        <v>719</v>
      </c>
      <c r="L11" s="138">
        <v>819</v>
      </c>
      <c r="M11" s="192">
        <v>359</v>
      </c>
    </row>
    <row r="12" spans="1:13" x14ac:dyDescent="0.25">
      <c r="A12" s="24" t="s">
        <v>749</v>
      </c>
      <c r="B12" s="31" t="s">
        <v>791</v>
      </c>
      <c r="C12" s="32" t="s">
        <v>869</v>
      </c>
      <c r="D12" s="42"/>
      <c r="E12" s="96" t="str">
        <f t="shared" si="3"/>
        <v/>
      </c>
      <c r="F12" s="97" t="str">
        <f t="shared" si="1"/>
        <v>(xx)</v>
      </c>
      <c r="G12" s="97" t="str">
        <f t="shared" si="4"/>
        <v xml:space="preserve"> (xx)</v>
      </c>
      <c r="I12" s="135">
        <v>1720</v>
      </c>
      <c r="J12" s="138">
        <v>2720</v>
      </c>
      <c r="K12" s="135">
        <v>720</v>
      </c>
      <c r="L12" s="138">
        <v>820</v>
      </c>
      <c r="M12" s="192">
        <v>360</v>
      </c>
    </row>
    <row r="13" spans="1:13" x14ac:dyDescent="0.25">
      <c r="A13" s="24" t="s">
        <v>748</v>
      </c>
      <c r="B13" s="28">
        <v>11.1</v>
      </c>
      <c r="C13" s="27" t="s">
        <v>729</v>
      </c>
      <c r="D13" s="42"/>
      <c r="E13" s="96">
        <f t="shared" ref="E13" si="5">B13</f>
        <v>11.1</v>
      </c>
      <c r="F13" s="97" t="str">
        <f t="shared" ref="F13" si="6">"("&amp;C13&amp;")"</f>
        <v>(5th fewest in NCAA)</v>
      </c>
      <c r="G13" s="97" t="str">
        <f>E13&amp;" "&amp;F13</f>
        <v>11.1 (5th fewest in NCAA)</v>
      </c>
      <c r="I13" s="135">
        <v>1721</v>
      </c>
      <c r="J13" s="138">
        <v>2721</v>
      </c>
      <c r="K13" s="135">
        <v>721</v>
      </c>
      <c r="L13" s="138">
        <v>821</v>
      </c>
      <c r="M13" s="192">
        <v>361</v>
      </c>
    </row>
    <row r="14" spans="1:13" x14ac:dyDescent="0.25">
      <c r="A14" s="24" t="s">
        <v>751</v>
      </c>
      <c r="B14" s="28">
        <v>3.9</v>
      </c>
      <c r="C14" s="29" t="s">
        <v>730</v>
      </c>
      <c r="D14" s="42"/>
      <c r="E14" s="96">
        <f t="shared" ref="E14:E34" si="7">B14</f>
        <v>3.9</v>
      </c>
      <c r="F14" s="97" t="str">
        <f t="shared" ref="F14:F34" si="8">"("&amp;C14&amp;")"</f>
        <v>(6th in Big 12)</v>
      </c>
      <c r="G14" s="97" t="str">
        <f t="shared" ref="G14:G34" si="9">E14&amp;" "&amp;F14</f>
        <v>3.9 (6th in Big 12)</v>
      </c>
      <c r="I14" s="135">
        <v>1722</v>
      </c>
      <c r="J14" s="138">
        <v>2722</v>
      </c>
      <c r="K14" s="135">
        <v>722</v>
      </c>
      <c r="L14" s="138">
        <v>822</v>
      </c>
      <c r="M14" s="192">
        <v>362</v>
      </c>
    </row>
    <row r="15" spans="1:13" x14ac:dyDescent="0.25">
      <c r="A15" s="24" t="s">
        <v>865</v>
      </c>
      <c r="B15" s="28">
        <v>17.12</v>
      </c>
      <c r="C15" s="29" t="s">
        <v>730</v>
      </c>
      <c r="D15" s="42"/>
      <c r="E15" s="96">
        <f t="shared" si="7"/>
        <v>17.12</v>
      </c>
      <c r="F15" s="97" t="str">
        <f t="shared" si="8"/>
        <v>(6th in Big 12)</v>
      </c>
      <c r="G15" s="97" t="str">
        <f t="shared" si="9"/>
        <v>17.12 (6th in Big 12)</v>
      </c>
      <c r="I15" s="135">
        <v>1723</v>
      </c>
      <c r="J15" s="138">
        <v>2723</v>
      </c>
      <c r="K15" s="135">
        <v>723</v>
      </c>
      <c r="L15" s="138">
        <v>823</v>
      </c>
      <c r="M15" s="192">
        <v>363</v>
      </c>
    </row>
    <row r="16" spans="1:13" x14ac:dyDescent="0.25">
      <c r="A16" s="24" t="s">
        <v>756</v>
      </c>
      <c r="B16" s="28" t="s">
        <v>791</v>
      </c>
      <c r="C16" s="27" t="s">
        <v>729</v>
      </c>
      <c r="D16" s="42"/>
      <c r="E16" s="96" t="str">
        <f t="shared" si="7"/>
        <v/>
      </c>
      <c r="F16" s="97" t="str">
        <f t="shared" si="8"/>
        <v>(5th fewest in NCAA)</v>
      </c>
      <c r="G16" s="97" t="str">
        <f t="shared" si="9"/>
        <v xml:space="preserve"> (5th fewest in NCAA)</v>
      </c>
      <c r="I16" s="135">
        <v>1724</v>
      </c>
      <c r="J16" s="138">
        <v>2724</v>
      </c>
      <c r="K16" s="135">
        <v>724</v>
      </c>
      <c r="L16" s="138">
        <v>824</v>
      </c>
      <c r="M16" s="192">
        <v>364</v>
      </c>
    </row>
    <row r="17" spans="1:13" x14ac:dyDescent="0.25">
      <c r="A17" s="24" t="s">
        <v>867</v>
      </c>
      <c r="B17" s="28" t="s">
        <v>791</v>
      </c>
      <c r="C17" s="27" t="s">
        <v>869</v>
      </c>
      <c r="D17" s="43"/>
      <c r="E17" s="96" t="str">
        <f t="shared" si="7"/>
        <v/>
      </c>
      <c r="F17" s="97" t="str">
        <f t="shared" si="8"/>
        <v>(xx)</v>
      </c>
      <c r="G17" s="97" t="str">
        <f t="shared" si="9"/>
        <v xml:space="preserve"> (xx)</v>
      </c>
      <c r="I17" s="135">
        <v>1725</v>
      </c>
      <c r="J17" s="138">
        <v>2725</v>
      </c>
      <c r="K17" s="135">
        <v>725</v>
      </c>
      <c r="L17" s="138">
        <v>825</v>
      </c>
      <c r="M17" s="192">
        <v>365</v>
      </c>
    </row>
    <row r="18" spans="1:13" ht="15.75" thickBot="1" x14ac:dyDescent="0.3">
      <c r="A18" s="24" t="s">
        <v>868</v>
      </c>
      <c r="B18" s="28">
        <v>8.1</v>
      </c>
      <c r="C18" s="29" t="s">
        <v>869</v>
      </c>
      <c r="D18" s="42"/>
      <c r="E18" s="96">
        <f t="shared" si="7"/>
        <v>8.1</v>
      </c>
      <c r="F18" s="97" t="str">
        <f t="shared" si="8"/>
        <v>(xx)</v>
      </c>
      <c r="G18" s="97" t="str">
        <f t="shared" si="9"/>
        <v>8.1 (xx)</v>
      </c>
      <c r="I18" s="136">
        <v>1726</v>
      </c>
      <c r="J18" s="139">
        <v>2726</v>
      </c>
      <c r="K18" s="136">
        <v>726</v>
      </c>
      <c r="L18" s="139">
        <v>826</v>
      </c>
      <c r="M18" s="193">
        <v>366</v>
      </c>
    </row>
    <row r="19" spans="1:13" ht="15.75" thickBot="1" x14ac:dyDescent="0.3">
      <c r="A19" s="24" t="s">
        <v>912</v>
      </c>
      <c r="B19" s="28" t="s">
        <v>913</v>
      </c>
      <c r="C19" s="29" t="s">
        <v>869</v>
      </c>
      <c r="D19" s="42"/>
      <c r="E19" s="96" t="str">
        <f t="shared" si="7"/>
        <v>##</v>
      </c>
      <c r="F19" s="97" t="str">
        <f t="shared" si="8"/>
        <v>(xx)</v>
      </c>
      <c r="G19" s="97" t="str">
        <f t="shared" si="9"/>
        <v>## (xx)</v>
      </c>
      <c r="I19" s="136">
        <v>1727</v>
      </c>
      <c r="J19" s="139">
        <v>2727</v>
      </c>
      <c r="K19" s="136">
        <v>727</v>
      </c>
      <c r="L19" s="139">
        <v>827</v>
      </c>
      <c r="M19" s="193">
        <v>367</v>
      </c>
    </row>
    <row r="20" spans="1:13" hidden="1" x14ac:dyDescent="0.25">
      <c r="A20" s="24"/>
      <c r="B20" s="28"/>
      <c r="C20" s="30"/>
      <c r="D20" s="42"/>
      <c r="E20" s="96">
        <f t="shared" si="7"/>
        <v>0</v>
      </c>
      <c r="F20" s="97" t="str">
        <f t="shared" si="8"/>
        <v>()</v>
      </c>
      <c r="G20" s="97" t="str">
        <f t="shared" si="9"/>
        <v>0 ()</v>
      </c>
    </row>
    <row r="21" spans="1:13" hidden="1" x14ac:dyDescent="0.25">
      <c r="A21" s="24"/>
      <c r="B21" s="28"/>
      <c r="C21" s="29"/>
      <c r="D21" s="42"/>
      <c r="E21" s="96">
        <f t="shared" si="7"/>
        <v>0</v>
      </c>
      <c r="F21" s="97" t="str">
        <f t="shared" si="8"/>
        <v>()</v>
      </c>
      <c r="G21" s="97" t="str">
        <f t="shared" si="9"/>
        <v>0 ()</v>
      </c>
    </row>
    <row r="22" spans="1:13" hidden="1" x14ac:dyDescent="0.25">
      <c r="A22" s="24"/>
      <c r="B22" s="28"/>
      <c r="C22" s="30"/>
      <c r="D22" s="42"/>
      <c r="E22" s="96">
        <f t="shared" si="7"/>
        <v>0</v>
      </c>
      <c r="F22" s="97" t="str">
        <f t="shared" si="8"/>
        <v>()</v>
      </c>
      <c r="G22" s="97" t="str">
        <f t="shared" si="9"/>
        <v>0 ()</v>
      </c>
    </row>
    <row r="23" spans="1:13" hidden="1" x14ac:dyDescent="0.25">
      <c r="A23" s="24"/>
      <c r="B23" s="31"/>
      <c r="C23" s="32"/>
      <c r="D23" s="44"/>
      <c r="E23" s="96">
        <f t="shared" si="7"/>
        <v>0</v>
      </c>
      <c r="F23" s="97" t="str">
        <f t="shared" si="8"/>
        <v>()</v>
      </c>
      <c r="G23" s="97" t="str">
        <f t="shared" si="9"/>
        <v>0 ()</v>
      </c>
    </row>
    <row r="24" spans="1:13" hidden="1" x14ac:dyDescent="0.25">
      <c r="A24" s="24"/>
      <c r="B24" s="31"/>
      <c r="C24" s="27"/>
      <c r="D24" s="42"/>
      <c r="E24" s="96">
        <f t="shared" si="7"/>
        <v>0</v>
      </c>
      <c r="F24" s="97" t="str">
        <f t="shared" si="8"/>
        <v>()</v>
      </c>
      <c r="G24" s="97" t="str">
        <f t="shared" si="9"/>
        <v>0 ()</v>
      </c>
    </row>
    <row r="25" spans="1:13" hidden="1" x14ac:dyDescent="0.25">
      <c r="A25" s="24"/>
      <c r="B25" s="31"/>
      <c r="C25" s="27"/>
      <c r="D25" s="42"/>
      <c r="E25" s="96">
        <f t="shared" si="7"/>
        <v>0</v>
      </c>
      <c r="F25" s="97" t="str">
        <f t="shared" si="8"/>
        <v>()</v>
      </c>
      <c r="G25" s="97" t="str">
        <f t="shared" si="9"/>
        <v>0 ()</v>
      </c>
    </row>
    <row r="26" spans="1:13" hidden="1" x14ac:dyDescent="0.25">
      <c r="A26" s="24"/>
      <c r="B26" s="31"/>
      <c r="C26" s="27"/>
      <c r="D26" s="42"/>
      <c r="E26" s="96">
        <f t="shared" si="7"/>
        <v>0</v>
      </c>
      <c r="F26" s="97" t="str">
        <f t="shared" si="8"/>
        <v>()</v>
      </c>
      <c r="G26" s="97" t="str">
        <f t="shared" si="9"/>
        <v>0 ()</v>
      </c>
    </row>
    <row r="27" spans="1:13" hidden="1" x14ac:dyDescent="0.25">
      <c r="A27" s="24"/>
      <c r="B27" s="31"/>
      <c r="C27" s="27"/>
      <c r="D27" s="42"/>
      <c r="E27" s="96">
        <f t="shared" si="7"/>
        <v>0</v>
      </c>
      <c r="F27" s="97" t="str">
        <f t="shared" si="8"/>
        <v>()</v>
      </c>
      <c r="G27" s="97" t="str">
        <f t="shared" si="9"/>
        <v>0 ()</v>
      </c>
    </row>
    <row r="28" spans="1:13" hidden="1" x14ac:dyDescent="0.25">
      <c r="A28" s="24"/>
      <c r="B28" s="31"/>
      <c r="C28" s="27"/>
      <c r="D28" s="42"/>
      <c r="E28" s="96">
        <f t="shared" si="7"/>
        <v>0</v>
      </c>
      <c r="F28" s="97" t="str">
        <f t="shared" si="8"/>
        <v>()</v>
      </c>
      <c r="G28" s="97" t="str">
        <f t="shared" si="9"/>
        <v>0 ()</v>
      </c>
    </row>
    <row r="29" spans="1:13" hidden="1" x14ac:dyDescent="0.25">
      <c r="A29" s="24"/>
      <c r="B29" s="31"/>
      <c r="C29" s="27"/>
      <c r="D29" s="42"/>
      <c r="E29" s="96">
        <f t="shared" si="7"/>
        <v>0</v>
      </c>
      <c r="F29" s="97" t="str">
        <f t="shared" si="8"/>
        <v>()</v>
      </c>
      <c r="G29" s="97" t="str">
        <f t="shared" si="9"/>
        <v>0 ()</v>
      </c>
    </row>
    <row r="30" spans="1:13" hidden="1" x14ac:dyDescent="0.25">
      <c r="A30" s="24"/>
      <c r="B30" s="31"/>
      <c r="C30" s="27"/>
      <c r="D30" s="42"/>
      <c r="E30" s="96">
        <f t="shared" si="7"/>
        <v>0</v>
      </c>
      <c r="F30" s="97" t="str">
        <f t="shared" si="8"/>
        <v>()</v>
      </c>
      <c r="G30" s="97" t="str">
        <f t="shared" si="9"/>
        <v>0 ()</v>
      </c>
    </row>
    <row r="31" spans="1:13" hidden="1" x14ac:dyDescent="0.25">
      <c r="A31" s="24"/>
      <c r="B31" s="31"/>
      <c r="C31" s="27"/>
      <c r="D31" s="42"/>
      <c r="E31" s="96">
        <f t="shared" si="7"/>
        <v>0</v>
      </c>
      <c r="F31" s="97" t="str">
        <f t="shared" si="8"/>
        <v>()</v>
      </c>
      <c r="G31" s="97" t="str">
        <f t="shared" si="9"/>
        <v>0 ()</v>
      </c>
    </row>
    <row r="32" spans="1:13" hidden="1" x14ac:dyDescent="0.25">
      <c r="A32" s="24"/>
      <c r="B32" s="31"/>
      <c r="C32" s="27"/>
      <c r="D32" s="42"/>
      <c r="E32" s="96">
        <f t="shared" si="7"/>
        <v>0</v>
      </c>
      <c r="F32" s="97" t="str">
        <f t="shared" si="8"/>
        <v>()</v>
      </c>
      <c r="G32" s="97" t="str">
        <f t="shared" si="9"/>
        <v>0 ()</v>
      </c>
    </row>
    <row r="33" spans="1:13" hidden="1" x14ac:dyDescent="0.25">
      <c r="A33" s="24"/>
      <c r="B33" s="31"/>
      <c r="C33" s="27"/>
      <c r="D33" s="42"/>
      <c r="E33" s="96">
        <f t="shared" si="7"/>
        <v>0</v>
      </c>
      <c r="F33" s="97" t="str">
        <f t="shared" si="8"/>
        <v>()</v>
      </c>
      <c r="G33" s="97" t="str">
        <f t="shared" si="9"/>
        <v>0 ()</v>
      </c>
    </row>
    <row r="34" spans="1:13" hidden="1" x14ac:dyDescent="0.25">
      <c r="A34" s="265"/>
      <c r="B34" s="266"/>
      <c r="C34" s="267"/>
      <c r="D34" s="42"/>
      <c r="E34" s="268">
        <f t="shared" si="7"/>
        <v>0</v>
      </c>
      <c r="F34" s="269" t="str">
        <f t="shared" si="8"/>
        <v>()</v>
      </c>
      <c r="G34" s="269" t="str">
        <f t="shared" si="9"/>
        <v>0 ()</v>
      </c>
    </row>
    <row r="35" spans="1:13" x14ac:dyDescent="0.25">
      <c r="A35" s="42"/>
      <c r="B35" s="42"/>
      <c r="C35" s="43"/>
      <c r="D35" s="42"/>
      <c r="E35" s="270"/>
      <c r="I35" s="264"/>
      <c r="J35" s="264"/>
      <c r="K35" s="264"/>
      <c r="L35" s="264"/>
      <c r="M35" s="264"/>
    </row>
    <row r="36" spans="1:13" x14ac:dyDescent="0.25">
      <c r="A36" s="74" t="s">
        <v>793</v>
      </c>
    </row>
  </sheetData>
  <customSheetViews>
    <customSheetView guid="{42F19D52-E208-414F-9E2E-506DF902926F}" hiddenRows="1">
      <selection activeCell="I19" sqref="I19"/>
      <pageMargins left="0.7" right="0.7" top="0.75" bottom="0.75" header="0.3" footer="0.3"/>
      <pageSetup orientation="portrait" r:id="rId1"/>
    </customSheetView>
    <customSheetView guid="{BE266B8E-38B0-4631-9C30-67CA48A8BD7F}" hiddenRows="1">
      <selection activeCell="I19" sqref="I19"/>
      <pageMargins left="0.7" right="0.7" top="0.75" bottom="0.75" header="0.3" footer="0.3"/>
      <pageSetup orientation="portrait" r:id="rId2"/>
    </customSheetView>
    <customSheetView guid="{BD1DF852-269B-4C2F-AF89-1FA576EA4603}" hiddenRows="1">
      <selection activeCell="G40" sqref="G40"/>
      <pageMargins left="0.7" right="0.7" top="0.75" bottom="0.75" header="0.3" footer="0.3"/>
    </customSheetView>
    <customSheetView guid="{C8D72D7B-AEA0-45E3-A14B-3F039B04C62C}" hiddenRows="1">
      <selection activeCell="B6" sqref="B6"/>
      <pageMargins left="0.7" right="0.7" top="0.75" bottom="0.75" header="0.3" footer="0.3"/>
      <pageSetup orientation="portrait" r:id="rId3"/>
    </customSheetView>
    <customSheetView guid="{6A3B2C41-2DBC-4B17-AB58-12C85E3A6B8A}" hiddenRows="1">
      <selection activeCell="B35" sqref="B35"/>
      <pageMargins left="0.7" right="0.7" top="0.75" bottom="0.75" header="0.3" footer="0.3"/>
      <pageSetup orientation="portrait" r:id="rId4"/>
    </customSheetView>
    <customSheetView guid="{9DC468DE-D883-45B4-B188-265B9DA68425}">
      <selection activeCell="D24" sqref="D24"/>
      <pageMargins left="0.7" right="0.7" top="0.75" bottom="0.75" header="0.3" footer="0.3"/>
    </customSheetView>
    <customSheetView guid="{6960175A-17E1-4BDD-98F7-6E9A590B8B7F}">
      <selection activeCell="D24" sqref="D24"/>
      <pageMargins left="0.7" right="0.7" top="0.75" bottom="0.75" header="0.3" footer="0.3"/>
    </customSheetView>
    <customSheetView guid="{DB365F32-166D-4348-BCE9-F0F1DB0B73A9}">
      <selection activeCell="D24" sqref="D24"/>
      <pageMargins left="0.7" right="0.7" top="0.75" bottom="0.75" header="0.3" footer="0.3"/>
    </customSheetView>
    <customSheetView guid="{6EDF2E63-E51E-449A-B1C5-EFB1FD6A259C}">
      <selection activeCell="D24" sqref="D24"/>
      <pageMargins left="0.7" right="0.7" top="0.75" bottom="0.75" header="0.3" footer="0.3"/>
    </customSheetView>
    <customSheetView guid="{46B088B4-7F51-4D35-9F00-2268626FA819}" hiddenRows="1">
      <selection activeCell="C16" sqref="C16"/>
      <pageMargins left="0.7" right="0.7" top="0.75" bottom="0.75" header="0.3" footer="0.3"/>
      <pageSetup orientation="portrait" r:id="rId5"/>
    </customSheetView>
    <customSheetView guid="{BC153CFA-E879-4863-BF97-64855FD940E5}" hiddenRows="1">
      <selection activeCell="B6" sqref="B6"/>
      <pageMargins left="0.7" right="0.7" top="0.75" bottom="0.75" header="0.3" footer="0.3"/>
      <pageSetup orientation="portrait" r:id="rId6"/>
    </customSheetView>
  </customSheetViews>
  <pageMargins left="0.7" right="0.7" top="0.75" bottom="0.75" header="0.3" footer="0.3"/>
  <pageSetup orientation="portrait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28" sqref="E28"/>
    </sheetView>
  </sheetViews>
  <sheetFormatPr defaultRowHeight="15" x14ac:dyDescent="0.25"/>
  <cols>
    <col min="1" max="1" width="20.7109375" customWidth="1"/>
    <col min="2" max="2" width="12.7109375" customWidth="1"/>
    <col min="3" max="4" width="20.7109375" customWidth="1"/>
    <col min="5" max="5" width="12.7109375" customWidth="1"/>
    <col min="6" max="6" width="29.140625" bestFit="1" customWidth="1"/>
    <col min="7" max="7" width="20.7109375" customWidth="1"/>
    <col min="8" max="8" width="9.140625" customWidth="1"/>
    <col min="9" max="9" width="29.5703125" hidden="1" customWidth="1"/>
    <col min="10" max="10" width="9.140625" hidden="1" customWidth="1"/>
    <col min="11" max="11" width="60.42578125" hidden="1" customWidth="1"/>
    <col min="12" max="12" width="2.7109375" customWidth="1"/>
  </cols>
  <sheetData>
    <row r="1" spans="1:11" x14ac:dyDescent="0.25">
      <c r="A1" s="229" t="s">
        <v>85</v>
      </c>
      <c r="B1" s="230"/>
      <c r="I1" t="s">
        <v>86</v>
      </c>
    </row>
    <row r="2" spans="1:11" x14ac:dyDescent="0.25">
      <c r="A2" s="231" t="s">
        <v>31</v>
      </c>
      <c r="B2" s="287" t="s">
        <v>826</v>
      </c>
      <c r="C2" s="288"/>
    </row>
    <row r="3" spans="1:11" x14ac:dyDescent="0.25">
      <c r="A3" s="231" t="s">
        <v>821</v>
      </c>
      <c r="B3" s="286" t="s">
        <v>825</v>
      </c>
      <c r="C3" s="286"/>
    </row>
    <row r="4" spans="1:11" x14ac:dyDescent="0.25">
      <c r="A4" s="19" t="s">
        <v>88</v>
      </c>
      <c r="B4" s="25" t="s">
        <v>666</v>
      </c>
      <c r="C4" s="46" t="s">
        <v>89</v>
      </c>
      <c r="D4" s="46" t="s">
        <v>90</v>
      </c>
      <c r="E4" s="46" t="s">
        <v>91</v>
      </c>
      <c r="F4" s="46" t="s">
        <v>92</v>
      </c>
      <c r="G4" s="46" t="s">
        <v>988</v>
      </c>
      <c r="I4" t="str">
        <f>"D:\IMS Images\Network\Primary\"</f>
        <v>D:\IMS Images\Network\Primary\</v>
      </c>
      <c r="K4" t="s">
        <v>87</v>
      </c>
    </row>
    <row r="5" spans="1:11" x14ac:dyDescent="0.25">
      <c r="A5" s="40">
        <v>1</v>
      </c>
      <c r="B5" s="47"/>
      <c r="C5" s="47"/>
      <c r="D5" s="47"/>
      <c r="E5" s="47"/>
      <c r="F5" s="48"/>
      <c r="G5" s="272"/>
      <c r="K5" t="str">
        <f>$I$4&amp;F5&amp;".png"</f>
        <v>D:\IMS Images\Network\Primary\.png</v>
      </c>
    </row>
    <row r="6" spans="1:11" x14ac:dyDescent="0.25">
      <c r="A6" s="40">
        <v>2</v>
      </c>
      <c r="B6" s="47"/>
      <c r="C6" s="47"/>
      <c r="D6" s="47"/>
      <c r="E6" s="47"/>
      <c r="F6" s="48"/>
      <c r="G6" s="272"/>
      <c r="K6" t="str">
        <f t="shared" ref="K6:K16" si="0">$I$4&amp;F6&amp;".png"</f>
        <v>D:\IMS Images\Network\Primary\.png</v>
      </c>
    </row>
    <row r="7" spans="1:11" x14ac:dyDescent="0.25">
      <c r="A7" s="40">
        <v>3</v>
      </c>
      <c r="B7" s="47"/>
      <c r="C7" s="47"/>
      <c r="D7" s="47"/>
      <c r="E7" s="47"/>
      <c r="F7" s="48"/>
      <c r="G7" s="272"/>
      <c r="I7" t="s">
        <v>31</v>
      </c>
      <c r="K7" t="str">
        <f t="shared" si="0"/>
        <v>D:\IMS Images\Network\Primary\.png</v>
      </c>
    </row>
    <row r="8" spans="1:11" x14ac:dyDescent="0.25">
      <c r="A8" s="40">
        <v>4</v>
      </c>
      <c r="B8" s="47"/>
      <c r="C8" s="47"/>
      <c r="D8" s="47"/>
      <c r="E8" s="47"/>
      <c r="F8" s="48"/>
      <c r="G8" s="272"/>
      <c r="I8" t="str">
        <f>B2</f>
        <v>(Hardcoded in Scene)</v>
      </c>
      <c r="K8" t="str">
        <f t="shared" si="0"/>
        <v>D:\IMS Images\Network\Primary\.png</v>
      </c>
    </row>
    <row r="9" spans="1:11" x14ac:dyDescent="0.25">
      <c r="A9" s="40">
        <v>5</v>
      </c>
      <c r="B9" s="47"/>
      <c r="C9" s="47"/>
      <c r="D9" s="47"/>
      <c r="E9" s="47"/>
      <c r="F9" s="48"/>
      <c r="G9" s="272"/>
      <c r="I9" t="s">
        <v>821</v>
      </c>
      <c r="K9" t="str">
        <f t="shared" si="0"/>
        <v>D:\IMS Images\Network\Primary\.png</v>
      </c>
    </row>
    <row r="10" spans="1:11" x14ac:dyDescent="0.25">
      <c r="A10" s="40">
        <v>6</v>
      </c>
      <c r="B10" s="47"/>
      <c r="C10" s="47"/>
      <c r="D10" s="47"/>
      <c r="E10" s="47"/>
      <c r="F10" s="48"/>
      <c r="G10" s="272"/>
      <c r="I10" t="str">
        <f>B3</f>
        <v>Upcoming Schedule</v>
      </c>
      <c r="K10" t="str">
        <f t="shared" si="0"/>
        <v>D:\IMS Images\Network\Primary\.png</v>
      </c>
    </row>
    <row r="11" spans="1:11" x14ac:dyDescent="0.25">
      <c r="A11" s="40">
        <v>7</v>
      </c>
      <c r="B11" s="47"/>
      <c r="C11" s="47"/>
      <c r="D11" s="47"/>
      <c r="E11" s="47"/>
      <c r="F11" s="48"/>
      <c r="G11" s="272"/>
      <c r="K11" t="str">
        <f t="shared" si="0"/>
        <v>D:\IMS Images\Network\Primary\.png</v>
      </c>
    </row>
    <row r="12" spans="1:11" x14ac:dyDescent="0.25">
      <c r="A12" s="53">
        <v>8</v>
      </c>
      <c r="B12" s="54"/>
      <c r="C12" s="54"/>
      <c r="D12" s="54"/>
      <c r="E12" s="47"/>
      <c r="F12" s="48"/>
      <c r="G12" s="272"/>
      <c r="K12" t="str">
        <f t="shared" si="0"/>
        <v>D:\IMS Images\Network\Primary\.png</v>
      </c>
    </row>
    <row r="13" spans="1:11" x14ac:dyDescent="0.25">
      <c r="A13" s="53">
        <v>9</v>
      </c>
      <c r="B13" s="54"/>
      <c r="C13" s="54"/>
      <c r="D13" s="54"/>
      <c r="E13" s="47"/>
      <c r="F13" s="48"/>
      <c r="G13" s="272"/>
      <c r="K13" t="str">
        <f t="shared" si="0"/>
        <v>D:\IMS Images\Network\Primary\.png</v>
      </c>
    </row>
    <row r="14" spans="1:11" x14ac:dyDescent="0.25">
      <c r="A14" s="53">
        <v>10</v>
      </c>
      <c r="B14" s="54"/>
      <c r="C14" s="54"/>
      <c r="D14" s="54"/>
      <c r="E14" s="47"/>
      <c r="F14" s="48"/>
      <c r="G14" s="272"/>
      <c r="K14" t="str">
        <f t="shared" si="0"/>
        <v>D:\IMS Images\Network\Primary\.png</v>
      </c>
    </row>
    <row r="15" spans="1:11" x14ac:dyDescent="0.25">
      <c r="A15" s="53">
        <v>11</v>
      </c>
      <c r="B15" s="54"/>
      <c r="C15" s="54"/>
      <c r="D15" s="54"/>
      <c r="E15" s="47"/>
      <c r="F15" s="48"/>
      <c r="G15" s="272"/>
      <c r="K15" t="str">
        <f t="shared" si="0"/>
        <v>D:\IMS Images\Network\Primary\.png</v>
      </c>
    </row>
    <row r="16" spans="1:11" x14ac:dyDescent="0.25">
      <c r="A16" s="40">
        <v>12</v>
      </c>
      <c r="B16" s="47"/>
      <c r="C16" s="47"/>
      <c r="D16" s="47"/>
      <c r="E16" s="47"/>
      <c r="F16" s="48"/>
      <c r="G16" s="272"/>
      <c r="K16" t="str">
        <f t="shared" si="0"/>
        <v>D:\IMS Images\Network\Primary\.png</v>
      </c>
    </row>
    <row r="17" spans="1:3" x14ac:dyDescent="0.25">
      <c r="C17" s="1"/>
    </row>
    <row r="18" spans="1:3" x14ac:dyDescent="0.25">
      <c r="C18" s="1"/>
    </row>
    <row r="19" spans="1:3" x14ac:dyDescent="0.25">
      <c r="C19" s="1"/>
    </row>
    <row r="20" spans="1:3" x14ac:dyDescent="0.25">
      <c r="A20" s="73" t="s">
        <v>820</v>
      </c>
      <c r="B20" s="73" t="s">
        <v>823</v>
      </c>
      <c r="C20" s="74"/>
    </row>
    <row r="21" spans="1:3" x14ac:dyDescent="0.25">
      <c r="A21" s="73" t="s">
        <v>822</v>
      </c>
      <c r="B21" s="73" t="s">
        <v>824</v>
      </c>
      <c r="C21" s="75"/>
    </row>
  </sheetData>
  <customSheetViews>
    <customSheetView guid="{42F19D52-E208-414F-9E2E-506DF902926F}" hiddenColumns="1">
      <selection activeCell="E28" sqref="E28"/>
      <pageMargins left="0.7" right="0.7" top="0.75" bottom="0.75" header="0.3" footer="0.3"/>
      <pageSetup orientation="portrait" r:id="rId1"/>
    </customSheetView>
    <customSheetView guid="{BE266B8E-38B0-4631-9C30-67CA48A8BD7F}" hiddenRows="1" hiddenColumns="1">
      <selection activeCell="A16" sqref="A10:XFD16"/>
      <pageMargins left="0.7" right="0.7" top="0.75" bottom="0.75" header="0.3" footer="0.3"/>
      <pageSetup orientation="portrait" r:id="rId2"/>
    </customSheetView>
    <customSheetView guid="{BD1DF852-269B-4C2F-AF89-1FA576EA4603}" hiddenColumns="1">
      <selection activeCell="B3" sqref="B3:C3"/>
      <pageMargins left="0.7" right="0.7" top="0.75" bottom="0.75" header="0.3" footer="0.3"/>
      <pageSetup orientation="portrait" r:id="rId3"/>
    </customSheetView>
    <customSheetView guid="{C8D72D7B-AEA0-45E3-A14B-3F039B04C62C}" hiddenColumns="1">
      <selection activeCell="F5" sqref="F5"/>
      <pageMargins left="0.7" right="0.7" top="0.75" bottom="0.75" header="0.3" footer="0.3"/>
      <pageSetup orientation="portrait" r:id="rId4"/>
    </customSheetView>
    <customSheetView guid="{6A3B2C41-2DBC-4B17-AB58-12C85E3A6B8A}" hiddenColumns="1">
      <selection activeCell="K1" sqref="K1:K1048576"/>
      <pageMargins left="0.7" right="0.7" top="0.75" bottom="0.75" header="0.3" footer="0.3"/>
      <pageSetup orientation="portrait" r:id="rId5"/>
    </customSheetView>
    <customSheetView guid="{9DC468DE-D883-45B4-B188-265B9DA68425}" hiddenColumns="1">
      <selection activeCell="B3" sqref="B3"/>
      <pageMargins left="0.7" right="0.7" top="0.75" bottom="0.75" header="0.3" footer="0.3"/>
      <pageSetup orientation="portrait" r:id="rId6"/>
    </customSheetView>
    <customSheetView guid="{6960175A-17E1-4BDD-98F7-6E9A590B8B7F}" hiddenColumns="1">
      <selection activeCell="M22" sqref="M22"/>
      <pageMargins left="0.7" right="0.7" top="0.75" bottom="0.75" header="0.3" footer="0.3"/>
      <pageSetup orientation="portrait" r:id="rId7"/>
    </customSheetView>
    <customSheetView guid="{DB365F32-166D-4348-BCE9-F0F1DB0B73A9}" hiddenColumns="1">
      <selection activeCell="B3" sqref="B3"/>
      <pageMargins left="0.7" right="0.7" top="0.75" bottom="0.75" header="0.3" footer="0.3"/>
      <pageSetup orientation="portrait" r:id="rId8"/>
    </customSheetView>
    <customSheetView guid="{6EDF2E63-E51E-449A-B1C5-EFB1FD6A259C}" hiddenColumns="1">
      <selection activeCell="B3" sqref="B3"/>
      <pageMargins left="0.7" right="0.7" top="0.75" bottom="0.75" header="0.3" footer="0.3"/>
      <pageSetup orientation="portrait" r:id="rId9"/>
    </customSheetView>
    <customSheetView guid="{46B088B4-7F51-4D35-9F00-2268626FA819}" hiddenColumns="1">
      <selection activeCell="F18" sqref="F18"/>
      <pageMargins left="0.7" right="0.7" top="0.75" bottom="0.75" header="0.3" footer="0.3"/>
      <pageSetup orientation="portrait" r:id="rId10"/>
    </customSheetView>
    <customSheetView guid="{BC153CFA-E879-4863-BF97-64855FD940E5}" hiddenColumns="1">
      <selection activeCell="F5" sqref="F5"/>
      <pageMargins left="0.7" right="0.7" top="0.75" bottom="0.75" header="0.3" footer="0.3"/>
      <pageSetup orientation="portrait" r:id="rId11"/>
    </customSheetView>
  </customSheetViews>
  <mergeCells count="2">
    <mergeCell ref="B3:C3"/>
    <mergeCell ref="B2:C2"/>
  </mergeCells>
  <dataValidations count="1">
    <dataValidation type="list" allowBlank="1" showInputMessage="1" showErrorMessage="1" sqref="F5:F16">
      <formula1>NETWORK_LOGOS</formula1>
    </dataValidation>
  </dataValidations>
  <pageMargins left="0.7" right="0.7" top="0.75" bottom="0.75" header="0.3" footer="0.3"/>
  <pageSetup orientation="portrait" r:id="rId1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Missing Logo" error="Add missing logo(s) to the bottom of Column A in the LOGOS tab">
          <x14:formula1>
            <xm:f>LOGOS!$A$2:$A$381</xm:f>
          </x14:formula1>
          <xm:sqref>G5:G16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workbookViewId="0">
      <selection activeCell="B2" sqref="B2"/>
    </sheetView>
  </sheetViews>
  <sheetFormatPr defaultRowHeight="15" x14ac:dyDescent="0.25"/>
  <cols>
    <col min="1" max="4" width="30.7109375" customWidth="1"/>
    <col min="5" max="5" width="2.42578125" customWidth="1"/>
    <col min="6" max="9" width="30.7109375" hidden="1" customWidth="1"/>
  </cols>
  <sheetData>
    <row r="1" spans="1:9" ht="15.75" thickBot="1" x14ac:dyDescent="0.3">
      <c r="A1" s="11" t="s">
        <v>798</v>
      </c>
      <c r="B1" s="46" t="s">
        <v>65</v>
      </c>
      <c r="C1" s="46" t="s">
        <v>66</v>
      </c>
      <c r="D1" s="46" t="s">
        <v>67</v>
      </c>
      <c r="E1" s="51"/>
      <c r="F1" s="46" t="s">
        <v>68</v>
      </c>
      <c r="G1" s="46" t="s">
        <v>69</v>
      </c>
      <c r="H1" s="46" t="s">
        <v>70</v>
      </c>
      <c r="I1" s="46" t="s">
        <v>71</v>
      </c>
    </row>
    <row r="2" spans="1:9" ht="15" customHeight="1" thickBot="1" x14ac:dyDescent="0.3">
      <c r="A2" s="196">
        <f>IF('Team Info'!$B$2 = "Away",5130,5230)</f>
        <v>5230</v>
      </c>
      <c r="B2" s="47" t="s">
        <v>75</v>
      </c>
      <c r="C2" s="47" t="s">
        <v>72</v>
      </c>
      <c r="D2" s="47" t="s">
        <v>797</v>
      </c>
      <c r="E2" s="52"/>
      <c r="F2" s="47" t="s">
        <v>68</v>
      </c>
      <c r="G2" s="47" t="s">
        <v>73</v>
      </c>
      <c r="H2" s="47" t="s">
        <v>74</v>
      </c>
      <c r="I2" s="47"/>
    </row>
    <row r="3" spans="1:9" ht="15.75" thickBot="1" x14ac:dyDescent="0.3">
      <c r="A3" s="196">
        <f>A2+1</f>
        <v>5231</v>
      </c>
      <c r="B3" s="47"/>
      <c r="C3" s="47"/>
      <c r="D3" s="47"/>
      <c r="E3" s="52"/>
      <c r="F3" s="47" t="s">
        <v>75</v>
      </c>
      <c r="G3" s="47" t="s">
        <v>76</v>
      </c>
      <c r="H3" s="47" t="s">
        <v>76</v>
      </c>
      <c r="I3" s="47"/>
    </row>
    <row r="4" spans="1:9" ht="15.75" thickBot="1" x14ac:dyDescent="0.3">
      <c r="A4" s="196">
        <f t="shared" ref="A4:A52" si="0">A3+1</f>
        <v>5232</v>
      </c>
      <c r="B4" s="47"/>
      <c r="C4" s="47"/>
      <c r="D4" s="47"/>
      <c r="E4" s="52"/>
      <c r="F4" s="47" t="s">
        <v>75</v>
      </c>
      <c r="G4" s="47" t="s">
        <v>77</v>
      </c>
      <c r="H4" s="47" t="s">
        <v>77</v>
      </c>
      <c r="I4" s="47"/>
    </row>
    <row r="5" spans="1:9" ht="15.75" thickBot="1" x14ac:dyDescent="0.3">
      <c r="A5" s="196">
        <f t="shared" si="0"/>
        <v>5233</v>
      </c>
      <c r="B5" s="47"/>
      <c r="C5" s="47"/>
      <c r="D5" s="47"/>
      <c r="E5" s="52"/>
      <c r="F5" s="47" t="s">
        <v>75</v>
      </c>
      <c r="G5" s="47" t="s">
        <v>78</v>
      </c>
      <c r="H5" s="47" t="s">
        <v>78</v>
      </c>
      <c r="I5" s="47"/>
    </row>
    <row r="6" spans="1:9" ht="15" customHeight="1" thickBot="1" x14ac:dyDescent="0.3">
      <c r="A6" s="196">
        <f t="shared" si="0"/>
        <v>5234</v>
      </c>
      <c r="B6" s="47"/>
      <c r="C6" s="47"/>
      <c r="D6" s="47"/>
      <c r="E6" s="52"/>
      <c r="F6" s="47" t="s">
        <v>75</v>
      </c>
      <c r="G6" s="47" t="s">
        <v>79</v>
      </c>
      <c r="H6" s="47" t="s">
        <v>79</v>
      </c>
      <c r="I6" s="47"/>
    </row>
    <row r="7" spans="1:9" ht="15.75" thickBot="1" x14ac:dyDescent="0.3">
      <c r="A7" s="196">
        <f t="shared" si="0"/>
        <v>5235</v>
      </c>
      <c r="B7" s="47"/>
      <c r="C7" s="47"/>
      <c r="D7" s="47"/>
      <c r="E7" s="52"/>
      <c r="F7" s="47" t="s">
        <v>75</v>
      </c>
      <c r="G7" s="47" t="s">
        <v>80</v>
      </c>
      <c r="H7" s="47" t="s">
        <v>80</v>
      </c>
      <c r="I7" s="47"/>
    </row>
    <row r="8" spans="1:9" ht="15.75" thickBot="1" x14ac:dyDescent="0.3">
      <c r="A8" s="196">
        <f t="shared" si="0"/>
        <v>5236</v>
      </c>
      <c r="B8" s="47"/>
      <c r="C8" s="47"/>
      <c r="D8" s="47"/>
      <c r="E8" s="52"/>
      <c r="F8" s="47" t="s">
        <v>75</v>
      </c>
      <c r="G8" s="47" t="s">
        <v>81</v>
      </c>
      <c r="H8" s="47" t="s">
        <v>81</v>
      </c>
      <c r="I8" s="47"/>
    </row>
    <row r="9" spans="1:9" ht="15.75" thickBot="1" x14ac:dyDescent="0.3">
      <c r="A9" s="196">
        <f t="shared" si="0"/>
        <v>5237</v>
      </c>
      <c r="B9" s="47"/>
      <c r="C9" s="47"/>
      <c r="D9" s="47"/>
      <c r="E9" s="52"/>
      <c r="F9" s="47" t="s">
        <v>75</v>
      </c>
      <c r="G9" s="47" t="s">
        <v>82</v>
      </c>
      <c r="H9" s="47" t="s">
        <v>82</v>
      </c>
      <c r="I9" s="47"/>
    </row>
    <row r="10" spans="1:9" ht="15.75" thickBot="1" x14ac:dyDescent="0.3">
      <c r="A10" s="196">
        <f t="shared" si="0"/>
        <v>5238</v>
      </c>
      <c r="B10" s="47"/>
      <c r="C10" s="47"/>
      <c r="D10" s="47"/>
      <c r="E10" s="52"/>
      <c r="F10" s="47" t="s">
        <v>75</v>
      </c>
      <c r="G10" s="47" t="s">
        <v>83</v>
      </c>
      <c r="H10" s="47" t="s">
        <v>83</v>
      </c>
      <c r="I10" s="47"/>
    </row>
    <row r="11" spans="1:9" ht="15.75" thickBot="1" x14ac:dyDescent="0.3">
      <c r="A11" s="232">
        <f t="shared" si="0"/>
        <v>5239</v>
      </c>
      <c r="B11" s="47"/>
      <c r="C11" s="47"/>
      <c r="D11" s="47"/>
      <c r="E11" s="52"/>
      <c r="F11" s="47" t="s">
        <v>75</v>
      </c>
      <c r="G11" s="47" t="s">
        <v>84</v>
      </c>
      <c r="H11" s="47" t="s">
        <v>84</v>
      </c>
      <c r="I11" s="47"/>
    </row>
    <row r="12" spans="1:9" ht="15.75" thickBot="1" x14ac:dyDescent="0.3">
      <c r="A12" s="196">
        <f t="shared" si="0"/>
        <v>5240</v>
      </c>
      <c r="B12" s="47"/>
      <c r="C12" s="47"/>
      <c r="D12" s="47"/>
      <c r="E12" s="52"/>
      <c r="F12" s="47" t="s">
        <v>75</v>
      </c>
      <c r="G12" s="47" t="s">
        <v>84</v>
      </c>
      <c r="H12" s="47" t="s">
        <v>84</v>
      </c>
      <c r="I12" s="47"/>
    </row>
    <row r="13" spans="1:9" ht="15.75" thickBot="1" x14ac:dyDescent="0.3">
      <c r="A13" s="196">
        <f t="shared" si="0"/>
        <v>5241</v>
      </c>
      <c r="B13" s="47"/>
      <c r="C13" s="47"/>
      <c r="D13" s="47"/>
      <c r="E13" s="52"/>
      <c r="F13" s="47" t="s">
        <v>75</v>
      </c>
      <c r="G13" s="47" t="s">
        <v>84</v>
      </c>
      <c r="H13" s="47" t="s">
        <v>84</v>
      </c>
      <c r="I13" s="47"/>
    </row>
    <row r="14" spans="1:9" ht="15.75" thickBot="1" x14ac:dyDescent="0.3">
      <c r="A14" s="196">
        <f t="shared" si="0"/>
        <v>5242</v>
      </c>
      <c r="B14" s="47"/>
      <c r="C14" s="47"/>
      <c r="D14" s="47"/>
      <c r="E14" s="52"/>
      <c r="F14" s="47" t="s">
        <v>75</v>
      </c>
      <c r="G14" s="47" t="s">
        <v>84</v>
      </c>
      <c r="H14" s="47" t="s">
        <v>84</v>
      </c>
      <c r="I14" s="47"/>
    </row>
    <row r="15" spans="1:9" ht="15.75" thickBot="1" x14ac:dyDescent="0.3">
      <c r="A15" s="196">
        <f t="shared" si="0"/>
        <v>5243</v>
      </c>
      <c r="B15" s="47"/>
      <c r="C15" s="47"/>
      <c r="D15" s="47"/>
      <c r="E15" s="52"/>
      <c r="F15" s="47" t="s">
        <v>75</v>
      </c>
      <c r="G15" s="47" t="s">
        <v>84</v>
      </c>
      <c r="H15" s="47" t="s">
        <v>84</v>
      </c>
      <c r="I15" s="47"/>
    </row>
    <row r="16" spans="1:9" ht="15.75" thickBot="1" x14ac:dyDescent="0.3">
      <c r="A16" s="196">
        <f t="shared" si="0"/>
        <v>5244</v>
      </c>
      <c r="B16" s="47"/>
      <c r="C16" s="47"/>
      <c r="D16" s="47"/>
      <c r="E16" s="52"/>
      <c r="F16" s="47" t="s">
        <v>75</v>
      </c>
      <c r="G16" s="47" t="s">
        <v>84</v>
      </c>
      <c r="H16" s="47" t="s">
        <v>84</v>
      </c>
      <c r="I16" s="47"/>
    </row>
    <row r="17" spans="1:9" ht="15.75" thickBot="1" x14ac:dyDescent="0.3">
      <c r="A17" s="196">
        <f t="shared" si="0"/>
        <v>5245</v>
      </c>
      <c r="B17" s="47"/>
      <c r="C17" s="47"/>
      <c r="D17" s="47"/>
      <c r="E17" s="52"/>
      <c r="F17" s="47" t="s">
        <v>75</v>
      </c>
      <c r="G17" s="47" t="s">
        <v>84</v>
      </c>
      <c r="H17" s="47" t="s">
        <v>84</v>
      </c>
      <c r="I17" s="47"/>
    </row>
    <row r="18" spans="1:9" ht="15.75" thickBot="1" x14ac:dyDescent="0.3">
      <c r="A18" s="196">
        <f t="shared" si="0"/>
        <v>5246</v>
      </c>
      <c r="B18" s="47"/>
      <c r="C18" s="47"/>
      <c r="D18" s="47"/>
      <c r="E18" s="52"/>
      <c r="F18" s="47" t="s">
        <v>75</v>
      </c>
      <c r="G18" s="47" t="s">
        <v>84</v>
      </c>
      <c r="H18" s="47" t="s">
        <v>84</v>
      </c>
      <c r="I18" s="47"/>
    </row>
    <row r="19" spans="1:9" ht="15.75" thickBot="1" x14ac:dyDescent="0.3">
      <c r="A19" s="196">
        <f t="shared" si="0"/>
        <v>5247</v>
      </c>
      <c r="B19" s="47"/>
      <c r="C19" s="47"/>
      <c r="D19" s="47"/>
      <c r="E19" s="52"/>
      <c r="F19" s="47" t="s">
        <v>75</v>
      </c>
      <c r="G19" s="47" t="s">
        <v>84</v>
      </c>
      <c r="H19" s="47" t="s">
        <v>84</v>
      </c>
      <c r="I19" s="47"/>
    </row>
    <row r="20" spans="1:9" ht="15.75" thickBot="1" x14ac:dyDescent="0.3">
      <c r="A20" s="196">
        <f t="shared" si="0"/>
        <v>5248</v>
      </c>
      <c r="B20" s="47"/>
      <c r="C20" s="47"/>
      <c r="D20" s="47"/>
      <c r="E20" s="52"/>
      <c r="F20" s="47" t="s">
        <v>75</v>
      </c>
      <c r="G20" s="47" t="s">
        <v>84</v>
      </c>
      <c r="H20" s="47" t="s">
        <v>84</v>
      </c>
      <c r="I20" s="47"/>
    </row>
    <row r="21" spans="1:9" x14ac:dyDescent="0.25">
      <c r="A21" s="196">
        <f t="shared" si="0"/>
        <v>5249</v>
      </c>
      <c r="B21" s="47"/>
      <c r="C21" s="47"/>
      <c r="D21" s="47"/>
      <c r="E21" s="52"/>
      <c r="F21" s="47" t="s">
        <v>75</v>
      </c>
      <c r="G21" s="47" t="s">
        <v>84</v>
      </c>
      <c r="H21" s="47" t="s">
        <v>84</v>
      </c>
      <c r="I21" s="47"/>
    </row>
    <row r="22" spans="1:9" ht="15.75" hidden="1" thickBot="1" x14ac:dyDescent="0.3">
      <c r="A22" s="196">
        <f t="shared" si="0"/>
        <v>5250</v>
      </c>
      <c r="B22" s="47" t="s">
        <v>75</v>
      </c>
      <c r="C22" s="47" t="s">
        <v>84</v>
      </c>
      <c r="D22" s="47"/>
      <c r="E22" s="52"/>
      <c r="F22" s="47" t="s">
        <v>75</v>
      </c>
      <c r="G22" s="47" t="s">
        <v>84</v>
      </c>
      <c r="H22" s="47" t="s">
        <v>84</v>
      </c>
      <c r="I22" s="47"/>
    </row>
    <row r="23" spans="1:9" ht="15.75" hidden="1" thickBot="1" x14ac:dyDescent="0.3">
      <c r="A23" s="196">
        <f t="shared" si="0"/>
        <v>5251</v>
      </c>
      <c r="B23" s="47" t="s">
        <v>75</v>
      </c>
      <c r="C23" s="47" t="s">
        <v>84</v>
      </c>
      <c r="D23" s="47"/>
      <c r="E23" s="52"/>
      <c r="F23" s="47" t="s">
        <v>75</v>
      </c>
      <c r="G23" s="47" t="s">
        <v>84</v>
      </c>
      <c r="H23" s="47" t="s">
        <v>84</v>
      </c>
      <c r="I23" s="47"/>
    </row>
    <row r="24" spans="1:9" ht="15.75" hidden="1" thickBot="1" x14ac:dyDescent="0.3">
      <c r="A24" s="196">
        <f t="shared" si="0"/>
        <v>5252</v>
      </c>
      <c r="B24" s="47" t="s">
        <v>75</v>
      </c>
      <c r="C24" s="47" t="s">
        <v>84</v>
      </c>
      <c r="D24" s="47"/>
      <c r="E24" s="52"/>
      <c r="F24" s="47" t="s">
        <v>75</v>
      </c>
      <c r="G24" s="47" t="s">
        <v>84</v>
      </c>
      <c r="H24" s="47" t="s">
        <v>84</v>
      </c>
      <c r="I24" s="47"/>
    </row>
    <row r="25" spans="1:9" ht="15.75" hidden="1" thickBot="1" x14ac:dyDescent="0.3">
      <c r="A25" s="196">
        <f t="shared" si="0"/>
        <v>5253</v>
      </c>
      <c r="B25" s="47" t="s">
        <v>75</v>
      </c>
      <c r="C25" s="47" t="s">
        <v>84</v>
      </c>
      <c r="D25" s="47"/>
      <c r="E25" s="52"/>
      <c r="F25" s="47" t="s">
        <v>75</v>
      </c>
      <c r="G25" s="47" t="s">
        <v>84</v>
      </c>
      <c r="H25" s="47" t="s">
        <v>84</v>
      </c>
      <c r="I25" s="47"/>
    </row>
    <row r="26" spans="1:9" ht="15.75" hidden="1" thickBot="1" x14ac:dyDescent="0.3">
      <c r="A26" s="196">
        <f t="shared" si="0"/>
        <v>5254</v>
      </c>
      <c r="B26" s="47" t="s">
        <v>75</v>
      </c>
      <c r="C26" s="47" t="s">
        <v>84</v>
      </c>
      <c r="D26" s="47"/>
      <c r="E26" s="52"/>
      <c r="F26" s="47" t="s">
        <v>75</v>
      </c>
      <c r="G26" s="47" t="s">
        <v>84</v>
      </c>
      <c r="H26" s="47" t="s">
        <v>84</v>
      </c>
      <c r="I26" s="47"/>
    </row>
    <row r="27" spans="1:9" ht="15.75" hidden="1" thickBot="1" x14ac:dyDescent="0.3">
      <c r="A27" s="196">
        <f t="shared" si="0"/>
        <v>5255</v>
      </c>
      <c r="B27" s="47" t="s">
        <v>75</v>
      </c>
      <c r="C27" s="47" t="s">
        <v>84</v>
      </c>
      <c r="D27" s="47"/>
      <c r="E27" s="52"/>
      <c r="F27" s="47" t="s">
        <v>75</v>
      </c>
      <c r="G27" s="47" t="s">
        <v>84</v>
      </c>
      <c r="H27" s="47" t="s">
        <v>84</v>
      </c>
      <c r="I27" s="47"/>
    </row>
    <row r="28" spans="1:9" ht="15.75" hidden="1" thickBot="1" x14ac:dyDescent="0.3">
      <c r="A28" s="196">
        <f t="shared" si="0"/>
        <v>5256</v>
      </c>
      <c r="B28" s="47" t="s">
        <v>75</v>
      </c>
      <c r="C28" s="47" t="s">
        <v>84</v>
      </c>
      <c r="D28" s="47"/>
      <c r="E28" s="52"/>
      <c r="F28" s="47" t="s">
        <v>75</v>
      </c>
      <c r="G28" s="47" t="s">
        <v>84</v>
      </c>
      <c r="H28" s="47" t="s">
        <v>84</v>
      </c>
      <c r="I28" s="47"/>
    </row>
    <row r="29" spans="1:9" ht="15.75" hidden="1" thickBot="1" x14ac:dyDescent="0.3">
      <c r="A29" s="196">
        <f t="shared" si="0"/>
        <v>5257</v>
      </c>
      <c r="B29" s="47" t="s">
        <v>75</v>
      </c>
      <c r="C29" s="47" t="s">
        <v>84</v>
      </c>
      <c r="D29" s="47"/>
      <c r="E29" s="52"/>
      <c r="F29" s="47" t="s">
        <v>75</v>
      </c>
      <c r="G29" s="47" t="s">
        <v>84</v>
      </c>
      <c r="H29" s="47" t="s">
        <v>84</v>
      </c>
      <c r="I29" s="47"/>
    </row>
    <row r="30" spans="1:9" ht="15.75" hidden="1" thickBot="1" x14ac:dyDescent="0.3">
      <c r="A30" s="196">
        <f t="shared" si="0"/>
        <v>5258</v>
      </c>
      <c r="B30" s="47" t="s">
        <v>75</v>
      </c>
      <c r="C30" s="47" t="s">
        <v>84</v>
      </c>
      <c r="D30" s="47"/>
      <c r="E30" s="52"/>
      <c r="F30" s="47" t="s">
        <v>75</v>
      </c>
      <c r="G30" s="47" t="s">
        <v>84</v>
      </c>
      <c r="H30" s="47" t="s">
        <v>84</v>
      </c>
      <c r="I30" s="47"/>
    </row>
    <row r="31" spans="1:9" ht="15.75" hidden="1" thickBot="1" x14ac:dyDescent="0.3">
      <c r="A31" s="196">
        <f t="shared" si="0"/>
        <v>5259</v>
      </c>
      <c r="B31" s="47" t="s">
        <v>75</v>
      </c>
      <c r="C31" s="47" t="s">
        <v>84</v>
      </c>
      <c r="D31" s="47"/>
      <c r="E31" s="52"/>
      <c r="F31" s="47" t="s">
        <v>75</v>
      </c>
      <c r="G31" s="47" t="s">
        <v>84</v>
      </c>
      <c r="H31" s="47" t="s">
        <v>84</v>
      </c>
      <c r="I31" s="47"/>
    </row>
    <row r="32" spans="1:9" ht="15.75" hidden="1" thickBot="1" x14ac:dyDescent="0.3">
      <c r="A32" s="196">
        <f t="shared" si="0"/>
        <v>5260</v>
      </c>
      <c r="B32" s="47" t="s">
        <v>75</v>
      </c>
      <c r="C32" s="47" t="s">
        <v>84</v>
      </c>
      <c r="D32" s="47"/>
      <c r="E32" s="52"/>
      <c r="F32" s="47" t="s">
        <v>75</v>
      </c>
      <c r="G32" s="47" t="s">
        <v>84</v>
      </c>
      <c r="H32" s="47" t="s">
        <v>84</v>
      </c>
      <c r="I32" s="47"/>
    </row>
    <row r="33" spans="1:9" ht="15.75" hidden="1" thickBot="1" x14ac:dyDescent="0.3">
      <c r="A33" s="196">
        <f t="shared" si="0"/>
        <v>5261</v>
      </c>
      <c r="B33" s="47" t="s">
        <v>75</v>
      </c>
      <c r="C33" s="47" t="s">
        <v>84</v>
      </c>
      <c r="D33" s="47"/>
      <c r="E33" s="52"/>
      <c r="F33" s="47" t="s">
        <v>75</v>
      </c>
      <c r="G33" s="47" t="s">
        <v>84</v>
      </c>
      <c r="H33" s="47" t="s">
        <v>84</v>
      </c>
      <c r="I33" s="47"/>
    </row>
    <row r="34" spans="1:9" ht="15.75" hidden="1" thickBot="1" x14ac:dyDescent="0.3">
      <c r="A34" s="196">
        <f t="shared" si="0"/>
        <v>5262</v>
      </c>
      <c r="B34" s="47" t="s">
        <v>75</v>
      </c>
      <c r="C34" s="47" t="s">
        <v>84</v>
      </c>
      <c r="D34" s="47"/>
      <c r="E34" s="52"/>
      <c r="F34" s="47" t="s">
        <v>75</v>
      </c>
      <c r="G34" s="47" t="s">
        <v>84</v>
      </c>
      <c r="H34" s="47" t="s">
        <v>84</v>
      </c>
      <c r="I34" s="47"/>
    </row>
    <row r="35" spans="1:9" ht="15.75" hidden="1" thickBot="1" x14ac:dyDescent="0.3">
      <c r="A35" s="196">
        <f t="shared" si="0"/>
        <v>5263</v>
      </c>
      <c r="B35" s="47" t="s">
        <v>75</v>
      </c>
      <c r="C35" s="47" t="s">
        <v>84</v>
      </c>
      <c r="D35" s="47"/>
      <c r="E35" s="52"/>
      <c r="F35" s="47" t="s">
        <v>75</v>
      </c>
      <c r="G35" s="47" t="s">
        <v>84</v>
      </c>
      <c r="H35" s="47" t="s">
        <v>84</v>
      </c>
      <c r="I35" s="47"/>
    </row>
    <row r="36" spans="1:9" ht="15.75" hidden="1" thickBot="1" x14ac:dyDescent="0.3">
      <c r="A36" s="196">
        <f t="shared" si="0"/>
        <v>5264</v>
      </c>
      <c r="B36" s="47" t="s">
        <v>75</v>
      </c>
      <c r="C36" s="47" t="s">
        <v>84</v>
      </c>
      <c r="D36" s="47"/>
      <c r="E36" s="52"/>
      <c r="F36" s="47" t="s">
        <v>75</v>
      </c>
      <c r="G36" s="47" t="s">
        <v>84</v>
      </c>
      <c r="H36" s="47" t="s">
        <v>84</v>
      </c>
      <c r="I36" s="47"/>
    </row>
    <row r="37" spans="1:9" ht="15.75" hidden="1" thickBot="1" x14ac:dyDescent="0.3">
      <c r="A37" s="196">
        <f t="shared" si="0"/>
        <v>5265</v>
      </c>
      <c r="B37" s="47" t="s">
        <v>75</v>
      </c>
      <c r="C37" s="47" t="s">
        <v>84</v>
      </c>
      <c r="D37" s="47"/>
      <c r="E37" s="52"/>
      <c r="F37" s="47" t="s">
        <v>75</v>
      </c>
      <c r="G37" s="47" t="s">
        <v>84</v>
      </c>
      <c r="H37" s="47" t="s">
        <v>84</v>
      </c>
      <c r="I37" s="47"/>
    </row>
    <row r="38" spans="1:9" ht="15.75" hidden="1" thickBot="1" x14ac:dyDescent="0.3">
      <c r="A38" s="196">
        <f t="shared" si="0"/>
        <v>5266</v>
      </c>
      <c r="B38" s="47" t="s">
        <v>75</v>
      </c>
      <c r="C38" s="47" t="s">
        <v>84</v>
      </c>
      <c r="D38" s="47"/>
      <c r="E38" s="52"/>
      <c r="F38" s="47" t="s">
        <v>75</v>
      </c>
      <c r="G38" s="47" t="s">
        <v>84</v>
      </c>
      <c r="H38" s="47" t="s">
        <v>84</v>
      </c>
      <c r="I38" s="47"/>
    </row>
    <row r="39" spans="1:9" ht="15.75" hidden="1" thickBot="1" x14ac:dyDescent="0.3">
      <c r="A39" s="196">
        <f t="shared" si="0"/>
        <v>5267</v>
      </c>
      <c r="B39" s="47" t="s">
        <v>75</v>
      </c>
      <c r="C39" s="47" t="s">
        <v>84</v>
      </c>
      <c r="D39" s="47"/>
      <c r="E39" s="52"/>
      <c r="F39" s="47" t="s">
        <v>75</v>
      </c>
      <c r="G39" s="47" t="s">
        <v>84</v>
      </c>
      <c r="H39" s="47" t="s">
        <v>84</v>
      </c>
      <c r="I39" s="47"/>
    </row>
    <row r="40" spans="1:9" ht="15.75" hidden="1" thickBot="1" x14ac:dyDescent="0.3">
      <c r="A40" s="196">
        <f t="shared" si="0"/>
        <v>5268</v>
      </c>
      <c r="B40" s="47" t="s">
        <v>75</v>
      </c>
      <c r="C40" s="47" t="s">
        <v>84</v>
      </c>
      <c r="D40" s="47"/>
      <c r="E40" s="52"/>
      <c r="F40" s="47" t="s">
        <v>75</v>
      </c>
      <c r="G40" s="47" t="s">
        <v>84</v>
      </c>
      <c r="H40" s="47" t="s">
        <v>84</v>
      </c>
      <c r="I40" s="47"/>
    </row>
    <row r="41" spans="1:9" ht="15.75" hidden="1" thickBot="1" x14ac:dyDescent="0.3">
      <c r="A41" s="196">
        <f t="shared" si="0"/>
        <v>5269</v>
      </c>
      <c r="B41" s="47" t="s">
        <v>75</v>
      </c>
      <c r="C41" s="47" t="s">
        <v>84</v>
      </c>
      <c r="D41" s="47"/>
      <c r="E41" s="52"/>
      <c r="F41" s="47" t="s">
        <v>75</v>
      </c>
      <c r="G41" s="47" t="s">
        <v>84</v>
      </c>
      <c r="H41" s="47" t="s">
        <v>84</v>
      </c>
      <c r="I41" s="47"/>
    </row>
    <row r="42" spans="1:9" ht="15.75" hidden="1" thickBot="1" x14ac:dyDescent="0.3">
      <c r="A42" s="196">
        <f t="shared" si="0"/>
        <v>5270</v>
      </c>
      <c r="B42" s="47" t="s">
        <v>75</v>
      </c>
      <c r="C42" s="47" t="s">
        <v>84</v>
      </c>
      <c r="D42" s="47"/>
      <c r="E42" s="52"/>
      <c r="F42" s="47" t="s">
        <v>75</v>
      </c>
      <c r="G42" s="47" t="s">
        <v>84</v>
      </c>
      <c r="H42" s="47" t="s">
        <v>84</v>
      </c>
      <c r="I42" s="47"/>
    </row>
    <row r="43" spans="1:9" ht="15.75" hidden="1" thickBot="1" x14ac:dyDescent="0.3">
      <c r="A43" s="196">
        <f t="shared" si="0"/>
        <v>5271</v>
      </c>
      <c r="B43" s="47" t="s">
        <v>75</v>
      </c>
      <c r="C43" s="47" t="s">
        <v>84</v>
      </c>
      <c r="D43" s="47"/>
      <c r="E43" s="52"/>
      <c r="F43" s="47" t="s">
        <v>75</v>
      </c>
      <c r="G43" s="47" t="s">
        <v>84</v>
      </c>
      <c r="H43" s="47" t="s">
        <v>84</v>
      </c>
      <c r="I43" s="47"/>
    </row>
    <row r="44" spans="1:9" ht="15.75" hidden="1" thickBot="1" x14ac:dyDescent="0.3">
      <c r="A44" s="196">
        <f t="shared" si="0"/>
        <v>5272</v>
      </c>
      <c r="B44" s="47" t="s">
        <v>75</v>
      </c>
      <c r="C44" s="47" t="s">
        <v>84</v>
      </c>
      <c r="D44" s="47"/>
      <c r="E44" s="52"/>
      <c r="F44" s="47" t="s">
        <v>75</v>
      </c>
      <c r="G44" s="47" t="s">
        <v>84</v>
      </c>
      <c r="H44" s="47" t="s">
        <v>84</v>
      </c>
      <c r="I44" s="47"/>
    </row>
    <row r="45" spans="1:9" ht="15.75" hidden="1" thickBot="1" x14ac:dyDescent="0.3">
      <c r="A45" s="196">
        <f t="shared" si="0"/>
        <v>5273</v>
      </c>
      <c r="B45" s="47" t="s">
        <v>75</v>
      </c>
      <c r="C45" s="47" t="s">
        <v>84</v>
      </c>
      <c r="D45" s="47"/>
      <c r="E45" s="52"/>
      <c r="F45" s="47" t="s">
        <v>75</v>
      </c>
      <c r="G45" s="47" t="s">
        <v>84</v>
      </c>
      <c r="H45" s="47" t="s">
        <v>84</v>
      </c>
      <c r="I45" s="47"/>
    </row>
    <row r="46" spans="1:9" ht="15.75" hidden="1" thickBot="1" x14ac:dyDescent="0.3">
      <c r="A46" s="196">
        <f t="shared" si="0"/>
        <v>5274</v>
      </c>
      <c r="B46" s="47" t="s">
        <v>75</v>
      </c>
      <c r="C46" s="47" t="s">
        <v>84</v>
      </c>
      <c r="D46" s="47"/>
      <c r="E46" s="52"/>
      <c r="F46" s="47" t="s">
        <v>75</v>
      </c>
      <c r="G46" s="47" t="s">
        <v>84</v>
      </c>
      <c r="H46" s="47" t="s">
        <v>84</v>
      </c>
      <c r="I46" s="47"/>
    </row>
    <row r="47" spans="1:9" ht="15.75" hidden="1" thickBot="1" x14ac:dyDescent="0.3">
      <c r="A47" s="196">
        <f t="shared" si="0"/>
        <v>5275</v>
      </c>
      <c r="B47" s="47" t="s">
        <v>75</v>
      </c>
      <c r="C47" s="47" t="s">
        <v>84</v>
      </c>
      <c r="D47" s="47"/>
      <c r="E47" s="52"/>
      <c r="F47" s="47" t="s">
        <v>75</v>
      </c>
      <c r="G47" s="47" t="s">
        <v>84</v>
      </c>
      <c r="H47" s="47" t="s">
        <v>84</v>
      </c>
      <c r="I47" s="47"/>
    </row>
    <row r="48" spans="1:9" ht="15.75" hidden="1" thickBot="1" x14ac:dyDescent="0.3">
      <c r="A48" s="196">
        <f t="shared" si="0"/>
        <v>5276</v>
      </c>
      <c r="B48" s="47" t="s">
        <v>75</v>
      </c>
      <c r="C48" s="47" t="s">
        <v>84</v>
      </c>
      <c r="D48" s="47"/>
      <c r="E48" s="52"/>
      <c r="F48" s="47" t="s">
        <v>75</v>
      </c>
      <c r="G48" s="47" t="s">
        <v>84</v>
      </c>
      <c r="H48" s="47" t="s">
        <v>84</v>
      </c>
      <c r="I48" s="47"/>
    </row>
    <row r="49" spans="1:9" ht="15.75" hidden="1" thickBot="1" x14ac:dyDescent="0.3">
      <c r="A49" s="196">
        <f t="shared" si="0"/>
        <v>5277</v>
      </c>
      <c r="B49" s="47" t="s">
        <v>75</v>
      </c>
      <c r="C49" s="47" t="s">
        <v>84</v>
      </c>
      <c r="D49" s="47"/>
      <c r="E49" s="52"/>
      <c r="F49" s="47" t="s">
        <v>75</v>
      </c>
      <c r="G49" s="47" t="s">
        <v>84</v>
      </c>
      <c r="H49" s="47" t="s">
        <v>84</v>
      </c>
      <c r="I49" s="47"/>
    </row>
    <row r="50" spans="1:9" ht="15.75" hidden="1" thickBot="1" x14ac:dyDescent="0.3">
      <c r="A50" s="196">
        <f t="shared" si="0"/>
        <v>5278</v>
      </c>
      <c r="B50" s="47" t="s">
        <v>75</v>
      </c>
      <c r="C50" s="47" t="s">
        <v>84</v>
      </c>
      <c r="D50" s="47"/>
      <c r="E50" s="52"/>
      <c r="F50" s="47" t="s">
        <v>75</v>
      </c>
      <c r="G50" s="47" t="s">
        <v>84</v>
      </c>
      <c r="H50" s="47" t="s">
        <v>84</v>
      </c>
      <c r="I50" s="47"/>
    </row>
    <row r="51" spans="1:9" hidden="1" x14ac:dyDescent="0.25">
      <c r="A51" s="196">
        <f t="shared" si="0"/>
        <v>5279</v>
      </c>
      <c r="B51" s="54" t="s">
        <v>75</v>
      </c>
      <c r="C51" s="54" t="s">
        <v>84</v>
      </c>
      <c r="D51" s="54"/>
      <c r="E51" s="52"/>
      <c r="F51" s="47" t="s">
        <v>75</v>
      </c>
      <c r="G51" s="47" t="s">
        <v>84</v>
      </c>
      <c r="H51" s="47" t="s">
        <v>84</v>
      </c>
      <c r="I51" s="47"/>
    </row>
    <row r="52" spans="1:9" hidden="1" x14ac:dyDescent="0.25">
      <c r="A52" s="201">
        <f t="shared" si="0"/>
        <v>5280</v>
      </c>
      <c r="B52" s="47" t="s">
        <v>75</v>
      </c>
      <c r="C52" s="47" t="s">
        <v>84</v>
      </c>
      <c r="D52" s="47"/>
      <c r="E52" s="151"/>
      <c r="F52" s="47" t="s">
        <v>75</v>
      </c>
      <c r="G52" s="47" t="s">
        <v>84</v>
      </c>
      <c r="H52" s="47" t="s">
        <v>84</v>
      </c>
      <c r="I52" s="47"/>
    </row>
    <row r="53" spans="1:9" x14ac:dyDescent="0.25">
      <c r="B53" s="199"/>
      <c r="C53" s="199"/>
      <c r="D53" s="199"/>
      <c r="E53" s="199"/>
      <c r="F53" s="200" t="s">
        <v>75</v>
      </c>
      <c r="G53" s="47" t="s">
        <v>84</v>
      </c>
      <c r="H53" s="47" t="s">
        <v>84</v>
      </c>
      <c r="I53" s="47"/>
    </row>
    <row r="54" spans="1:9" x14ac:dyDescent="0.25">
      <c r="B54" s="199"/>
      <c r="C54" s="199"/>
      <c r="D54" s="199"/>
      <c r="E54" s="199"/>
      <c r="F54" s="200" t="s">
        <v>75</v>
      </c>
      <c r="G54" s="47" t="s">
        <v>84</v>
      </c>
      <c r="H54" s="47" t="s">
        <v>84</v>
      </c>
      <c r="I54" s="47"/>
    </row>
    <row r="55" spans="1:9" x14ac:dyDescent="0.25">
      <c r="B55" s="199"/>
      <c r="C55" s="199"/>
      <c r="D55" s="199"/>
      <c r="E55" s="199"/>
      <c r="F55" s="200" t="s">
        <v>75</v>
      </c>
      <c r="G55" s="47" t="s">
        <v>84</v>
      </c>
      <c r="H55" s="47" t="s">
        <v>84</v>
      </c>
      <c r="I55" s="47"/>
    </row>
    <row r="56" spans="1:9" x14ac:dyDescent="0.25">
      <c r="B56" s="199"/>
      <c r="C56" s="199"/>
      <c r="D56" s="199"/>
      <c r="E56" s="199"/>
      <c r="F56" s="200" t="s">
        <v>75</v>
      </c>
      <c r="G56" s="47" t="s">
        <v>84</v>
      </c>
      <c r="H56" s="47" t="s">
        <v>84</v>
      </c>
      <c r="I56" s="47"/>
    </row>
    <row r="57" spans="1:9" x14ac:dyDescent="0.25">
      <c r="B57" s="199"/>
      <c r="C57" s="199"/>
      <c r="D57" s="199"/>
      <c r="E57" s="199"/>
      <c r="F57" s="200" t="s">
        <v>75</v>
      </c>
      <c r="G57" s="47" t="s">
        <v>84</v>
      </c>
      <c r="H57" s="47" t="s">
        <v>84</v>
      </c>
      <c r="I57" s="47"/>
    </row>
    <row r="58" spans="1:9" x14ac:dyDescent="0.25">
      <c r="B58" s="199"/>
      <c r="C58" s="199"/>
      <c r="D58" s="199"/>
      <c r="E58" s="199"/>
      <c r="F58" s="200" t="s">
        <v>75</v>
      </c>
      <c r="G58" s="47" t="s">
        <v>84</v>
      </c>
      <c r="H58" s="47" t="s">
        <v>84</v>
      </c>
      <c r="I58" s="47"/>
    </row>
    <row r="59" spans="1:9" x14ac:dyDescent="0.25">
      <c r="B59" s="199"/>
      <c r="C59" s="199"/>
      <c r="D59" s="199"/>
      <c r="E59" s="199"/>
      <c r="F59" s="200" t="s">
        <v>75</v>
      </c>
      <c r="G59" s="47" t="s">
        <v>84</v>
      </c>
      <c r="H59" s="47" t="s">
        <v>84</v>
      </c>
      <c r="I59" s="47"/>
    </row>
    <row r="60" spans="1:9" x14ac:dyDescent="0.25">
      <c r="B60" s="199"/>
      <c r="C60" s="199"/>
      <c r="D60" s="199"/>
      <c r="E60" s="199"/>
      <c r="F60" s="200" t="s">
        <v>75</v>
      </c>
      <c r="G60" s="47" t="s">
        <v>84</v>
      </c>
      <c r="H60" s="47" t="s">
        <v>84</v>
      </c>
      <c r="I60" s="47"/>
    </row>
    <row r="61" spans="1:9" x14ac:dyDescent="0.25">
      <c r="B61" s="199"/>
      <c r="C61" s="199"/>
      <c r="D61" s="199"/>
      <c r="E61" s="199"/>
      <c r="F61" s="200" t="s">
        <v>75</v>
      </c>
      <c r="G61" s="47" t="s">
        <v>84</v>
      </c>
      <c r="H61" s="47" t="s">
        <v>84</v>
      </c>
      <c r="I61" s="47"/>
    </row>
    <row r="62" spans="1:9" x14ac:dyDescent="0.25">
      <c r="B62" s="199"/>
      <c r="C62" s="199"/>
      <c r="D62" s="199"/>
      <c r="E62" s="199"/>
      <c r="F62" s="200" t="s">
        <v>75</v>
      </c>
      <c r="G62" s="47" t="s">
        <v>84</v>
      </c>
      <c r="H62" s="47" t="s">
        <v>84</v>
      </c>
      <c r="I62" s="47"/>
    </row>
    <row r="63" spans="1:9" x14ac:dyDescent="0.25">
      <c r="B63" s="199"/>
      <c r="C63" s="199"/>
      <c r="D63" s="199"/>
      <c r="E63" s="199"/>
      <c r="F63" s="200" t="s">
        <v>75</v>
      </c>
      <c r="G63" s="47" t="s">
        <v>84</v>
      </c>
      <c r="H63" s="47" t="s">
        <v>84</v>
      </c>
      <c r="I63" s="47"/>
    </row>
    <row r="64" spans="1:9" x14ac:dyDescent="0.25">
      <c r="B64" s="199"/>
      <c r="C64" s="199"/>
      <c r="D64" s="199"/>
      <c r="E64" s="199"/>
      <c r="F64" s="200" t="s">
        <v>75</v>
      </c>
      <c r="G64" s="47" t="s">
        <v>84</v>
      </c>
      <c r="H64" s="47" t="s">
        <v>84</v>
      </c>
      <c r="I64" s="47"/>
    </row>
    <row r="65" spans="2:9" x14ac:dyDescent="0.25">
      <c r="B65" s="199"/>
      <c r="C65" s="199"/>
      <c r="D65" s="199"/>
      <c r="E65" s="199"/>
      <c r="F65" s="200" t="s">
        <v>75</v>
      </c>
      <c r="G65" s="47" t="s">
        <v>84</v>
      </c>
      <c r="H65" s="47" t="s">
        <v>84</v>
      </c>
      <c r="I65" s="47"/>
    </row>
    <row r="66" spans="2:9" x14ac:dyDescent="0.25">
      <c r="B66" s="199"/>
      <c r="C66" s="199"/>
      <c r="D66" s="199"/>
      <c r="E66" s="199"/>
      <c r="F66" s="200" t="s">
        <v>75</v>
      </c>
      <c r="G66" s="47" t="s">
        <v>84</v>
      </c>
      <c r="H66" s="47" t="s">
        <v>84</v>
      </c>
      <c r="I66" s="47"/>
    </row>
    <row r="67" spans="2:9" x14ac:dyDescent="0.25">
      <c r="B67" s="199"/>
      <c r="C67" s="199"/>
      <c r="D67" s="199"/>
      <c r="E67" s="199"/>
      <c r="F67" s="200" t="s">
        <v>75</v>
      </c>
      <c r="G67" s="47" t="s">
        <v>84</v>
      </c>
      <c r="H67" s="47" t="s">
        <v>84</v>
      </c>
      <c r="I67" s="47"/>
    </row>
    <row r="68" spans="2:9" x14ac:dyDescent="0.25">
      <c r="B68" s="199"/>
      <c r="C68" s="199"/>
      <c r="D68" s="199"/>
      <c r="E68" s="199"/>
      <c r="F68" s="200" t="s">
        <v>75</v>
      </c>
      <c r="G68" s="47" t="s">
        <v>84</v>
      </c>
      <c r="H68" s="47" t="s">
        <v>84</v>
      </c>
      <c r="I68" s="47"/>
    </row>
    <row r="69" spans="2:9" x14ac:dyDescent="0.25">
      <c r="B69" s="199"/>
      <c r="C69" s="199"/>
      <c r="D69" s="199"/>
      <c r="E69" s="199"/>
      <c r="F69" s="200" t="s">
        <v>75</v>
      </c>
      <c r="G69" s="47" t="s">
        <v>84</v>
      </c>
      <c r="H69" s="47" t="s">
        <v>84</v>
      </c>
      <c r="I69" s="47"/>
    </row>
    <row r="70" spans="2:9" x14ac:dyDescent="0.25">
      <c r="B70" s="199"/>
      <c r="C70" s="199"/>
      <c r="D70" s="199"/>
      <c r="E70" s="199"/>
      <c r="F70" s="200" t="s">
        <v>75</v>
      </c>
      <c r="G70" s="47" t="s">
        <v>84</v>
      </c>
      <c r="H70" s="47" t="s">
        <v>84</v>
      </c>
      <c r="I70" s="47"/>
    </row>
    <row r="71" spans="2:9" x14ac:dyDescent="0.25">
      <c r="B71" s="199"/>
      <c r="C71" s="199"/>
      <c r="D71" s="199"/>
      <c r="E71" s="199"/>
      <c r="F71" s="200" t="s">
        <v>75</v>
      </c>
      <c r="G71" s="47" t="s">
        <v>84</v>
      </c>
      <c r="H71" s="47" t="s">
        <v>84</v>
      </c>
      <c r="I71" s="47"/>
    </row>
    <row r="72" spans="2:9" x14ac:dyDescent="0.25">
      <c r="B72" s="199"/>
      <c r="C72" s="199"/>
      <c r="D72" s="199"/>
      <c r="E72" s="199"/>
      <c r="F72" s="200" t="s">
        <v>75</v>
      </c>
      <c r="G72" s="47" t="s">
        <v>84</v>
      </c>
      <c r="H72" s="47" t="s">
        <v>84</v>
      </c>
      <c r="I72" s="47"/>
    </row>
    <row r="73" spans="2:9" x14ac:dyDescent="0.25">
      <c r="B73" s="199"/>
      <c r="C73" s="199"/>
      <c r="D73" s="199"/>
      <c r="E73" s="199"/>
      <c r="F73" s="200" t="s">
        <v>75</v>
      </c>
      <c r="G73" s="47" t="s">
        <v>84</v>
      </c>
      <c r="H73" s="47" t="s">
        <v>84</v>
      </c>
      <c r="I73" s="47"/>
    </row>
    <row r="74" spans="2:9" x14ac:dyDescent="0.25">
      <c r="B74" s="199"/>
      <c r="C74" s="199"/>
      <c r="D74" s="199"/>
      <c r="E74" s="199"/>
      <c r="F74" s="200" t="s">
        <v>75</v>
      </c>
      <c r="G74" s="47" t="s">
        <v>84</v>
      </c>
      <c r="H74" s="47" t="s">
        <v>84</v>
      </c>
      <c r="I74" s="47"/>
    </row>
    <row r="75" spans="2:9" x14ac:dyDescent="0.25">
      <c r="B75" s="199"/>
      <c r="C75" s="199"/>
      <c r="D75" s="199"/>
      <c r="E75" s="199"/>
      <c r="F75" s="200" t="s">
        <v>75</v>
      </c>
      <c r="G75" s="47" t="s">
        <v>84</v>
      </c>
      <c r="H75" s="47" t="s">
        <v>84</v>
      </c>
      <c r="I75" s="47"/>
    </row>
    <row r="76" spans="2:9" x14ac:dyDescent="0.25">
      <c r="B76" s="199"/>
      <c r="C76" s="199"/>
      <c r="D76" s="199"/>
      <c r="E76" s="199"/>
      <c r="F76" s="200" t="s">
        <v>75</v>
      </c>
      <c r="G76" s="47" t="s">
        <v>84</v>
      </c>
      <c r="H76" s="47" t="s">
        <v>84</v>
      </c>
      <c r="I76" s="47"/>
    </row>
    <row r="77" spans="2:9" x14ac:dyDescent="0.25">
      <c r="B77" s="199"/>
      <c r="C77" s="199"/>
      <c r="D77" s="199"/>
      <c r="E77" s="199"/>
      <c r="F77" s="200" t="s">
        <v>75</v>
      </c>
      <c r="G77" s="47" t="s">
        <v>84</v>
      </c>
      <c r="H77" s="47" t="s">
        <v>84</v>
      </c>
      <c r="I77" s="47"/>
    </row>
    <row r="78" spans="2:9" x14ac:dyDescent="0.25">
      <c r="B78" s="199"/>
      <c r="C78" s="199"/>
      <c r="D78" s="199"/>
      <c r="E78" s="199"/>
      <c r="F78" s="200" t="s">
        <v>75</v>
      </c>
      <c r="G78" s="47" t="s">
        <v>84</v>
      </c>
      <c r="H78" s="47" t="s">
        <v>84</v>
      </c>
      <c r="I78" s="47"/>
    </row>
    <row r="79" spans="2:9" x14ac:dyDescent="0.25">
      <c r="B79" s="199"/>
      <c r="C79" s="199"/>
      <c r="D79" s="199"/>
      <c r="E79" s="199"/>
      <c r="F79" s="200" t="s">
        <v>75</v>
      </c>
      <c r="G79" s="47" t="s">
        <v>84</v>
      </c>
      <c r="H79" s="47" t="s">
        <v>84</v>
      </c>
      <c r="I79" s="47"/>
    </row>
    <row r="80" spans="2:9" x14ac:dyDescent="0.25">
      <c r="B80" s="199"/>
      <c r="C80" s="199"/>
      <c r="D80" s="199"/>
      <c r="E80" s="199"/>
      <c r="F80" s="200" t="s">
        <v>75</v>
      </c>
      <c r="G80" s="47" t="s">
        <v>84</v>
      </c>
      <c r="H80" s="47" t="s">
        <v>84</v>
      </c>
      <c r="I80" s="47"/>
    </row>
    <row r="81" spans="2:9" x14ac:dyDescent="0.25">
      <c r="B81" s="199"/>
      <c r="C81" s="199"/>
      <c r="D81" s="199"/>
      <c r="E81" s="199"/>
      <c r="F81" s="200" t="s">
        <v>75</v>
      </c>
      <c r="G81" s="47" t="s">
        <v>84</v>
      </c>
      <c r="H81" s="47" t="s">
        <v>84</v>
      </c>
      <c r="I81" s="47"/>
    </row>
    <row r="82" spans="2:9" x14ac:dyDescent="0.25">
      <c r="B82" s="199"/>
      <c r="C82" s="199"/>
      <c r="D82" s="199"/>
      <c r="E82" s="199"/>
      <c r="F82" s="200" t="s">
        <v>75</v>
      </c>
      <c r="G82" s="47" t="s">
        <v>84</v>
      </c>
      <c r="H82" s="47" t="s">
        <v>84</v>
      </c>
      <c r="I82" s="47"/>
    </row>
    <row r="83" spans="2:9" x14ac:dyDescent="0.25">
      <c r="B83" s="199"/>
      <c r="C83" s="199"/>
      <c r="D83" s="199"/>
      <c r="E83" s="199"/>
      <c r="F83" s="200" t="s">
        <v>75</v>
      </c>
      <c r="G83" s="47" t="s">
        <v>84</v>
      </c>
      <c r="H83" s="47" t="s">
        <v>84</v>
      </c>
      <c r="I83" s="47"/>
    </row>
    <row r="84" spans="2:9" x14ac:dyDescent="0.25">
      <c r="B84" s="199"/>
      <c r="C84" s="199"/>
      <c r="D84" s="199"/>
      <c r="E84" s="199"/>
      <c r="F84" s="200" t="s">
        <v>75</v>
      </c>
      <c r="G84" s="47" t="s">
        <v>84</v>
      </c>
      <c r="H84" s="47" t="s">
        <v>84</v>
      </c>
      <c r="I84" s="47"/>
    </row>
    <row r="85" spans="2:9" x14ac:dyDescent="0.25">
      <c r="B85" s="199"/>
      <c r="C85" s="199"/>
      <c r="D85" s="199"/>
      <c r="E85" s="199"/>
      <c r="F85" s="200" t="s">
        <v>75</v>
      </c>
      <c r="G85" s="47" t="s">
        <v>84</v>
      </c>
      <c r="H85" s="47" t="s">
        <v>84</v>
      </c>
      <c r="I85" s="47"/>
    </row>
    <row r="86" spans="2:9" x14ac:dyDescent="0.25">
      <c r="B86" s="199"/>
      <c r="C86" s="199"/>
      <c r="D86" s="199"/>
      <c r="E86" s="199"/>
      <c r="F86" s="200" t="s">
        <v>75</v>
      </c>
      <c r="G86" s="47" t="s">
        <v>84</v>
      </c>
      <c r="H86" s="47" t="s">
        <v>84</v>
      </c>
      <c r="I86" s="47"/>
    </row>
    <row r="87" spans="2:9" x14ac:dyDescent="0.25">
      <c r="B87" s="199"/>
      <c r="C87" s="199"/>
      <c r="D87" s="199"/>
      <c r="E87" s="199"/>
      <c r="F87" s="200" t="s">
        <v>75</v>
      </c>
      <c r="G87" s="47" t="s">
        <v>84</v>
      </c>
      <c r="H87" s="47" t="s">
        <v>84</v>
      </c>
      <c r="I87" s="47"/>
    </row>
    <row r="88" spans="2:9" x14ac:dyDescent="0.25">
      <c r="B88" s="199"/>
      <c r="C88" s="199"/>
      <c r="D88" s="199"/>
      <c r="E88" s="199"/>
      <c r="F88" s="200" t="s">
        <v>75</v>
      </c>
      <c r="G88" s="47" t="s">
        <v>84</v>
      </c>
      <c r="H88" s="47" t="s">
        <v>84</v>
      </c>
      <c r="I88" s="47"/>
    </row>
    <row r="89" spans="2:9" x14ac:dyDescent="0.25">
      <c r="B89" s="199"/>
      <c r="C89" s="199"/>
      <c r="D89" s="199"/>
      <c r="E89" s="199"/>
      <c r="F89" s="200" t="s">
        <v>75</v>
      </c>
      <c r="G89" s="47" t="s">
        <v>84</v>
      </c>
      <c r="H89" s="47" t="s">
        <v>84</v>
      </c>
      <c r="I89" s="47"/>
    </row>
    <row r="90" spans="2:9" x14ac:dyDescent="0.25">
      <c r="B90" s="199"/>
      <c r="C90" s="199"/>
      <c r="D90" s="199"/>
      <c r="E90" s="199"/>
      <c r="F90" s="200" t="s">
        <v>75</v>
      </c>
      <c r="G90" s="47" t="s">
        <v>84</v>
      </c>
      <c r="H90" s="47" t="s">
        <v>84</v>
      </c>
      <c r="I90" s="47"/>
    </row>
    <row r="91" spans="2:9" x14ac:dyDescent="0.25">
      <c r="B91" s="199"/>
      <c r="C91" s="199"/>
      <c r="D91" s="199"/>
      <c r="E91" s="199"/>
      <c r="F91" s="200" t="s">
        <v>75</v>
      </c>
      <c r="G91" s="47" t="s">
        <v>84</v>
      </c>
      <c r="H91" s="47" t="s">
        <v>84</v>
      </c>
      <c r="I91" s="47"/>
    </row>
    <row r="92" spans="2:9" x14ac:dyDescent="0.25">
      <c r="B92" s="199"/>
      <c r="C92" s="199"/>
      <c r="D92" s="199"/>
      <c r="E92" s="199"/>
      <c r="F92" s="200" t="s">
        <v>75</v>
      </c>
      <c r="G92" s="47" t="s">
        <v>84</v>
      </c>
      <c r="H92" s="47" t="s">
        <v>84</v>
      </c>
      <c r="I92" s="47"/>
    </row>
    <row r="93" spans="2:9" x14ac:dyDescent="0.25">
      <c r="B93" s="199"/>
      <c r="C93" s="199"/>
      <c r="D93" s="199"/>
      <c r="E93" s="199"/>
      <c r="F93" s="200" t="s">
        <v>75</v>
      </c>
      <c r="G93" s="47" t="s">
        <v>84</v>
      </c>
      <c r="H93" s="47" t="s">
        <v>84</v>
      </c>
      <c r="I93" s="47"/>
    </row>
    <row r="94" spans="2:9" x14ac:dyDescent="0.25">
      <c r="B94" s="199"/>
      <c r="C94" s="199"/>
      <c r="D94" s="199"/>
      <c r="E94" s="199"/>
      <c r="F94" s="200" t="s">
        <v>75</v>
      </c>
      <c r="G94" s="47" t="s">
        <v>84</v>
      </c>
      <c r="H94" s="47" t="s">
        <v>84</v>
      </c>
      <c r="I94" s="47"/>
    </row>
    <row r="95" spans="2:9" x14ac:dyDescent="0.25">
      <c r="B95" s="199"/>
      <c r="C95" s="199"/>
      <c r="D95" s="199"/>
      <c r="E95" s="199"/>
      <c r="F95" s="200" t="s">
        <v>75</v>
      </c>
      <c r="G95" s="47" t="s">
        <v>84</v>
      </c>
      <c r="H95" s="47" t="s">
        <v>84</v>
      </c>
      <c r="I95" s="47"/>
    </row>
    <row r="96" spans="2:9" x14ac:dyDescent="0.25">
      <c r="B96" s="199"/>
      <c r="C96" s="199"/>
      <c r="D96" s="199"/>
      <c r="E96" s="199"/>
      <c r="F96" s="200" t="s">
        <v>75</v>
      </c>
      <c r="G96" s="47" t="s">
        <v>84</v>
      </c>
      <c r="H96" s="47" t="s">
        <v>84</v>
      </c>
      <c r="I96" s="47"/>
    </row>
    <row r="97" spans="2:9" x14ac:dyDescent="0.25">
      <c r="B97" s="199"/>
      <c r="C97" s="199"/>
      <c r="D97" s="199"/>
      <c r="E97" s="199"/>
      <c r="F97" s="200" t="s">
        <v>75</v>
      </c>
      <c r="G97" s="47" t="s">
        <v>84</v>
      </c>
      <c r="H97" s="47" t="s">
        <v>84</v>
      </c>
      <c r="I97" s="47"/>
    </row>
    <row r="98" spans="2:9" x14ac:dyDescent="0.25">
      <c r="B98" s="199"/>
      <c r="C98" s="199"/>
      <c r="D98" s="199"/>
      <c r="E98" s="199"/>
      <c r="F98" s="200" t="s">
        <v>75</v>
      </c>
      <c r="G98" s="47" t="s">
        <v>84</v>
      </c>
      <c r="H98" s="47" t="s">
        <v>84</v>
      </c>
      <c r="I98" s="47"/>
    </row>
    <row r="99" spans="2:9" x14ac:dyDescent="0.25">
      <c r="B99" s="199"/>
      <c r="C99" s="199"/>
      <c r="D99" s="199"/>
      <c r="E99" s="199"/>
      <c r="F99" s="200" t="s">
        <v>75</v>
      </c>
      <c r="G99" s="47" t="s">
        <v>84</v>
      </c>
      <c r="H99" s="47" t="s">
        <v>84</v>
      </c>
      <c r="I99" s="47"/>
    </row>
  </sheetData>
  <customSheetViews>
    <customSheetView guid="{42F19D52-E208-414F-9E2E-506DF902926F}" hiddenRows="1" hiddenColumns="1">
      <selection activeCell="B2" sqref="B2"/>
      <pageMargins left="0.7" right="0.7" top="0.75" bottom="0.75" header="0.3" footer="0.3"/>
    </customSheetView>
    <customSheetView guid="{BE266B8E-38B0-4631-9C30-67CA48A8BD7F}" hiddenRows="1" hiddenColumns="1">
      <selection activeCell="B2" sqref="B2"/>
      <pageMargins left="0.7" right="0.7" top="0.75" bottom="0.75" header="0.3" footer="0.3"/>
    </customSheetView>
    <customSheetView guid="{BD1DF852-269B-4C2F-AF89-1FA576EA4603}" hiddenRows="1" hiddenColumns="1">
      <selection activeCell="B1" sqref="B1:B99"/>
      <pageMargins left="0.7" right="0.7" top="0.75" bottom="0.75" header="0.3" footer="0.3"/>
    </customSheetView>
    <customSheetView guid="{C8D72D7B-AEA0-45E3-A14B-3F039B04C62C}" hiddenRows="1" hiddenColumns="1">
      <pageMargins left="0.7" right="0.7" top="0.75" bottom="0.75" header="0.3" footer="0.3"/>
    </customSheetView>
    <customSheetView guid="{6A3B2C41-2DBC-4B17-AB58-12C85E3A6B8A}" hiddenRows="1" hiddenColumns="1">
      <pageMargins left="0.7" right="0.7" top="0.75" bottom="0.75" header="0.3" footer="0.3"/>
    </customSheetView>
    <customSheetView guid="{9DC468DE-D883-45B4-B188-265B9DA68425}" topLeftCell="C1">
      <selection activeCell="E34" sqref="E34"/>
      <pageMargins left="0.7" right="0.7" top="0.75" bottom="0.75" header="0.3" footer="0.3"/>
    </customSheetView>
    <customSheetView guid="{6960175A-17E1-4BDD-98F7-6E9A590B8B7F}" topLeftCell="C1">
      <selection activeCell="E34" sqref="E34"/>
      <pageMargins left="0.7" right="0.7" top="0.75" bottom="0.75" header="0.3" footer="0.3"/>
    </customSheetView>
    <customSheetView guid="{DB365F32-166D-4348-BCE9-F0F1DB0B73A9}" topLeftCell="C1">
      <selection activeCell="E34" sqref="E34"/>
      <pageMargins left="0.7" right="0.7" top="0.75" bottom="0.75" header="0.3" footer="0.3"/>
    </customSheetView>
    <customSheetView guid="{6EDF2E63-E51E-449A-B1C5-EFB1FD6A259C}" topLeftCell="C1">
      <selection activeCell="E34" sqref="E34"/>
      <pageMargins left="0.7" right="0.7" top="0.75" bottom="0.75" header="0.3" footer="0.3"/>
    </customSheetView>
    <customSheetView guid="{46B088B4-7F51-4D35-9F00-2268626FA819}" hiddenColumns="1">
      <selection activeCell="A2" sqref="A2"/>
      <pageMargins left="0.7" right="0.7" top="0.75" bottom="0.75" header="0.3" footer="0.3"/>
    </customSheetView>
    <customSheetView guid="{BC153CFA-E879-4863-BF97-64855FD940E5}" hiddenRows="1" hiddenColumns="1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C25" sqref="C25:C26"/>
    </sheetView>
  </sheetViews>
  <sheetFormatPr defaultRowHeight="15" x14ac:dyDescent="0.25"/>
  <cols>
    <col min="1" max="1" width="25.7109375" customWidth="1"/>
    <col min="2" max="2" width="15.7109375" customWidth="1"/>
    <col min="3" max="3" width="70.7109375" customWidth="1"/>
  </cols>
  <sheetData>
    <row r="1" spans="1:3" ht="16.5" thickBot="1" x14ac:dyDescent="0.3">
      <c r="A1" s="194" t="s">
        <v>795</v>
      </c>
      <c r="B1" s="194" t="s">
        <v>796</v>
      </c>
      <c r="C1" s="195"/>
    </row>
    <row r="2" spans="1:3" ht="15.75" thickBot="1" x14ac:dyDescent="0.3">
      <c r="A2" s="102" t="s">
        <v>652</v>
      </c>
      <c r="B2" s="103"/>
      <c r="C2" s="100" t="s">
        <v>794</v>
      </c>
    </row>
    <row r="3" spans="1:3" x14ac:dyDescent="0.25">
      <c r="A3" s="289">
        <f>IF('Team Info'!$B$2 = "Away",5150,5250)</f>
        <v>5250</v>
      </c>
      <c r="B3" s="197" t="s">
        <v>731</v>
      </c>
      <c r="C3" s="104"/>
    </row>
    <row r="4" spans="1:3" ht="15.75" thickBot="1" x14ac:dyDescent="0.3">
      <c r="A4" s="290"/>
      <c r="B4" s="107" t="s">
        <v>732</v>
      </c>
      <c r="C4" s="105"/>
    </row>
    <row r="5" spans="1:3" x14ac:dyDescent="0.25">
      <c r="A5" s="289">
        <f>A3+1</f>
        <v>5251</v>
      </c>
      <c r="B5" s="197" t="s">
        <v>731</v>
      </c>
      <c r="C5" s="104"/>
    </row>
    <row r="6" spans="1:3" ht="15.75" thickBot="1" x14ac:dyDescent="0.3">
      <c r="A6" s="290"/>
      <c r="B6" s="107" t="s">
        <v>732</v>
      </c>
      <c r="C6" s="105"/>
    </row>
    <row r="7" spans="1:3" x14ac:dyDescent="0.25">
      <c r="A7" s="289">
        <f>A3+2</f>
        <v>5252</v>
      </c>
      <c r="B7" s="197" t="s">
        <v>731</v>
      </c>
      <c r="C7" s="104"/>
    </row>
    <row r="8" spans="1:3" ht="15.75" thickBot="1" x14ac:dyDescent="0.3">
      <c r="A8" s="290"/>
      <c r="B8" s="107" t="s">
        <v>732</v>
      </c>
      <c r="C8" s="105"/>
    </row>
    <row r="9" spans="1:3" x14ac:dyDescent="0.25">
      <c r="A9" s="289">
        <f>A3+3</f>
        <v>5253</v>
      </c>
      <c r="B9" s="197" t="s">
        <v>731</v>
      </c>
      <c r="C9" s="104"/>
    </row>
    <row r="10" spans="1:3" ht="15.75" thickBot="1" x14ac:dyDescent="0.3">
      <c r="A10" s="290"/>
      <c r="B10" s="107" t="s">
        <v>732</v>
      </c>
      <c r="C10" s="105"/>
    </row>
    <row r="11" spans="1:3" x14ac:dyDescent="0.25">
      <c r="A11" s="289">
        <f>A3+4</f>
        <v>5254</v>
      </c>
      <c r="B11" s="197" t="s">
        <v>731</v>
      </c>
      <c r="C11" s="104"/>
    </row>
    <row r="12" spans="1:3" ht="15.75" thickBot="1" x14ac:dyDescent="0.3">
      <c r="A12" s="290"/>
      <c r="B12" s="107" t="s">
        <v>732</v>
      </c>
      <c r="C12" s="105"/>
    </row>
    <row r="13" spans="1:3" x14ac:dyDescent="0.25">
      <c r="A13" s="289">
        <f>A3+5</f>
        <v>5255</v>
      </c>
      <c r="B13" s="197" t="s">
        <v>731</v>
      </c>
      <c r="C13" s="104"/>
    </row>
    <row r="14" spans="1:3" ht="15.75" thickBot="1" x14ac:dyDescent="0.3">
      <c r="A14" s="290"/>
      <c r="B14" s="107" t="s">
        <v>732</v>
      </c>
      <c r="C14" s="105"/>
    </row>
    <row r="15" spans="1:3" x14ac:dyDescent="0.25">
      <c r="A15" s="289">
        <f>A3+6</f>
        <v>5256</v>
      </c>
      <c r="B15" s="197" t="s">
        <v>731</v>
      </c>
      <c r="C15" s="104"/>
    </row>
    <row r="16" spans="1:3" ht="15.75" thickBot="1" x14ac:dyDescent="0.3">
      <c r="A16" s="290"/>
      <c r="B16" s="107" t="s">
        <v>732</v>
      </c>
      <c r="C16" s="105"/>
    </row>
    <row r="17" spans="1:3" x14ac:dyDescent="0.25">
      <c r="A17" s="289">
        <f>A3+7</f>
        <v>5257</v>
      </c>
      <c r="B17" s="197" t="s">
        <v>731</v>
      </c>
      <c r="C17" s="104"/>
    </row>
    <row r="18" spans="1:3" ht="15.75" thickBot="1" x14ac:dyDescent="0.3">
      <c r="A18" s="290"/>
      <c r="B18" s="107" t="s">
        <v>732</v>
      </c>
      <c r="C18" s="105"/>
    </row>
    <row r="19" spans="1:3" x14ac:dyDescent="0.25">
      <c r="A19" s="289">
        <f>A3+8</f>
        <v>5258</v>
      </c>
      <c r="B19" s="197" t="s">
        <v>731</v>
      </c>
      <c r="C19" s="104"/>
    </row>
    <row r="20" spans="1:3" ht="15.75" thickBot="1" x14ac:dyDescent="0.3">
      <c r="A20" s="290"/>
      <c r="B20" s="107" t="s">
        <v>732</v>
      </c>
      <c r="C20" s="105"/>
    </row>
    <row r="21" spans="1:3" x14ac:dyDescent="0.25">
      <c r="A21" s="289">
        <f>A3+9</f>
        <v>5259</v>
      </c>
      <c r="B21" s="197" t="s">
        <v>731</v>
      </c>
      <c r="C21" s="104"/>
    </row>
    <row r="22" spans="1:3" ht="15.75" thickBot="1" x14ac:dyDescent="0.3">
      <c r="A22" s="290"/>
      <c r="B22" s="107" t="s">
        <v>732</v>
      </c>
      <c r="C22" s="105"/>
    </row>
    <row r="23" spans="1:3" ht="15.75" thickBot="1" x14ac:dyDescent="0.3">
      <c r="A23" s="198"/>
    </row>
    <row r="24" spans="1:3" ht="15.75" thickBot="1" x14ac:dyDescent="0.3">
      <c r="A24" s="102" t="s">
        <v>652</v>
      </c>
      <c r="B24" s="103"/>
      <c r="C24" s="100" t="s">
        <v>794</v>
      </c>
    </row>
    <row r="25" spans="1:3" x14ac:dyDescent="0.25">
      <c r="A25" s="291">
        <f>IF('Team Info'!$B$2 = "Away",5160,5260)</f>
        <v>5260</v>
      </c>
      <c r="B25" s="106" t="s">
        <v>731</v>
      </c>
      <c r="C25" s="104"/>
    </row>
    <row r="26" spans="1:3" ht="15.75" thickBot="1" x14ac:dyDescent="0.3">
      <c r="A26" s="292"/>
      <c r="B26" s="107" t="s">
        <v>732</v>
      </c>
      <c r="C26" s="105"/>
    </row>
    <row r="27" spans="1:3" x14ac:dyDescent="0.25">
      <c r="A27" s="289">
        <f>A25+1</f>
        <v>5261</v>
      </c>
      <c r="B27" s="106" t="s">
        <v>731</v>
      </c>
      <c r="C27" s="104"/>
    </row>
    <row r="28" spans="1:3" ht="15.75" thickBot="1" x14ac:dyDescent="0.3">
      <c r="A28" s="290"/>
      <c r="B28" s="107" t="s">
        <v>732</v>
      </c>
      <c r="C28" s="105"/>
    </row>
    <row r="29" spans="1:3" x14ac:dyDescent="0.25">
      <c r="A29" s="289">
        <f>A25+2</f>
        <v>5262</v>
      </c>
      <c r="B29" s="106" t="s">
        <v>731</v>
      </c>
      <c r="C29" s="104"/>
    </row>
    <row r="30" spans="1:3" ht="15.75" thickBot="1" x14ac:dyDescent="0.3">
      <c r="A30" s="290"/>
      <c r="B30" s="107" t="s">
        <v>732</v>
      </c>
      <c r="C30" s="105"/>
    </row>
    <row r="31" spans="1:3" x14ac:dyDescent="0.25">
      <c r="A31" s="289">
        <f>A25+3</f>
        <v>5263</v>
      </c>
      <c r="B31" s="106" t="s">
        <v>731</v>
      </c>
      <c r="C31" s="104"/>
    </row>
    <row r="32" spans="1:3" ht="15.75" thickBot="1" x14ac:dyDescent="0.3">
      <c r="A32" s="290"/>
      <c r="B32" s="107" t="s">
        <v>732</v>
      </c>
      <c r="C32" s="105"/>
    </row>
    <row r="33" spans="1:3" x14ac:dyDescent="0.25">
      <c r="A33" s="289">
        <f>A25+4</f>
        <v>5264</v>
      </c>
      <c r="B33" s="106" t="s">
        <v>731</v>
      </c>
      <c r="C33" s="104"/>
    </row>
    <row r="34" spans="1:3" ht="15.75" thickBot="1" x14ac:dyDescent="0.3">
      <c r="A34" s="290"/>
      <c r="B34" s="107" t="s">
        <v>732</v>
      </c>
      <c r="C34" s="105"/>
    </row>
    <row r="35" spans="1:3" x14ac:dyDescent="0.25">
      <c r="A35" s="289">
        <f>A25+5</f>
        <v>5265</v>
      </c>
      <c r="B35" s="106" t="s">
        <v>731</v>
      </c>
      <c r="C35" s="104"/>
    </row>
    <row r="36" spans="1:3" ht="15.75" thickBot="1" x14ac:dyDescent="0.3">
      <c r="A36" s="290"/>
      <c r="B36" s="107" t="s">
        <v>732</v>
      </c>
      <c r="C36" s="105"/>
    </row>
    <row r="37" spans="1:3" x14ac:dyDescent="0.25">
      <c r="A37" s="289">
        <f>A25+6</f>
        <v>5266</v>
      </c>
      <c r="B37" s="106" t="s">
        <v>731</v>
      </c>
      <c r="C37" s="104"/>
    </row>
    <row r="38" spans="1:3" ht="15.75" thickBot="1" x14ac:dyDescent="0.3">
      <c r="A38" s="290"/>
      <c r="B38" s="107" t="s">
        <v>732</v>
      </c>
      <c r="C38" s="105"/>
    </row>
    <row r="39" spans="1:3" x14ac:dyDescent="0.25">
      <c r="A39" s="289">
        <f>A25+7</f>
        <v>5267</v>
      </c>
      <c r="B39" s="106" t="s">
        <v>731</v>
      </c>
      <c r="C39" s="104"/>
    </row>
    <row r="40" spans="1:3" ht="15.75" thickBot="1" x14ac:dyDescent="0.3">
      <c r="A40" s="290"/>
      <c r="B40" s="107" t="s">
        <v>732</v>
      </c>
      <c r="C40" s="105"/>
    </row>
    <row r="41" spans="1:3" x14ac:dyDescent="0.25">
      <c r="A41" s="289">
        <f>A25+8</f>
        <v>5268</v>
      </c>
      <c r="B41" s="106" t="s">
        <v>731</v>
      </c>
      <c r="C41" s="104"/>
    </row>
    <row r="42" spans="1:3" ht="15.75" thickBot="1" x14ac:dyDescent="0.3">
      <c r="A42" s="290"/>
      <c r="B42" s="107" t="s">
        <v>732</v>
      </c>
      <c r="C42" s="105"/>
    </row>
    <row r="43" spans="1:3" x14ac:dyDescent="0.25">
      <c r="A43" s="289">
        <f>A25+9</f>
        <v>5269</v>
      </c>
      <c r="B43" s="106" t="s">
        <v>731</v>
      </c>
      <c r="C43" s="104"/>
    </row>
    <row r="44" spans="1:3" ht="15.75" thickBot="1" x14ac:dyDescent="0.3">
      <c r="A44" s="290"/>
      <c r="B44" s="107" t="s">
        <v>732</v>
      </c>
      <c r="C44" s="105"/>
    </row>
    <row r="45" spans="1:3" ht="15.75" thickBot="1" x14ac:dyDescent="0.3">
      <c r="A45" s="114" t="s">
        <v>739</v>
      </c>
      <c r="B45" s="115"/>
      <c r="C45" s="116"/>
    </row>
  </sheetData>
  <customSheetViews>
    <customSheetView guid="{42F19D52-E208-414F-9E2E-506DF902926F}">
      <selection activeCell="C25" sqref="C25:C26"/>
      <pageMargins left="0.7" right="0.7" top="0.75" bottom="0.75" header="0.3" footer="0.3"/>
    </customSheetView>
    <customSheetView guid="{BE266B8E-38B0-4631-9C30-67CA48A8BD7F}">
      <selection activeCell="C25" sqref="C25:C26"/>
      <pageMargins left="0.7" right="0.7" top="0.75" bottom="0.75" header="0.3" footer="0.3"/>
    </customSheetView>
    <customSheetView guid="{BD1DF852-269B-4C2F-AF89-1FA576EA4603}">
      <selection activeCell="A3" sqref="A3:A4"/>
      <pageMargins left="0.7" right="0.7" top="0.75" bottom="0.75" header="0.3" footer="0.3"/>
    </customSheetView>
    <customSheetView guid="{C8D72D7B-AEA0-45E3-A14B-3F039B04C62C}">
      <selection activeCell="C25" sqref="C25:C26"/>
      <pageMargins left="0.7" right="0.7" top="0.75" bottom="0.75" header="0.3" footer="0.3"/>
    </customSheetView>
    <customSheetView guid="{6A3B2C41-2DBC-4B17-AB58-12C85E3A6B8A}">
      <pageMargins left="0.7" right="0.7" top="0.75" bottom="0.75" header="0.3" footer="0.3"/>
    </customSheetView>
    <customSheetView guid="{46B088B4-7F51-4D35-9F00-2268626FA819}" topLeftCell="A7">
      <selection activeCell="A3" sqref="A3:A4"/>
      <pageMargins left="0.7" right="0.7" top="0.75" bottom="0.75" header="0.3" footer="0.3"/>
    </customSheetView>
    <customSheetView guid="{BC153CFA-E879-4863-BF97-64855FD940E5}">
      <selection activeCell="C25" sqref="C25:C26"/>
      <pageMargins left="0.7" right="0.7" top="0.75" bottom="0.75" header="0.3" footer="0.3"/>
    </customSheetView>
  </customSheetViews>
  <mergeCells count="20">
    <mergeCell ref="A13:A14"/>
    <mergeCell ref="A15:A16"/>
    <mergeCell ref="A17:A18"/>
    <mergeCell ref="A19:A20"/>
    <mergeCell ref="A21:A22"/>
    <mergeCell ref="A3:A4"/>
    <mergeCell ref="A5:A6"/>
    <mergeCell ref="A7:A8"/>
    <mergeCell ref="A9:A10"/>
    <mergeCell ref="A11:A12"/>
    <mergeCell ref="A37:A38"/>
    <mergeCell ref="A39:A40"/>
    <mergeCell ref="A41:A42"/>
    <mergeCell ref="A43:A44"/>
    <mergeCell ref="A25:A26"/>
    <mergeCell ref="A27:A28"/>
    <mergeCell ref="A29:A30"/>
    <mergeCell ref="A31:A32"/>
    <mergeCell ref="A33:A34"/>
    <mergeCell ref="A35:A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workbookViewId="0">
      <selection activeCell="J3" sqref="J3"/>
    </sheetView>
  </sheetViews>
  <sheetFormatPr defaultRowHeight="15" x14ac:dyDescent="0.25"/>
  <cols>
    <col min="1" max="1" width="4.7109375" style="9" customWidth="1"/>
    <col min="2" max="2" width="9.140625" style="9"/>
    <col min="3" max="4" width="12.7109375" customWidth="1"/>
    <col min="5" max="5" width="10.7109375" style="9" customWidth="1"/>
    <col min="6" max="6" width="5.7109375" customWidth="1"/>
    <col min="7" max="7" width="30.7109375" customWidth="1"/>
    <col min="8" max="8" width="2.7109375" customWidth="1"/>
    <col min="9" max="10" width="45.7109375" customWidth="1"/>
  </cols>
  <sheetData>
    <row r="1" spans="1:10" x14ac:dyDescent="0.25">
      <c r="B1" s="227" t="s">
        <v>817</v>
      </c>
      <c r="C1" s="74"/>
      <c r="D1" s="74"/>
      <c r="E1" s="226"/>
      <c r="F1" s="74"/>
      <c r="G1" s="226" t="s">
        <v>768</v>
      </c>
      <c r="H1" s="74"/>
      <c r="I1" s="74" t="s">
        <v>834</v>
      </c>
      <c r="J1" s="74" t="s">
        <v>834</v>
      </c>
    </row>
    <row r="2" spans="1:10" x14ac:dyDescent="0.25">
      <c r="B2" s="225" t="s">
        <v>43</v>
      </c>
      <c r="C2" s="224" t="s">
        <v>44</v>
      </c>
      <c r="D2" s="224" t="s">
        <v>45</v>
      </c>
      <c r="E2" s="223" t="s">
        <v>46</v>
      </c>
      <c r="G2" s="223" t="s">
        <v>816</v>
      </c>
      <c r="I2" s="223" t="s">
        <v>815</v>
      </c>
      <c r="J2" s="223" t="s">
        <v>814</v>
      </c>
    </row>
    <row r="3" spans="1:10" x14ac:dyDescent="0.25">
      <c r="A3" s="61">
        <v>1</v>
      </c>
      <c r="B3" s="222" t="str">
        <f>Roster!B4</f>
        <v>1</v>
      </c>
      <c r="C3" s="221" t="str">
        <f>Roster!C4</f>
        <v>First</v>
      </c>
      <c r="D3" s="221" t="str">
        <f>Roster!D4</f>
        <v>Last</v>
      </c>
      <c r="E3" s="45" t="str">
        <f>Roster!E4</f>
        <v>G</v>
      </c>
      <c r="G3" s="220"/>
      <c r="I3" s="220"/>
      <c r="J3" s="220"/>
    </row>
    <row r="4" spans="1:10" x14ac:dyDescent="0.25">
      <c r="A4" s="61">
        <v>2</v>
      </c>
      <c r="B4" s="222">
        <f>Roster!B5</f>
        <v>2</v>
      </c>
      <c r="C4" s="221">
        <f>Roster!C5</f>
        <v>0</v>
      </c>
      <c r="D4" s="221">
        <f>Roster!D5</f>
        <v>0</v>
      </c>
      <c r="E4" s="45">
        <f>Roster!E5</f>
        <v>0</v>
      </c>
      <c r="G4" s="220"/>
      <c r="I4" s="220"/>
      <c r="J4" s="220"/>
    </row>
    <row r="5" spans="1:10" x14ac:dyDescent="0.25">
      <c r="A5" s="61">
        <v>3</v>
      </c>
      <c r="B5" s="222">
        <f>Roster!B6</f>
        <v>3</v>
      </c>
      <c r="C5" s="221">
        <f>Roster!C6</f>
        <v>0</v>
      </c>
      <c r="D5" s="221">
        <f>Roster!D6</f>
        <v>0</v>
      </c>
      <c r="E5" s="45">
        <f>Roster!E6</f>
        <v>0</v>
      </c>
      <c r="G5" s="220"/>
      <c r="I5" s="220"/>
      <c r="J5" s="220"/>
    </row>
    <row r="6" spans="1:10" x14ac:dyDescent="0.25">
      <c r="A6" s="61">
        <v>4</v>
      </c>
      <c r="B6" s="222">
        <f>Roster!B7</f>
        <v>4</v>
      </c>
      <c r="C6" s="221">
        <f>Roster!C7</f>
        <v>0</v>
      </c>
      <c r="D6" s="221">
        <f>Roster!D7</f>
        <v>0</v>
      </c>
      <c r="E6" s="45">
        <f>Roster!E7</f>
        <v>0</v>
      </c>
      <c r="G6" s="220"/>
      <c r="I6" s="220"/>
      <c r="J6" s="220"/>
    </row>
    <row r="7" spans="1:10" x14ac:dyDescent="0.25">
      <c r="A7" s="61">
        <v>5</v>
      </c>
      <c r="B7" s="222">
        <f>Roster!B8</f>
        <v>5</v>
      </c>
      <c r="C7" s="221">
        <f>Roster!C8</f>
        <v>0</v>
      </c>
      <c r="D7" s="221">
        <f>Roster!D8</f>
        <v>0</v>
      </c>
      <c r="E7" s="45">
        <f>Roster!E8</f>
        <v>0</v>
      </c>
      <c r="G7" s="220"/>
      <c r="I7" s="220"/>
      <c r="J7" s="220"/>
    </row>
    <row r="8" spans="1:10" x14ac:dyDescent="0.25">
      <c r="A8" s="61">
        <v>6</v>
      </c>
      <c r="B8" s="222">
        <f>Roster!B9</f>
        <v>6</v>
      </c>
      <c r="C8" s="221">
        <f>Roster!C9</f>
        <v>0</v>
      </c>
      <c r="D8" s="221">
        <f>Roster!D9</f>
        <v>0</v>
      </c>
      <c r="E8" s="45">
        <f>Roster!E9</f>
        <v>0</v>
      </c>
      <c r="G8" s="220"/>
      <c r="I8" s="220"/>
      <c r="J8" s="220"/>
    </row>
    <row r="9" spans="1:10" x14ac:dyDescent="0.25">
      <c r="A9" s="61">
        <v>7</v>
      </c>
      <c r="B9" s="222">
        <f>Roster!B10</f>
        <v>7</v>
      </c>
      <c r="C9" s="221">
        <f>Roster!C10</f>
        <v>0</v>
      </c>
      <c r="D9" s="221">
        <f>Roster!D10</f>
        <v>0</v>
      </c>
      <c r="E9" s="45">
        <f>Roster!E10</f>
        <v>0</v>
      </c>
      <c r="G9" s="220"/>
      <c r="I9" s="220"/>
      <c r="J9" s="220"/>
    </row>
    <row r="10" spans="1:10" x14ac:dyDescent="0.25">
      <c r="A10" s="61">
        <v>8</v>
      </c>
      <c r="B10" s="222">
        <f>Roster!B11</f>
        <v>8</v>
      </c>
      <c r="C10" s="221">
        <f>Roster!C11</f>
        <v>0</v>
      </c>
      <c r="D10" s="221">
        <f>Roster!D11</f>
        <v>0</v>
      </c>
      <c r="E10" s="45">
        <f>Roster!E11</f>
        <v>0</v>
      </c>
      <c r="G10" s="220"/>
      <c r="I10" s="220"/>
      <c r="J10" s="220"/>
    </row>
    <row r="11" spans="1:10" x14ac:dyDescent="0.25">
      <c r="A11" s="61">
        <v>9</v>
      </c>
      <c r="B11" s="222">
        <f>Roster!B12</f>
        <v>9</v>
      </c>
      <c r="C11" s="221">
        <f>Roster!C12</f>
        <v>0</v>
      </c>
      <c r="D11" s="221">
        <f>Roster!D12</f>
        <v>0</v>
      </c>
      <c r="E11" s="45">
        <f>Roster!E12</f>
        <v>0</v>
      </c>
      <c r="G11" s="220"/>
      <c r="I11" s="220"/>
      <c r="J11" s="220"/>
    </row>
    <row r="12" spans="1:10" x14ac:dyDescent="0.25">
      <c r="A12" s="61">
        <v>10</v>
      </c>
      <c r="B12" s="222">
        <f>Roster!B13</f>
        <v>10</v>
      </c>
      <c r="C12" s="221">
        <f>Roster!C13</f>
        <v>0</v>
      </c>
      <c r="D12" s="221">
        <f>Roster!D13</f>
        <v>0</v>
      </c>
      <c r="E12" s="45">
        <f>Roster!E13</f>
        <v>0</v>
      </c>
      <c r="G12" s="220"/>
      <c r="I12" s="220"/>
      <c r="J12" s="220"/>
    </row>
    <row r="13" spans="1:10" x14ac:dyDescent="0.25">
      <c r="A13" s="61">
        <v>11</v>
      </c>
      <c r="B13" s="222">
        <f>Roster!B14</f>
        <v>11</v>
      </c>
      <c r="C13" s="221">
        <f>Roster!C14</f>
        <v>0</v>
      </c>
      <c r="D13" s="221">
        <f>Roster!D14</f>
        <v>0</v>
      </c>
      <c r="E13" s="45">
        <f>Roster!E14</f>
        <v>0</v>
      </c>
      <c r="G13" s="220"/>
      <c r="I13" s="220"/>
      <c r="J13" s="220"/>
    </row>
    <row r="14" spans="1:10" x14ac:dyDescent="0.25">
      <c r="A14" s="61">
        <v>12</v>
      </c>
      <c r="B14" s="222">
        <f>Roster!B15</f>
        <v>12</v>
      </c>
      <c r="C14" s="221">
        <f>Roster!C15</f>
        <v>0</v>
      </c>
      <c r="D14" s="221">
        <f>Roster!D15</f>
        <v>0</v>
      </c>
      <c r="E14" s="45">
        <f>Roster!E15</f>
        <v>0</v>
      </c>
      <c r="G14" s="220"/>
      <c r="I14" s="220"/>
      <c r="J14" s="220"/>
    </row>
    <row r="15" spans="1:10" x14ac:dyDescent="0.25">
      <c r="A15" s="61">
        <v>13</v>
      </c>
      <c r="B15" s="222">
        <f>Roster!B16</f>
        <v>13</v>
      </c>
      <c r="C15" s="221">
        <f>Roster!C16</f>
        <v>0</v>
      </c>
      <c r="D15" s="221">
        <f>Roster!D16</f>
        <v>0</v>
      </c>
      <c r="E15" s="45">
        <f>Roster!E16</f>
        <v>0</v>
      </c>
      <c r="G15" s="220"/>
      <c r="I15" s="220"/>
      <c r="J15" s="220"/>
    </row>
    <row r="16" spans="1:10" x14ac:dyDescent="0.25">
      <c r="A16" s="61">
        <v>14</v>
      </c>
      <c r="B16" s="222">
        <f>Roster!B17</f>
        <v>14</v>
      </c>
      <c r="C16" s="221">
        <f>Roster!C17</f>
        <v>0</v>
      </c>
      <c r="D16" s="221">
        <f>Roster!D17</f>
        <v>0</v>
      </c>
      <c r="E16" s="45">
        <f>Roster!E17</f>
        <v>0</v>
      </c>
      <c r="G16" s="220"/>
      <c r="I16" s="220"/>
      <c r="J16" s="220"/>
    </row>
    <row r="17" spans="1:10" x14ac:dyDescent="0.25">
      <c r="A17" s="61">
        <v>15</v>
      </c>
      <c r="B17" s="222">
        <f>Roster!B18</f>
        <v>15</v>
      </c>
      <c r="C17" s="221">
        <f>Roster!C18</f>
        <v>0</v>
      </c>
      <c r="D17" s="221">
        <f>Roster!D18</f>
        <v>0</v>
      </c>
      <c r="E17" s="45">
        <f>Roster!E18</f>
        <v>0</v>
      </c>
      <c r="G17" s="220"/>
      <c r="I17" s="220"/>
      <c r="J17" s="220"/>
    </row>
    <row r="18" spans="1:10" x14ac:dyDescent="0.25">
      <c r="A18" s="61">
        <v>16</v>
      </c>
      <c r="B18" s="222">
        <f>Roster!B19</f>
        <v>16</v>
      </c>
      <c r="C18" s="221">
        <f>Roster!C19</f>
        <v>0</v>
      </c>
      <c r="D18" s="221">
        <f>Roster!D19</f>
        <v>0</v>
      </c>
      <c r="E18" s="45">
        <f>Roster!E19</f>
        <v>0</v>
      </c>
      <c r="G18" s="220"/>
      <c r="I18" s="220"/>
      <c r="J18" s="220"/>
    </row>
    <row r="19" spans="1:10" x14ac:dyDescent="0.25">
      <c r="A19" s="61">
        <v>17</v>
      </c>
      <c r="B19" s="222">
        <f>Roster!B20</f>
        <v>17</v>
      </c>
      <c r="C19" s="221">
        <f>Roster!C20</f>
        <v>0</v>
      </c>
      <c r="D19" s="221">
        <f>Roster!D20</f>
        <v>0</v>
      </c>
      <c r="E19" s="45">
        <f>Roster!E20</f>
        <v>0</v>
      </c>
      <c r="G19" s="220"/>
      <c r="I19" s="220"/>
      <c r="J19" s="220"/>
    </row>
    <row r="20" spans="1:10" x14ac:dyDescent="0.25">
      <c r="A20" s="61">
        <v>18</v>
      </c>
      <c r="B20" s="222">
        <f>Roster!B21</f>
        <v>18</v>
      </c>
      <c r="C20" s="221">
        <f>Roster!C21</f>
        <v>0</v>
      </c>
      <c r="D20" s="221">
        <f>Roster!D21</f>
        <v>0</v>
      </c>
      <c r="E20" s="45">
        <f>Roster!E21</f>
        <v>0</v>
      </c>
      <c r="G20" s="220"/>
      <c r="I20" s="220"/>
      <c r="J20" s="220"/>
    </row>
    <row r="21" spans="1:10" x14ac:dyDescent="0.25">
      <c r="A21" s="61">
        <v>19</v>
      </c>
      <c r="B21" s="222">
        <f>Roster!B22</f>
        <v>19</v>
      </c>
      <c r="C21" s="221">
        <f>Roster!C22</f>
        <v>0</v>
      </c>
      <c r="D21" s="221">
        <f>Roster!D22</f>
        <v>0</v>
      </c>
      <c r="E21" s="45">
        <f>Roster!E22</f>
        <v>0</v>
      </c>
      <c r="G21" s="220"/>
      <c r="I21" s="220"/>
      <c r="J21" s="220"/>
    </row>
    <row r="22" spans="1:10" x14ac:dyDescent="0.25">
      <c r="A22" s="61">
        <v>20</v>
      </c>
      <c r="B22" s="222">
        <f>Roster!B23</f>
        <v>20</v>
      </c>
      <c r="C22" s="221">
        <f>Roster!C23</f>
        <v>0</v>
      </c>
      <c r="D22" s="221">
        <f>Roster!D23</f>
        <v>0</v>
      </c>
      <c r="E22" s="45">
        <f>Roster!E23</f>
        <v>0</v>
      </c>
      <c r="G22" s="220"/>
      <c r="I22" s="220"/>
      <c r="J22" s="220"/>
    </row>
    <row r="23" spans="1:10" x14ac:dyDescent="0.25">
      <c r="A23" s="61">
        <v>21</v>
      </c>
      <c r="B23" s="222">
        <f>Roster!B24</f>
        <v>21</v>
      </c>
      <c r="C23" s="221">
        <f>Roster!C24</f>
        <v>0</v>
      </c>
      <c r="D23" s="221">
        <f>Roster!D24</f>
        <v>0</v>
      </c>
      <c r="E23" s="45">
        <f>Roster!E24</f>
        <v>0</v>
      </c>
      <c r="G23" s="220"/>
      <c r="I23" s="220"/>
      <c r="J23" s="220"/>
    </row>
    <row r="24" spans="1:10" x14ac:dyDescent="0.25">
      <c r="A24" s="61">
        <v>22</v>
      </c>
      <c r="B24" s="222">
        <f>Roster!B25</f>
        <v>22</v>
      </c>
      <c r="C24" s="221">
        <f>Roster!C25</f>
        <v>0</v>
      </c>
      <c r="D24" s="221">
        <f>Roster!D25</f>
        <v>0</v>
      </c>
      <c r="E24" s="45">
        <f>Roster!E25</f>
        <v>0</v>
      </c>
      <c r="G24" s="220"/>
      <c r="I24" s="220"/>
      <c r="J24" s="220"/>
    </row>
    <row r="25" spans="1:10" x14ac:dyDescent="0.25">
      <c r="A25" s="61">
        <v>23</v>
      </c>
      <c r="B25" s="222">
        <f>Roster!B26</f>
        <v>23</v>
      </c>
      <c r="C25" s="221">
        <f>Roster!C26</f>
        <v>0</v>
      </c>
      <c r="D25" s="221">
        <f>Roster!D26</f>
        <v>0</v>
      </c>
      <c r="E25" s="45">
        <f>Roster!E26</f>
        <v>0</v>
      </c>
      <c r="G25" s="220"/>
      <c r="I25" s="220"/>
      <c r="J25" s="220"/>
    </row>
    <row r="26" spans="1:10" x14ac:dyDescent="0.25">
      <c r="A26" s="61">
        <v>24</v>
      </c>
      <c r="B26" s="222">
        <f>Roster!B27</f>
        <v>24</v>
      </c>
      <c r="C26" s="221">
        <f>Roster!C27</f>
        <v>0</v>
      </c>
      <c r="D26" s="221">
        <f>Roster!D27</f>
        <v>0</v>
      </c>
      <c r="E26" s="45">
        <f>Roster!E27</f>
        <v>0</v>
      </c>
      <c r="G26" s="220"/>
      <c r="I26" s="220"/>
      <c r="J26" s="220"/>
    </row>
    <row r="27" spans="1:10" x14ac:dyDescent="0.25">
      <c r="A27" s="61">
        <v>25</v>
      </c>
      <c r="B27" s="222">
        <f>Roster!B28</f>
        <v>25</v>
      </c>
      <c r="C27" s="221">
        <f>Roster!C28</f>
        <v>0</v>
      </c>
      <c r="D27" s="221">
        <f>Roster!D28</f>
        <v>0</v>
      </c>
      <c r="E27" s="45">
        <f>Roster!E28</f>
        <v>0</v>
      </c>
      <c r="G27" s="220"/>
      <c r="I27" s="220"/>
      <c r="J27" s="220"/>
    </row>
    <row r="28" spans="1:10" x14ac:dyDescent="0.25">
      <c r="A28" s="61">
        <v>26</v>
      </c>
      <c r="B28" s="222">
        <f>Roster!B29</f>
        <v>26</v>
      </c>
      <c r="C28" s="221">
        <f>Roster!C29</f>
        <v>0</v>
      </c>
      <c r="D28" s="221">
        <f>Roster!D29</f>
        <v>0</v>
      </c>
      <c r="E28" s="45">
        <f>Roster!E29</f>
        <v>0</v>
      </c>
      <c r="G28" s="220"/>
      <c r="I28" s="220"/>
      <c r="J28" s="220"/>
    </row>
    <row r="29" spans="1:10" x14ac:dyDescent="0.25">
      <c r="A29" s="61">
        <v>27</v>
      </c>
      <c r="B29" s="222">
        <f>Roster!B30</f>
        <v>27</v>
      </c>
      <c r="C29" s="221">
        <f>Roster!C30</f>
        <v>0</v>
      </c>
      <c r="D29" s="221">
        <f>Roster!D30</f>
        <v>0</v>
      </c>
      <c r="E29" s="45">
        <f>Roster!E30</f>
        <v>0</v>
      </c>
      <c r="G29" s="220"/>
      <c r="I29" s="220"/>
      <c r="J29" s="220"/>
    </row>
    <row r="30" spans="1:10" x14ac:dyDescent="0.25">
      <c r="A30" s="61">
        <v>28</v>
      </c>
      <c r="B30" s="222">
        <f>Roster!B31</f>
        <v>28</v>
      </c>
      <c r="C30" s="221">
        <f>Roster!C31</f>
        <v>0</v>
      </c>
      <c r="D30" s="221">
        <f>Roster!D31</f>
        <v>0</v>
      </c>
      <c r="E30" s="45">
        <f>Roster!E31</f>
        <v>0</v>
      </c>
      <c r="G30" s="220"/>
      <c r="I30" s="220"/>
      <c r="J30" s="220"/>
    </row>
    <row r="31" spans="1:10" x14ac:dyDescent="0.25">
      <c r="A31" s="61">
        <v>29</v>
      </c>
      <c r="B31" s="222">
        <f>Roster!B32</f>
        <v>29</v>
      </c>
      <c r="C31" s="221">
        <f>Roster!C32</f>
        <v>0</v>
      </c>
      <c r="D31" s="221">
        <f>Roster!D32</f>
        <v>0</v>
      </c>
      <c r="E31" s="45">
        <f>Roster!E32</f>
        <v>0</v>
      </c>
      <c r="G31" s="220"/>
      <c r="I31" s="220"/>
      <c r="J31" s="220"/>
    </row>
    <row r="32" spans="1:10" x14ac:dyDescent="0.25">
      <c r="A32" s="61">
        <v>30</v>
      </c>
      <c r="B32" s="222">
        <f>Roster!B33</f>
        <v>30</v>
      </c>
      <c r="C32" s="221">
        <f>Roster!C33</f>
        <v>0</v>
      </c>
      <c r="D32" s="221">
        <f>Roster!D33</f>
        <v>0</v>
      </c>
      <c r="E32" s="45">
        <f>Roster!E33</f>
        <v>0</v>
      </c>
      <c r="G32" s="220"/>
      <c r="I32" s="220"/>
      <c r="J32" s="220"/>
    </row>
    <row r="33" spans="1:10" x14ac:dyDescent="0.25">
      <c r="A33" s="61">
        <v>31</v>
      </c>
      <c r="B33" s="222">
        <f>Roster!B34</f>
        <v>31</v>
      </c>
      <c r="C33" s="221">
        <f>Roster!C34</f>
        <v>0</v>
      </c>
      <c r="D33" s="221">
        <f>Roster!D34</f>
        <v>0</v>
      </c>
      <c r="E33" s="45">
        <f>Roster!E34</f>
        <v>0</v>
      </c>
      <c r="G33" s="220"/>
      <c r="I33" s="220"/>
      <c r="J33" s="220"/>
    </row>
    <row r="34" spans="1:10" x14ac:dyDescent="0.25">
      <c r="A34" s="61">
        <v>32</v>
      </c>
      <c r="B34" s="222">
        <f>Roster!B35</f>
        <v>32</v>
      </c>
      <c r="C34" s="221">
        <f>Roster!C35</f>
        <v>0</v>
      </c>
      <c r="D34" s="221">
        <f>Roster!D35</f>
        <v>0</v>
      </c>
      <c r="E34" s="45">
        <f>Roster!E35</f>
        <v>0</v>
      </c>
      <c r="G34" s="220"/>
      <c r="I34" s="220"/>
      <c r="J34" s="220"/>
    </row>
    <row r="35" spans="1:10" x14ac:dyDescent="0.25">
      <c r="A35" s="61">
        <v>33</v>
      </c>
      <c r="B35" s="222">
        <f>Roster!B36</f>
        <v>33</v>
      </c>
      <c r="C35" s="221">
        <f>Roster!C36</f>
        <v>0</v>
      </c>
      <c r="D35" s="221">
        <f>Roster!D36</f>
        <v>0</v>
      </c>
      <c r="E35" s="45">
        <f>Roster!E36</f>
        <v>0</v>
      </c>
      <c r="G35" s="220"/>
      <c r="I35" s="220"/>
      <c r="J35" s="220"/>
    </row>
    <row r="36" spans="1:10" x14ac:dyDescent="0.25">
      <c r="A36" s="61">
        <v>34</v>
      </c>
      <c r="B36" s="222">
        <f>Roster!B37</f>
        <v>34</v>
      </c>
      <c r="C36" s="221">
        <f>Roster!C37</f>
        <v>0</v>
      </c>
      <c r="D36" s="221">
        <f>Roster!D37</f>
        <v>0</v>
      </c>
      <c r="E36" s="45">
        <f>Roster!E37</f>
        <v>0</v>
      </c>
      <c r="G36" s="220"/>
      <c r="I36" s="220"/>
      <c r="J36" s="220"/>
    </row>
    <row r="37" spans="1:10" x14ac:dyDescent="0.25">
      <c r="A37" s="61">
        <v>35</v>
      </c>
      <c r="B37" s="222">
        <f>Roster!B38</f>
        <v>35</v>
      </c>
      <c r="C37" s="221">
        <f>Roster!C38</f>
        <v>0</v>
      </c>
      <c r="D37" s="221">
        <f>Roster!D38</f>
        <v>0</v>
      </c>
      <c r="E37" s="45">
        <f>Roster!E38</f>
        <v>0</v>
      </c>
      <c r="G37" s="220"/>
      <c r="I37" s="220"/>
      <c r="J37" s="220"/>
    </row>
    <row r="38" spans="1:10" x14ac:dyDescent="0.25">
      <c r="A38" s="61">
        <v>36</v>
      </c>
      <c r="B38" s="222">
        <f>Roster!B39</f>
        <v>36</v>
      </c>
      <c r="C38" s="221">
        <f>Roster!C39</f>
        <v>0</v>
      </c>
      <c r="D38" s="221">
        <f>Roster!D39</f>
        <v>0</v>
      </c>
      <c r="E38" s="45">
        <f>Roster!E39</f>
        <v>0</v>
      </c>
      <c r="G38" s="220"/>
      <c r="I38" s="220"/>
      <c r="J38" s="220"/>
    </row>
    <row r="39" spans="1:10" x14ac:dyDescent="0.25">
      <c r="A39" s="61">
        <v>37</v>
      </c>
      <c r="B39" s="222">
        <f>Roster!B40</f>
        <v>37</v>
      </c>
      <c r="C39" s="221">
        <f>Roster!C40</f>
        <v>0</v>
      </c>
      <c r="D39" s="221">
        <f>Roster!D40</f>
        <v>0</v>
      </c>
      <c r="E39" s="45">
        <f>Roster!E40</f>
        <v>0</v>
      </c>
      <c r="G39" s="220"/>
      <c r="I39" s="220"/>
      <c r="J39" s="220"/>
    </row>
    <row r="40" spans="1:10" x14ac:dyDescent="0.25">
      <c r="A40" s="61">
        <v>38</v>
      </c>
      <c r="B40" s="222">
        <f>Roster!B41</f>
        <v>38</v>
      </c>
      <c r="C40" s="221">
        <f>Roster!C41</f>
        <v>0</v>
      </c>
      <c r="D40" s="221">
        <f>Roster!D41</f>
        <v>0</v>
      </c>
      <c r="E40" s="45">
        <f>Roster!E41</f>
        <v>0</v>
      </c>
      <c r="G40" s="220"/>
      <c r="I40" s="220"/>
      <c r="J40" s="220"/>
    </row>
    <row r="41" spans="1:10" x14ac:dyDescent="0.25">
      <c r="A41" s="61">
        <v>39</v>
      </c>
      <c r="B41" s="222">
        <f>Roster!B42</f>
        <v>39</v>
      </c>
      <c r="C41" s="221">
        <f>Roster!C42</f>
        <v>0</v>
      </c>
      <c r="D41" s="221">
        <f>Roster!D42</f>
        <v>0</v>
      </c>
      <c r="E41" s="45">
        <f>Roster!E42</f>
        <v>0</v>
      </c>
      <c r="G41" s="220"/>
      <c r="I41" s="220"/>
      <c r="J41" s="220"/>
    </row>
    <row r="42" spans="1:10" x14ac:dyDescent="0.25">
      <c r="A42" s="61">
        <v>40</v>
      </c>
      <c r="B42" s="222">
        <f>Roster!B43</f>
        <v>40</v>
      </c>
      <c r="C42" s="221">
        <f>Roster!C43</f>
        <v>0</v>
      </c>
      <c r="D42" s="221">
        <f>Roster!D43</f>
        <v>0</v>
      </c>
      <c r="E42" s="45">
        <f>Roster!E43</f>
        <v>0</v>
      </c>
      <c r="G42" s="220"/>
      <c r="I42" s="220"/>
      <c r="J42" s="220"/>
    </row>
    <row r="43" spans="1:10" x14ac:dyDescent="0.25">
      <c r="A43" s="61">
        <v>41</v>
      </c>
      <c r="B43" s="222">
        <f>Roster!B44</f>
        <v>41</v>
      </c>
      <c r="C43" s="221">
        <f>Roster!C44</f>
        <v>0</v>
      </c>
      <c r="D43" s="221">
        <f>Roster!D44</f>
        <v>0</v>
      </c>
      <c r="E43" s="45">
        <f>Roster!E44</f>
        <v>0</v>
      </c>
      <c r="G43" s="220"/>
      <c r="I43" s="220"/>
      <c r="J43" s="220"/>
    </row>
    <row r="44" spans="1:10" x14ac:dyDescent="0.25">
      <c r="A44" s="61">
        <v>42</v>
      </c>
      <c r="B44" s="222">
        <f>Roster!B45</f>
        <v>42</v>
      </c>
      <c r="C44" s="221">
        <f>Roster!C45</f>
        <v>0</v>
      </c>
      <c r="D44" s="221">
        <f>Roster!D45</f>
        <v>0</v>
      </c>
      <c r="E44" s="45">
        <f>Roster!E45</f>
        <v>0</v>
      </c>
      <c r="G44" s="220"/>
      <c r="I44" s="220"/>
      <c r="J44" s="220"/>
    </row>
    <row r="45" spans="1:10" x14ac:dyDescent="0.25">
      <c r="A45" s="61">
        <v>43</v>
      </c>
      <c r="B45" s="222">
        <f>Roster!B46</f>
        <v>43</v>
      </c>
      <c r="C45" s="221">
        <f>Roster!C46</f>
        <v>0</v>
      </c>
      <c r="D45" s="221">
        <f>Roster!D46</f>
        <v>0</v>
      </c>
      <c r="E45" s="45">
        <f>Roster!E46</f>
        <v>0</v>
      </c>
      <c r="G45" s="220"/>
      <c r="I45" s="220"/>
      <c r="J45" s="220"/>
    </row>
    <row r="46" spans="1:10" x14ac:dyDescent="0.25">
      <c r="A46" s="61">
        <v>44</v>
      </c>
      <c r="B46" s="222">
        <f>Roster!B47</f>
        <v>44</v>
      </c>
      <c r="C46" s="221">
        <f>Roster!C47</f>
        <v>0</v>
      </c>
      <c r="D46" s="221">
        <f>Roster!D47</f>
        <v>0</v>
      </c>
      <c r="E46" s="45">
        <f>Roster!E47</f>
        <v>0</v>
      </c>
      <c r="G46" s="220"/>
      <c r="I46" s="220"/>
      <c r="J46" s="220"/>
    </row>
    <row r="47" spans="1:10" x14ac:dyDescent="0.25">
      <c r="A47" s="61">
        <v>45</v>
      </c>
      <c r="B47" s="222">
        <f>Roster!B48</f>
        <v>45</v>
      </c>
      <c r="C47" s="221">
        <f>Roster!C48</f>
        <v>0</v>
      </c>
      <c r="D47" s="221">
        <f>Roster!D48</f>
        <v>0</v>
      </c>
      <c r="E47" s="45">
        <f>Roster!E48</f>
        <v>0</v>
      </c>
      <c r="G47" s="220"/>
      <c r="I47" s="220"/>
      <c r="J47" s="220"/>
    </row>
    <row r="48" spans="1:10" x14ac:dyDescent="0.25">
      <c r="A48" s="61">
        <v>46</v>
      </c>
      <c r="B48" s="222">
        <f>Roster!B49</f>
        <v>46</v>
      </c>
      <c r="C48" s="221">
        <f>Roster!C49</f>
        <v>0</v>
      </c>
      <c r="D48" s="221">
        <f>Roster!D49</f>
        <v>0</v>
      </c>
      <c r="E48" s="45">
        <f>Roster!E49</f>
        <v>0</v>
      </c>
      <c r="G48" s="220"/>
      <c r="I48" s="220"/>
      <c r="J48" s="220"/>
    </row>
    <row r="49" spans="1:10" x14ac:dyDescent="0.25">
      <c r="A49" s="61">
        <v>47</v>
      </c>
      <c r="B49" s="222">
        <f>Roster!B50</f>
        <v>47</v>
      </c>
      <c r="C49" s="221">
        <f>Roster!C50</f>
        <v>0</v>
      </c>
      <c r="D49" s="221">
        <f>Roster!D50</f>
        <v>0</v>
      </c>
      <c r="E49" s="45">
        <f>Roster!E50</f>
        <v>0</v>
      </c>
      <c r="G49" s="220"/>
      <c r="I49" s="220"/>
      <c r="J49" s="220"/>
    </row>
    <row r="50" spans="1:10" x14ac:dyDescent="0.25">
      <c r="A50" s="61">
        <v>48</v>
      </c>
      <c r="B50" s="222">
        <f>Roster!B51</f>
        <v>48</v>
      </c>
      <c r="C50" s="221">
        <f>Roster!C51</f>
        <v>0</v>
      </c>
      <c r="D50" s="221">
        <f>Roster!D51</f>
        <v>0</v>
      </c>
      <c r="E50" s="45">
        <f>Roster!E51</f>
        <v>0</v>
      </c>
      <c r="G50" s="220"/>
      <c r="I50" s="220"/>
      <c r="J50" s="220"/>
    </row>
    <row r="51" spans="1:10" x14ac:dyDescent="0.25">
      <c r="A51" s="61">
        <v>49</v>
      </c>
      <c r="B51" s="222">
        <f>Roster!B52</f>
        <v>49</v>
      </c>
      <c r="C51" s="221">
        <f>Roster!C52</f>
        <v>0</v>
      </c>
      <c r="D51" s="221">
        <f>Roster!D52</f>
        <v>0</v>
      </c>
      <c r="E51" s="45">
        <f>Roster!E52</f>
        <v>0</v>
      </c>
      <c r="G51" s="220"/>
      <c r="I51" s="220"/>
      <c r="J51" s="220"/>
    </row>
    <row r="52" spans="1:10" x14ac:dyDescent="0.25">
      <c r="A52" s="61">
        <v>50</v>
      </c>
      <c r="B52" s="222">
        <f>Roster!B53</f>
        <v>50</v>
      </c>
      <c r="C52" s="221">
        <f>Roster!C53</f>
        <v>0</v>
      </c>
      <c r="D52" s="221">
        <f>Roster!D53</f>
        <v>0</v>
      </c>
      <c r="E52" s="45">
        <f>Roster!E53</f>
        <v>0</v>
      </c>
      <c r="G52" s="220"/>
      <c r="I52" s="220"/>
      <c r="J52" s="220"/>
    </row>
    <row r="53" spans="1:10" x14ac:dyDescent="0.25">
      <c r="A53" s="61">
        <v>51</v>
      </c>
      <c r="B53" s="222">
        <f>Roster!B54</f>
        <v>51</v>
      </c>
      <c r="C53" s="221">
        <f>Roster!C54</f>
        <v>0</v>
      </c>
      <c r="D53" s="221">
        <f>Roster!D54</f>
        <v>0</v>
      </c>
      <c r="E53" s="45">
        <f>Roster!E54</f>
        <v>0</v>
      </c>
      <c r="G53" s="220"/>
      <c r="I53" s="220"/>
      <c r="J53" s="220"/>
    </row>
    <row r="54" spans="1:10" x14ac:dyDescent="0.25">
      <c r="A54" s="61">
        <v>52</v>
      </c>
      <c r="B54" s="222">
        <f>Roster!B55</f>
        <v>52</v>
      </c>
      <c r="C54" s="221">
        <f>Roster!C55</f>
        <v>0</v>
      </c>
      <c r="D54" s="221">
        <f>Roster!D55</f>
        <v>0</v>
      </c>
      <c r="E54" s="45">
        <f>Roster!E55</f>
        <v>0</v>
      </c>
      <c r="G54" s="220"/>
      <c r="I54" s="220"/>
      <c r="J54" s="220"/>
    </row>
    <row r="55" spans="1:10" x14ac:dyDescent="0.25">
      <c r="A55" s="61">
        <v>53</v>
      </c>
      <c r="B55" s="222">
        <f>Roster!B56</f>
        <v>53</v>
      </c>
      <c r="C55" s="221">
        <f>Roster!C56</f>
        <v>0</v>
      </c>
      <c r="D55" s="221">
        <f>Roster!D56</f>
        <v>0</v>
      </c>
      <c r="E55" s="45">
        <f>Roster!E56</f>
        <v>0</v>
      </c>
      <c r="G55" s="220"/>
      <c r="I55" s="220"/>
      <c r="J55" s="220"/>
    </row>
    <row r="56" spans="1:10" x14ac:dyDescent="0.25">
      <c r="A56" s="61">
        <v>54</v>
      </c>
      <c r="B56" s="222">
        <f>Roster!B57</f>
        <v>54</v>
      </c>
      <c r="C56" s="221">
        <f>Roster!C57</f>
        <v>0</v>
      </c>
      <c r="D56" s="221">
        <f>Roster!D57</f>
        <v>0</v>
      </c>
      <c r="E56" s="45">
        <f>Roster!E57</f>
        <v>0</v>
      </c>
      <c r="G56" s="220"/>
      <c r="I56" s="220"/>
      <c r="J56" s="220"/>
    </row>
    <row r="57" spans="1:10" x14ac:dyDescent="0.25">
      <c r="A57" s="61">
        <v>55</v>
      </c>
      <c r="B57" s="222">
        <f>Roster!B58</f>
        <v>55</v>
      </c>
      <c r="C57" s="221">
        <f>Roster!C58</f>
        <v>0</v>
      </c>
      <c r="D57" s="221">
        <f>Roster!D58</f>
        <v>0</v>
      </c>
      <c r="E57" s="45">
        <f>Roster!E58</f>
        <v>0</v>
      </c>
      <c r="G57" s="220"/>
      <c r="I57" s="220"/>
      <c r="J57" s="220"/>
    </row>
    <row r="58" spans="1:10" x14ac:dyDescent="0.25">
      <c r="A58" s="61">
        <v>56</v>
      </c>
      <c r="B58" s="222">
        <f>Roster!B59</f>
        <v>56</v>
      </c>
      <c r="C58" s="221">
        <f>Roster!C59</f>
        <v>0</v>
      </c>
      <c r="D58" s="221">
        <f>Roster!D59</f>
        <v>0</v>
      </c>
      <c r="E58" s="45">
        <f>Roster!E59</f>
        <v>0</v>
      </c>
      <c r="G58" s="220"/>
      <c r="I58" s="220"/>
      <c r="J58" s="220"/>
    </row>
    <row r="59" spans="1:10" x14ac:dyDescent="0.25">
      <c r="A59" s="61">
        <v>57</v>
      </c>
      <c r="B59" s="222">
        <f>Roster!B60</f>
        <v>57</v>
      </c>
      <c r="C59" s="221">
        <f>Roster!C60</f>
        <v>0</v>
      </c>
      <c r="D59" s="221">
        <f>Roster!D60</f>
        <v>0</v>
      </c>
      <c r="E59" s="45">
        <f>Roster!E60</f>
        <v>0</v>
      </c>
      <c r="G59" s="220"/>
      <c r="I59" s="220"/>
      <c r="J59" s="220"/>
    </row>
    <row r="60" spans="1:10" x14ac:dyDescent="0.25">
      <c r="A60" s="61">
        <v>58</v>
      </c>
      <c r="B60" s="222">
        <f>Roster!B61</f>
        <v>58</v>
      </c>
      <c r="C60" s="221">
        <f>Roster!C61</f>
        <v>0</v>
      </c>
      <c r="D60" s="221">
        <f>Roster!D61</f>
        <v>0</v>
      </c>
      <c r="E60" s="45">
        <f>Roster!E61</f>
        <v>0</v>
      </c>
      <c r="G60" s="220"/>
      <c r="I60" s="220"/>
      <c r="J60" s="220"/>
    </row>
    <row r="61" spans="1:10" x14ac:dyDescent="0.25">
      <c r="A61" s="61">
        <v>59</v>
      </c>
      <c r="B61" s="222">
        <f>Roster!B62</f>
        <v>59</v>
      </c>
      <c r="C61" s="221">
        <f>Roster!C62</f>
        <v>0</v>
      </c>
      <c r="D61" s="221">
        <f>Roster!D62</f>
        <v>0</v>
      </c>
      <c r="E61" s="45">
        <f>Roster!E62</f>
        <v>0</v>
      </c>
      <c r="G61" s="220"/>
      <c r="I61" s="220"/>
      <c r="J61" s="220"/>
    </row>
    <row r="62" spans="1:10" x14ac:dyDescent="0.25">
      <c r="A62" s="61">
        <v>60</v>
      </c>
      <c r="B62" s="222">
        <f>Roster!B63</f>
        <v>60</v>
      </c>
      <c r="C62" s="221">
        <f>Roster!C63</f>
        <v>0</v>
      </c>
      <c r="D62" s="221">
        <f>Roster!D63</f>
        <v>0</v>
      </c>
      <c r="E62" s="45">
        <f>Roster!E63</f>
        <v>0</v>
      </c>
      <c r="G62" s="220"/>
      <c r="I62" s="220"/>
      <c r="J62" s="220"/>
    </row>
    <row r="63" spans="1:10" x14ac:dyDescent="0.25">
      <c r="A63" s="61">
        <v>61</v>
      </c>
      <c r="B63" s="222">
        <f>Roster!B64</f>
        <v>61</v>
      </c>
      <c r="C63" s="221">
        <f>Roster!C64</f>
        <v>0</v>
      </c>
      <c r="D63" s="221">
        <f>Roster!D64</f>
        <v>0</v>
      </c>
      <c r="E63" s="45">
        <f>Roster!E64</f>
        <v>0</v>
      </c>
      <c r="G63" s="220"/>
      <c r="I63" s="220"/>
      <c r="J63" s="220"/>
    </row>
    <row r="64" spans="1:10" x14ac:dyDescent="0.25">
      <c r="A64" s="61">
        <v>62</v>
      </c>
      <c r="B64" s="222">
        <f>Roster!B65</f>
        <v>62</v>
      </c>
      <c r="C64" s="221">
        <f>Roster!C65</f>
        <v>0</v>
      </c>
      <c r="D64" s="221">
        <f>Roster!D65</f>
        <v>0</v>
      </c>
      <c r="E64" s="45">
        <f>Roster!E65</f>
        <v>0</v>
      </c>
      <c r="G64" s="220"/>
      <c r="I64" s="220"/>
      <c r="J64" s="220"/>
    </row>
    <row r="65" spans="1:10" x14ac:dyDescent="0.25">
      <c r="A65" s="61">
        <v>63</v>
      </c>
      <c r="B65" s="222">
        <f>Roster!B66</f>
        <v>63</v>
      </c>
      <c r="C65" s="221">
        <f>Roster!C66</f>
        <v>0</v>
      </c>
      <c r="D65" s="221">
        <f>Roster!D66</f>
        <v>0</v>
      </c>
      <c r="E65" s="45">
        <f>Roster!E66</f>
        <v>0</v>
      </c>
      <c r="G65" s="220"/>
      <c r="I65" s="220"/>
      <c r="J65" s="220"/>
    </row>
    <row r="66" spans="1:10" x14ac:dyDescent="0.25">
      <c r="A66" s="61">
        <v>64</v>
      </c>
      <c r="B66" s="222">
        <f>Roster!B67</f>
        <v>64</v>
      </c>
      <c r="C66" s="221">
        <f>Roster!C67</f>
        <v>0</v>
      </c>
      <c r="D66" s="221">
        <f>Roster!D67</f>
        <v>0</v>
      </c>
      <c r="E66" s="45">
        <f>Roster!E67</f>
        <v>0</v>
      </c>
      <c r="G66" s="220"/>
      <c r="I66" s="220"/>
      <c r="J66" s="220"/>
    </row>
    <row r="67" spans="1:10" x14ac:dyDescent="0.25">
      <c r="A67" s="61">
        <v>65</v>
      </c>
      <c r="B67" s="222">
        <f>Roster!B68</f>
        <v>65</v>
      </c>
      <c r="C67" s="221">
        <f>Roster!C68</f>
        <v>0</v>
      </c>
      <c r="D67" s="221">
        <f>Roster!D68</f>
        <v>0</v>
      </c>
      <c r="E67" s="45">
        <f>Roster!E68</f>
        <v>0</v>
      </c>
      <c r="G67" s="220"/>
      <c r="I67" s="220"/>
      <c r="J67" s="220"/>
    </row>
    <row r="68" spans="1:10" x14ac:dyDescent="0.25">
      <c r="A68" s="61">
        <v>66</v>
      </c>
      <c r="B68" s="222">
        <f>Roster!B69</f>
        <v>66</v>
      </c>
      <c r="C68" s="221">
        <f>Roster!C69</f>
        <v>0</v>
      </c>
      <c r="D68" s="221">
        <f>Roster!D69</f>
        <v>0</v>
      </c>
      <c r="E68" s="45">
        <f>Roster!E69</f>
        <v>0</v>
      </c>
      <c r="G68" s="220"/>
      <c r="I68" s="220"/>
      <c r="J68" s="220"/>
    </row>
    <row r="69" spans="1:10" x14ac:dyDescent="0.25">
      <c r="A69" s="61">
        <v>67</v>
      </c>
      <c r="B69" s="222">
        <f>Roster!B70</f>
        <v>67</v>
      </c>
      <c r="C69" s="221">
        <f>Roster!C70</f>
        <v>0</v>
      </c>
      <c r="D69" s="221">
        <f>Roster!D70</f>
        <v>0</v>
      </c>
      <c r="E69" s="45">
        <f>Roster!E70</f>
        <v>0</v>
      </c>
      <c r="G69" s="220"/>
      <c r="I69" s="220"/>
      <c r="J69" s="220"/>
    </row>
    <row r="70" spans="1:10" x14ac:dyDescent="0.25">
      <c r="A70" s="61">
        <v>68</v>
      </c>
      <c r="B70" s="222">
        <f>Roster!B71</f>
        <v>68</v>
      </c>
      <c r="C70" s="221">
        <f>Roster!C71</f>
        <v>0</v>
      </c>
      <c r="D70" s="221">
        <f>Roster!D71</f>
        <v>0</v>
      </c>
      <c r="E70" s="45">
        <f>Roster!E71</f>
        <v>0</v>
      </c>
      <c r="G70" s="220"/>
      <c r="I70" s="220"/>
      <c r="J70" s="220"/>
    </row>
    <row r="71" spans="1:10" x14ac:dyDescent="0.25">
      <c r="A71" s="61">
        <v>69</v>
      </c>
      <c r="B71" s="222">
        <f>Roster!B72</f>
        <v>69</v>
      </c>
      <c r="C71" s="221">
        <f>Roster!C72</f>
        <v>0</v>
      </c>
      <c r="D71" s="221">
        <f>Roster!D72</f>
        <v>0</v>
      </c>
      <c r="E71" s="45">
        <f>Roster!E72</f>
        <v>0</v>
      </c>
      <c r="G71" s="220"/>
      <c r="I71" s="220"/>
      <c r="J71" s="220"/>
    </row>
    <row r="72" spans="1:10" x14ac:dyDescent="0.25">
      <c r="A72" s="61">
        <v>70</v>
      </c>
      <c r="B72" s="222">
        <f>Roster!B73</f>
        <v>70</v>
      </c>
      <c r="C72" s="221">
        <f>Roster!C73</f>
        <v>0</v>
      </c>
      <c r="D72" s="221">
        <f>Roster!D73</f>
        <v>0</v>
      </c>
      <c r="E72" s="45">
        <f>Roster!E73</f>
        <v>0</v>
      </c>
      <c r="G72" s="220"/>
      <c r="I72" s="220"/>
      <c r="J72" s="220"/>
    </row>
    <row r="73" spans="1:10" x14ac:dyDescent="0.25">
      <c r="A73" s="61">
        <v>71</v>
      </c>
      <c r="B73" s="222">
        <f>Roster!B74</f>
        <v>71</v>
      </c>
      <c r="C73" s="221">
        <f>Roster!C74</f>
        <v>0</v>
      </c>
      <c r="D73" s="221">
        <f>Roster!D74</f>
        <v>0</v>
      </c>
      <c r="E73" s="45">
        <f>Roster!E74</f>
        <v>0</v>
      </c>
      <c r="G73" s="220"/>
      <c r="I73" s="220"/>
      <c r="J73" s="220"/>
    </row>
    <row r="74" spans="1:10" x14ac:dyDescent="0.25">
      <c r="A74" s="61">
        <v>72</v>
      </c>
      <c r="B74" s="222">
        <f>Roster!B75</f>
        <v>72</v>
      </c>
      <c r="C74" s="221">
        <f>Roster!C75</f>
        <v>0</v>
      </c>
      <c r="D74" s="221">
        <f>Roster!D75</f>
        <v>0</v>
      </c>
      <c r="E74" s="45">
        <f>Roster!E75</f>
        <v>0</v>
      </c>
      <c r="G74" s="220"/>
      <c r="I74" s="220"/>
      <c r="J74" s="220"/>
    </row>
    <row r="75" spans="1:10" x14ac:dyDescent="0.25">
      <c r="A75" s="61">
        <v>73</v>
      </c>
      <c r="B75" s="222">
        <f>Roster!B76</f>
        <v>73</v>
      </c>
      <c r="C75" s="221">
        <f>Roster!C76</f>
        <v>0</v>
      </c>
      <c r="D75" s="221">
        <f>Roster!D76</f>
        <v>0</v>
      </c>
      <c r="E75" s="45">
        <f>Roster!E76</f>
        <v>0</v>
      </c>
      <c r="G75" s="220"/>
      <c r="I75" s="220"/>
      <c r="J75" s="220"/>
    </row>
    <row r="76" spans="1:10" x14ac:dyDescent="0.25">
      <c r="A76" s="61">
        <v>74</v>
      </c>
      <c r="B76" s="222">
        <f>Roster!B77</f>
        <v>74</v>
      </c>
      <c r="C76" s="221">
        <f>Roster!C77</f>
        <v>0</v>
      </c>
      <c r="D76" s="221">
        <f>Roster!D77</f>
        <v>0</v>
      </c>
      <c r="E76" s="45">
        <f>Roster!E77</f>
        <v>0</v>
      </c>
      <c r="G76" s="220"/>
      <c r="I76" s="220"/>
      <c r="J76" s="220"/>
    </row>
    <row r="77" spans="1:10" x14ac:dyDescent="0.25">
      <c r="A77" s="61">
        <v>75</v>
      </c>
      <c r="B77" s="222">
        <f>Roster!B78</f>
        <v>75</v>
      </c>
      <c r="C77" s="221">
        <f>Roster!C78</f>
        <v>0</v>
      </c>
      <c r="D77" s="221">
        <f>Roster!D78</f>
        <v>0</v>
      </c>
      <c r="E77" s="45">
        <f>Roster!E78</f>
        <v>0</v>
      </c>
      <c r="G77" s="220"/>
      <c r="I77" s="220"/>
      <c r="J77" s="220"/>
    </row>
    <row r="78" spans="1:10" x14ac:dyDescent="0.25">
      <c r="A78" s="61">
        <v>76</v>
      </c>
      <c r="B78" s="222">
        <f>Roster!B79</f>
        <v>76</v>
      </c>
      <c r="C78" s="221">
        <f>Roster!C79</f>
        <v>0</v>
      </c>
      <c r="D78" s="221">
        <f>Roster!D79</f>
        <v>0</v>
      </c>
      <c r="E78" s="45">
        <f>Roster!E79</f>
        <v>0</v>
      </c>
      <c r="G78" s="220"/>
      <c r="I78" s="220"/>
      <c r="J78" s="220"/>
    </row>
    <row r="79" spans="1:10" x14ac:dyDescent="0.25">
      <c r="A79" s="61">
        <v>77</v>
      </c>
      <c r="B79" s="222">
        <f>Roster!B80</f>
        <v>77</v>
      </c>
      <c r="C79" s="221">
        <f>Roster!C80</f>
        <v>0</v>
      </c>
      <c r="D79" s="221">
        <f>Roster!D80</f>
        <v>0</v>
      </c>
      <c r="E79" s="45">
        <f>Roster!E80</f>
        <v>0</v>
      </c>
      <c r="G79" s="220"/>
      <c r="I79" s="220"/>
      <c r="J79" s="220"/>
    </row>
    <row r="80" spans="1:10" x14ac:dyDescent="0.25">
      <c r="A80" s="61">
        <v>78</v>
      </c>
      <c r="B80" s="222">
        <f>Roster!B81</f>
        <v>78</v>
      </c>
      <c r="C80" s="221">
        <f>Roster!C81</f>
        <v>0</v>
      </c>
      <c r="D80" s="221">
        <f>Roster!D81</f>
        <v>0</v>
      </c>
      <c r="E80" s="45">
        <f>Roster!E81</f>
        <v>0</v>
      </c>
      <c r="G80" s="220"/>
      <c r="I80" s="220"/>
      <c r="J80" s="220"/>
    </row>
    <row r="81" spans="1:10" x14ac:dyDescent="0.25">
      <c r="A81" s="61">
        <v>79</v>
      </c>
      <c r="B81" s="222">
        <f>Roster!B82</f>
        <v>79</v>
      </c>
      <c r="C81" s="221">
        <f>Roster!C82</f>
        <v>0</v>
      </c>
      <c r="D81" s="221">
        <f>Roster!D82</f>
        <v>0</v>
      </c>
      <c r="E81" s="45">
        <f>Roster!E82</f>
        <v>0</v>
      </c>
      <c r="G81" s="220"/>
      <c r="I81" s="220"/>
      <c r="J81" s="220"/>
    </row>
    <row r="82" spans="1:10" x14ac:dyDescent="0.25">
      <c r="A82" s="61">
        <v>80</v>
      </c>
      <c r="B82" s="222">
        <f>Roster!B83</f>
        <v>80</v>
      </c>
      <c r="C82" s="221">
        <f>Roster!C83</f>
        <v>0</v>
      </c>
      <c r="D82" s="221">
        <f>Roster!D83</f>
        <v>0</v>
      </c>
      <c r="E82" s="45">
        <f>Roster!E83</f>
        <v>0</v>
      </c>
      <c r="G82" s="220"/>
      <c r="I82" s="220"/>
      <c r="J82" s="220"/>
    </row>
    <row r="83" spans="1:10" x14ac:dyDescent="0.25">
      <c r="A83" s="61">
        <v>81</v>
      </c>
      <c r="B83" s="222">
        <f>Roster!B84</f>
        <v>81</v>
      </c>
      <c r="C83" s="221">
        <f>Roster!C84</f>
        <v>0</v>
      </c>
      <c r="D83" s="221">
        <f>Roster!D84</f>
        <v>0</v>
      </c>
      <c r="E83" s="45">
        <f>Roster!E84</f>
        <v>0</v>
      </c>
      <c r="G83" s="220"/>
      <c r="I83" s="220"/>
      <c r="J83" s="220"/>
    </row>
    <row r="84" spans="1:10" x14ac:dyDescent="0.25">
      <c r="A84" s="61">
        <v>82</v>
      </c>
      <c r="B84" s="222">
        <f>Roster!B85</f>
        <v>82</v>
      </c>
      <c r="C84" s="221">
        <f>Roster!C85</f>
        <v>0</v>
      </c>
      <c r="D84" s="221">
        <f>Roster!D85</f>
        <v>0</v>
      </c>
      <c r="E84" s="45">
        <f>Roster!E85</f>
        <v>0</v>
      </c>
      <c r="G84" s="220"/>
      <c r="I84" s="220"/>
      <c r="J84" s="220"/>
    </row>
    <row r="85" spans="1:10" x14ac:dyDescent="0.25">
      <c r="A85" s="61">
        <v>83</v>
      </c>
      <c r="B85" s="222">
        <f>Roster!B86</f>
        <v>83</v>
      </c>
      <c r="C85" s="221">
        <f>Roster!C86</f>
        <v>0</v>
      </c>
      <c r="D85" s="221">
        <f>Roster!D86</f>
        <v>0</v>
      </c>
      <c r="E85" s="45">
        <f>Roster!E86</f>
        <v>0</v>
      </c>
      <c r="G85" s="220"/>
      <c r="I85" s="220"/>
      <c r="J85" s="220"/>
    </row>
    <row r="86" spans="1:10" x14ac:dyDescent="0.25">
      <c r="A86" s="61">
        <v>84</v>
      </c>
      <c r="B86" s="222">
        <f>Roster!B87</f>
        <v>84</v>
      </c>
      <c r="C86" s="221">
        <f>Roster!C87</f>
        <v>0</v>
      </c>
      <c r="D86" s="221">
        <f>Roster!D87</f>
        <v>0</v>
      </c>
      <c r="E86" s="45">
        <f>Roster!E87</f>
        <v>0</v>
      </c>
      <c r="G86" s="220"/>
      <c r="I86" s="220"/>
      <c r="J86" s="220"/>
    </row>
    <row r="87" spans="1:10" x14ac:dyDescent="0.25">
      <c r="A87" s="61">
        <v>85</v>
      </c>
      <c r="B87" s="222">
        <f>Roster!B88</f>
        <v>85</v>
      </c>
      <c r="C87" s="221">
        <f>Roster!C88</f>
        <v>0</v>
      </c>
      <c r="D87" s="221">
        <f>Roster!D88</f>
        <v>0</v>
      </c>
      <c r="E87" s="45">
        <f>Roster!E88</f>
        <v>0</v>
      </c>
      <c r="G87" s="220"/>
      <c r="I87" s="220"/>
      <c r="J87" s="220"/>
    </row>
    <row r="88" spans="1:10" x14ac:dyDescent="0.25">
      <c r="A88" s="61">
        <v>86</v>
      </c>
      <c r="B88" s="222">
        <f>Roster!B89</f>
        <v>86</v>
      </c>
      <c r="C88" s="221">
        <f>Roster!C89</f>
        <v>0</v>
      </c>
      <c r="D88" s="221">
        <f>Roster!D89</f>
        <v>0</v>
      </c>
      <c r="E88" s="45">
        <f>Roster!E89</f>
        <v>0</v>
      </c>
      <c r="G88" s="220"/>
      <c r="I88" s="220"/>
      <c r="J88" s="220"/>
    </row>
    <row r="89" spans="1:10" x14ac:dyDescent="0.25">
      <c r="A89" s="61">
        <v>87</v>
      </c>
      <c r="B89" s="222">
        <f>Roster!B90</f>
        <v>87</v>
      </c>
      <c r="C89" s="221">
        <f>Roster!C90</f>
        <v>0</v>
      </c>
      <c r="D89" s="221">
        <f>Roster!D90</f>
        <v>0</v>
      </c>
      <c r="E89" s="45">
        <f>Roster!E90</f>
        <v>0</v>
      </c>
      <c r="G89" s="220"/>
      <c r="I89" s="220"/>
      <c r="J89" s="220"/>
    </row>
    <row r="90" spans="1:10" x14ac:dyDescent="0.25">
      <c r="A90" s="61">
        <v>88</v>
      </c>
      <c r="B90" s="222">
        <f>Roster!B91</f>
        <v>88</v>
      </c>
      <c r="C90" s="221">
        <f>Roster!C91</f>
        <v>0</v>
      </c>
      <c r="D90" s="221">
        <f>Roster!D91</f>
        <v>0</v>
      </c>
      <c r="E90" s="45">
        <f>Roster!E91</f>
        <v>0</v>
      </c>
      <c r="G90" s="220"/>
      <c r="I90" s="220"/>
      <c r="J90" s="220"/>
    </row>
    <row r="91" spans="1:10" x14ac:dyDescent="0.25">
      <c r="A91" s="61">
        <v>89</v>
      </c>
      <c r="B91" s="222">
        <f>Roster!B92</f>
        <v>89</v>
      </c>
      <c r="C91" s="221">
        <f>Roster!C92</f>
        <v>0</v>
      </c>
      <c r="D91" s="221">
        <f>Roster!D92</f>
        <v>0</v>
      </c>
      <c r="E91" s="45">
        <f>Roster!E92</f>
        <v>0</v>
      </c>
      <c r="G91" s="220"/>
      <c r="I91" s="220"/>
      <c r="J91" s="220"/>
    </row>
    <row r="92" spans="1:10" x14ac:dyDescent="0.25">
      <c r="A92" s="61">
        <v>90</v>
      </c>
      <c r="B92" s="222">
        <f>Roster!B93</f>
        <v>0</v>
      </c>
      <c r="C92" s="221" t="str">
        <f>C$104</f>
        <v/>
      </c>
      <c r="D92" s="221" t="str">
        <f>D$104</f>
        <v/>
      </c>
      <c r="E92" s="45" t="str">
        <f>E$104</f>
        <v/>
      </c>
      <c r="G92" s="221">
        <f>G$104</f>
        <v>0</v>
      </c>
      <c r="I92" s="221">
        <f>I$104</f>
        <v>0</v>
      </c>
      <c r="J92" s="221">
        <f>J$104</f>
        <v>0</v>
      </c>
    </row>
    <row r="93" spans="1:10" x14ac:dyDescent="0.25">
      <c r="A93" s="61">
        <v>91</v>
      </c>
      <c r="B93" s="222">
        <f>Roster!B94</f>
        <v>91</v>
      </c>
      <c r="C93" s="221">
        <f>Roster!C94</f>
        <v>0</v>
      </c>
      <c r="D93" s="221">
        <f>Roster!D94</f>
        <v>0</v>
      </c>
      <c r="E93" s="45">
        <f>Roster!E94</f>
        <v>0</v>
      </c>
      <c r="G93" s="220"/>
      <c r="I93" s="220"/>
      <c r="J93" s="220"/>
    </row>
    <row r="94" spans="1:10" x14ac:dyDescent="0.25">
      <c r="A94" s="61">
        <v>92</v>
      </c>
      <c r="B94" s="222">
        <f>Roster!B95</f>
        <v>92</v>
      </c>
      <c r="C94" s="221">
        <f>Roster!C95</f>
        <v>0</v>
      </c>
      <c r="D94" s="221">
        <f>Roster!D95</f>
        <v>0</v>
      </c>
      <c r="E94" s="45">
        <f>Roster!E95</f>
        <v>0</v>
      </c>
      <c r="G94" s="220"/>
      <c r="I94" s="220"/>
      <c r="J94" s="220"/>
    </row>
    <row r="95" spans="1:10" x14ac:dyDescent="0.25">
      <c r="A95" s="61">
        <v>93</v>
      </c>
      <c r="B95" s="222">
        <f>Roster!B96</f>
        <v>93</v>
      </c>
      <c r="C95" s="221">
        <f>Roster!C96</f>
        <v>0</v>
      </c>
      <c r="D95" s="221">
        <f>Roster!D96</f>
        <v>0</v>
      </c>
      <c r="E95" s="45">
        <f>Roster!E96</f>
        <v>0</v>
      </c>
      <c r="G95" s="220"/>
      <c r="I95" s="220"/>
      <c r="J95" s="220"/>
    </row>
    <row r="96" spans="1:10" x14ac:dyDescent="0.25">
      <c r="A96" s="61">
        <v>94</v>
      </c>
      <c r="B96" s="222">
        <f>Roster!B97</f>
        <v>94</v>
      </c>
      <c r="C96" s="221">
        <f>Roster!C97</f>
        <v>0</v>
      </c>
      <c r="D96" s="221">
        <f>Roster!D97</f>
        <v>0</v>
      </c>
      <c r="E96" s="45">
        <f>Roster!E97</f>
        <v>0</v>
      </c>
      <c r="G96" s="220"/>
      <c r="I96" s="220"/>
      <c r="J96" s="220"/>
    </row>
    <row r="97" spans="1:11" x14ac:dyDescent="0.25">
      <c r="A97" s="61">
        <v>95</v>
      </c>
      <c r="B97" s="222">
        <f>Roster!B98</f>
        <v>95</v>
      </c>
      <c r="C97" s="221">
        <f>Roster!C98</f>
        <v>0</v>
      </c>
      <c r="D97" s="221">
        <f>Roster!D98</f>
        <v>0</v>
      </c>
      <c r="E97" s="45">
        <f>Roster!E98</f>
        <v>0</v>
      </c>
      <c r="G97" s="220"/>
      <c r="I97" s="220"/>
      <c r="J97" s="220"/>
    </row>
    <row r="98" spans="1:11" x14ac:dyDescent="0.25">
      <c r="A98" s="61">
        <v>96</v>
      </c>
      <c r="B98" s="222">
        <f>Roster!B99</f>
        <v>96</v>
      </c>
      <c r="C98" s="221">
        <f>Roster!C99</f>
        <v>0</v>
      </c>
      <c r="D98" s="221">
        <f>Roster!D99</f>
        <v>0</v>
      </c>
      <c r="E98" s="45">
        <f>Roster!E99</f>
        <v>0</v>
      </c>
      <c r="G98" s="220"/>
      <c r="I98" s="220"/>
      <c r="J98" s="220"/>
    </row>
    <row r="99" spans="1:11" x14ac:dyDescent="0.25">
      <c r="A99" s="61">
        <v>97</v>
      </c>
      <c r="B99" s="222">
        <f>Roster!B100</f>
        <v>97</v>
      </c>
      <c r="C99" s="221">
        <f>Roster!C100</f>
        <v>0</v>
      </c>
      <c r="D99" s="221">
        <f>Roster!D100</f>
        <v>0</v>
      </c>
      <c r="E99" s="45">
        <f>Roster!E100</f>
        <v>0</v>
      </c>
      <c r="G99" s="220"/>
      <c r="I99" s="220"/>
      <c r="J99" s="220"/>
    </row>
    <row r="100" spans="1:11" x14ac:dyDescent="0.25">
      <c r="A100" s="61">
        <v>98</v>
      </c>
      <c r="B100" s="222">
        <f>Roster!B101</f>
        <v>98</v>
      </c>
      <c r="C100" s="221">
        <f>Roster!C101</f>
        <v>0</v>
      </c>
      <c r="D100" s="221">
        <f>Roster!D101</f>
        <v>0</v>
      </c>
      <c r="E100" s="45">
        <f>Roster!E101</f>
        <v>0</v>
      </c>
      <c r="G100" s="220"/>
      <c r="I100" s="220"/>
      <c r="J100" s="220"/>
    </row>
    <row r="101" spans="1:11" x14ac:dyDescent="0.25">
      <c r="A101" s="61">
        <v>99</v>
      </c>
      <c r="B101" s="222" t="str">
        <f>Roster!B102</f>
        <v>00</v>
      </c>
      <c r="C101" s="221" t="str">
        <f>C$104</f>
        <v/>
      </c>
      <c r="D101" s="221" t="str">
        <f>D$104</f>
        <v/>
      </c>
      <c r="E101" s="45" t="str">
        <f>E$104</f>
        <v/>
      </c>
      <c r="G101" s="221">
        <f>G$104</f>
        <v>0</v>
      </c>
      <c r="I101" s="221">
        <f>I$104</f>
        <v>0</v>
      </c>
      <c r="J101" s="221">
        <f>J$104</f>
        <v>0</v>
      </c>
    </row>
    <row r="102" spans="1:11" ht="15.75" thickBot="1" x14ac:dyDescent="0.3"/>
    <row r="103" spans="1:11" ht="15.75" thickBot="1" x14ac:dyDescent="0.3">
      <c r="A103" s="242" t="s">
        <v>863</v>
      </c>
      <c r="B103" s="243"/>
      <c r="C103" s="243"/>
      <c r="D103" s="243"/>
      <c r="E103" s="243"/>
      <c r="F103" s="243"/>
      <c r="G103" s="243"/>
      <c r="H103" s="243"/>
      <c r="I103" s="243"/>
      <c r="J103" s="244"/>
      <c r="K103" s="256"/>
    </row>
    <row r="104" spans="1:11" x14ac:dyDescent="0.25">
      <c r="A104" s="61"/>
      <c r="B104" s="222">
        <f>Roster!B105</f>
        <v>0</v>
      </c>
      <c r="C104" s="221" t="str">
        <f>Roster!C102</f>
        <v/>
      </c>
      <c r="D104" s="221" t="str">
        <f>Roster!D102</f>
        <v/>
      </c>
      <c r="E104" s="45" t="str">
        <f>Roster!E102</f>
        <v/>
      </c>
      <c r="G104" s="220"/>
      <c r="I104" s="220"/>
      <c r="J104" s="220"/>
    </row>
    <row r="105" spans="1:11" x14ac:dyDescent="0.25">
      <c r="H105" s="208"/>
    </row>
    <row r="106" spans="1:11" ht="15.75" thickBot="1" x14ac:dyDescent="0.3">
      <c r="H106" s="208"/>
    </row>
    <row r="107" spans="1:11" x14ac:dyDescent="0.25">
      <c r="A107" s="219" t="s">
        <v>813</v>
      </c>
      <c r="B107" s="218"/>
      <c r="C107" s="218"/>
      <c r="D107" s="218"/>
      <c r="E107" s="218"/>
      <c r="F107" s="218"/>
      <c r="G107" s="217"/>
    </row>
    <row r="108" spans="1:11" x14ac:dyDescent="0.25">
      <c r="A108" s="216" t="s">
        <v>812</v>
      </c>
      <c r="B108" s="215"/>
      <c r="C108" s="214"/>
      <c r="D108" s="214"/>
      <c r="E108" s="214"/>
      <c r="F108" s="214"/>
      <c r="G108" s="213"/>
    </row>
    <row r="109" spans="1:11" x14ac:dyDescent="0.25">
      <c r="A109" s="216" t="s">
        <v>811</v>
      </c>
      <c r="B109" s="215"/>
      <c r="C109" s="214"/>
      <c r="D109" s="214"/>
      <c r="E109" s="214"/>
      <c r="F109" s="214"/>
      <c r="G109" s="213"/>
    </row>
    <row r="110" spans="1:11" ht="15.75" thickBot="1" x14ac:dyDescent="0.3">
      <c r="A110" s="212" t="s">
        <v>810</v>
      </c>
      <c r="B110" s="211"/>
      <c r="C110" s="210"/>
      <c r="D110" s="210"/>
      <c r="E110" s="210"/>
      <c r="F110" s="210"/>
      <c r="G110" s="209"/>
    </row>
  </sheetData>
  <customSheetViews>
    <customSheetView guid="{42F19D52-E208-414F-9E2E-506DF902926F}">
      <selection activeCell="J3" sqref="J3"/>
      <pageMargins left="0.7" right="0.7" top="0.75" bottom="0.75" header="0.3" footer="0.3"/>
    </customSheetView>
    <customSheetView guid="{BE266B8E-38B0-4631-9C30-67CA48A8BD7F}">
      <selection activeCell="J3" sqref="J3"/>
      <pageMargins left="0.7" right="0.7" top="0.75" bottom="0.75" header="0.3" footer="0.3"/>
    </customSheetView>
    <customSheetView guid="{BD1DF852-269B-4C2F-AF89-1FA576EA4603}">
      <selection activeCell="J3" sqref="J3"/>
      <pageMargins left="0.7" right="0.7" top="0.75" bottom="0.75" header="0.3" footer="0.3"/>
    </customSheetView>
    <customSheetView guid="{C8D72D7B-AEA0-45E3-A14B-3F039B04C62C}">
      <pageMargins left="0.7" right="0.7" top="0.75" bottom="0.75" header="0.3" footer="0.3"/>
    </customSheetView>
    <customSheetView guid="{6A3B2C41-2DBC-4B17-AB58-12C85E3A6B8A}">
      <pageMargins left="0.7" right="0.7" top="0.75" bottom="0.75" header="0.3" footer="0.3"/>
    </customSheetView>
    <customSheetView guid="{46B088B4-7F51-4D35-9F00-2268626FA819}" topLeftCell="A2">
      <selection activeCell="G2" sqref="G2:G101"/>
      <pageMargins left="0.7" right="0.7" top="0.75" bottom="0.75" header="0.3" footer="0.3"/>
    </customSheetView>
    <customSheetView guid="{BC153CFA-E879-4863-BF97-64855FD940E5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2" sqref="B2"/>
    </sheetView>
  </sheetViews>
  <sheetFormatPr defaultRowHeight="15" x14ac:dyDescent="0.25"/>
  <cols>
    <col min="1" max="1" width="4.7109375" style="9" customWidth="1"/>
    <col min="2" max="2" width="9.140625" style="9"/>
    <col min="3" max="4" width="12.7109375" customWidth="1"/>
    <col min="5" max="5" width="10.7109375" style="9" customWidth="1"/>
    <col min="6" max="6" width="5.7109375" customWidth="1"/>
    <col min="7" max="7" width="30.7109375" customWidth="1"/>
    <col min="8" max="8" width="2.7109375" customWidth="1"/>
    <col min="9" max="9" width="30.7109375" customWidth="1"/>
    <col min="10" max="10" width="2.7109375" customWidth="1"/>
    <col min="11" max="11" width="30.7109375" customWidth="1"/>
    <col min="12" max="12" width="2.7109375" customWidth="1"/>
    <col min="13" max="13" width="30.7109375" customWidth="1"/>
  </cols>
  <sheetData>
    <row r="1" spans="1:13" x14ac:dyDescent="0.25">
      <c r="B1" s="227" t="s">
        <v>827</v>
      </c>
      <c r="C1" s="74"/>
      <c r="D1" s="74"/>
      <c r="E1" s="226"/>
      <c r="F1" s="74"/>
      <c r="G1" s="228" t="s">
        <v>818</v>
      </c>
      <c r="H1" s="228"/>
      <c r="I1" s="228" t="s">
        <v>819</v>
      </c>
      <c r="K1" s="228" t="s">
        <v>992</v>
      </c>
      <c r="L1" s="228"/>
      <c r="M1" s="228" t="s">
        <v>993</v>
      </c>
    </row>
    <row r="2" spans="1:13" x14ac:dyDescent="0.25">
      <c r="B2" s="225" t="s">
        <v>43</v>
      </c>
      <c r="C2" s="224" t="s">
        <v>44</v>
      </c>
      <c r="D2" s="224" t="s">
        <v>45</v>
      </c>
      <c r="E2" s="223" t="s">
        <v>46</v>
      </c>
      <c r="G2" s="223" t="s">
        <v>733</v>
      </c>
      <c r="I2" s="223" t="s">
        <v>733</v>
      </c>
      <c r="K2" s="223" t="s">
        <v>733</v>
      </c>
      <c r="M2" s="223" t="s">
        <v>733</v>
      </c>
    </row>
    <row r="3" spans="1:13" x14ac:dyDescent="0.25">
      <c r="A3" s="61">
        <v>1</v>
      </c>
      <c r="B3" s="222" t="str">
        <f>Roster!B4</f>
        <v>1</v>
      </c>
      <c r="C3" s="221" t="str">
        <f>Roster!C4</f>
        <v>First</v>
      </c>
      <c r="D3" s="221" t="str">
        <f>Roster!D4</f>
        <v>Last</v>
      </c>
      <c r="E3" s="45" t="str">
        <f>Roster!E4</f>
        <v>G</v>
      </c>
      <c r="G3" s="220" t="s">
        <v>1049</v>
      </c>
      <c r="I3" s="220" t="s">
        <v>1050</v>
      </c>
      <c r="K3" s="220" t="s">
        <v>1051</v>
      </c>
      <c r="M3" s="220" t="s">
        <v>1052</v>
      </c>
    </row>
    <row r="4" spans="1:13" x14ac:dyDescent="0.25">
      <c r="A4" s="61">
        <v>2</v>
      </c>
      <c r="B4" s="222">
        <f>Roster!B5</f>
        <v>2</v>
      </c>
      <c r="C4" s="221">
        <f>Roster!C5</f>
        <v>0</v>
      </c>
      <c r="D4" s="221">
        <f>Roster!D5</f>
        <v>0</v>
      </c>
      <c r="E4" s="45">
        <f>Roster!E5</f>
        <v>0</v>
      </c>
      <c r="G4" s="220"/>
      <c r="I4" s="220"/>
      <c r="K4" s="220"/>
      <c r="M4" s="220"/>
    </row>
    <row r="5" spans="1:13" x14ac:dyDescent="0.25">
      <c r="A5" s="61">
        <v>3</v>
      </c>
      <c r="B5" s="222">
        <f>Roster!B6</f>
        <v>3</v>
      </c>
      <c r="C5" s="221">
        <f>Roster!C6</f>
        <v>0</v>
      </c>
      <c r="D5" s="221">
        <f>Roster!D6</f>
        <v>0</v>
      </c>
      <c r="E5" s="45">
        <f>Roster!E6</f>
        <v>0</v>
      </c>
      <c r="G5" s="220"/>
      <c r="I5" s="220"/>
      <c r="K5" s="220"/>
      <c r="M5" s="220"/>
    </row>
    <row r="6" spans="1:13" x14ac:dyDescent="0.25">
      <c r="A6" s="61">
        <v>4</v>
      </c>
      <c r="B6" s="222">
        <f>Roster!B7</f>
        <v>4</v>
      </c>
      <c r="C6" s="221">
        <f>Roster!C7</f>
        <v>0</v>
      </c>
      <c r="D6" s="221">
        <f>Roster!D7</f>
        <v>0</v>
      </c>
      <c r="E6" s="45">
        <f>Roster!E7</f>
        <v>0</v>
      </c>
      <c r="G6" s="220"/>
      <c r="I6" s="220"/>
      <c r="K6" s="220"/>
      <c r="M6" s="220"/>
    </row>
    <row r="7" spans="1:13" x14ac:dyDescent="0.25">
      <c r="A7" s="61">
        <v>5</v>
      </c>
      <c r="B7" s="222">
        <f>Roster!B8</f>
        <v>5</v>
      </c>
      <c r="C7" s="221">
        <f>Roster!C8</f>
        <v>0</v>
      </c>
      <c r="D7" s="221">
        <f>Roster!D8</f>
        <v>0</v>
      </c>
      <c r="E7" s="45">
        <f>Roster!E8</f>
        <v>0</v>
      </c>
      <c r="G7" s="220"/>
      <c r="I7" s="220"/>
      <c r="K7" s="220"/>
      <c r="M7" s="220"/>
    </row>
    <row r="8" spans="1:13" x14ac:dyDescent="0.25">
      <c r="A8" s="61">
        <v>6</v>
      </c>
      <c r="B8" s="222">
        <f>Roster!B9</f>
        <v>6</v>
      </c>
      <c r="C8" s="221">
        <f>Roster!C9</f>
        <v>0</v>
      </c>
      <c r="D8" s="221">
        <f>Roster!D9</f>
        <v>0</v>
      </c>
      <c r="E8" s="45">
        <f>Roster!E9</f>
        <v>0</v>
      </c>
      <c r="G8" s="220"/>
      <c r="I8" s="220"/>
      <c r="K8" s="220"/>
      <c r="M8" s="220"/>
    </row>
    <row r="9" spans="1:13" x14ac:dyDescent="0.25">
      <c r="A9" s="61">
        <v>7</v>
      </c>
      <c r="B9" s="222">
        <f>Roster!B10</f>
        <v>7</v>
      </c>
      <c r="C9" s="221">
        <f>Roster!C10</f>
        <v>0</v>
      </c>
      <c r="D9" s="221">
        <f>Roster!D10</f>
        <v>0</v>
      </c>
      <c r="E9" s="45">
        <f>Roster!E10</f>
        <v>0</v>
      </c>
      <c r="G9" s="220"/>
      <c r="I9" s="220"/>
      <c r="K9" s="220"/>
      <c r="M9" s="220"/>
    </row>
    <row r="10" spans="1:13" x14ac:dyDescent="0.25">
      <c r="A10" s="61">
        <v>8</v>
      </c>
      <c r="B10" s="222">
        <f>Roster!B11</f>
        <v>8</v>
      </c>
      <c r="C10" s="221">
        <f>Roster!C11</f>
        <v>0</v>
      </c>
      <c r="D10" s="221">
        <f>Roster!D11</f>
        <v>0</v>
      </c>
      <c r="E10" s="45">
        <f>Roster!E11</f>
        <v>0</v>
      </c>
      <c r="G10" s="220"/>
      <c r="I10" s="220"/>
      <c r="K10" s="220"/>
      <c r="M10" s="220"/>
    </row>
    <row r="11" spans="1:13" x14ac:dyDescent="0.25">
      <c r="A11" s="61">
        <v>9</v>
      </c>
      <c r="B11" s="222">
        <f>Roster!B12</f>
        <v>9</v>
      </c>
      <c r="C11" s="221">
        <f>Roster!C12</f>
        <v>0</v>
      </c>
      <c r="D11" s="221">
        <f>Roster!D12</f>
        <v>0</v>
      </c>
      <c r="E11" s="45">
        <f>Roster!E12</f>
        <v>0</v>
      </c>
      <c r="G11" s="220"/>
      <c r="I11" s="220"/>
      <c r="K11" s="220"/>
      <c r="M11" s="220"/>
    </row>
    <row r="12" spans="1:13" x14ac:dyDescent="0.25">
      <c r="A12" s="61">
        <v>10</v>
      </c>
      <c r="B12" s="222">
        <f>Roster!B13</f>
        <v>10</v>
      </c>
      <c r="C12" s="221">
        <f>Roster!C13</f>
        <v>0</v>
      </c>
      <c r="D12" s="221">
        <f>Roster!D13</f>
        <v>0</v>
      </c>
      <c r="E12" s="45">
        <f>Roster!E13</f>
        <v>0</v>
      </c>
      <c r="G12" s="220"/>
      <c r="I12" s="220"/>
      <c r="K12" s="220"/>
      <c r="M12" s="220"/>
    </row>
    <row r="13" spans="1:13" x14ac:dyDescent="0.25">
      <c r="A13" s="61">
        <v>11</v>
      </c>
      <c r="B13" s="222">
        <f>Roster!B14</f>
        <v>11</v>
      </c>
      <c r="C13" s="221">
        <f>Roster!C14</f>
        <v>0</v>
      </c>
      <c r="D13" s="221">
        <f>Roster!D14</f>
        <v>0</v>
      </c>
      <c r="E13" s="45">
        <f>Roster!E14</f>
        <v>0</v>
      </c>
      <c r="G13" s="220"/>
      <c r="I13" s="220"/>
      <c r="K13" s="220"/>
      <c r="M13" s="220"/>
    </row>
    <row r="14" spans="1:13" x14ac:dyDescent="0.25">
      <c r="A14" s="61">
        <v>12</v>
      </c>
      <c r="B14" s="222">
        <f>Roster!B15</f>
        <v>12</v>
      </c>
      <c r="C14" s="221">
        <f>Roster!C15</f>
        <v>0</v>
      </c>
      <c r="D14" s="221">
        <f>Roster!D15</f>
        <v>0</v>
      </c>
      <c r="E14" s="45">
        <f>Roster!E15</f>
        <v>0</v>
      </c>
      <c r="G14" s="220"/>
      <c r="I14" s="220"/>
      <c r="K14" s="220"/>
      <c r="M14" s="220"/>
    </row>
    <row r="15" spans="1:13" x14ac:dyDescent="0.25">
      <c r="A15" s="61">
        <v>13</v>
      </c>
      <c r="B15" s="222">
        <f>Roster!B16</f>
        <v>13</v>
      </c>
      <c r="C15" s="221">
        <f>Roster!C16</f>
        <v>0</v>
      </c>
      <c r="D15" s="221">
        <f>Roster!D16</f>
        <v>0</v>
      </c>
      <c r="E15" s="45">
        <f>Roster!E16</f>
        <v>0</v>
      </c>
      <c r="G15" s="220"/>
      <c r="I15" s="220"/>
      <c r="K15" s="220"/>
      <c r="M15" s="220"/>
    </row>
    <row r="16" spans="1:13" x14ac:dyDescent="0.25">
      <c r="A16" s="61">
        <v>14</v>
      </c>
      <c r="B16" s="222">
        <f>Roster!B17</f>
        <v>14</v>
      </c>
      <c r="C16" s="221">
        <f>Roster!C17</f>
        <v>0</v>
      </c>
      <c r="D16" s="221">
        <f>Roster!D17</f>
        <v>0</v>
      </c>
      <c r="E16" s="45">
        <f>Roster!E17</f>
        <v>0</v>
      </c>
      <c r="G16" s="220"/>
      <c r="I16" s="220"/>
      <c r="K16" s="220"/>
      <c r="M16" s="220"/>
    </row>
    <row r="17" spans="1:13" x14ac:dyDescent="0.25">
      <c r="A17" s="61">
        <v>15</v>
      </c>
      <c r="B17" s="222">
        <f>Roster!B18</f>
        <v>15</v>
      </c>
      <c r="C17" s="221">
        <f>Roster!C18</f>
        <v>0</v>
      </c>
      <c r="D17" s="221">
        <f>Roster!D18</f>
        <v>0</v>
      </c>
      <c r="E17" s="45">
        <f>Roster!E18</f>
        <v>0</v>
      </c>
      <c r="G17" s="220"/>
      <c r="I17" s="220"/>
      <c r="K17" s="220"/>
      <c r="M17" s="220"/>
    </row>
    <row r="18" spans="1:13" x14ac:dyDescent="0.25">
      <c r="A18" s="61">
        <v>16</v>
      </c>
      <c r="B18" s="222">
        <f>Roster!B19</f>
        <v>16</v>
      </c>
      <c r="C18" s="221">
        <f>Roster!C19</f>
        <v>0</v>
      </c>
      <c r="D18" s="221">
        <f>Roster!D19</f>
        <v>0</v>
      </c>
      <c r="E18" s="45">
        <f>Roster!E19</f>
        <v>0</v>
      </c>
      <c r="G18" s="220"/>
      <c r="I18" s="220"/>
      <c r="K18" s="220"/>
      <c r="M18" s="220"/>
    </row>
    <row r="19" spans="1:13" x14ac:dyDescent="0.25">
      <c r="A19" s="61">
        <v>17</v>
      </c>
      <c r="B19" s="222">
        <f>Roster!B20</f>
        <v>17</v>
      </c>
      <c r="C19" s="221">
        <f>Roster!C20</f>
        <v>0</v>
      </c>
      <c r="D19" s="221">
        <f>Roster!D20</f>
        <v>0</v>
      </c>
      <c r="E19" s="45">
        <f>Roster!E20</f>
        <v>0</v>
      </c>
      <c r="G19" s="220"/>
      <c r="I19" s="220"/>
      <c r="K19" s="220"/>
      <c r="M19" s="220"/>
    </row>
    <row r="20" spans="1:13" x14ac:dyDescent="0.25">
      <c r="A20" s="61">
        <v>18</v>
      </c>
      <c r="B20" s="222">
        <f>Roster!B21</f>
        <v>18</v>
      </c>
      <c r="C20" s="221">
        <f>Roster!C21</f>
        <v>0</v>
      </c>
      <c r="D20" s="221">
        <f>Roster!D21</f>
        <v>0</v>
      </c>
      <c r="E20" s="45">
        <f>Roster!E21</f>
        <v>0</v>
      </c>
      <c r="G20" s="220"/>
      <c r="I20" s="220"/>
      <c r="K20" s="220"/>
      <c r="M20" s="220"/>
    </row>
    <row r="21" spans="1:13" x14ac:dyDescent="0.25">
      <c r="A21" s="61">
        <v>19</v>
      </c>
      <c r="B21" s="222">
        <f>Roster!B22</f>
        <v>19</v>
      </c>
      <c r="C21" s="221">
        <f>Roster!C22</f>
        <v>0</v>
      </c>
      <c r="D21" s="221">
        <f>Roster!D22</f>
        <v>0</v>
      </c>
      <c r="E21" s="45">
        <f>Roster!E22</f>
        <v>0</v>
      </c>
      <c r="G21" s="220"/>
      <c r="I21" s="220"/>
      <c r="K21" s="220"/>
      <c r="M21" s="220"/>
    </row>
    <row r="22" spans="1:13" x14ac:dyDescent="0.25">
      <c r="A22" s="61">
        <v>20</v>
      </c>
      <c r="B22" s="222">
        <f>Roster!B23</f>
        <v>20</v>
      </c>
      <c r="C22" s="221">
        <f>Roster!C23</f>
        <v>0</v>
      </c>
      <c r="D22" s="221">
        <f>Roster!D23</f>
        <v>0</v>
      </c>
      <c r="E22" s="45">
        <f>Roster!E23</f>
        <v>0</v>
      </c>
      <c r="G22" s="220"/>
      <c r="I22" s="220"/>
      <c r="K22" s="220"/>
      <c r="M22" s="220"/>
    </row>
    <row r="23" spans="1:13" x14ac:dyDescent="0.25">
      <c r="A23" s="61">
        <v>21</v>
      </c>
      <c r="B23" s="222">
        <f>Roster!B24</f>
        <v>21</v>
      </c>
      <c r="C23" s="221">
        <f>Roster!C24</f>
        <v>0</v>
      </c>
      <c r="D23" s="221">
        <f>Roster!D24</f>
        <v>0</v>
      </c>
      <c r="E23" s="45">
        <f>Roster!E24</f>
        <v>0</v>
      </c>
      <c r="G23" s="220"/>
      <c r="I23" s="220"/>
      <c r="K23" s="220"/>
      <c r="M23" s="220"/>
    </row>
    <row r="24" spans="1:13" x14ac:dyDescent="0.25">
      <c r="A24" s="61">
        <v>22</v>
      </c>
      <c r="B24" s="222">
        <f>Roster!B25</f>
        <v>22</v>
      </c>
      <c r="C24" s="221">
        <f>Roster!C25</f>
        <v>0</v>
      </c>
      <c r="D24" s="221">
        <f>Roster!D25</f>
        <v>0</v>
      </c>
      <c r="E24" s="45">
        <f>Roster!E25</f>
        <v>0</v>
      </c>
      <c r="G24" s="220"/>
      <c r="I24" s="220"/>
      <c r="K24" s="220"/>
      <c r="M24" s="220"/>
    </row>
    <row r="25" spans="1:13" x14ac:dyDescent="0.25">
      <c r="A25" s="61">
        <v>23</v>
      </c>
      <c r="B25" s="222">
        <f>Roster!B26</f>
        <v>23</v>
      </c>
      <c r="C25" s="221">
        <f>Roster!C26</f>
        <v>0</v>
      </c>
      <c r="D25" s="221">
        <f>Roster!D26</f>
        <v>0</v>
      </c>
      <c r="E25" s="45">
        <f>Roster!E26</f>
        <v>0</v>
      </c>
      <c r="G25" s="220"/>
      <c r="I25" s="220"/>
      <c r="K25" s="220"/>
      <c r="M25" s="220"/>
    </row>
    <row r="26" spans="1:13" x14ac:dyDescent="0.25">
      <c r="A26" s="61">
        <v>24</v>
      </c>
      <c r="B26" s="222">
        <f>Roster!B27</f>
        <v>24</v>
      </c>
      <c r="C26" s="221">
        <f>Roster!C27</f>
        <v>0</v>
      </c>
      <c r="D26" s="221">
        <f>Roster!D27</f>
        <v>0</v>
      </c>
      <c r="E26" s="45">
        <f>Roster!E27</f>
        <v>0</v>
      </c>
      <c r="G26" s="220"/>
      <c r="I26" s="220"/>
      <c r="K26" s="220"/>
      <c r="M26" s="220"/>
    </row>
    <row r="27" spans="1:13" x14ac:dyDescent="0.25">
      <c r="A27" s="61">
        <v>25</v>
      </c>
      <c r="B27" s="222">
        <f>Roster!B28</f>
        <v>25</v>
      </c>
      <c r="C27" s="221">
        <f>Roster!C28</f>
        <v>0</v>
      </c>
      <c r="D27" s="221">
        <f>Roster!D28</f>
        <v>0</v>
      </c>
      <c r="E27" s="45">
        <f>Roster!E28</f>
        <v>0</v>
      </c>
      <c r="G27" s="220"/>
      <c r="I27" s="220"/>
      <c r="K27" s="220"/>
      <c r="M27" s="220"/>
    </row>
    <row r="28" spans="1:13" x14ac:dyDescent="0.25">
      <c r="A28" s="61">
        <v>26</v>
      </c>
      <c r="B28" s="222">
        <f>Roster!B29</f>
        <v>26</v>
      </c>
      <c r="C28" s="221">
        <f>Roster!C29</f>
        <v>0</v>
      </c>
      <c r="D28" s="221">
        <f>Roster!D29</f>
        <v>0</v>
      </c>
      <c r="E28" s="45">
        <f>Roster!E29</f>
        <v>0</v>
      </c>
      <c r="G28" s="220"/>
      <c r="I28" s="220"/>
      <c r="K28" s="220"/>
      <c r="M28" s="220"/>
    </row>
    <row r="29" spans="1:13" x14ac:dyDescent="0.25">
      <c r="A29" s="61">
        <v>27</v>
      </c>
      <c r="B29" s="222">
        <f>Roster!B30</f>
        <v>27</v>
      </c>
      <c r="C29" s="221">
        <f>Roster!C30</f>
        <v>0</v>
      </c>
      <c r="D29" s="221">
        <f>Roster!D30</f>
        <v>0</v>
      </c>
      <c r="E29" s="45">
        <f>Roster!E30</f>
        <v>0</v>
      </c>
      <c r="G29" s="220"/>
      <c r="I29" s="220"/>
      <c r="K29" s="220"/>
      <c r="M29" s="220"/>
    </row>
    <row r="30" spans="1:13" x14ac:dyDescent="0.25">
      <c r="A30" s="61">
        <v>28</v>
      </c>
      <c r="B30" s="222">
        <f>Roster!B31</f>
        <v>28</v>
      </c>
      <c r="C30" s="221">
        <f>Roster!C31</f>
        <v>0</v>
      </c>
      <c r="D30" s="221">
        <f>Roster!D31</f>
        <v>0</v>
      </c>
      <c r="E30" s="45">
        <f>Roster!E31</f>
        <v>0</v>
      </c>
      <c r="G30" s="220"/>
      <c r="I30" s="220"/>
      <c r="K30" s="220"/>
      <c r="M30" s="220"/>
    </row>
    <row r="31" spans="1:13" x14ac:dyDescent="0.25">
      <c r="A31" s="61">
        <v>29</v>
      </c>
      <c r="B31" s="222">
        <f>Roster!B32</f>
        <v>29</v>
      </c>
      <c r="C31" s="221">
        <f>Roster!C32</f>
        <v>0</v>
      </c>
      <c r="D31" s="221">
        <f>Roster!D32</f>
        <v>0</v>
      </c>
      <c r="E31" s="45">
        <f>Roster!E32</f>
        <v>0</v>
      </c>
      <c r="G31" s="220"/>
      <c r="I31" s="220"/>
      <c r="K31" s="220"/>
      <c r="M31" s="220"/>
    </row>
    <row r="32" spans="1:13" x14ac:dyDescent="0.25">
      <c r="A32" s="61">
        <v>30</v>
      </c>
      <c r="B32" s="222">
        <f>Roster!B33</f>
        <v>30</v>
      </c>
      <c r="C32" s="221">
        <f>Roster!C33</f>
        <v>0</v>
      </c>
      <c r="D32" s="221">
        <f>Roster!D33</f>
        <v>0</v>
      </c>
      <c r="E32" s="45">
        <f>Roster!E33</f>
        <v>0</v>
      </c>
      <c r="G32" s="220"/>
      <c r="I32" s="220"/>
      <c r="K32" s="220"/>
      <c r="M32" s="220"/>
    </row>
    <row r="33" spans="1:13" x14ac:dyDescent="0.25">
      <c r="A33" s="61">
        <v>31</v>
      </c>
      <c r="B33" s="222">
        <f>Roster!B34</f>
        <v>31</v>
      </c>
      <c r="C33" s="221">
        <f>Roster!C34</f>
        <v>0</v>
      </c>
      <c r="D33" s="221">
        <f>Roster!D34</f>
        <v>0</v>
      </c>
      <c r="E33" s="45">
        <f>Roster!E34</f>
        <v>0</v>
      </c>
      <c r="G33" s="220"/>
      <c r="I33" s="220"/>
      <c r="K33" s="220"/>
      <c r="M33" s="220"/>
    </row>
    <row r="34" spans="1:13" x14ac:dyDescent="0.25">
      <c r="A34" s="61">
        <v>32</v>
      </c>
      <c r="B34" s="222">
        <f>Roster!B35</f>
        <v>32</v>
      </c>
      <c r="C34" s="221">
        <f>Roster!C35</f>
        <v>0</v>
      </c>
      <c r="D34" s="221">
        <f>Roster!D35</f>
        <v>0</v>
      </c>
      <c r="E34" s="45">
        <f>Roster!E35</f>
        <v>0</v>
      </c>
      <c r="G34" s="220"/>
      <c r="I34" s="220"/>
      <c r="K34" s="220"/>
      <c r="M34" s="220"/>
    </row>
    <row r="35" spans="1:13" x14ac:dyDescent="0.25">
      <c r="A35" s="61">
        <v>33</v>
      </c>
      <c r="B35" s="222">
        <f>Roster!B36</f>
        <v>33</v>
      </c>
      <c r="C35" s="221">
        <f>Roster!C36</f>
        <v>0</v>
      </c>
      <c r="D35" s="221">
        <f>Roster!D36</f>
        <v>0</v>
      </c>
      <c r="E35" s="45">
        <f>Roster!E36</f>
        <v>0</v>
      </c>
      <c r="G35" s="220"/>
      <c r="I35" s="220"/>
      <c r="K35" s="220"/>
      <c r="M35" s="220"/>
    </row>
    <row r="36" spans="1:13" x14ac:dyDescent="0.25">
      <c r="A36" s="61">
        <v>34</v>
      </c>
      <c r="B36" s="222">
        <f>Roster!B37</f>
        <v>34</v>
      </c>
      <c r="C36" s="221">
        <f>Roster!C37</f>
        <v>0</v>
      </c>
      <c r="D36" s="221">
        <f>Roster!D37</f>
        <v>0</v>
      </c>
      <c r="E36" s="45">
        <f>Roster!E37</f>
        <v>0</v>
      </c>
      <c r="G36" s="220"/>
      <c r="I36" s="220"/>
      <c r="K36" s="220"/>
      <c r="M36" s="220"/>
    </row>
    <row r="37" spans="1:13" x14ac:dyDescent="0.25">
      <c r="A37" s="61">
        <v>35</v>
      </c>
      <c r="B37" s="222">
        <f>Roster!B38</f>
        <v>35</v>
      </c>
      <c r="C37" s="221">
        <f>Roster!C38</f>
        <v>0</v>
      </c>
      <c r="D37" s="221">
        <f>Roster!D38</f>
        <v>0</v>
      </c>
      <c r="E37" s="45">
        <f>Roster!E38</f>
        <v>0</v>
      </c>
      <c r="G37" s="220"/>
      <c r="I37" s="220"/>
      <c r="K37" s="220"/>
      <c r="M37" s="220"/>
    </row>
    <row r="38" spans="1:13" x14ac:dyDescent="0.25">
      <c r="A38" s="61">
        <v>36</v>
      </c>
      <c r="B38" s="222">
        <f>Roster!B39</f>
        <v>36</v>
      </c>
      <c r="C38" s="221">
        <f>Roster!C39</f>
        <v>0</v>
      </c>
      <c r="D38" s="221">
        <f>Roster!D39</f>
        <v>0</v>
      </c>
      <c r="E38" s="45">
        <f>Roster!E39</f>
        <v>0</v>
      </c>
      <c r="G38" s="220"/>
      <c r="I38" s="220"/>
      <c r="K38" s="220"/>
      <c r="M38" s="220"/>
    </row>
    <row r="39" spans="1:13" x14ac:dyDescent="0.25">
      <c r="A39" s="61">
        <v>37</v>
      </c>
      <c r="B39" s="222">
        <f>Roster!B40</f>
        <v>37</v>
      </c>
      <c r="C39" s="221">
        <f>Roster!C40</f>
        <v>0</v>
      </c>
      <c r="D39" s="221">
        <f>Roster!D40</f>
        <v>0</v>
      </c>
      <c r="E39" s="45">
        <f>Roster!E40</f>
        <v>0</v>
      </c>
      <c r="G39" s="220"/>
      <c r="I39" s="220"/>
      <c r="K39" s="220"/>
      <c r="M39" s="220"/>
    </row>
    <row r="40" spans="1:13" x14ac:dyDescent="0.25">
      <c r="A40" s="61">
        <v>38</v>
      </c>
      <c r="B40" s="222">
        <f>Roster!B41</f>
        <v>38</v>
      </c>
      <c r="C40" s="221">
        <f>Roster!C41</f>
        <v>0</v>
      </c>
      <c r="D40" s="221">
        <f>Roster!D41</f>
        <v>0</v>
      </c>
      <c r="E40" s="45">
        <f>Roster!E41</f>
        <v>0</v>
      </c>
      <c r="G40" s="220"/>
      <c r="I40" s="220"/>
      <c r="K40" s="220"/>
      <c r="M40" s="220"/>
    </row>
    <row r="41" spans="1:13" x14ac:dyDescent="0.25">
      <c r="A41" s="61">
        <v>39</v>
      </c>
      <c r="B41" s="222">
        <f>Roster!B42</f>
        <v>39</v>
      </c>
      <c r="C41" s="221">
        <f>Roster!C42</f>
        <v>0</v>
      </c>
      <c r="D41" s="221">
        <f>Roster!D42</f>
        <v>0</v>
      </c>
      <c r="E41" s="45">
        <f>Roster!E42</f>
        <v>0</v>
      </c>
      <c r="G41" s="220"/>
      <c r="I41" s="220"/>
      <c r="K41" s="220"/>
      <c r="M41" s="220"/>
    </row>
    <row r="42" spans="1:13" x14ac:dyDescent="0.25">
      <c r="A42" s="61">
        <v>40</v>
      </c>
      <c r="B42" s="222">
        <f>Roster!B43</f>
        <v>40</v>
      </c>
      <c r="C42" s="221">
        <f>Roster!C43</f>
        <v>0</v>
      </c>
      <c r="D42" s="221">
        <f>Roster!D43</f>
        <v>0</v>
      </c>
      <c r="E42" s="45">
        <f>Roster!E43</f>
        <v>0</v>
      </c>
      <c r="G42" s="220"/>
      <c r="I42" s="220"/>
      <c r="K42" s="220"/>
      <c r="M42" s="220"/>
    </row>
    <row r="43" spans="1:13" x14ac:dyDescent="0.25">
      <c r="A43" s="61">
        <v>41</v>
      </c>
      <c r="B43" s="222">
        <f>Roster!B44</f>
        <v>41</v>
      </c>
      <c r="C43" s="221">
        <f>Roster!C44</f>
        <v>0</v>
      </c>
      <c r="D43" s="221">
        <f>Roster!D44</f>
        <v>0</v>
      </c>
      <c r="E43" s="45">
        <f>Roster!E44</f>
        <v>0</v>
      </c>
      <c r="G43" s="220"/>
      <c r="I43" s="220"/>
      <c r="K43" s="220"/>
      <c r="M43" s="220"/>
    </row>
    <row r="44" spans="1:13" x14ac:dyDescent="0.25">
      <c r="A44" s="61">
        <v>42</v>
      </c>
      <c r="B44" s="222">
        <f>Roster!B45</f>
        <v>42</v>
      </c>
      <c r="C44" s="221">
        <f>Roster!C45</f>
        <v>0</v>
      </c>
      <c r="D44" s="221">
        <f>Roster!D45</f>
        <v>0</v>
      </c>
      <c r="E44" s="45">
        <f>Roster!E45</f>
        <v>0</v>
      </c>
      <c r="G44" s="220"/>
      <c r="I44" s="220"/>
      <c r="K44" s="220"/>
      <c r="M44" s="220"/>
    </row>
    <row r="45" spans="1:13" x14ac:dyDescent="0.25">
      <c r="A45" s="61">
        <v>43</v>
      </c>
      <c r="B45" s="222">
        <f>Roster!B46</f>
        <v>43</v>
      </c>
      <c r="C45" s="221">
        <f>Roster!C46</f>
        <v>0</v>
      </c>
      <c r="D45" s="221">
        <f>Roster!D46</f>
        <v>0</v>
      </c>
      <c r="E45" s="45">
        <f>Roster!E46</f>
        <v>0</v>
      </c>
      <c r="G45" s="220"/>
      <c r="I45" s="220"/>
      <c r="K45" s="220"/>
      <c r="M45" s="220"/>
    </row>
    <row r="46" spans="1:13" x14ac:dyDescent="0.25">
      <c r="A46" s="61">
        <v>44</v>
      </c>
      <c r="B46" s="222">
        <f>Roster!B47</f>
        <v>44</v>
      </c>
      <c r="C46" s="221">
        <f>Roster!C47</f>
        <v>0</v>
      </c>
      <c r="D46" s="221">
        <f>Roster!D47</f>
        <v>0</v>
      </c>
      <c r="E46" s="45">
        <f>Roster!E47</f>
        <v>0</v>
      </c>
      <c r="G46" s="220"/>
      <c r="I46" s="220"/>
      <c r="K46" s="220"/>
      <c r="M46" s="220"/>
    </row>
    <row r="47" spans="1:13" x14ac:dyDescent="0.25">
      <c r="A47" s="61">
        <v>45</v>
      </c>
      <c r="B47" s="222">
        <f>Roster!B48</f>
        <v>45</v>
      </c>
      <c r="C47" s="221">
        <f>Roster!C48</f>
        <v>0</v>
      </c>
      <c r="D47" s="221">
        <f>Roster!D48</f>
        <v>0</v>
      </c>
      <c r="E47" s="45">
        <f>Roster!E48</f>
        <v>0</v>
      </c>
      <c r="G47" s="220"/>
      <c r="I47" s="220"/>
      <c r="K47" s="220"/>
      <c r="M47" s="220"/>
    </row>
    <row r="48" spans="1:13" x14ac:dyDescent="0.25">
      <c r="A48" s="61">
        <v>46</v>
      </c>
      <c r="B48" s="222">
        <f>Roster!B49</f>
        <v>46</v>
      </c>
      <c r="C48" s="221">
        <f>Roster!C49</f>
        <v>0</v>
      </c>
      <c r="D48" s="221">
        <f>Roster!D49</f>
        <v>0</v>
      </c>
      <c r="E48" s="45">
        <f>Roster!E49</f>
        <v>0</v>
      </c>
      <c r="G48" s="220"/>
      <c r="I48" s="220"/>
      <c r="K48" s="220"/>
      <c r="M48" s="220"/>
    </row>
    <row r="49" spans="1:13" x14ac:dyDescent="0.25">
      <c r="A49" s="61">
        <v>47</v>
      </c>
      <c r="B49" s="222">
        <f>Roster!B50</f>
        <v>47</v>
      </c>
      <c r="C49" s="221">
        <f>Roster!C50</f>
        <v>0</v>
      </c>
      <c r="D49" s="221">
        <f>Roster!D50</f>
        <v>0</v>
      </c>
      <c r="E49" s="45">
        <f>Roster!E50</f>
        <v>0</v>
      </c>
      <c r="G49" s="220"/>
      <c r="I49" s="220"/>
      <c r="K49" s="220"/>
      <c r="M49" s="220"/>
    </row>
    <row r="50" spans="1:13" x14ac:dyDescent="0.25">
      <c r="A50" s="61">
        <v>48</v>
      </c>
      <c r="B50" s="222">
        <f>Roster!B51</f>
        <v>48</v>
      </c>
      <c r="C50" s="221">
        <f>Roster!C51</f>
        <v>0</v>
      </c>
      <c r="D50" s="221">
        <f>Roster!D51</f>
        <v>0</v>
      </c>
      <c r="E50" s="45">
        <f>Roster!E51</f>
        <v>0</v>
      </c>
      <c r="G50" s="220"/>
      <c r="I50" s="220"/>
      <c r="K50" s="220"/>
      <c r="M50" s="220"/>
    </row>
    <row r="51" spans="1:13" x14ac:dyDescent="0.25">
      <c r="A51" s="61">
        <v>49</v>
      </c>
      <c r="B51" s="222">
        <f>Roster!B52</f>
        <v>49</v>
      </c>
      <c r="C51" s="221">
        <f>Roster!C52</f>
        <v>0</v>
      </c>
      <c r="D51" s="221">
        <f>Roster!D52</f>
        <v>0</v>
      </c>
      <c r="E51" s="45">
        <f>Roster!E52</f>
        <v>0</v>
      </c>
      <c r="G51" s="220"/>
      <c r="I51" s="220"/>
      <c r="K51" s="220"/>
      <c r="M51" s="220"/>
    </row>
    <row r="52" spans="1:13" x14ac:dyDescent="0.25">
      <c r="A52" s="61">
        <v>50</v>
      </c>
      <c r="B52" s="222">
        <f>Roster!B53</f>
        <v>50</v>
      </c>
      <c r="C52" s="221">
        <f>Roster!C53</f>
        <v>0</v>
      </c>
      <c r="D52" s="221">
        <f>Roster!D53</f>
        <v>0</v>
      </c>
      <c r="E52" s="45">
        <f>Roster!E53</f>
        <v>0</v>
      </c>
      <c r="G52" s="220"/>
      <c r="I52" s="220"/>
      <c r="K52" s="220"/>
      <c r="M52" s="220"/>
    </row>
    <row r="53" spans="1:13" x14ac:dyDescent="0.25">
      <c r="A53" s="61">
        <v>51</v>
      </c>
      <c r="B53" s="222">
        <f>Roster!B54</f>
        <v>51</v>
      </c>
      <c r="C53" s="221">
        <f>Roster!C54</f>
        <v>0</v>
      </c>
      <c r="D53" s="221">
        <f>Roster!D54</f>
        <v>0</v>
      </c>
      <c r="E53" s="45">
        <f>Roster!E54</f>
        <v>0</v>
      </c>
      <c r="G53" s="220"/>
      <c r="I53" s="220"/>
      <c r="K53" s="220"/>
      <c r="M53" s="220"/>
    </row>
    <row r="54" spans="1:13" x14ac:dyDescent="0.25">
      <c r="A54" s="61">
        <v>52</v>
      </c>
      <c r="B54" s="222">
        <f>Roster!B55</f>
        <v>52</v>
      </c>
      <c r="C54" s="221">
        <f>Roster!C55</f>
        <v>0</v>
      </c>
      <c r="D54" s="221">
        <f>Roster!D55</f>
        <v>0</v>
      </c>
      <c r="E54" s="45">
        <f>Roster!E55</f>
        <v>0</v>
      </c>
      <c r="G54" s="220"/>
      <c r="I54" s="220"/>
      <c r="K54" s="220"/>
      <c r="M54" s="220"/>
    </row>
    <row r="55" spans="1:13" x14ac:dyDescent="0.25">
      <c r="A55" s="61">
        <v>53</v>
      </c>
      <c r="B55" s="222">
        <f>Roster!B56</f>
        <v>53</v>
      </c>
      <c r="C55" s="221">
        <f>Roster!C56</f>
        <v>0</v>
      </c>
      <c r="D55" s="221">
        <f>Roster!D56</f>
        <v>0</v>
      </c>
      <c r="E55" s="45">
        <f>Roster!E56</f>
        <v>0</v>
      </c>
      <c r="G55" s="220"/>
      <c r="I55" s="220"/>
      <c r="K55" s="220"/>
      <c r="M55" s="220"/>
    </row>
    <row r="56" spans="1:13" x14ac:dyDescent="0.25">
      <c r="A56" s="61">
        <v>54</v>
      </c>
      <c r="B56" s="222">
        <f>Roster!B57</f>
        <v>54</v>
      </c>
      <c r="C56" s="221">
        <f>Roster!C57</f>
        <v>0</v>
      </c>
      <c r="D56" s="221">
        <f>Roster!D57</f>
        <v>0</v>
      </c>
      <c r="E56" s="45">
        <f>Roster!E57</f>
        <v>0</v>
      </c>
      <c r="G56" s="220"/>
      <c r="I56" s="220"/>
      <c r="K56" s="220"/>
      <c r="M56" s="220"/>
    </row>
    <row r="57" spans="1:13" x14ac:dyDescent="0.25">
      <c r="A57" s="61">
        <v>55</v>
      </c>
      <c r="B57" s="222">
        <f>Roster!B58</f>
        <v>55</v>
      </c>
      <c r="C57" s="221">
        <f>Roster!C58</f>
        <v>0</v>
      </c>
      <c r="D57" s="221">
        <f>Roster!D58</f>
        <v>0</v>
      </c>
      <c r="E57" s="45">
        <f>Roster!E58</f>
        <v>0</v>
      </c>
      <c r="G57" s="220"/>
      <c r="I57" s="220"/>
      <c r="K57" s="220"/>
      <c r="M57" s="220"/>
    </row>
    <row r="58" spans="1:13" x14ac:dyDescent="0.25">
      <c r="A58" s="61">
        <v>56</v>
      </c>
      <c r="B58" s="222">
        <f>Roster!B59</f>
        <v>56</v>
      </c>
      <c r="C58" s="221">
        <f>Roster!C59</f>
        <v>0</v>
      </c>
      <c r="D58" s="221">
        <f>Roster!D59</f>
        <v>0</v>
      </c>
      <c r="E58" s="45">
        <f>Roster!E59</f>
        <v>0</v>
      </c>
      <c r="G58" s="220"/>
      <c r="I58" s="220"/>
      <c r="K58" s="220"/>
      <c r="M58" s="220"/>
    </row>
    <row r="59" spans="1:13" x14ac:dyDescent="0.25">
      <c r="A59" s="61">
        <v>57</v>
      </c>
      <c r="B59" s="222">
        <f>Roster!B60</f>
        <v>57</v>
      </c>
      <c r="C59" s="221">
        <f>Roster!C60</f>
        <v>0</v>
      </c>
      <c r="D59" s="221">
        <f>Roster!D60</f>
        <v>0</v>
      </c>
      <c r="E59" s="45">
        <f>Roster!E60</f>
        <v>0</v>
      </c>
      <c r="G59" s="220"/>
      <c r="I59" s="220"/>
      <c r="K59" s="220"/>
      <c r="M59" s="220"/>
    </row>
    <row r="60" spans="1:13" x14ac:dyDescent="0.25">
      <c r="A60" s="61">
        <v>58</v>
      </c>
      <c r="B60" s="222">
        <f>Roster!B61</f>
        <v>58</v>
      </c>
      <c r="C60" s="221">
        <f>Roster!C61</f>
        <v>0</v>
      </c>
      <c r="D60" s="221">
        <f>Roster!D61</f>
        <v>0</v>
      </c>
      <c r="E60" s="45">
        <f>Roster!E61</f>
        <v>0</v>
      </c>
      <c r="G60" s="220"/>
      <c r="I60" s="220"/>
      <c r="K60" s="220"/>
      <c r="M60" s="220"/>
    </row>
    <row r="61" spans="1:13" x14ac:dyDescent="0.25">
      <c r="A61" s="61">
        <v>59</v>
      </c>
      <c r="B61" s="222">
        <f>Roster!B62</f>
        <v>59</v>
      </c>
      <c r="C61" s="221">
        <f>Roster!C62</f>
        <v>0</v>
      </c>
      <c r="D61" s="221">
        <f>Roster!D62</f>
        <v>0</v>
      </c>
      <c r="E61" s="45">
        <f>Roster!E62</f>
        <v>0</v>
      </c>
      <c r="G61" s="220"/>
      <c r="I61" s="220"/>
      <c r="K61" s="220"/>
      <c r="M61" s="220"/>
    </row>
    <row r="62" spans="1:13" x14ac:dyDescent="0.25">
      <c r="A62" s="61">
        <v>60</v>
      </c>
      <c r="B62" s="222">
        <f>Roster!B63</f>
        <v>60</v>
      </c>
      <c r="C62" s="221">
        <f>Roster!C63</f>
        <v>0</v>
      </c>
      <c r="D62" s="221">
        <f>Roster!D63</f>
        <v>0</v>
      </c>
      <c r="E62" s="45">
        <f>Roster!E63</f>
        <v>0</v>
      </c>
      <c r="G62" s="220"/>
      <c r="I62" s="220"/>
      <c r="K62" s="220"/>
      <c r="M62" s="220"/>
    </row>
    <row r="63" spans="1:13" x14ac:dyDescent="0.25">
      <c r="A63" s="61">
        <v>61</v>
      </c>
      <c r="B63" s="222">
        <f>Roster!B64</f>
        <v>61</v>
      </c>
      <c r="C63" s="221">
        <f>Roster!C64</f>
        <v>0</v>
      </c>
      <c r="D63" s="221">
        <f>Roster!D64</f>
        <v>0</v>
      </c>
      <c r="E63" s="45">
        <f>Roster!E64</f>
        <v>0</v>
      </c>
      <c r="G63" s="220"/>
      <c r="I63" s="220"/>
      <c r="K63" s="220"/>
      <c r="M63" s="220"/>
    </row>
    <row r="64" spans="1:13" x14ac:dyDescent="0.25">
      <c r="A64" s="61">
        <v>62</v>
      </c>
      <c r="B64" s="222">
        <f>Roster!B65</f>
        <v>62</v>
      </c>
      <c r="C64" s="221">
        <f>Roster!C65</f>
        <v>0</v>
      </c>
      <c r="D64" s="221">
        <f>Roster!D65</f>
        <v>0</v>
      </c>
      <c r="E64" s="45">
        <f>Roster!E65</f>
        <v>0</v>
      </c>
      <c r="G64" s="220"/>
      <c r="I64" s="220"/>
      <c r="K64" s="220"/>
      <c r="M64" s="220"/>
    </row>
    <row r="65" spans="1:13" x14ac:dyDescent="0.25">
      <c r="A65" s="61">
        <v>63</v>
      </c>
      <c r="B65" s="222">
        <f>Roster!B66</f>
        <v>63</v>
      </c>
      <c r="C65" s="221">
        <f>Roster!C66</f>
        <v>0</v>
      </c>
      <c r="D65" s="221">
        <f>Roster!D66</f>
        <v>0</v>
      </c>
      <c r="E65" s="45">
        <f>Roster!E66</f>
        <v>0</v>
      </c>
      <c r="G65" s="220"/>
      <c r="I65" s="220"/>
      <c r="K65" s="220"/>
      <c r="M65" s="220"/>
    </row>
    <row r="66" spans="1:13" x14ac:dyDescent="0.25">
      <c r="A66" s="61">
        <v>64</v>
      </c>
      <c r="B66" s="222">
        <f>Roster!B67</f>
        <v>64</v>
      </c>
      <c r="C66" s="221">
        <f>Roster!C67</f>
        <v>0</v>
      </c>
      <c r="D66" s="221">
        <f>Roster!D67</f>
        <v>0</v>
      </c>
      <c r="E66" s="45">
        <f>Roster!E67</f>
        <v>0</v>
      </c>
      <c r="G66" s="220"/>
      <c r="I66" s="220"/>
      <c r="K66" s="220"/>
      <c r="M66" s="220"/>
    </row>
    <row r="67" spans="1:13" x14ac:dyDescent="0.25">
      <c r="A67" s="61">
        <v>65</v>
      </c>
      <c r="B67" s="222">
        <f>Roster!B68</f>
        <v>65</v>
      </c>
      <c r="C67" s="221">
        <f>Roster!C68</f>
        <v>0</v>
      </c>
      <c r="D67" s="221">
        <f>Roster!D68</f>
        <v>0</v>
      </c>
      <c r="E67" s="45">
        <f>Roster!E68</f>
        <v>0</v>
      </c>
      <c r="G67" s="220"/>
      <c r="I67" s="220"/>
      <c r="K67" s="220"/>
      <c r="M67" s="220"/>
    </row>
    <row r="68" spans="1:13" x14ac:dyDescent="0.25">
      <c r="A68" s="61">
        <v>66</v>
      </c>
      <c r="B68" s="222">
        <f>Roster!B69</f>
        <v>66</v>
      </c>
      <c r="C68" s="221">
        <f>Roster!C69</f>
        <v>0</v>
      </c>
      <c r="D68" s="221">
        <f>Roster!D69</f>
        <v>0</v>
      </c>
      <c r="E68" s="45">
        <f>Roster!E69</f>
        <v>0</v>
      </c>
      <c r="G68" s="220"/>
      <c r="I68" s="220"/>
      <c r="K68" s="220"/>
      <c r="M68" s="220"/>
    </row>
    <row r="69" spans="1:13" x14ac:dyDescent="0.25">
      <c r="A69" s="61">
        <v>67</v>
      </c>
      <c r="B69" s="222">
        <f>Roster!B70</f>
        <v>67</v>
      </c>
      <c r="C69" s="221">
        <f>Roster!C70</f>
        <v>0</v>
      </c>
      <c r="D69" s="221">
        <f>Roster!D70</f>
        <v>0</v>
      </c>
      <c r="E69" s="45">
        <f>Roster!E70</f>
        <v>0</v>
      </c>
      <c r="G69" s="220"/>
      <c r="I69" s="220"/>
      <c r="K69" s="220"/>
      <c r="M69" s="220"/>
    </row>
    <row r="70" spans="1:13" x14ac:dyDescent="0.25">
      <c r="A70" s="61">
        <v>68</v>
      </c>
      <c r="B70" s="222">
        <f>Roster!B71</f>
        <v>68</v>
      </c>
      <c r="C70" s="221">
        <f>Roster!C71</f>
        <v>0</v>
      </c>
      <c r="D70" s="221">
        <f>Roster!D71</f>
        <v>0</v>
      </c>
      <c r="E70" s="45">
        <f>Roster!E71</f>
        <v>0</v>
      </c>
      <c r="G70" s="220"/>
      <c r="I70" s="220"/>
      <c r="K70" s="220"/>
      <c r="M70" s="220"/>
    </row>
    <row r="71" spans="1:13" x14ac:dyDescent="0.25">
      <c r="A71" s="61">
        <v>69</v>
      </c>
      <c r="B71" s="222">
        <f>Roster!B72</f>
        <v>69</v>
      </c>
      <c r="C71" s="221">
        <f>Roster!C72</f>
        <v>0</v>
      </c>
      <c r="D71" s="221">
        <f>Roster!D72</f>
        <v>0</v>
      </c>
      <c r="E71" s="45">
        <f>Roster!E72</f>
        <v>0</v>
      </c>
      <c r="G71" s="220"/>
      <c r="I71" s="220"/>
      <c r="K71" s="220"/>
      <c r="M71" s="220"/>
    </row>
    <row r="72" spans="1:13" x14ac:dyDescent="0.25">
      <c r="A72" s="61">
        <v>70</v>
      </c>
      <c r="B72" s="222">
        <f>Roster!B73</f>
        <v>70</v>
      </c>
      <c r="C72" s="221">
        <f>Roster!C73</f>
        <v>0</v>
      </c>
      <c r="D72" s="221">
        <f>Roster!D73</f>
        <v>0</v>
      </c>
      <c r="E72" s="45">
        <f>Roster!E73</f>
        <v>0</v>
      </c>
      <c r="G72" s="220"/>
      <c r="I72" s="220"/>
      <c r="K72" s="220"/>
      <c r="M72" s="220"/>
    </row>
    <row r="73" spans="1:13" x14ac:dyDescent="0.25">
      <c r="A73" s="61">
        <v>71</v>
      </c>
      <c r="B73" s="222">
        <f>Roster!B74</f>
        <v>71</v>
      </c>
      <c r="C73" s="221">
        <f>Roster!C74</f>
        <v>0</v>
      </c>
      <c r="D73" s="221">
        <f>Roster!D74</f>
        <v>0</v>
      </c>
      <c r="E73" s="45">
        <f>Roster!E74</f>
        <v>0</v>
      </c>
      <c r="G73" s="220"/>
      <c r="I73" s="220"/>
      <c r="K73" s="220"/>
      <c r="M73" s="220"/>
    </row>
    <row r="74" spans="1:13" x14ac:dyDescent="0.25">
      <c r="A74" s="61">
        <v>72</v>
      </c>
      <c r="B74" s="222">
        <f>Roster!B75</f>
        <v>72</v>
      </c>
      <c r="C74" s="221">
        <f>Roster!C75</f>
        <v>0</v>
      </c>
      <c r="D74" s="221">
        <f>Roster!D75</f>
        <v>0</v>
      </c>
      <c r="E74" s="45">
        <f>Roster!E75</f>
        <v>0</v>
      </c>
      <c r="G74" s="220"/>
      <c r="I74" s="220"/>
      <c r="K74" s="220"/>
      <c r="M74" s="220"/>
    </row>
    <row r="75" spans="1:13" x14ac:dyDescent="0.25">
      <c r="A75" s="61">
        <v>73</v>
      </c>
      <c r="B75" s="222">
        <f>Roster!B76</f>
        <v>73</v>
      </c>
      <c r="C75" s="221">
        <f>Roster!C76</f>
        <v>0</v>
      </c>
      <c r="D75" s="221">
        <f>Roster!D76</f>
        <v>0</v>
      </c>
      <c r="E75" s="45">
        <f>Roster!E76</f>
        <v>0</v>
      </c>
      <c r="G75" s="220"/>
      <c r="I75" s="220"/>
      <c r="K75" s="220"/>
      <c r="M75" s="220"/>
    </row>
    <row r="76" spans="1:13" x14ac:dyDescent="0.25">
      <c r="A76" s="61">
        <v>74</v>
      </c>
      <c r="B76" s="222">
        <f>Roster!B77</f>
        <v>74</v>
      </c>
      <c r="C76" s="221">
        <f>Roster!C77</f>
        <v>0</v>
      </c>
      <c r="D76" s="221">
        <f>Roster!D77</f>
        <v>0</v>
      </c>
      <c r="E76" s="45">
        <f>Roster!E77</f>
        <v>0</v>
      </c>
      <c r="G76" s="220"/>
      <c r="I76" s="220"/>
      <c r="K76" s="220"/>
      <c r="M76" s="220"/>
    </row>
    <row r="77" spans="1:13" x14ac:dyDescent="0.25">
      <c r="A77" s="61">
        <v>75</v>
      </c>
      <c r="B77" s="222">
        <f>Roster!B78</f>
        <v>75</v>
      </c>
      <c r="C77" s="221">
        <f>Roster!C78</f>
        <v>0</v>
      </c>
      <c r="D77" s="221">
        <f>Roster!D78</f>
        <v>0</v>
      </c>
      <c r="E77" s="45">
        <f>Roster!E78</f>
        <v>0</v>
      </c>
      <c r="G77" s="220"/>
      <c r="I77" s="220"/>
      <c r="K77" s="220"/>
      <c r="M77" s="220"/>
    </row>
    <row r="78" spans="1:13" x14ac:dyDescent="0.25">
      <c r="A78" s="61">
        <v>76</v>
      </c>
      <c r="B78" s="222">
        <f>Roster!B79</f>
        <v>76</v>
      </c>
      <c r="C78" s="221">
        <f>Roster!C79</f>
        <v>0</v>
      </c>
      <c r="D78" s="221">
        <f>Roster!D79</f>
        <v>0</v>
      </c>
      <c r="E78" s="45">
        <f>Roster!E79</f>
        <v>0</v>
      </c>
      <c r="G78" s="220"/>
      <c r="I78" s="220"/>
      <c r="K78" s="220"/>
      <c r="M78" s="220"/>
    </row>
    <row r="79" spans="1:13" x14ac:dyDescent="0.25">
      <c r="A79" s="61">
        <v>77</v>
      </c>
      <c r="B79" s="222">
        <f>Roster!B80</f>
        <v>77</v>
      </c>
      <c r="C79" s="221">
        <f>Roster!C80</f>
        <v>0</v>
      </c>
      <c r="D79" s="221">
        <f>Roster!D80</f>
        <v>0</v>
      </c>
      <c r="E79" s="45">
        <f>Roster!E80</f>
        <v>0</v>
      </c>
      <c r="G79" s="220"/>
      <c r="I79" s="220"/>
      <c r="K79" s="220"/>
      <c r="M79" s="220"/>
    </row>
    <row r="80" spans="1:13" x14ac:dyDescent="0.25">
      <c r="A80" s="61">
        <v>78</v>
      </c>
      <c r="B80" s="222">
        <f>Roster!B81</f>
        <v>78</v>
      </c>
      <c r="C80" s="221">
        <f>Roster!C81</f>
        <v>0</v>
      </c>
      <c r="D80" s="221">
        <f>Roster!D81</f>
        <v>0</v>
      </c>
      <c r="E80" s="45">
        <f>Roster!E81</f>
        <v>0</v>
      </c>
      <c r="G80" s="220"/>
      <c r="I80" s="220"/>
      <c r="K80" s="220"/>
      <c r="M80" s="220"/>
    </row>
    <row r="81" spans="1:13" x14ac:dyDescent="0.25">
      <c r="A81" s="61">
        <v>79</v>
      </c>
      <c r="B81" s="222">
        <f>Roster!B82</f>
        <v>79</v>
      </c>
      <c r="C81" s="221">
        <f>Roster!C82</f>
        <v>0</v>
      </c>
      <c r="D81" s="221">
        <f>Roster!D82</f>
        <v>0</v>
      </c>
      <c r="E81" s="45">
        <f>Roster!E82</f>
        <v>0</v>
      </c>
      <c r="G81" s="220"/>
      <c r="I81" s="220"/>
      <c r="K81" s="220"/>
      <c r="M81" s="220"/>
    </row>
    <row r="82" spans="1:13" x14ac:dyDescent="0.25">
      <c r="A82" s="61">
        <v>80</v>
      </c>
      <c r="B82" s="222">
        <f>Roster!B83</f>
        <v>80</v>
      </c>
      <c r="C82" s="221">
        <f>Roster!C83</f>
        <v>0</v>
      </c>
      <c r="D82" s="221">
        <f>Roster!D83</f>
        <v>0</v>
      </c>
      <c r="E82" s="45">
        <f>Roster!E83</f>
        <v>0</v>
      </c>
      <c r="G82" s="220"/>
      <c r="I82" s="220"/>
      <c r="K82" s="220"/>
      <c r="M82" s="220"/>
    </row>
    <row r="83" spans="1:13" x14ac:dyDescent="0.25">
      <c r="A83" s="61">
        <v>81</v>
      </c>
      <c r="B83" s="222">
        <f>Roster!B84</f>
        <v>81</v>
      </c>
      <c r="C83" s="221">
        <f>Roster!C84</f>
        <v>0</v>
      </c>
      <c r="D83" s="221">
        <f>Roster!D84</f>
        <v>0</v>
      </c>
      <c r="E83" s="45">
        <f>Roster!E84</f>
        <v>0</v>
      </c>
      <c r="G83" s="220"/>
      <c r="I83" s="220"/>
      <c r="K83" s="220"/>
      <c r="M83" s="220"/>
    </row>
    <row r="84" spans="1:13" x14ac:dyDescent="0.25">
      <c r="A84" s="61">
        <v>82</v>
      </c>
      <c r="B84" s="222">
        <f>Roster!B85</f>
        <v>82</v>
      </c>
      <c r="C84" s="221">
        <f>Roster!C85</f>
        <v>0</v>
      </c>
      <c r="D84" s="221">
        <f>Roster!D85</f>
        <v>0</v>
      </c>
      <c r="E84" s="45">
        <f>Roster!E85</f>
        <v>0</v>
      </c>
      <c r="G84" s="220"/>
      <c r="I84" s="220"/>
      <c r="K84" s="220"/>
      <c r="M84" s="220"/>
    </row>
    <row r="85" spans="1:13" x14ac:dyDescent="0.25">
      <c r="A85" s="61">
        <v>83</v>
      </c>
      <c r="B85" s="222">
        <f>Roster!B86</f>
        <v>83</v>
      </c>
      <c r="C85" s="221">
        <f>Roster!C86</f>
        <v>0</v>
      </c>
      <c r="D85" s="221">
        <f>Roster!D86</f>
        <v>0</v>
      </c>
      <c r="E85" s="45">
        <f>Roster!E86</f>
        <v>0</v>
      </c>
      <c r="G85" s="220"/>
      <c r="I85" s="220"/>
      <c r="K85" s="220"/>
      <c r="M85" s="220"/>
    </row>
    <row r="86" spans="1:13" x14ac:dyDescent="0.25">
      <c r="A86" s="61">
        <v>84</v>
      </c>
      <c r="B86" s="222">
        <f>Roster!B87</f>
        <v>84</v>
      </c>
      <c r="C86" s="221">
        <f>Roster!C87</f>
        <v>0</v>
      </c>
      <c r="D86" s="221">
        <f>Roster!D87</f>
        <v>0</v>
      </c>
      <c r="E86" s="45">
        <f>Roster!E87</f>
        <v>0</v>
      </c>
      <c r="G86" s="220"/>
      <c r="I86" s="220"/>
      <c r="K86" s="220"/>
      <c r="M86" s="220"/>
    </row>
    <row r="87" spans="1:13" x14ac:dyDescent="0.25">
      <c r="A87" s="61">
        <v>85</v>
      </c>
      <c r="B87" s="222">
        <f>Roster!B88</f>
        <v>85</v>
      </c>
      <c r="C87" s="221">
        <f>Roster!C88</f>
        <v>0</v>
      </c>
      <c r="D87" s="221">
        <f>Roster!D88</f>
        <v>0</v>
      </c>
      <c r="E87" s="45">
        <f>Roster!E88</f>
        <v>0</v>
      </c>
      <c r="G87" s="220"/>
      <c r="I87" s="220"/>
      <c r="K87" s="220"/>
      <c r="M87" s="220"/>
    </row>
    <row r="88" spans="1:13" x14ac:dyDescent="0.25">
      <c r="A88" s="61">
        <v>86</v>
      </c>
      <c r="B88" s="222">
        <f>Roster!B89</f>
        <v>86</v>
      </c>
      <c r="C88" s="221">
        <f>Roster!C89</f>
        <v>0</v>
      </c>
      <c r="D88" s="221">
        <f>Roster!D89</f>
        <v>0</v>
      </c>
      <c r="E88" s="45">
        <f>Roster!E89</f>
        <v>0</v>
      </c>
      <c r="G88" s="220"/>
      <c r="I88" s="220"/>
      <c r="K88" s="220"/>
      <c r="M88" s="220"/>
    </row>
    <row r="89" spans="1:13" x14ac:dyDescent="0.25">
      <c r="A89" s="61">
        <v>87</v>
      </c>
      <c r="B89" s="222">
        <f>Roster!B90</f>
        <v>87</v>
      </c>
      <c r="C89" s="221">
        <f>Roster!C90</f>
        <v>0</v>
      </c>
      <c r="D89" s="221">
        <f>Roster!D90</f>
        <v>0</v>
      </c>
      <c r="E89" s="45">
        <f>Roster!E90</f>
        <v>0</v>
      </c>
      <c r="G89" s="220"/>
      <c r="I89" s="220"/>
      <c r="K89" s="220"/>
      <c r="M89" s="220"/>
    </row>
    <row r="90" spans="1:13" x14ac:dyDescent="0.25">
      <c r="A90" s="61">
        <v>88</v>
      </c>
      <c r="B90" s="222">
        <f>Roster!B91</f>
        <v>88</v>
      </c>
      <c r="C90" s="221">
        <f>Roster!C91</f>
        <v>0</v>
      </c>
      <c r="D90" s="221">
        <f>Roster!D91</f>
        <v>0</v>
      </c>
      <c r="E90" s="45">
        <f>Roster!E91</f>
        <v>0</v>
      </c>
      <c r="G90" s="220"/>
      <c r="I90" s="220"/>
      <c r="K90" s="220"/>
      <c r="M90" s="220"/>
    </row>
    <row r="91" spans="1:13" x14ac:dyDescent="0.25">
      <c r="A91" s="61">
        <v>89</v>
      </c>
      <c r="B91" s="222">
        <f>Roster!B92</f>
        <v>89</v>
      </c>
      <c r="C91" s="221">
        <f>Roster!C92</f>
        <v>0</v>
      </c>
      <c r="D91" s="221">
        <f>Roster!D92</f>
        <v>0</v>
      </c>
      <c r="E91" s="45">
        <f>Roster!E92</f>
        <v>0</v>
      </c>
      <c r="G91" s="220"/>
      <c r="I91" s="220"/>
      <c r="K91" s="220"/>
      <c r="M91" s="220"/>
    </row>
    <row r="92" spans="1:13" x14ac:dyDescent="0.25">
      <c r="A92" s="61">
        <v>90</v>
      </c>
      <c r="B92" s="222">
        <f>Roster!B93</f>
        <v>0</v>
      </c>
      <c r="C92" s="221" t="str">
        <f>C$104</f>
        <v/>
      </c>
      <c r="D92" s="221" t="str">
        <f>D$104</f>
        <v/>
      </c>
      <c r="E92" s="45" t="str">
        <f>E$104</f>
        <v/>
      </c>
      <c r="G92" s="221">
        <f>G$104</f>
        <v>0</v>
      </c>
      <c r="I92" s="221">
        <f>I$104</f>
        <v>0</v>
      </c>
      <c r="K92" s="221">
        <f>K$104</f>
        <v>0</v>
      </c>
      <c r="M92" s="221">
        <f>M$104</f>
        <v>0</v>
      </c>
    </row>
    <row r="93" spans="1:13" x14ac:dyDescent="0.25">
      <c r="A93" s="61">
        <v>91</v>
      </c>
      <c r="B93" s="222">
        <f>Roster!B94</f>
        <v>91</v>
      </c>
      <c r="C93" s="221">
        <f>Roster!C94</f>
        <v>0</v>
      </c>
      <c r="D93" s="221">
        <f>Roster!D94</f>
        <v>0</v>
      </c>
      <c r="E93" s="45">
        <f>Roster!E94</f>
        <v>0</v>
      </c>
      <c r="G93" s="220"/>
      <c r="I93" s="220"/>
      <c r="K93" s="220"/>
      <c r="M93" s="220"/>
    </row>
    <row r="94" spans="1:13" x14ac:dyDescent="0.25">
      <c r="A94" s="61">
        <v>92</v>
      </c>
      <c r="B94" s="222">
        <f>Roster!B95</f>
        <v>92</v>
      </c>
      <c r="C94" s="221">
        <f>Roster!C95</f>
        <v>0</v>
      </c>
      <c r="D94" s="221">
        <f>Roster!D95</f>
        <v>0</v>
      </c>
      <c r="E94" s="45">
        <f>Roster!E95</f>
        <v>0</v>
      </c>
      <c r="G94" s="220"/>
      <c r="I94" s="220"/>
      <c r="K94" s="220"/>
      <c r="M94" s="220"/>
    </row>
    <row r="95" spans="1:13" x14ac:dyDescent="0.25">
      <c r="A95" s="61">
        <v>93</v>
      </c>
      <c r="B95" s="222">
        <f>Roster!B96</f>
        <v>93</v>
      </c>
      <c r="C95" s="221">
        <f>Roster!C96</f>
        <v>0</v>
      </c>
      <c r="D95" s="221">
        <f>Roster!D96</f>
        <v>0</v>
      </c>
      <c r="E95" s="45">
        <f>Roster!E96</f>
        <v>0</v>
      </c>
      <c r="G95" s="220"/>
      <c r="I95" s="220"/>
      <c r="K95" s="220"/>
      <c r="M95" s="220"/>
    </row>
    <row r="96" spans="1:13" x14ac:dyDescent="0.25">
      <c r="A96" s="61">
        <v>94</v>
      </c>
      <c r="B96" s="222">
        <f>Roster!B97</f>
        <v>94</v>
      </c>
      <c r="C96" s="221">
        <f>Roster!C97</f>
        <v>0</v>
      </c>
      <c r="D96" s="221">
        <f>Roster!D97</f>
        <v>0</v>
      </c>
      <c r="E96" s="45">
        <f>Roster!E97</f>
        <v>0</v>
      </c>
      <c r="G96" s="220"/>
      <c r="I96" s="220"/>
      <c r="K96" s="220"/>
      <c r="M96" s="220"/>
    </row>
    <row r="97" spans="1:13" x14ac:dyDescent="0.25">
      <c r="A97" s="61">
        <v>95</v>
      </c>
      <c r="B97" s="222">
        <f>Roster!B98</f>
        <v>95</v>
      </c>
      <c r="C97" s="221">
        <f>Roster!C98</f>
        <v>0</v>
      </c>
      <c r="D97" s="221">
        <f>Roster!D98</f>
        <v>0</v>
      </c>
      <c r="E97" s="45">
        <f>Roster!E98</f>
        <v>0</v>
      </c>
      <c r="G97" s="220"/>
      <c r="I97" s="220"/>
      <c r="K97" s="220"/>
      <c r="M97" s="220"/>
    </row>
    <row r="98" spans="1:13" x14ac:dyDescent="0.25">
      <c r="A98" s="61">
        <v>96</v>
      </c>
      <c r="B98" s="222">
        <f>Roster!B99</f>
        <v>96</v>
      </c>
      <c r="C98" s="221">
        <f>Roster!C99</f>
        <v>0</v>
      </c>
      <c r="D98" s="221">
        <f>Roster!D99</f>
        <v>0</v>
      </c>
      <c r="E98" s="45">
        <f>Roster!E99</f>
        <v>0</v>
      </c>
      <c r="G98" s="220"/>
      <c r="I98" s="220"/>
      <c r="K98" s="220"/>
      <c r="M98" s="220"/>
    </row>
    <row r="99" spans="1:13" x14ac:dyDescent="0.25">
      <c r="A99" s="61">
        <v>97</v>
      </c>
      <c r="B99" s="222">
        <f>Roster!B100</f>
        <v>97</v>
      </c>
      <c r="C99" s="221">
        <f>Roster!C100</f>
        <v>0</v>
      </c>
      <c r="D99" s="221">
        <f>Roster!D100</f>
        <v>0</v>
      </c>
      <c r="E99" s="45">
        <f>Roster!E100</f>
        <v>0</v>
      </c>
      <c r="G99" s="220"/>
      <c r="I99" s="220"/>
      <c r="K99" s="220"/>
      <c r="M99" s="220"/>
    </row>
    <row r="100" spans="1:13" x14ac:dyDescent="0.25">
      <c r="A100" s="61">
        <v>98</v>
      </c>
      <c r="B100" s="222">
        <f>Roster!B101</f>
        <v>98</v>
      </c>
      <c r="C100" s="221">
        <f>Roster!C101</f>
        <v>0</v>
      </c>
      <c r="D100" s="221">
        <f>Roster!D101</f>
        <v>0</v>
      </c>
      <c r="E100" s="45">
        <f>Roster!E101</f>
        <v>0</v>
      </c>
      <c r="G100" s="220"/>
      <c r="I100" s="220"/>
      <c r="K100" s="220"/>
      <c r="M100" s="220"/>
    </row>
    <row r="101" spans="1:13" x14ac:dyDescent="0.25">
      <c r="A101" s="61">
        <v>99</v>
      </c>
      <c r="B101" s="222" t="str">
        <f>Roster!B102</f>
        <v>00</v>
      </c>
      <c r="C101" s="221" t="str">
        <f>C$104</f>
        <v/>
      </c>
      <c r="D101" s="221" t="str">
        <f>D$104</f>
        <v/>
      </c>
      <c r="E101" s="45" t="str">
        <f>E$104</f>
        <v/>
      </c>
      <c r="G101" s="221">
        <f>G$104</f>
        <v>0</v>
      </c>
      <c r="I101" s="221">
        <f>I$104</f>
        <v>0</v>
      </c>
      <c r="K101" s="221">
        <f>K$104</f>
        <v>0</v>
      </c>
      <c r="M101" s="221">
        <f>M$104</f>
        <v>0</v>
      </c>
    </row>
    <row r="102" spans="1:13" ht="15.75" thickBot="1" x14ac:dyDescent="0.3"/>
    <row r="103" spans="1:13" ht="15.75" thickBot="1" x14ac:dyDescent="0.3">
      <c r="A103" s="242" t="s">
        <v>863</v>
      </c>
      <c r="B103" s="243"/>
      <c r="C103" s="243"/>
      <c r="D103" s="243"/>
      <c r="E103" s="243"/>
      <c r="F103" s="243"/>
      <c r="G103" s="243"/>
      <c r="H103" s="243"/>
      <c r="I103" s="244"/>
      <c r="J103" s="256"/>
      <c r="K103" s="243"/>
      <c r="L103" s="243"/>
      <c r="M103" s="244"/>
    </row>
    <row r="104" spans="1:13" x14ac:dyDescent="0.25">
      <c r="A104" s="257"/>
      <c r="B104" s="258">
        <f>Roster!B105</f>
        <v>0</v>
      </c>
      <c r="C104" s="259" t="str">
        <f>Roster!C102</f>
        <v/>
      </c>
      <c r="D104" s="259" t="str">
        <f>Roster!D102</f>
        <v/>
      </c>
      <c r="E104" s="97" t="str">
        <f>Roster!E102</f>
        <v/>
      </c>
      <c r="G104" s="260"/>
      <c r="I104" s="260"/>
      <c r="K104" s="260"/>
      <c r="M104" s="260"/>
    </row>
    <row r="105" spans="1:13" x14ac:dyDescent="0.25">
      <c r="H105" s="208"/>
    </row>
    <row r="106" spans="1:13" x14ac:dyDescent="0.25">
      <c r="H106" s="208"/>
    </row>
  </sheetData>
  <customSheetViews>
    <customSheetView guid="{42F19D52-E208-414F-9E2E-506DF902926F}">
      <selection activeCell="B2" sqref="B2"/>
      <pageMargins left="0.7" right="0.7" top="0.75" bottom="0.75" header="0.3" footer="0.3"/>
    </customSheetView>
    <customSheetView guid="{BE266B8E-38B0-4631-9C30-67CA48A8BD7F}">
      <selection activeCell="M3" sqref="M3"/>
      <pageMargins left="0.7" right="0.7" top="0.75" bottom="0.75" header="0.3" footer="0.3"/>
    </customSheetView>
    <customSheetView guid="{BD1DF852-269B-4C2F-AF89-1FA576EA4603}">
      <selection activeCell="B2" sqref="B2"/>
      <pageMargins left="0.7" right="0.7" top="0.75" bottom="0.75" header="0.3" footer="0.3"/>
    </customSheetView>
    <customSheetView guid="{C8D72D7B-AEA0-45E3-A14B-3F039B04C62C}">
      <pageMargins left="0.7" right="0.7" top="0.75" bottom="0.75" header="0.3" footer="0.3"/>
    </customSheetView>
    <customSheetView guid="{6A3B2C41-2DBC-4B17-AB58-12C85E3A6B8A}">
      <pageMargins left="0.7" right="0.7" top="0.75" bottom="0.75" header="0.3" footer="0.3"/>
    </customSheetView>
    <customSheetView guid="{46B088B4-7F51-4D35-9F00-2268626FA819}" topLeftCell="A2">
      <selection activeCell="I2" sqref="I2:I101"/>
      <pageMargins left="0.7" right="0.7" top="0.75" bottom="0.75" header="0.3" footer="0.3"/>
    </customSheetView>
    <customSheetView guid="{BC153CFA-E879-4863-BF97-64855FD940E5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2"/>
  <sheetViews>
    <sheetView workbookViewId="0">
      <selection activeCell="A2" sqref="A2:A373"/>
    </sheetView>
  </sheetViews>
  <sheetFormatPr defaultRowHeight="15" x14ac:dyDescent="0.25"/>
  <cols>
    <col min="1" max="1" width="32.7109375" customWidth="1"/>
    <col min="2" max="2" width="2.7109375" customWidth="1"/>
    <col min="3" max="3" width="32.7109375" customWidth="1"/>
    <col min="4" max="4" width="2.7109375" customWidth="1"/>
    <col min="5" max="5" width="60.28515625" bestFit="1" customWidth="1"/>
    <col min="6" max="6" width="30.7109375" customWidth="1"/>
    <col min="7" max="7" width="25.7109375" customWidth="1"/>
  </cols>
  <sheetData>
    <row r="1" spans="1:7" x14ac:dyDescent="0.25">
      <c r="A1" s="19" t="s">
        <v>99</v>
      </c>
      <c r="C1" s="19" t="s">
        <v>100</v>
      </c>
      <c r="E1" s="19" t="s">
        <v>101</v>
      </c>
      <c r="F1" s="19" t="s">
        <v>862</v>
      </c>
      <c r="G1" s="19" t="s">
        <v>1013</v>
      </c>
    </row>
    <row r="2" spans="1:7" x14ac:dyDescent="0.25">
      <c r="A2" t="s">
        <v>878</v>
      </c>
      <c r="C2" t="s">
        <v>715</v>
      </c>
      <c r="E2" t="s">
        <v>126</v>
      </c>
      <c r="G2" t="s">
        <v>1047</v>
      </c>
    </row>
    <row r="3" spans="1:7" x14ac:dyDescent="0.25">
      <c r="A3" t="s">
        <v>102</v>
      </c>
      <c r="C3" t="s">
        <v>703</v>
      </c>
      <c r="E3" t="s">
        <v>284</v>
      </c>
      <c r="F3" t="s">
        <v>553</v>
      </c>
      <c r="G3" t="s">
        <v>1014</v>
      </c>
    </row>
    <row r="4" spans="1:7" x14ac:dyDescent="0.25">
      <c r="A4" t="s">
        <v>104</v>
      </c>
      <c r="C4" t="s">
        <v>103</v>
      </c>
      <c r="E4" t="s">
        <v>286</v>
      </c>
      <c r="F4" t="s">
        <v>309</v>
      </c>
      <c r="G4" t="s">
        <v>1015</v>
      </c>
    </row>
    <row r="5" spans="1:7" x14ac:dyDescent="0.25">
      <c r="A5" t="s">
        <v>106</v>
      </c>
      <c r="C5" t="s">
        <v>704</v>
      </c>
      <c r="E5" t="s">
        <v>311</v>
      </c>
      <c r="F5" t="s">
        <v>325</v>
      </c>
      <c r="G5" t="s">
        <v>1016</v>
      </c>
    </row>
    <row r="6" spans="1:7" x14ac:dyDescent="0.25">
      <c r="A6" t="s">
        <v>14</v>
      </c>
      <c r="C6" t="s">
        <v>705</v>
      </c>
      <c r="E6" t="s">
        <v>458</v>
      </c>
      <c r="F6" t="s">
        <v>477</v>
      </c>
      <c r="G6" t="s">
        <v>1017</v>
      </c>
    </row>
    <row r="7" spans="1:7" x14ac:dyDescent="0.25">
      <c r="A7" t="s">
        <v>111</v>
      </c>
      <c r="C7" t="s">
        <v>107</v>
      </c>
      <c r="E7" t="s">
        <v>426</v>
      </c>
      <c r="F7" t="s">
        <v>428</v>
      </c>
      <c r="G7" t="s">
        <v>1018</v>
      </c>
    </row>
    <row r="8" spans="1:7" x14ac:dyDescent="0.25">
      <c r="A8" t="s">
        <v>113</v>
      </c>
      <c r="C8" t="s">
        <v>706</v>
      </c>
      <c r="E8" t="s">
        <v>434</v>
      </c>
      <c r="F8" t="s">
        <v>440</v>
      </c>
      <c r="G8" t="s">
        <v>1019</v>
      </c>
    </row>
    <row r="9" spans="1:7" x14ac:dyDescent="0.25">
      <c r="A9" t="s">
        <v>851</v>
      </c>
      <c r="C9" t="s">
        <v>109</v>
      </c>
      <c r="E9" t="s">
        <v>629</v>
      </c>
      <c r="F9" t="s">
        <v>633</v>
      </c>
      <c r="G9" t="s">
        <v>1020</v>
      </c>
    </row>
    <row r="10" spans="1:7" x14ac:dyDescent="0.25">
      <c r="A10" t="s">
        <v>115</v>
      </c>
      <c r="C10" t="s">
        <v>112</v>
      </c>
      <c r="E10" t="s">
        <v>625</v>
      </c>
      <c r="F10" t="s">
        <v>628</v>
      </c>
      <c r="G10" t="s">
        <v>1021</v>
      </c>
    </row>
    <row r="11" spans="1:7" x14ac:dyDescent="0.25">
      <c r="A11" t="s">
        <v>118</v>
      </c>
      <c r="C11" t="s">
        <v>114</v>
      </c>
      <c r="E11" t="s">
        <v>166</v>
      </c>
      <c r="F11" t="s">
        <v>164</v>
      </c>
      <c r="G11" t="s">
        <v>1022</v>
      </c>
    </row>
    <row r="12" spans="1:7" x14ac:dyDescent="0.25">
      <c r="A12" t="s">
        <v>121</v>
      </c>
      <c r="C12" t="s">
        <v>884</v>
      </c>
      <c r="E12" t="s">
        <v>173</v>
      </c>
      <c r="F12" t="s">
        <v>181</v>
      </c>
      <c r="G12" t="s">
        <v>1023</v>
      </c>
    </row>
    <row r="13" spans="1:7" x14ac:dyDescent="0.25">
      <c r="A13" t="s">
        <v>124</v>
      </c>
      <c r="C13" t="s">
        <v>707</v>
      </c>
      <c r="E13" t="s">
        <v>331</v>
      </c>
      <c r="F13" t="s">
        <v>391</v>
      </c>
      <c r="G13" t="s">
        <v>1024</v>
      </c>
    </row>
    <row r="14" spans="1:7" x14ac:dyDescent="0.25">
      <c r="A14" t="s">
        <v>127</v>
      </c>
      <c r="C14" t="s">
        <v>708</v>
      </c>
      <c r="E14" t="s">
        <v>914</v>
      </c>
      <c r="F14" t="s">
        <v>918</v>
      </c>
      <c r="G14" t="s">
        <v>1025</v>
      </c>
    </row>
    <row r="15" spans="1:7" x14ac:dyDescent="0.25">
      <c r="A15" t="s">
        <v>129</v>
      </c>
      <c r="C15" t="s">
        <v>709</v>
      </c>
      <c r="E15" t="s">
        <v>93</v>
      </c>
      <c r="F15" t="s">
        <v>137</v>
      </c>
      <c r="G15" t="s">
        <v>1026</v>
      </c>
    </row>
    <row r="16" spans="1:7" x14ac:dyDescent="0.25">
      <c r="A16" t="s">
        <v>132</v>
      </c>
      <c r="C16" t="s">
        <v>116</v>
      </c>
      <c r="G16" t="s">
        <v>1027</v>
      </c>
    </row>
    <row r="17" spans="1:7" x14ac:dyDescent="0.25">
      <c r="A17" t="s">
        <v>135</v>
      </c>
      <c r="C17" t="s">
        <v>885</v>
      </c>
      <c r="E17" t="s">
        <v>925</v>
      </c>
      <c r="G17" t="s">
        <v>1028</v>
      </c>
    </row>
    <row r="18" spans="1:7" x14ac:dyDescent="0.25">
      <c r="A18" t="s">
        <v>138</v>
      </c>
      <c r="C18" t="s">
        <v>119</v>
      </c>
      <c r="E18" t="s">
        <v>915</v>
      </c>
      <c r="G18" t="s">
        <v>1029</v>
      </c>
    </row>
    <row r="19" spans="1:7" x14ac:dyDescent="0.25">
      <c r="A19" t="s">
        <v>140</v>
      </c>
      <c r="C19" t="s">
        <v>886</v>
      </c>
      <c r="E19" t="s">
        <v>916</v>
      </c>
      <c r="G19" t="s">
        <v>1030</v>
      </c>
    </row>
    <row r="20" spans="1:7" x14ac:dyDescent="0.25">
      <c r="A20" t="s">
        <v>141</v>
      </c>
      <c r="C20" t="s">
        <v>710</v>
      </c>
      <c r="E20" t="s">
        <v>917</v>
      </c>
      <c r="G20" t="s">
        <v>1031</v>
      </c>
    </row>
    <row r="21" spans="1:7" x14ac:dyDescent="0.25">
      <c r="A21" t="s">
        <v>143</v>
      </c>
      <c r="C21" t="s">
        <v>122</v>
      </c>
      <c r="E21" t="s">
        <v>918</v>
      </c>
      <c r="G21" t="s">
        <v>1032</v>
      </c>
    </row>
    <row r="22" spans="1:7" x14ac:dyDescent="0.25">
      <c r="A22" t="s">
        <v>144</v>
      </c>
      <c r="C22" t="s">
        <v>887</v>
      </c>
      <c r="E22" t="s">
        <v>919</v>
      </c>
      <c r="G22" t="s">
        <v>1033</v>
      </c>
    </row>
    <row r="23" spans="1:7" x14ac:dyDescent="0.25">
      <c r="A23" t="s">
        <v>146</v>
      </c>
      <c r="C23" t="s">
        <v>712</v>
      </c>
      <c r="E23" t="s">
        <v>128</v>
      </c>
      <c r="G23" t="s">
        <v>1034</v>
      </c>
    </row>
    <row r="24" spans="1:7" x14ac:dyDescent="0.25">
      <c r="A24" t="s">
        <v>147</v>
      </c>
      <c r="C24" t="s">
        <v>711</v>
      </c>
      <c r="E24" t="s">
        <v>920</v>
      </c>
      <c r="G24" t="s">
        <v>1035</v>
      </c>
    </row>
    <row r="25" spans="1:7" x14ac:dyDescent="0.25">
      <c r="A25" t="s">
        <v>149</v>
      </c>
      <c r="C25" t="s">
        <v>125</v>
      </c>
      <c r="E25" t="s">
        <v>921</v>
      </c>
      <c r="G25" t="s">
        <v>1048</v>
      </c>
    </row>
    <row r="26" spans="1:7" x14ac:dyDescent="0.25">
      <c r="A26" t="s">
        <v>840</v>
      </c>
      <c r="C26" t="s">
        <v>130</v>
      </c>
      <c r="E26" t="s">
        <v>922</v>
      </c>
      <c r="G26" t="s">
        <v>1036</v>
      </c>
    </row>
    <row r="27" spans="1:7" x14ac:dyDescent="0.25">
      <c r="A27" t="s">
        <v>151</v>
      </c>
      <c r="C27" t="s">
        <v>888</v>
      </c>
      <c r="E27" t="s">
        <v>123</v>
      </c>
      <c r="G27" t="s">
        <v>1037</v>
      </c>
    </row>
    <row r="28" spans="1:7" x14ac:dyDescent="0.25">
      <c r="A28" t="s">
        <v>153</v>
      </c>
      <c r="C28" t="s">
        <v>133</v>
      </c>
      <c r="E28" t="s">
        <v>923</v>
      </c>
      <c r="G28" t="s">
        <v>1038</v>
      </c>
    </row>
    <row r="29" spans="1:7" x14ac:dyDescent="0.25">
      <c r="A29" t="s">
        <v>155</v>
      </c>
      <c r="C29" t="s">
        <v>713</v>
      </c>
      <c r="E29" t="s">
        <v>924</v>
      </c>
      <c r="G29" t="s">
        <v>1046</v>
      </c>
    </row>
    <row r="30" spans="1:7" x14ac:dyDescent="0.25">
      <c r="A30" t="s">
        <v>157</v>
      </c>
      <c r="C30" t="s">
        <v>136</v>
      </c>
      <c r="E30" t="s">
        <v>926</v>
      </c>
      <c r="G30" t="s">
        <v>1039</v>
      </c>
    </row>
    <row r="31" spans="1:7" x14ac:dyDescent="0.25">
      <c r="A31" t="s">
        <v>159</v>
      </c>
      <c r="C31" t="s">
        <v>889</v>
      </c>
      <c r="E31" t="s">
        <v>110</v>
      </c>
      <c r="G31" t="s">
        <v>1040</v>
      </c>
    </row>
    <row r="32" spans="1:7" x14ac:dyDescent="0.25">
      <c r="A32" t="s">
        <v>161</v>
      </c>
      <c r="C32" t="s">
        <v>139</v>
      </c>
      <c r="E32" t="s">
        <v>94</v>
      </c>
      <c r="G32" t="s">
        <v>1041</v>
      </c>
    </row>
    <row r="33" spans="1:5" x14ac:dyDescent="0.25">
      <c r="A33" t="s">
        <v>163</v>
      </c>
      <c r="C33" t="s">
        <v>890</v>
      </c>
      <c r="E33" t="s">
        <v>96</v>
      </c>
    </row>
    <row r="34" spans="1:5" x14ac:dyDescent="0.25">
      <c r="A34" t="s">
        <v>165</v>
      </c>
      <c r="C34" t="s">
        <v>142</v>
      </c>
      <c r="E34" t="s">
        <v>117</v>
      </c>
    </row>
    <row r="35" spans="1:5" x14ac:dyDescent="0.25">
      <c r="A35" t="s">
        <v>167</v>
      </c>
      <c r="C35" t="s">
        <v>891</v>
      </c>
      <c r="E35" t="s">
        <v>120</v>
      </c>
    </row>
    <row r="36" spans="1:5" x14ac:dyDescent="0.25">
      <c r="A36" t="s">
        <v>841</v>
      </c>
      <c r="C36" t="s">
        <v>714</v>
      </c>
      <c r="E36" t="s">
        <v>131</v>
      </c>
    </row>
    <row r="37" spans="1:5" x14ac:dyDescent="0.25">
      <c r="A37" t="s">
        <v>169</v>
      </c>
      <c r="C37" t="s">
        <v>716</v>
      </c>
      <c r="E37" t="s">
        <v>134</v>
      </c>
    </row>
    <row r="38" spans="1:5" x14ac:dyDescent="0.25">
      <c r="A38" t="s">
        <v>172</v>
      </c>
      <c r="C38" t="s">
        <v>145</v>
      </c>
      <c r="E38" t="s">
        <v>137</v>
      </c>
    </row>
    <row r="39" spans="1:5" x14ac:dyDescent="0.25">
      <c r="A39" t="s">
        <v>174</v>
      </c>
      <c r="C39" t="s">
        <v>892</v>
      </c>
      <c r="E39" t="s">
        <v>105</v>
      </c>
    </row>
    <row r="40" spans="1:5" x14ac:dyDescent="0.25">
      <c r="A40" t="s">
        <v>175</v>
      </c>
      <c r="C40" t="s">
        <v>717</v>
      </c>
      <c r="E40" t="s">
        <v>108</v>
      </c>
    </row>
    <row r="41" spans="1:5" x14ac:dyDescent="0.25">
      <c r="A41" t="s">
        <v>177</v>
      </c>
      <c r="C41" t="s">
        <v>718</v>
      </c>
      <c r="E41" t="s">
        <v>152</v>
      </c>
    </row>
    <row r="42" spans="1:5" x14ac:dyDescent="0.25">
      <c r="A42" t="s">
        <v>170</v>
      </c>
      <c r="C42" t="s">
        <v>148</v>
      </c>
      <c r="E42" t="s">
        <v>150</v>
      </c>
    </row>
    <row r="43" spans="1:5" x14ac:dyDescent="0.25">
      <c r="A43" t="s">
        <v>171</v>
      </c>
      <c r="C43" t="s">
        <v>719</v>
      </c>
      <c r="E43" t="s">
        <v>154</v>
      </c>
    </row>
    <row r="44" spans="1:5" x14ac:dyDescent="0.25">
      <c r="A44" t="s">
        <v>178</v>
      </c>
      <c r="C44" t="s">
        <v>720</v>
      </c>
      <c r="E44" t="s">
        <v>156</v>
      </c>
    </row>
    <row r="45" spans="1:5" x14ac:dyDescent="0.25">
      <c r="A45" t="s">
        <v>180</v>
      </c>
      <c r="E45" t="s">
        <v>158</v>
      </c>
    </row>
    <row r="46" spans="1:5" x14ac:dyDescent="0.25">
      <c r="A46" t="s">
        <v>182</v>
      </c>
      <c r="E46" t="s">
        <v>160</v>
      </c>
    </row>
    <row r="47" spans="1:5" x14ac:dyDescent="0.25">
      <c r="A47" t="s">
        <v>184</v>
      </c>
      <c r="E47" t="s">
        <v>162</v>
      </c>
    </row>
    <row r="48" spans="1:5" x14ac:dyDescent="0.25">
      <c r="A48" t="s">
        <v>186</v>
      </c>
      <c r="E48" t="s">
        <v>164</v>
      </c>
    </row>
    <row r="49" spans="1:7" x14ac:dyDescent="0.25">
      <c r="A49" t="s">
        <v>879</v>
      </c>
      <c r="E49" t="s">
        <v>168</v>
      </c>
    </row>
    <row r="50" spans="1:7" x14ac:dyDescent="0.25">
      <c r="A50" t="s">
        <v>187</v>
      </c>
      <c r="E50" t="s">
        <v>927</v>
      </c>
    </row>
    <row r="51" spans="1:7" x14ac:dyDescent="0.25">
      <c r="A51" t="s">
        <v>189</v>
      </c>
      <c r="C51" s="234"/>
      <c r="E51" t="s">
        <v>928</v>
      </c>
      <c r="G51" s="234"/>
    </row>
    <row r="52" spans="1:7" x14ac:dyDescent="0.25">
      <c r="A52" t="s">
        <v>190</v>
      </c>
      <c r="E52" t="s">
        <v>176</v>
      </c>
    </row>
    <row r="53" spans="1:7" x14ac:dyDescent="0.25">
      <c r="A53" t="s">
        <v>192</v>
      </c>
      <c r="E53" t="s">
        <v>98</v>
      </c>
    </row>
    <row r="54" spans="1:7" x14ac:dyDescent="0.25">
      <c r="A54" t="s">
        <v>194</v>
      </c>
      <c r="E54" t="s">
        <v>179</v>
      </c>
    </row>
    <row r="55" spans="1:7" x14ac:dyDescent="0.25">
      <c r="A55" t="s">
        <v>196</v>
      </c>
      <c r="E55" t="s">
        <v>181</v>
      </c>
    </row>
    <row r="56" spans="1:7" x14ac:dyDescent="0.25">
      <c r="A56" t="s">
        <v>198</v>
      </c>
      <c r="E56" t="s">
        <v>183</v>
      </c>
    </row>
    <row r="57" spans="1:7" x14ac:dyDescent="0.25">
      <c r="A57" t="s">
        <v>200</v>
      </c>
      <c r="E57" t="s">
        <v>185</v>
      </c>
    </row>
    <row r="58" spans="1:7" x14ac:dyDescent="0.25">
      <c r="A58" t="s">
        <v>201</v>
      </c>
      <c r="E58" t="s">
        <v>188</v>
      </c>
    </row>
    <row r="59" spans="1:7" x14ac:dyDescent="0.25">
      <c r="A59" t="s">
        <v>202</v>
      </c>
      <c r="E59" t="s">
        <v>97</v>
      </c>
    </row>
    <row r="60" spans="1:7" x14ac:dyDescent="0.25">
      <c r="A60" t="s">
        <v>203</v>
      </c>
      <c r="E60" t="s">
        <v>191</v>
      </c>
    </row>
    <row r="61" spans="1:7" x14ac:dyDescent="0.25">
      <c r="A61" t="s">
        <v>205</v>
      </c>
      <c r="E61" t="s">
        <v>199</v>
      </c>
    </row>
    <row r="62" spans="1:7" x14ac:dyDescent="0.25">
      <c r="A62" t="s">
        <v>207</v>
      </c>
      <c r="E62" t="s">
        <v>929</v>
      </c>
    </row>
    <row r="63" spans="1:7" x14ac:dyDescent="0.25">
      <c r="A63" t="s">
        <v>209</v>
      </c>
      <c r="E63" t="s">
        <v>930</v>
      </c>
    </row>
    <row r="64" spans="1:7" x14ac:dyDescent="0.25">
      <c r="A64" t="s">
        <v>211</v>
      </c>
      <c r="E64" t="s">
        <v>931</v>
      </c>
    </row>
    <row r="65" spans="1:5" x14ac:dyDescent="0.25">
      <c r="A65" t="s">
        <v>213</v>
      </c>
      <c r="E65" t="s">
        <v>932</v>
      </c>
    </row>
    <row r="66" spans="1:5" x14ac:dyDescent="0.25">
      <c r="A66" t="s">
        <v>842</v>
      </c>
      <c r="E66" t="s">
        <v>933</v>
      </c>
    </row>
    <row r="67" spans="1:5" x14ac:dyDescent="0.25">
      <c r="A67" t="s">
        <v>215</v>
      </c>
      <c r="E67" t="s">
        <v>934</v>
      </c>
    </row>
    <row r="68" spans="1:5" x14ac:dyDescent="0.25">
      <c r="A68" t="s">
        <v>217</v>
      </c>
      <c r="E68" t="s">
        <v>935</v>
      </c>
    </row>
    <row r="69" spans="1:5" x14ac:dyDescent="0.25">
      <c r="A69" t="s">
        <v>219</v>
      </c>
      <c r="E69" t="s">
        <v>936</v>
      </c>
    </row>
    <row r="70" spans="1:5" x14ac:dyDescent="0.25">
      <c r="A70" t="s">
        <v>221</v>
      </c>
      <c r="E70" t="s">
        <v>193</v>
      </c>
    </row>
    <row r="71" spans="1:5" x14ac:dyDescent="0.25">
      <c r="A71" t="s">
        <v>223</v>
      </c>
      <c r="E71" t="s">
        <v>195</v>
      </c>
    </row>
    <row r="72" spans="1:5" x14ac:dyDescent="0.25">
      <c r="A72" t="s">
        <v>225</v>
      </c>
      <c r="E72" t="s">
        <v>197</v>
      </c>
    </row>
    <row r="73" spans="1:5" x14ac:dyDescent="0.25">
      <c r="A73" t="s">
        <v>843</v>
      </c>
      <c r="E73" t="s">
        <v>937</v>
      </c>
    </row>
    <row r="74" spans="1:5" x14ac:dyDescent="0.25">
      <c r="A74" t="s">
        <v>227</v>
      </c>
      <c r="E74" t="s">
        <v>938</v>
      </c>
    </row>
    <row r="75" spans="1:5" x14ac:dyDescent="0.25">
      <c r="A75" t="s">
        <v>230</v>
      </c>
      <c r="E75" t="s">
        <v>939</v>
      </c>
    </row>
    <row r="76" spans="1:5" x14ac:dyDescent="0.25">
      <c r="A76" t="s">
        <v>232</v>
      </c>
      <c r="E76" t="s">
        <v>940</v>
      </c>
    </row>
    <row r="77" spans="1:5" x14ac:dyDescent="0.25">
      <c r="A77" t="s">
        <v>234</v>
      </c>
      <c r="E77" t="s">
        <v>941</v>
      </c>
    </row>
    <row r="78" spans="1:5" x14ac:dyDescent="0.25">
      <c r="A78" t="s">
        <v>236</v>
      </c>
      <c r="E78" t="s">
        <v>204</v>
      </c>
    </row>
    <row r="79" spans="1:5" x14ac:dyDescent="0.25">
      <c r="A79" t="s">
        <v>246</v>
      </c>
      <c r="E79" t="s">
        <v>206</v>
      </c>
    </row>
    <row r="80" spans="1:5" x14ac:dyDescent="0.25">
      <c r="A80" t="s">
        <v>248</v>
      </c>
      <c r="E80" t="s">
        <v>208</v>
      </c>
    </row>
    <row r="81" spans="1:5" x14ac:dyDescent="0.25">
      <c r="A81" t="s">
        <v>238</v>
      </c>
      <c r="E81" t="s">
        <v>210</v>
      </c>
    </row>
    <row r="82" spans="1:5" x14ac:dyDescent="0.25">
      <c r="A82" t="s">
        <v>240</v>
      </c>
      <c r="E82" t="s">
        <v>942</v>
      </c>
    </row>
    <row r="83" spans="1:5" x14ac:dyDescent="0.25">
      <c r="A83" t="s">
        <v>242</v>
      </c>
      <c r="E83" t="s">
        <v>943</v>
      </c>
    </row>
    <row r="84" spans="1:5" x14ac:dyDescent="0.25">
      <c r="A84" t="s">
        <v>244</v>
      </c>
      <c r="E84" t="s">
        <v>944</v>
      </c>
    </row>
    <row r="85" spans="1:5" x14ac:dyDescent="0.25">
      <c r="A85" t="s">
        <v>250</v>
      </c>
      <c r="E85" t="s">
        <v>945</v>
      </c>
    </row>
    <row r="86" spans="1:5" x14ac:dyDescent="0.25">
      <c r="A86" t="s">
        <v>251</v>
      </c>
      <c r="E86" t="s">
        <v>946</v>
      </c>
    </row>
    <row r="87" spans="1:5" x14ac:dyDescent="0.25">
      <c r="A87" t="s">
        <v>252</v>
      </c>
      <c r="E87" t="s">
        <v>231</v>
      </c>
    </row>
    <row r="88" spans="1:5" x14ac:dyDescent="0.25">
      <c r="A88" t="s">
        <v>253</v>
      </c>
      <c r="E88" t="s">
        <v>233</v>
      </c>
    </row>
    <row r="89" spans="1:5" x14ac:dyDescent="0.25">
      <c r="A89" t="s">
        <v>254</v>
      </c>
      <c r="E89" t="s">
        <v>235</v>
      </c>
    </row>
    <row r="90" spans="1:5" x14ac:dyDescent="0.25">
      <c r="A90" t="s">
        <v>255</v>
      </c>
      <c r="E90" t="s">
        <v>237</v>
      </c>
    </row>
    <row r="91" spans="1:5" x14ac:dyDescent="0.25">
      <c r="A91" t="s">
        <v>256</v>
      </c>
      <c r="E91" t="s">
        <v>239</v>
      </c>
    </row>
    <row r="92" spans="1:5" x14ac:dyDescent="0.25">
      <c r="A92" t="s">
        <v>257</v>
      </c>
      <c r="E92" t="s">
        <v>241</v>
      </c>
    </row>
    <row r="93" spans="1:5" x14ac:dyDescent="0.25">
      <c r="A93" t="s">
        <v>258</v>
      </c>
      <c r="E93" t="s">
        <v>243</v>
      </c>
    </row>
    <row r="94" spans="1:5" x14ac:dyDescent="0.25">
      <c r="A94" t="s">
        <v>259</v>
      </c>
      <c r="E94" t="s">
        <v>245</v>
      </c>
    </row>
    <row r="95" spans="1:5" x14ac:dyDescent="0.25">
      <c r="A95" t="s">
        <v>261</v>
      </c>
      <c r="E95" t="s">
        <v>247</v>
      </c>
    </row>
    <row r="96" spans="1:5" x14ac:dyDescent="0.25">
      <c r="A96" t="s">
        <v>263</v>
      </c>
      <c r="E96" t="s">
        <v>249</v>
      </c>
    </row>
    <row r="97" spans="1:5" x14ac:dyDescent="0.25">
      <c r="A97" t="s">
        <v>265</v>
      </c>
      <c r="E97" t="s">
        <v>212</v>
      </c>
    </row>
    <row r="98" spans="1:5" x14ac:dyDescent="0.25">
      <c r="A98" t="s">
        <v>267</v>
      </c>
      <c r="E98" t="s">
        <v>214</v>
      </c>
    </row>
    <row r="99" spans="1:5" x14ac:dyDescent="0.25">
      <c r="A99" t="s">
        <v>271</v>
      </c>
      <c r="E99" t="s">
        <v>216</v>
      </c>
    </row>
    <row r="100" spans="1:5" x14ac:dyDescent="0.25">
      <c r="A100" t="s">
        <v>273</v>
      </c>
      <c r="E100" t="s">
        <v>218</v>
      </c>
    </row>
    <row r="101" spans="1:5" x14ac:dyDescent="0.25">
      <c r="A101" t="s">
        <v>269</v>
      </c>
      <c r="E101" t="s">
        <v>220</v>
      </c>
    </row>
    <row r="102" spans="1:5" x14ac:dyDescent="0.25">
      <c r="A102" t="s">
        <v>275</v>
      </c>
      <c r="E102" t="s">
        <v>222</v>
      </c>
    </row>
    <row r="103" spans="1:5" x14ac:dyDescent="0.25">
      <c r="A103" t="s">
        <v>277</v>
      </c>
      <c r="E103" t="s">
        <v>224</v>
      </c>
    </row>
    <row r="104" spans="1:5" x14ac:dyDescent="0.25">
      <c r="A104" t="s">
        <v>279</v>
      </c>
      <c r="E104" t="s">
        <v>226</v>
      </c>
    </row>
    <row r="105" spans="1:5" x14ac:dyDescent="0.25">
      <c r="A105" t="s">
        <v>281</v>
      </c>
      <c r="E105" t="s">
        <v>228</v>
      </c>
    </row>
    <row r="106" spans="1:5" x14ac:dyDescent="0.25">
      <c r="A106" t="s">
        <v>283</v>
      </c>
      <c r="E106" t="s">
        <v>229</v>
      </c>
    </row>
    <row r="107" spans="1:5" x14ac:dyDescent="0.25">
      <c r="A107" t="s">
        <v>285</v>
      </c>
      <c r="E107" t="s">
        <v>500</v>
      </c>
    </row>
    <row r="108" spans="1:5" x14ac:dyDescent="0.25">
      <c r="A108" t="s">
        <v>287</v>
      </c>
      <c r="E108" t="s">
        <v>502</v>
      </c>
    </row>
    <row r="109" spans="1:5" x14ac:dyDescent="0.25">
      <c r="A109" t="s">
        <v>289</v>
      </c>
      <c r="E109" t="s">
        <v>504</v>
      </c>
    </row>
    <row r="110" spans="1:5" x14ac:dyDescent="0.25">
      <c r="A110" t="s">
        <v>291</v>
      </c>
      <c r="E110" t="s">
        <v>506</v>
      </c>
    </row>
    <row r="111" spans="1:5" x14ac:dyDescent="0.25">
      <c r="A111" t="s">
        <v>293</v>
      </c>
      <c r="E111" t="s">
        <v>509</v>
      </c>
    </row>
    <row r="112" spans="1:5" x14ac:dyDescent="0.25">
      <c r="A112" t="s">
        <v>852</v>
      </c>
      <c r="E112" t="s">
        <v>511</v>
      </c>
    </row>
    <row r="113" spans="1:5" x14ac:dyDescent="0.25">
      <c r="A113" t="s">
        <v>295</v>
      </c>
      <c r="E113" t="s">
        <v>513</v>
      </c>
    </row>
    <row r="114" spans="1:5" x14ac:dyDescent="0.25">
      <c r="A114" t="s">
        <v>297</v>
      </c>
      <c r="E114" t="s">
        <v>515</v>
      </c>
    </row>
    <row r="115" spans="1:5" x14ac:dyDescent="0.25">
      <c r="A115" t="s">
        <v>845</v>
      </c>
      <c r="E115" t="s">
        <v>517</v>
      </c>
    </row>
    <row r="116" spans="1:5" x14ac:dyDescent="0.25">
      <c r="A116" t="s">
        <v>300</v>
      </c>
      <c r="E116" t="s">
        <v>519</v>
      </c>
    </row>
    <row r="117" spans="1:5" x14ac:dyDescent="0.25">
      <c r="A117" t="s">
        <v>302</v>
      </c>
      <c r="E117" t="s">
        <v>521</v>
      </c>
    </row>
    <row r="118" spans="1:5" x14ac:dyDescent="0.25">
      <c r="A118" t="s">
        <v>304</v>
      </c>
      <c r="E118" t="s">
        <v>523</v>
      </c>
    </row>
    <row r="119" spans="1:5" x14ac:dyDescent="0.25">
      <c r="A119" t="s">
        <v>306</v>
      </c>
      <c r="E119" t="s">
        <v>525</v>
      </c>
    </row>
    <row r="120" spans="1:5" x14ac:dyDescent="0.25">
      <c r="A120" t="s">
        <v>308</v>
      </c>
      <c r="E120" t="s">
        <v>529</v>
      </c>
    </row>
    <row r="121" spans="1:5" x14ac:dyDescent="0.25">
      <c r="A121" t="s">
        <v>310</v>
      </c>
      <c r="E121" t="s">
        <v>540</v>
      </c>
    </row>
    <row r="122" spans="1:5" x14ac:dyDescent="0.25">
      <c r="A122" t="s">
        <v>312</v>
      </c>
      <c r="E122" t="s">
        <v>548</v>
      </c>
    </row>
    <row r="123" spans="1:5" x14ac:dyDescent="0.25">
      <c r="A123" t="s">
        <v>314</v>
      </c>
      <c r="E123" t="s">
        <v>553</v>
      </c>
    </row>
    <row r="124" spans="1:5" x14ac:dyDescent="0.25">
      <c r="A124" t="s">
        <v>316</v>
      </c>
      <c r="E124" t="s">
        <v>260</v>
      </c>
    </row>
    <row r="125" spans="1:5" x14ac:dyDescent="0.25">
      <c r="A125" t="s">
        <v>318</v>
      </c>
      <c r="E125" t="s">
        <v>262</v>
      </c>
    </row>
    <row r="126" spans="1:5" x14ac:dyDescent="0.25">
      <c r="A126" t="s">
        <v>320</v>
      </c>
      <c r="E126" t="s">
        <v>264</v>
      </c>
    </row>
    <row r="127" spans="1:5" x14ac:dyDescent="0.25">
      <c r="A127" t="s">
        <v>322</v>
      </c>
      <c r="E127" t="s">
        <v>266</v>
      </c>
    </row>
    <row r="128" spans="1:5" x14ac:dyDescent="0.25">
      <c r="A128" t="s">
        <v>324</v>
      </c>
      <c r="E128" t="s">
        <v>268</v>
      </c>
    </row>
    <row r="129" spans="1:5" x14ac:dyDescent="0.25">
      <c r="A129" t="s">
        <v>326</v>
      </c>
      <c r="E129" t="s">
        <v>270</v>
      </c>
    </row>
    <row r="130" spans="1:5" x14ac:dyDescent="0.25">
      <c r="A130" t="s">
        <v>327</v>
      </c>
      <c r="E130" t="s">
        <v>272</v>
      </c>
    </row>
    <row r="131" spans="1:5" x14ac:dyDescent="0.25">
      <c r="A131" t="s">
        <v>328</v>
      </c>
      <c r="E131" t="s">
        <v>274</v>
      </c>
    </row>
    <row r="132" spans="1:5" x14ac:dyDescent="0.25">
      <c r="A132" t="s">
        <v>329</v>
      </c>
      <c r="E132" t="s">
        <v>276</v>
      </c>
    </row>
    <row r="133" spans="1:5" x14ac:dyDescent="0.25">
      <c r="A133" t="s">
        <v>334</v>
      </c>
      <c r="E133" t="s">
        <v>278</v>
      </c>
    </row>
    <row r="134" spans="1:5" x14ac:dyDescent="0.25">
      <c r="A134" t="s">
        <v>330</v>
      </c>
      <c r="E134" t="s">
        <v>280</v>
      </c>
    </row>
    <row r="135" spans="1:5" x14ac:dyDescent="0.25">
      <c r="A135" t="s">
        <v>332</v>
      </c>
      <c r="E135" t="s">
        <v>282</v>
      </c>
    </row>
    <row r="136" spans="1:5" x14ac:dyDescent="0.25">
      <c r="A136" t="s">
        <v>336</v>
      </c>
      <c r="E136" t="s">
        <v>288</v>
      </c>
    </row>
    <row r="137" spans="1:5" x14ac:dyDescent="0.25">
      <c r="A137" t="s">
        <v>338</v>
      </c>
      <c r="E137" t="s">
        <v>290</v>
      </c>
    </row>
    <row r="138" spans="1:5" x14ac:dyDescent="0.25">
      <c r="A138" t="s">
        <v>340</v>
      </c>
      <c r="E138" t="s">
        <v>292</v>
      </c>
    </row>
    <row r="139" spans="1:5" x14ac:dyDescent="0.25">
      <c r="A139" t="s">
        <v>342</v>
      </c>
      <c r="E139" t="s">
        <v>294</v>
      </c>
    </row>
    <row r="140" spans="1:5" x14ac:dyDescent="0.25">
      <c r="A140" t="s">
        <v>346</v>
      </c>
      <c r="E140" t="s">
        <v>296</v>
      </c>
    </row>
    <row r="141" spans="1:5" x14ac:dyDescent="0.25">
      <c r="A141" t="s">
        <v>344</v>
      </c>
      <c r="E141" t="s">
        <v>298</v>
      </c>
    </row>
    <row r="142" spans="1:5" x14ac:dyDescent="0.25">
      <c r="A142" t="s">
        <v>348</v>
      </c>
      <c r="E142" t="s">
        <v>299</v>
      </c>
    </row>
    <row r="143" spans="1:5" x14ac:dyDescent="0.25">
      <c r="A143" t="s">
        <v>350</v>
      </c>
      <c r="E143" t="s">
        <v>301</v>
      </c>
    </row>
    <row r="144" spans="1:5" x14ac:dyDescent="0.25">
      <c r="A144" t="s">
        <v>352</v>
      </c>
      <c r="E144" t="s">
        <v>303</v>
      </c>
    </row>
    <row r="145" spans="1:5" x14ac:dyDescent="0.25">
      <c r="A145" t="s">
        <v>354</v>
      </c>
      <c r="E145" t="s">
        <v>305</v>
      </c>
    </row>
    <row r="146" spans="1:5" x14ac:dyDescent="0.25">
      <c r="A146" t="s">
        <v>1010</v>
      </c>
      <c r="E146" t="s">
        <v>307</v>
      </c>
    </row>
    <row r="147" spans="1:5" x14ac:dyDescent="0.25">
      <c r="A147" t="s">
        <v>356</v>
      </c>
      <c r="E147" t="s">
        <v>309</v>
      </c>
    </row>
    <row r="148" spans="1:5" x14ac:dyDescent="0.25">
      <c r="A148" t="s">
        <v>1004</v>
      </c>
      <c r="E148" t="s">
        <v>947</v>
      </c>
    </row>
    <row r="149" spans="1:5" x14ac:dyDescent="0.25">
      <c r="A149" t="s">
        <v>358</v>
      </c>
      <c r="E149" t="s">
        <v>313</v>
      </c>
    </row>
    <row r="150" spans="1:5" x14ac:dyDescent="0.25">
      <c r="A150" t="s">
        <v>360</v>
      </c>
      <c r="E150" t="s">
        <v>315</v>
      </c>
    </row>
    <row r="151" spans="1:5" x14ac:dyDescent="0.25">
      <c r="A151" t="s">
        <v>364</v>
      </c>
      <c r="E151" t="s">
        <v>317</v>
      </c>
    </row>
    <row r="152" spans="1:5" x14ac:dyDescent="0.25">
      <c r="A152" t="s">
        <v>844</v>
      </c>
      <c r="E152" t="s">
        <v>319</v>
      </c>
    </row>
    <row r="153" spans="1:5" x14ac:dyDescent="0.25">
      <c r="A153" t="s">
        <v>362</v>
      </c>
      <c r="E153" t="s">
        <v>321</v>
      </c>
    </row>
    <row r="154" spans="1:5" x14ac:dyDescent="0.25">
      <c r="A154" t="s">
        <v>366</v>
      </c>
      <c r="E154" t="s">
        <v>323</v>
      </c>
    </row>
    <row r="155" spans="1:5" x14ac:dyDescent="0.25">
      <c r="A155" t="s">
        <v>368</v>
      </c>
      <c r="E155" t="s">
        <v>325</v>
      </c>
    </row>
    <row r="156" spans="1:5" x14ac:dyDescent="0.25">
      <c r="A156" t="s">
        <v>370</v>
      </c>
      <c r="E156" t="s">
        <v>333</v>
      </c>
    </row>
    <row r="157" spans="1:5" x14ac:dyDescent="0.25">
      <c r="A157" t="s">
        <v>372</v>
      </c>
      <c r="E157" t="s">
        <v>335</v>
      </c>
    </row>
    <row r="158" spans="1:5" x14ac:dyDescent="0.25">
      <c r="A158" t="s">
        <v>374</v>
      </c>
      <c r="E158" t="s">
        <v>337</v>
      </c>
    </row>
    <row r="159" spans="1:5" x14ac:dyDescent="0.25">
      <c r="A159" t="s">
        <v>376</v>
      </c>
      <c r="E159" t="s">
        <v>339</v>
      </c>
    </row>
    <row r="160" spans="1:5" x14ac:dyDescent="0.25">
      <c r="A160" t="s">
        <v>378</v>
      </c>
      <c r="E160" t="s">
        <v>341</v>
      </c>
    </row>
    <row r="161" spans="1:5" x14ac:dyDescent="0.25">
      <c r="A161" t="s">
        <v>853</v>
      </c>
      <c r="E161" t="s">
        <v>343</v>
      </c>
    </row>
    <row r="162" spans="1:5" x14ac:dyDescent="0.25">
      <c r="A162" t="s">
        <v>380</v>
      </c>
      <c r="E162" t="s">
        <v>345</v>
      </c>
    </row>
    <row r="163" spans="1:5" x14ac:dyDescent="0.25">
      <c r="A163" t="s">
        <v>382</v>
      </c>
      <c r="E163" t="s">
        <v>347</v>
      </c>
    </row>
    <row r="164" spans="1:5" x14ac:dyDescent="0.25">
      <c r="A164" t="s">
        <v>846</v>
      </c>
      <c r="E164" t="s">
        <v>349</v>
      </c>
    </row>
    <row r="165" spans="1:5" x14ac:dyDescent="0.25">
      <c r="A165" t="s">
        <v>384</v>
      </c>
      <c r="E165" t="s">
        <v>351</v>
      </c>
    </row>
    <row r="166" spans="1:5" x14ac:dyDescent="0.25">
      <c r="A166" t="s">
        <v>386</v>
      </c>
      <c r="E166" t="s">
        <v>353</v>
      </c>
    </row>
    <row r="167" spans="1:5" x14ac:dyDescent="0.25">
      <c r="A167" t="s">
        <v>388</v>
      </c>
      <c r="E167" t="s">
        <v>355</v>
      </c>
    </row>
    <row r="168" spans="1:5" x14ac:dyDescent="0.25">
      <c r="A168" t="s">
        <v>390</v>
      </c>
      <c r="E168" t="s">
        <v>357</v>
      </c>
    </row>
    <row r="169" spans="1:5" x14ac:dyDescent="0.25">
      <c r="A169" t="s">
        <v>392</v>
      </c>
      <c r="E169" t="s">
        <v>359</v>
      </c>
    </row>
    <row r="170" spans="1:5" x14ac:dyDescent="0.25">
      <c r="A170" t="s">
        <v>393</v>
      </c>
      <c r="E170" t="s">
        <v>361</v>
      </c>
    </row>
    <row r="171" spans="1:5" x14ac:dyDescent="0.25">
      <c r="A171" t="s">
        <v>394</v>
      </c>
      <c r="E171" t="s">
        <v>363</v>
      </c>
    </row>
    <row r="172" spans="1:5" x14ac:dyDescent="0.25">
      <c r="A172" t="s">
        <v>877</v>
      </c>
      <c r="E172" t="s">
        <v>365</v>
      </c>
    </row>
    <row r="173" spans="1:5" x14ac:dyDescent="0.25">
      <c r="A173" t="s">
        <v>395</v>
      </c>
      <c r="E173" t="s">
        <v>367</v>
      </c>
    </row>
    <row r="174" spans="1:5" x14ac:dyDescent="0.25">
      <c r="A174" t="s">
        <v>396</v>
      </c>
      <c r="E174" t="s">
        <v>369</v>
      </c>
    </row>
    <row r="175" spans="1:5" x14ac:dyDescent="0.25">
      <c r="A175" t="s">
        <v>397</v>
      </c>
      <c r="E175" t="s">
        <v>371</v>
      </c>
    </row>
    <row r="176" spans="1:5" x14ac:dyDescent="0.25">
      <c r="A176" t="s">
        <v>398</v>
      </c>
      <c r="E176" t="s">
        <v>373</v>
      </c>
    </row>
    <row r="177" spans="1:5" x14ac:dyDescent="0.25">
      <c r="A177" t="s">
        <v>399</v>
      </c>
      <c r="E177" t="s">
        <v>375</v>
      </c>
    </row>
    <row r="178" spans="1:5" x14ac:dyDescent="0.25">
      <c r="A178" t="s">
        <v>400</v>
      </c>
      <c r="E178" t="s">
        <v>377</v>
      </c>
    </row>
    <row r="179" spans="1:5" x14ac:dyDescent="0.25">
      <c r="A179" t="s">
        <v>401</v>
      </c>
      <c r="E179" t="s">
        <v>379</v>
      </c>
    </row>
    <row r="180" spans="1:5" x14ac:dyDescent="0.25">
      <c r="A180" t="s">
        <v>402</v>
      </c>
      <c r="E180" t="s">
        <v>381</v>
      </c>
    </row>
    <row r="181" spans="1:5" x14ac:dyDescent="0.25">
      <c r="A181" t="s">
        <v>403</v>
      </c>
      <c r="E181" t="s">
        <v>383</v>
      </c>
    </row>
    <row r="182" spans="1:5" x14ac:dyDescent="0.25">
      <c r="A182" t="s">
        <v>404</v>
      </c>
      <c r="E182" t="s">
        <v>385</v>
      </c>
    </row>
    <row r="183" spans="1:5" x14ac:dyDescent="0.25">
      <c r="A183" t="s">
        <v>405</v>
      </c>
      <c r="E183" t="s">
        <v>387</v>
      </c>
    </row>
    <row r="184" spans="1:5" x14ac:dyDescent="0.25">
      <c r="A184" t="s">
        <v>406</v>
      </c>
      <c r="E184" t="s">
        <v>389</v>
      </c>
    </row>
    <row r="185" spans="1:5" x14ac:dyDescent="0.25">
      <c r="A185" t="s">
        <v>407</v>
      </c>
      <c r="E185" t="s">
        <v>391</v>
      </c>
    </row>
    <row r="186" spans="1:5" x14ac:dyDescent="0.25">
      <c r="A186" t="s">
        <v>408</v>
      </c>
      <c r="E186" t="s">
        <v>420</v>
      </c>
    </row>
    <row r="187" spans="1:5" x14ac:dyDescent="0.25">
      <c r="A187" t="s">
        <v>409</v>
      </c>
      <c r="E187" t="s">
        <v>948</v>
      </c>
    </row>
    <row r="188" spans="1:5" x14ac:dyDescent="0.25">
      <c r="A188" t="s">
        <v>410</v>
      </c>
      <c r="E188" t="s">
        <v>422</v>
      </c>
    </row>
    <row r="189" spans="1:5" x14ac:dyDescent="0.25">
      <c r="A189" t="s">
        <v>411</v>
      </c>
      <c r="E189" t="s">
        <v>424</v>
      </c>
    </row>
    <row r="190" spans="1:5" x14ac:dyDescent="0.25">
      <c r="A190" t="s">
        <v>412</v>
      </c>
      <c r="E190" t="s">
        <v>428</v>
      </c>
    </row>
    <row r="191" spans="1:5" x14ac:dyDescent="0.25">
      <c r="A191" t="s">
        <v>413</v>
      </c>
      <c r="E191" t="s">
        <v>949</v>
      </c>
    </row>
    <row r="192" spans="1:5" x14ac:dyDescent="0.25">
      <c r="A192" t="s">
        <v>414</v>
      </c>
      <c r="E192" t="s">
        <v>436</v>
      </c>
    </row>
    <row r="193" spans="1:5" x14ac:dyDescent="0.25">
      <c r="A193" t="s">
        <v>415</v>
      </c>
      <c r="E193" t="s">
        <v>438</v>
      </c>
    </row>
    <row r="194" spans="1:5" x14ac:dyDescent="0.25">
      <c r="A194" t="s">
        <v>416</v>
      </c>
      <c r="E194" t="s">
        <v>440</v>
      </c>
    </row>
    <row r="195" spans="1:5" x14ac:dyDescent="0.25">
      <c r="A195" t="s">
        <v>857</v>
      </c>
      <c r="E195" t="s">
        <v>460</v>
      </c>
    </row>
    <row r="196" spans="1:5" x14ac:dyDescent="0.25">
      <c r="A196" t="s">
        <v>417</v>
      </c>
      <c r="E196" t="s">
        <v>462</v>
      </c>
    </row>
    <row r="197" spans="1:5" x14ac:dyDescent="0.25">
      <c r="A197" t="s">
        <v>418</v>
      </c>
      <c r="E197" t="s">
        <v>464</v>
      </c>
    </row>
    <row r="198" spans="1:5" x14ac:dyDescent="0.25">
      <c r="A198" t="s">
        <v>419</v>
      </c>
      <c r="E198" t="s">
        <v>466</v>
      </c>
    </row>
    <row r="199" spans="1:5" x14ac:dyDescent="0.25">
      <c r="A199" t="s">
        <v>421</v>
      </c>
      <c r="E199" t="s">
        <v>468</v>
      </c>
    </row>
    <row r="200" spans="1:5" x14ac:dyDescent="0.25">
      <c r="A200" t="s">
        <v>423</v>
      </c>
      <c r="E200" t="s">
        <v>95</v>
      </c>
    </row>
    <row r="201" spans="1:5" x14ac:dyDescent="0.25">
      <c r="A201" t="s">
        <v>425</v>
      </c>
      <c r="E201" t="s">
        <v>471</v>
      </c>
    </row>
    <row r="202" spans="1:5" x14ac:dyDescent="0.25">
      <c r="A202" t="s">
        <v>427</v>
      </c>
      <c r="E202" t="s">
        <v>473</v>
      </c>
    </row>
    <row r="203" spans="1:5" x14ac:dyDescent="0.25">
      <c r="A203" t="s">
        <v>441</v>
      </c>
      <c r="E203" t="s">
        <v>475</v>
      </c>
    </row>
    <row r="204" spans="1:5" x14ac:dyDescent="0.25">
      <c r="A204" t="s">
        <v>442</v>
      </c>
      <c r="E204" t="s">
        <v>477</v>
      </c>
    </row>
    <row r="205" spans="1:5" x14ac:dyDescent="0.25">
      <c r="A205" t="s">
        <v>443</v>
      </c>
      <c r="E205" t="s">
        <v>479</v>
      </c>
    </row>
    <row r="206" spans="1:5" x14ac:dyDescent="0.25">
      <c r="A206" t="s">
        <v>444</v>
      </c>
      <c r="E206" t="s">
        <v>485</v>
      </c>
    </row>
    <row r="207" spans="1:5" x14ac:dyDescent="0.25">
      <c r="A207" t="s">
        <v>445</v>
      </c>
      <c r="E207" t="s">
        <v>487</v>
      </c>
    </row>
    <row r="208" spans="1:5" x14ac:dyDescent="0.25">
      <c r="A208" t="s">
        <v>446</v>
      </c>
      <c r="E208" t="s">
        <v>950</v>
      </c>
    </row>
    <row r="209" spans="1:5" x14ac:dyDescent="0.25">
      <c r="A209" t="s">
        <v>447</v>
      </c>
      <c r="E209" t="s">
        <v>489</v>
      </c>
    </row>
    <row r="210" spans="1:5" x14ac:dyDescent="0.25">
      <c r="A210" t="s">
        <v>448</v>
      </c>
      <c r="E210" t="s">
        <v>491</v>
      </c>
    </row>
    <row r="211" spans="1:5" x14ac:dyDescent="0.25">
      <c r="A211" t="s">
        <v>429</v>
      </c>
      <c r="E211" t="s">
        <v>493</v>
      </c>
    </row>
    <row r="212" spans="1:5" x14ac:dyDescent="0.25">
      <c r="A212" t="s">
        <v>430</v>
      </c>
      <c r="E212" t="s">
        <v>481</v>
      </c>
    </row>
    <row r="213" spans="1:5" x14ac:dyDescent="0.25">
      <c r="A213" t="s">
        <v>431</v>
      </c>
      <c r="E213" t="s">
        <v>483</v>
      </c>
    </row>
    <row r="214" spans="1:5" x14ac:dyDescent="0.25">
      <c r="A214" t="s">
        <v>432</v>
      </c>
      <c r="E214" t="s">
        <v>576</v>
      </c>
    </row>
    <row r="215" spans="1:5" x14ac:dyDescent="0.25">
      <c r="A215" t="s">
        <v>433</v>
      </c>
      <c r="E215" t="s">
        <v>578</v>
      </c>
    </row>
    <row r="216" spans="1:5" x14ac:dyDescent="0.25">
      <c r="A216" t="s">
        <v>435</v>
      </c>
      <c r="E216" t="s">
        <v>580</v>
      </c>
    </row>
    <row r="217" spans="1:5" x14ac:dyDescent="0.25">
      <c r="A217" t="s">
        <v>437</v>
      </c>
      <c r="E217" t="s">
        <v>582</v>
      </c>
    </row>
    <row r="218" spans="1:5" x14ac:dyDescent="0.25">
      <c r="A218" t="s">
        <v>439</v>
      </c>
      <c r="E218" t="s">
        <v>951</v>
      </c>
    </row>
    <row r="219" spans="1:5" x14ac:dyDescent="0.25">
      <c r="A219" t="s">
        <v>449</v>
      </c>
      <c r="E219" t="s">
        <v>952</v>
      </c>
    </row>
    <row r="220" spans="1:5" x14ac:dyDescent="0.25">
      <c r="A220" t="s">
        <v>450</v>
      </c>
      <c r="E220" t="s">
        <v>953</v>
      </c>
    </row>
    <row r="221" spans="1:5" x14ac:dyDescent="0.25">
      <c r="A221" t="s">
        <v>451</v>
      </c>
      <c r="E221" t="s">
        <v>954</v>
      </c>
    </row>
    <row r="222" spans="1:5" x14ac:dyDescent="0.25">
      <c r="A222" t="s">
        <v>452</v>
      </c>
      <c r="E222" t="s">
        <v>955</v>
      </c>
    </row>
    <row r="223" spans="1:5" x14ac:dyDescent="0.25">
      <c r="A223" t="s">
        <v>453</v>
      </c>
      <c r="E223" t="s">
        <v>956</v>
      </c>
    </row>
    <row r="224" spans="1:5" x14ac:dyDescent="0.25">
      <c r="A224" t="s">
        <v>454</v>
      </c>
      <c r="E224" t="s">
        <v>957</v>
      </c>
    </row>
    <row r="225" spans="1:5" x14ac:dyDescent="0.25">
      <c r="A225" t="s">
        <v>455</v>
      </c>
      <c r="E225" t="s">
        <v>958</v>
      </c>
    </row>
    <row r="226" spans="1:5" x14ac:dyDescent="0.25">
      <c r="A226" t="s">
        <v>456</v>
      </c>
      <c r="E226" t="s">
        <v>959</v>
      </c>
    </row>
    <row r="227" spans="1:5" x14ac:dyDescent="0.25">
      <c r="A227" t="s">
        <v>457</v>
      </c>
      <c r="E227" t="s">
        <v>960</v>
      </c>
    </row>
    <row r="228" spans="1:5" x14ac:dyDescent="0.25">
      <c r="A228" t="s">
        <v>459</v>
      </c>
      <c r="E228" t="s">
        <v>961</v>
      </c>
    </row>
    <row r="229" spans="1:5" x14ac:dyDescent="0.25">
      <c r="A229" t="s">
        <v>461</v>
      </c>
      <c r="E229" t="s">
        <v>597</v>
      </c>
    </row>
    <row r="230" spans="1:5" x14ac:dyDescent="0.25">
      <c r="A230" t="s">
        <v>463</v>
      </c>
      <c r="E230" t="s">
        <v>599</v>
      </c>
    </row>
    <row r="231" spans="1:5" x14ac:dyDescent="0.25">
      <c r="A231" t="s">
        <v>465</v>
      </c>
      <c r="E231" t="s">
        <v>962</v>
      </c>
    </row>
    <row r="232" spans="1:5" x14ac:dyDescent="0.25">
      <c r="A232" t="s">
        <v>469</v>
      </c>
      <c r="E232" t="s">
        <v>963</v>
      </c>
    </row>
    <row r="233" spans="1:5" x14ac:dyDescent="0.25">
      <c r="A233" t="s">
        <v>467</v>
      </c>
      <c r="E233" t="s">
        <v>964</v>
      </c>
    </row>
    <row r="234" spans="1:5" x14ac:dyDescent="0.25">
      <c r="A234" t="s">
        <v>470</v>
      </c>
      <c r="E234" t="s">
        <v>965</v>
      </c>
    </row>
    <row r="235" spans="1:5" x14ac:dyDescent="0.25">
      <c r="A235" t="s">
        <v>472</v>
      </c>
      <c r="E235" t="s">
        <v>966</v>
      </c>
    </row>
    <row r="236" spans="1:5" x14ac:dyDescent="0.25">
      <c r="A236" t="s">
        <v>474</v>
      </c>
      <c r="E236" t="s">
        <v>629</v>
      </c>
    </row>
    <row r="237" spans="1:5" x14ac:dyDescent="0.25">
      <c r="A237" t="s">
        <v>476</v>
      </c>
      <c r="E237" t="s">
        <v>968</v>
      </c>
    </row>
    <row r="238" spans="1:5" x14ac:dyDescent="0.25">
      <c r="A238" t="s">
        <v>478</v>
      </c>
      <c r="E238" t="s">
        <v>630</v>
      </c>
    </row>
    <row r="239" spans="1:5" x14ac:dyDescent="0.25">
      <c r="A239" t="s">
        <v>480</v>
      </c>
      <c r="E239" t="s">
        <v>631</v>
      </c>
    </row>
    <row r="240" spans="1:5" x14ac:dyDescent="0.25">
      <c r="A240" t="s">
        <v>482</v>
      </c>
      <c r="E240" t="s">
        <v>969</v>
      </c>
    </row>
    <row r="241" spans="1:5" x14ac:dyDescent="0.25">
      <c r="A241" t="s">
        <v>847</v>
      </c>
      <c r="E241" t="s">
        <v>632</v>
      </c>
    </row>
    <row r="242" spans="1:5" x14ac:dyDescent="0.25">
      <c r="A242" t="s">
        <v>484</v>
      </c>
      <c r="E242" t="s">
        <v>633</v>
      </c>
    </row>
    <row r="243" spans="1:5" x14ac:dyDescent="0.25">
      <c r="A243" t="s">
        <v>486</v>
      </c>
      <c r="E243" t="s">
        <v>634</v>
      </c>
    </row>
    <row r="244" spans="1:5" x14ac:dyDescent="0.25">
      <c r="A244" t="s">
        <v>1005</v>
      </c>
      <c r="E244" t="s">
        <v>635</v>
      </c>
    </row>
    <row r="245" spans="1:5" x14ac:dyDescent="0.25">
      <c r="A245" t="s">
        <v>488</v>
      </c>
      <c r="E245" t="s">
        <v>967</v>
      </c>
    </row>
    <row r="246" spans="1:5" x14ac:dyDescent="0.25">
      <c r="A246" t="s">
        <v>490</v>
      </c>
      <c r="E246" t="s">
        <v>626</v>
      </c>
    </row>
    <row r="247" spans="1:5" x14ac:dyDescent="0.25">
      <c r="A247" t="s">
        <v>492</v>
      </c>
      <c r="E247" t="s">
        <v>627</v>
      </c>
    </row>
    <row r="248" spans="1:5" x14ac:dyDescent="0.25">
      <c r="A248" t="s">
        <v>494</v>
      </c>
      <c r="E248" t="s">
        <v>628</v>
      </c>
    </row>
    <row r="249" spans="1:5" x14ac:dyDescent="0.25">
      <c r="A249" t="s">
        <v>495</v>
      </c>
      <c r="E249" t="s">
        <v>636</v>
      </c>
    </row>
    <row r="250" spans="1:5" x14ac:dyDescent="0.25">
      <c r="A250" t="s">
        <v>496</v>
      </c>
      <c r="E250" t="s">
        <v>620</v>
      </c>
    </row>
    <row r="251" spans="1:5" x14ac:dyDescent="0.25">
      <c r="A251" t="s">
        <v>497</v>
      </c>
      <c r="E251" t="s">
        <v>622</v>
      </c>
    </row>
    <row r="252" spans="1:5" x14ac:dyDescent="0.25">
      <c r="A252" t="s">
        <v>498</v>
      </c>
      <c r="E252" t="s">
        <v>623</v>
      </c>
    </row>
    <row r="253" spans="1:5" x14ac:dyDescent="0.25">
      <c r="A253" t="s">
        <v>499</v>
      </c>
      <c r="E253" t="s">
        <v>624</v>
      </c>
    </row>
    <row r="254" spans="1:5" x14ac:dyDescent="0.25">
      <c r="A254" t="s">
        <v>501</v>
      </c>
      <c r="E254" t="s">
        <v>970</v>
      </c>
    </row>
    <row r="255" spans="1:5" x14ac:dyDescent="0.25">
      <c r="A255" t="s">
        <v>503</v>
      </c>
      <c r="E255" t="s">
        <v>971</v>
      </c>
    </row>
    <row r="256" spans="1:5" x14ac:dyDescent="0.25">
      <c r="A256" t="s">
        <v>505</v>
      </c>
      <c r="E256" t="s">
        <v>972</v>
      </c>
    </row>
    <row r="257" spans="1:5" x14ac:dyDescent="0.25">
      <c r="A257" t="s">
        <v>507</v>
      </c>
      <c r="E257" t="s">
        <v>973</v>
      </c>
    </row>
    <row r="258" spans="1:5" x14ac:dyDescent="0.25">
      <c r="A258" t="s">
        <v>510</v>
      </c>
      <c r="E258" t="s">
        <v>974</v>
      </c>
    </row>
    <row r="259" spans="1:5" x14ac:dyDescent="0.25">
      <c r="A259" t="s">
        <v>508</v>
      </c>
      <c r="E259" t="s">
        <v>975</v>
      </c>
    </row>
    <row r="260" spans="1:5" x14ac:dyDescent="0.25">
      <c r="A260" t="s">
        <v>514</v>
      </c>
      <c r="E260" t="s">
        <v>976</v>
      </c>
    </row>
    <row r="261" spans="1:5" x14ac:dyDescent="0.25">
      <c r="A261" t="s">
        <v>516</v>
      </c>
      <c r="E261" t="s">
        <v>977</v>
      </c>
    </row>
    <row r="262" spans="1:5" x14ac:dyDescent="0.25">
      <c r="A262" t="s">
        <v>518</v>
      </c>
      <c r="E262" t="s">
        <v>978</v>
      </c>
    </row>
    <row r="263" spans="1:5" x14ac:dyDescent="0.25">
      <c r="A263" t="s">
        <v>520</v>
      </c>
      <c r="E263" t="s">
        <v>979</v>
      </c>
    </row>
    <row r="264" spans="1:5" x14ac:dyDescent="0.25">
      <c r="A264" t="s">
        <v>512</v>
      </c>
      <c r="E264" t="s">
        <v>637</v>
      </c>
    </row>
    <row r="265" spans="1:5" x14ac:dyDescent="0.25">
      <c r="A265" t="s">
        <v>522</v>
      </c>
      <c r="E265" t="s">
        <v>638</v>
      </c>
    </row>
    <row r="266" spans="1:5" x14ac:dyDescent="0.25">
      <c r="A266" t="s">
        <v>524</v>
      </c>
      <c r="E266" t="s">
        <v>639</v>
      </c>
    </row>
    <row r="267" spans="1:5" x14ac:dyDescent="0.25">
      <c r="A267" t="s">
        <v>881</v>
      </c>
      <c r="E267" t="s">
        <v>640</v>
      </c>
    </row>
    <row r="268" spans="1:5" x14ac:dyDescent="0.25">
      <c r="A268" t="s">
        <v>526</v>
      </c>
      <c r="E268" t="s">
        <v>641</v>
      </c>
    </row>
    <row r="269" spans="1:5" x14ac:dyDescent="0.25">
      <c r="A269" t="s">
        <v>527</v>
      </c>
      <c r="E269" t="s">
        <v>642</v>
      </c>
    </row>
    <row r="270" spans="1:5" x14ac:dyDescent="0.25">
      <c r="A270" t="s">
        <v>528</v>
      </c>
      <c r="E270" t="s">
        <v>643</v>
      </c>
    </row>
    <row r="271" spans="1:5" x14ac:dyDescent="0.25">
      <c r="A271" t="s">
        <v>536</v>
      </c>
      <c r="E271" t="s">
        <v>980</v>
      </c>
    </row>
    <row r="272" spans="1:5" x14ac:dyDescent="0.25">
      <c r="A272" t="s">
        <v>537</v>
      </c>
      <c r="E272" t="s">
        <v>981</v>
      </c>
    </row>
    <row r="273" spans="1:5" x14ac:dyDescent="0.25">
      <c r="A273" t="s">
        <v>538</v>
      </c>
      <c r="E273" t="s">
        <v>982</v>
      </c>
    </row>
    <row r="274" spans="1:5" x14ac:dyDescent="0.25">
      <c r="A274" t="s">
        <v>539</v>
      </c>
      <c r="E274" t="s">
        <v>983</v>
      </c>
    </row>
    <row r="275" spans="1:5" x14ac:dyDescent="0.25">
      <c r="A275" t="s">
        <v>541</v>
      </c>
      <c r="E275" t="s">
        <v>644</v>
      </c>
    </row>
    <row r="276" spans="1:5" x14ac:dyDescent="0.25">
      <c r="A276" t="s">
        <v>542</v>
      </c>
      <c r="E276" t="s">
        <v>645</v>
      </c>
    </row>
    <row r="277" spans="1:5" x14ac:dyDescent="0.25">
      <c r="A277" t="s">
        <v>531</v>
      </c>
      <c r="E277" t="s">
        <v>650</v>
      </c>
    </row>
    <row r="278" spans="1:5" x14ac:dyDescent="0.25">
      <c r="A278" t="s">
        <v>530</v>
      </c>
      <c r="E278" t="s">
        <v>646</v>
      </c>
    </row>
    <row r="279" spans="1:5" x14ac:dyDescent="0.25">
      <c r="A279" t="s">
        <v>532</v>
      </c>
      <c r="E279" t="s">
        <v>647</v>
      </c>
    </row>
    <row r="280" spans="1:5" x14ac:dyDescent="0.25">
      <c r="A280" t="s">
        <v>533</v>
      </c>
      <c r="E280" t="s">
        <v>648</v>
      </c>
    </row>
    <row r="281" spans="1:5" x14ac:dyDescent="0.25">
      <c r="A281" t="s">
        <v>1006</v>
      </c>
      <c r="E281" t="s">
        <v>649</v>
      </c>
    </row>
    <row r="282" spans="1:5" x14ac:dyDescent="0.25">
      <c r="A282" t="s">
        <v>534</v>
      </c>
    </row>
    <row r="283" spans="1:5" x14ac:dyDescent="0.25">
      <c r="A283" t="s">
        <v>535</v>
      </c>
    </row>
    <row r="284" spans="1:5" x14ac:dyDescent="0.25">
      <c r="A284" t="s">
        <v>546</v>
      </c>
    </row>
    <row r="285" spans="1:5" x14ac:dyDescent="0.25">
      <c r="A285" t="s">
        <v>882</v>
      </c>
    </row>
    <row r="286" spans="1:5" x14ac:dyDescent="0.25">
      <c r="A286" t="s">
        <v>547</v>
      </c>
    </row>
    <row r="287" spans="1:5" x14ac:dyDescent="0.25">
      <c r="A287" t="s">
        <v>848</v>
      </c>
    </row>
    <row r="288" spans="1:5" x14ac:dyDescent="0.25">
      <c r="A288" t="s">
        <v>549</v>
      </c>
    </row>
    <row r="289" spans="1:1" x14ac:dyDescent="0.25">
      <c r="A289" t="s">
        <v>991</v>
      </c>
    </row>
    <row r="290" spans="1:1" x14ac:dyDescent="0.25">
      <c r="A290" t="s">
        <v>543</v>
      </c>
    </row>
    <row r="291" spans="1:1" x14ac:dyDescent="0.25">
      <c r="A291" t="s">
        <v>544</v>
      </c>
    </row>
    <row r="292" spans="1:1" x14ac:dyDescent="0.25">
      <c r="A292" t="s">
        <v>545</v>
      </c>
    </row>
    <row r="293" spans="1:1" x14ac:dyDescent="0.25">
      <c r="A293" t="s">
        <v>1007</v>
      </c>
    </row>
    <row r="294" spans="1:1" x14ac:dyDescent="0.25">
      <c r="A294" t="s">
        <v>849</v>
      </c>
    </row>
    <row r="295" spans="1:1" x14ac:dyDescent="0.25">
      <c r="A295" t="s">
        <v>550</v>
      </c>
    </row>
    <row r="296" spans="1:1" x14ac:dyDescent="0.25">
      <c r="A296" s="39" t="s">
        <v>984</v>
      </c>
    </row>
    <row r="297" spans="1:1" x14ac:dyDescent="0.25">
      <c r="A297" t="s">
        <v>551</v>
      </c>
    </row>
    <row r="298" spans="1:1" x14ac:dyDescent="0.25">
      <c r="A298" t="s">
        <v>552</v>
      </c>
    </row>
    <row r="299" spans="1:1" x14ac:dyDescent="0.25">
      <c r="A299" t="s">
        <v>554</v>
      </c>
    </row>
    <row r="300" spans="1:1" x14ac:dyDescent="0.25">
      <c r="A300" t="s">
        <v>555</v>
      </c>
    </row>
    <row r="301" spans="1:1" x14ac:dyDescent="0.25">
      <c r="A301" t="s">
        <v>556</v>
      </c>
    </row>
    <row r="302" spans="1:1" x14ac:dyDescent="0.25">
      <c r="A302" t="s">
        <v>557</v>
      </c>
    </row>
    <row r="303" spans="1:1" x14ac:dyDescent="0.25">
      <c r="A303" t="s">
        <v>839</v>
      </c>
    </row>
    <row r="304" spans="1:1" x14ac:dyDescent="0.25">
      <c r="A304" t="s">
        <v>558</v>
      </c>
    </row>
    <row r="305" spans="1:1" x14ac:dyDescent="0.25">
      <c r="A305" t="s">
        <v>559</v>
      </c>
    </row>
    <row r="306" spans="1:1" x14ac:dyDescent="0.25">
      <c r="A306" t="s">
        <v>1008</v>
      </c>
    </row>
    <row r="307" spans="1:1" x14ac:dyDescent="0.25">
      <c r="A307" t="s">
        <v>560</v>
      </c>
    </row>
    <row r="308" spans="1:1" x14ac:dyDescent="0.25">
      <c r="A308" t="s">
        <v>561</v>
      </c>
    </row>
    <row r="309" spans="1:1" x14ac:dyDescent="0.25">
      <c r="A309" t="s">
        <v>562</v>
      </c>
    </row>
    <row r="310" spans="1:1" x14ac:dyDescent="0.25">
      <c r="A310" t="s">
        <v>563</v>
      </c>
    </row>
    <row r="311" spans="1:1" x14ac:dyDescent="0.25">
      <c r="A311" t="s">
        <v>564</v>
      </c>
    </row>
    <row r="312" spans="1:1" x14ac:dyDescent="0.25">
      <c r="A312" t="s">
        <v>565</v>
      </c>
    </row>
    <row r="313" spans="1:1" x14ac:dyDescent="0.25">
      <c r="A313" t="s">
        <v>566</v>
      </c>
    </row>
    <row r="314" spans="1:1" x14ac:dyDescent="0.25">
      <c r="A314" t="s">
        <v>567</v>
      </c>
    </row>
    <row r="315" spans="1:1" x14ac:dyDescent="0.25">
      <c r="A315" t="s">
        <v>568</v>
      </c>
    </row>
    <row r="316" spans="1:1" x14ac:dyDescent="0.25">
      <c r="A316" t="s">
        <v>569</v>
      </c>
    </row>
    <row r="317" spans="1:1" x14ac:dyDescent="0.25">
      <c r="A317" t="s">
        <v>570</v>
      </c>
    </row>
    <row r="318" spans="1:1" x14ac:dyDescent="0.25">
      <c r="A318" t="s">
        <v>573</v>
      </c>
    </row>
    <row r="319" spans="1:1" x14ac:dyDescent="0.25">
      <c r="A319" t="s">
        <v>574</v>
      </c>
    </row>
    <row r="320" spans="1:1" x14ac:dyDescent="0.25">
      <c r="A320" t="s">
        <v>575</v>
      </c>
    </row>
    <row r="321" spans="1:1" x14ac:dyDescent="0.25">
      <c r="A321" s="39" t="s">
        <v>985</v>
      </c>
    </row>
    <row r="322" spans="1:1" x14ac:dyDescent="0.25">
      <c r="A322" t="s">
        <v>577</v>
      </c>
    </row>
    <row r="323" spans="1:1" x14ac:dyDescent="0.25">
      <c r="A323" t="s">
        <v>571</v>
      </c>
    </row>
    <row r="324" spans="1:1" x14ac:dyDescent="0.25">
      <c r="A324" t="s">
        <v>572</v>
      </c>
    </row>
    <row r="325" spans="1:1" x14ac:dyDescent="0.25">
      <c r="A325" t="s">
        <v>856</v>
      </c>
    </row>
    <row r="326" spans="1:1" x14ac:dyDescent="0.25">
      <c r="A326" t="s">
        <v>893</v>
      </c>
    </row>
    <row r="327" spans="1:1" x14ac:dyDescent="0.25">
      <c r="A327" t="s">
        <v>579</v>
      </c>
    </row>
    <row r="328" spans="1:1" x14ac:dyDescent="0.25">
      <c r="A328" t="s">
        <v>855</v>
      </c>
    </row>
    <row r="329" spans="1:1" x14ac:dyDescent="0.25">
      <c r="A329" t="s">
        <v>854</v>
      </c>
    </row>
    <row r="330" spans="1:1" x14ac:dyDescent="0.25">
      <c r="A330" t="s">
        <v>861</v>
      </c>
    </row>
    <row r="331" spans="1:1" x14ac:dyDescent="0.25">
      <c r="A331" t="s">
        <v>581</v>
      </c>
    </row>
    <row r="332" spans="1:1" x14ac:dyDescent="0.25">
      <c r="A332" t="s">
        <v>583</v>
      </c>
    </row>
    <row r="333" spans="1:1" x14ac:dyDescent="0.25">
      <c r="A333" t="s">
        <v>584</v>
      </c>
    </row>
    <row r="334" spans="1:1" x14ac:dyDescent="0.25">
      <c r="A334" t="s">
        <v>850</v>
      </c>
    </row>
    <row r="335" spans="1:1" x14ac:dyDescent="0.25">
      <c r="A335" t="s">
        <v>585</v>
      </c>
    </row>
    <row r="336" spans="1:1" x14ac:dyDescent="0.25">
      <c r="A336" t="s">
        <v>586</v>
      </c>
    </row>
    <row r="337" spans="1:1" x14ac:dyDescent="0.25">
      <c r="A337" t="s">
        <v>587</v>
      </c>
    </row>
    <row r="338" spans="1:1" x14ac:dyDescent="0.25">
      <c r="A338" t="s">
        <v>592</v>
      </c>
    </row>
    <row r="339" spans="1:1" x14ac:dyDescent="0.25">
      <c r="A339" t="s">
        <v>593</v>
      </c>
    </row>
    <row r="340" spans="1:1" x14ac:dyDescent="0.25">
      <c r="A340" t="s">
        <v>883</v>
      </c>
    </row>
    <row r="341" spans="1:1" x14ac:dyDescent="0.25">
      <c r="A341" t="s">
        <v>588</v>
      </c>
    </row>
    <row r="342" spans="1:1" x14ac:dyDescent="0.25">
      <c r="A342" t="s">
        <v>589</v>
      </c>
    </row>
    <row r="343" spans="1:1" x14ac:dyDescent="0.25">
      <c r="A343" t="s">
        <v>1009</v>
      </c>
    </row>
    <row r="344" spans="1:1" x14ac:dyDescent="0.25">
      <c r="A344" t="s">
        <v>590</v>
      </c>
    </row>
    <row r="345" spans="1:1" x14ac:dyDescent="0.25">
      <c r="A345" t="s">
        <v>591</v>
      </c>
    </row>
    <row r="346" spans="1:1" x14ac:dyDescent="0.25">
      <c r="A346" t="s">
        <v>594</v>
      </c>
    </row>
    <row r="347" spans="1:1" x14ac:dyDescent="0.25">
      <c r="A347" t="s">
        <v>595</v>
      </c>
    </row>
    <row r="348" spans="1:1" x14ac:dyDescent="0.25">
      <c r="A348" t="s">
        <v>596</v>
      </c>
    </row>
    <row r="349" spans="1:1" x14ac:dyDescent="0.25">
      <c r="A349" t="s">
        <v>858</v>
      </c>
    </row>
    <row r="350" spans="1:1" x14ac:dyDescent="0.25">
      <c r="A350" t="s">
        <v>859</v>
      </c>
    </row>
    <row r="351" spans="1:1" x14ac:dyDescent="0.25">
      <c r="A351" t="s">
        <v>598</v>
      </c>
    </row>
    <row r="352" spans="1:1" x14ac:dyDescent="0.25">
      <c r="A352" t="s">
        <v>600</v>
      </c>
    </row>
    <row r="353" spans="1:1" x14ac:dyDescent="0.25">
      <c r="A353" t="s">
        <v>601</v>
      </c>
    </row>
    <row r="354" spans="1:1" x14ac:dyDescent="0.25">
      <c r="A354" t="s">
        <v>602</v>
      </c>
    </row>
    <row r="355" spans="1:1" x14ac:dyDescent="0.25">
      <c r="A355" t="s">
        <v>603</v>
      </c>
    </row>
    <row r="356" spans="1:1" x14ac:dyDescent="0.25">
      <c r="A356" t="s">
        <v>604</v>
      </c>
    </row>
    <row r="357" spans="1:1" x14ac:dyDescent="0.25">
      <c r="A357" t="s">
        <v>605</v>
      </c>
    </row>
    <row r="358" spans="1:1" x14ac:dyDescent="0.25">
      <c r="A358" t="s">
        <v>606</v>
      </c>
    </row>
    <row r="359" spans="1:1" x14ac:dyDescent="0.25">
      <c r="A359" t="s">
        <v>611</v>
      </c>
    </row>
    <row r="360" spans="1:1" x14ac:dyDescent="0.25">
      <c r="A360" t="s">
        <v>607</v>
      </c>
    </row>
    <row r="361" spans="1:1" x14ac:dyDescent="0.25">
      <c r="A361" t="s">
        <v>608</v>
      </c>
    </row>
    <row r="362" spans="1:1" x14ac:dyDescent="0.25">
      <c r="A362" t="s">
        <v>609</v>
      </c>
    </row>
    <row r="363" spans="1:1" x14ac:dyDescent="0.25">
      <c r="A363" t="s">
        <v>610</v>
      </c>
    </row>
    <row r="364" spans="1:1" x14ac:dyDescent="0.25">
      <c r="A364" t="s">
        <v>612</v>
      </c>
    </row>
    <row r="365" spans="1:1" x14ac:dyDescent="0.25">
      <c r="A365" t="s">
        <v>613</v>
      </c>
    </row>
    <row r="366" spans="1:1" x14ac:dyDescent="0.25">
      <c r="A366" t="s">
        <v>614</v>
      </c>
    </row>
    <row r="367" spans="1:1" x14ac:dyDescent="0.25">
      <c r="A367" t="s">
        <v>615</v>
      </c>
    </row>
    <row r="368" spans="1:1" x14ac:dyDescent="0.25">
      <c r="A368" t="s">
        <v>616</v>
      </c>
    </row>
    <row r="369" spans="1:1" x14ac:dyDescent="0.25">
      <c r="A369" t="s">
        <v>617</v>
      </c>
    </row>
    <row r="370" spans="1:1" x14ac:dyDescent="0.25">
      <c r="A370" t="s">
        <v>618</v>
      </c>
    </row>
    <row r="371" spans="1:1" x14ac:dyDescent="0.25">
      <c r="A371" t="s">
        <v>880</v>
      </c>
    </row>
    <row r="372" spans="1:1" x14ac:dyDescent="0.25">
      <c r="A372" t="s">
        <v>860</v>
      </c>
    </row>
    <row r="373" spans="1:1" x14ac:dyDescent="0.25">
      <c r="A373" t="s">
        <v>619</v>
      </c>
    </row>
    <row r="374" spans="1:1" x14ac:dyDescent="0.25">
      <c r="A374" t="s">
        <v>621</v>
      </c>
    </row>
    <row r="382" spans="1:1" x14ac:dyDescent="0.25">
      <c r="A382" s="234"/>
    </row>
  </sheetData>
  <sortState ref="E2:G475">
    <sortCondition ref="G2"/>
  </sortState>
  <customSheetViews>
    <customSheetView guid="{42F19D52-E208-414F-9E2E-506DF902926F}">
      <selection activeCell="A2" sqref="A2:A373"/>
      <pageMargins left="0.7" right="0.7" top="0.75" bottom="0.75" header="0.3" footer="0.3"/>
      <pageSetup orientation="portrait" r:id="rId1"/>
    </customSheetView>
    <customSheetView guid="{BE266B8E-38B0-4631-9C30-67CA48A8BD7F}" topLeftCell="A341">
      <selection activeCell="A2" sqref="A2:A373"/>
      <pageMargins left="0.7" right="0.7" top="0.75" bottom="0.75" header="0.3" footer="0.3"/>
      <pageSetup orientation="portrait" r:id="rId2"/>
    </customSheetView>
    <customSheetView guid="{BD1DF852-269B-4C2F-AF89-1FA576EA4603}">
      <selection activeCell="A2" sqref="A2"/>
      <pageMargins left="0.7" right="0.7" top="0.75" bottom="0.75" header="0.3" footer="0.3"/>
      <pageSetup orientation="portrait" r:id="rId3"/>
    </customSheetView>
    <customSheetView guid="{C8D72D7B-AEA0-45E3-A14B-3F039B04C62C}">
      <pageMargins left="0.7" right="0.7" top="0.75" bottom="0.75" header="0.3" footer="0.3"/>
      <pageSetup orientation="portrait" r:id="rId4"/>
    </customSheetView>
    <customSheetView guid="{6A3B2C41-2DBC-4B17-AB58-12C85E3A6B8A}">
      <pageMargins left="0.7" right="0.7" top="0.75" bottom="0.75" header="0.3" footer="0.3"/>
      <pageSetup orientation="portrait" r:id="rId5"/>
    </customSheetView>
    <customSheetView guid="{9DC468DE-D883-45B4-B188-265B9DA68425}">
      <selection activeCell="E3" sqref="E3"/>
      <pageMargins left="0.7" right="0.7" top="0.75" bottom="0.75" header="0.3" footer="0.3"/>
      <pageSetup orientation="portrait" r:id="rId6"/>
    </customSheetView>
    <customSheetView guid="{6960175A-17E1-4BDD-98F7-6E9A590B8B7F}">
      <selection activeCell="E3" sqref="E3"/>
      <pageMargins left="0.7" right="0.7" top="0.75" bottom="0.75" header="0.3" footer="0.3"/>
      <pageSetup orientation="portrait" r:id="rId7"/>
    </customSheetView>
    <customSheetView guid="{DB365F32-166D-4348-BCE9-F0F1DB0B73A9}">
      <selection activeCell="E3" sqref="E3"/>
      <pageMargins left="0.7" right="0.7" top="0.75" bottom="0.75" header="0.3" footer="0.3"/>
      <pageSetup orientation="portrait" r:id="rId8"/>
    </customSheetView>
    <customSheetView guid="{6EDF2E63-E51E-449A-B1C5-EFB1FD6A259C}">
      <selection activeCell="E3" sqref="E3"/>
      <pageMargins left="0.7" right="0.7" top="0.75" bottom="0.75" header="0.3" footer="0.3"/>
      <pageSetup orientation="portrait" r:id="rId9"/>
    </customSheetView>
    <customSheetView guid="{46B088B4-7F51-4D35-9F00-2268626FA819}">
      <selection activeCell="E3" sqref="E3"/>
      <pageMargins left="0.7" right="0.7" top="0.75" bottom="0.75" header="0.3" footer="0.3"/>
      <pageSetup orientation="portrait" r:id="rId10"/>
    </customSheetView>
    <customSheetView guid="{BC153CFA-E879-4863-BF97-64855FD940E5}">
      <pageMargins left="0.7" right="0.7" top="0.75" bottom="0.75" header="0.3" footer="0.3"/>
      <pageSetup orientation="portrait" r:id="rId11"/>
    </customSheetView>
  </customSheetViews>
  <pageMargins left="0.7" right="0.7" top="0.75" bottom="0.75" header="0.3" footer="0.3"/>
  <pageSetup orientation="portrait" r:id="rId1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D24" sqref="D24"/>
    </sheetView>
  </sheetViews>
  <sheetFormatPr defaultRowHeight="15" x14ac:dyDescent="0.25"/>
  <cols>
    <col min="1" max="1" width="11.28515625" style="271" customWidth="1"/>
    <col min="2" max="3" width="9.140625" style="271"/>
    <col min="4" max="4" width="36.42578125" style="271" customWidth="1"/>
  </cols>
  <sheetData>
    <row r="1" spans="1:4" x14ac:dyDescent="0.25">
      <c r="A1" s="271" t="s">
        <v>897</v>
      </c>
      <c r="B1" s="271" t="s">
        <v>898</v>
      </c>
      <c r="C1" s="271" t="s">
        <v>76</v>
      </c>
      <c r="D1" s="271" t="s">
        <v>899</v>
      </c>
    </row>
  </sheetData>
  <customSheetViews>
    <customSheetView guid="{42F19D52-E208-414F-9E2E-506DF902926F}">
      <selection activeCell="D24" sqref="D24"/>
      <pageMargins left="0.7" right="0.7" top="0.75" bottom="0.75" header="0.3" footer="0.3"/>
      <pageSetup orientation="portrait" r:id="rId1"/>
    </customSheetView>
    <customSheetView guid="{BE266B8E-38B0-4631-9C30-67CA48A8BD7F}">
      <selection activeCell="D24" sqref="D24"/>
      <pageMargins left="0.7" right="0.7" top="0.75" bottom="0.75" header="0.3" footer="0.3"/>
      <pageSetup orientation="portrait" r:id="rId2"/>
    </customSheetView>
    <customSheetView guid="{BD1DF852-269B-4C2F-AF89-1FA576EA4603}">
      <selection activeCell="D24" sqref="D24"/>
      <pageMargins left="0.7" right="0.7" top="0.75" bottom="0.75" header="0.3" footer="0.3"/>
      <pageSetup orientation="portrait" r:id="rId3"/>
    </customSheetView>
    <customSheetView guid="{C8D72D7B-AEA0-45E3-A14B-3F039B04C62C}">
      <selection activeCell="H29" sqref="H29"/>
      <pageMargins left="0.7" right="0.7" top="0.75" bottom="0.75" header="0.3" footer="0.3"/>
    </customSheetView>
    <customSheetView guid="{BC153CFA-E879-4863-BF97-64855FD940E5}">
      <selection activeCell="H29" sqref="H29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42F19D52-E208-414F-9E2E-506DF902926F}" state="hidden">
      <pageMargins left="0.7" right="0.7" top="0.75" bottom="0.75" header="0.3" footer="0.3"/>
    </customSheetView>
    <customSheetView guid="{BE266B8E-38B0-4631-9C30-67CA48A8BD7F}" state="hidden">
      <pageMargins left="0.7" right="0.7" top="0.75" bottom="0.75" header="0.3" footer="0.3"/>
    </customSheetView>
    <customSheetView guid="{BD1DF852-269B-4C2F-AF89-1FA576EA4603}" state="hidden">
      <pageMargins left="0.7" right="0.7" top="0.75" bottom="0.75" header="0.3" footer="0.3"/>
    </customSheetView>
    <customSheetView guid="{C8D72D7B-AEA0-45E3-A14B-3F039B04C62C}" state="hidden">
      <pageMargins left="0.7" right="0.7" top="0.75" bottom="0.75" header="0.3" footer="0.3"/>
    </customSheetView>
    <customSheetView guid="{BC153CFA-E879-4863-BF97-64855FD940E5}" state="hidden">
      <pageMargins left="0.7" right="0.7" top="0.75" bottom="0.75" header="0.3" footer="0.3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5F6030A2FA2A4681A58F0B5BFA097B" ma:contentTypeVersion="15" ma:contentTypeDescription="Create a new document." ma:contentTypeScope="" ma:versionID="eee3e489b969c262403037e5fa3d627a">
  <xsd:schema xmlns:xsd="http://www.w3.org/2001/XMLSchema" xmlns:xs="http://www.w3.org/2001/XMLSchema" xmlns:p="http://schemas.microsoft.com/office/2006/metadata/properties" xmlns:ns2="a7bc11af-f039-4d93-8f95-80c6608d4e90" xmlns:ns3="95c3dddf-4ab4-484b-bfa1-fbb03971aec5" targetNamespace="http://schemas.microsoft.com/office/2006/metadata/properties" ma:root="true" ma:fieldsID="720fa2ad0e8ccc11fdbe94977815c0fa" ns2:_="" ns3:_="">
    <xsd:import namespace="a7bc11af-f039-4d93-8f95-80c6608d4e90"/>
    <xsd:import namespace="95c3dddf-4ab4-484b-bfa1-fbb03971ae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11af-f039-4d93-8f95-80c6608d4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5c46f5-07aa-4fd7-9d87-3e3f7311e7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3dddf-4ab4-484b-bfa1-fbb03971ae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77bc63-6253-43c3-95f5-2ec04d7c738c}" ma:internalName="TaxCatchAll" ma:showField="CatchAllData" ma:web="95c3dddf-4ab4-484b-bfa1-fbb03971a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c3dddf-4ab4-484b-bfa1-fbb03971aec5" xsi:nil="true"/>
    <lcf76f155ced4ddcb4097134ff3c332f xmlns="a7bc11af-f039-4d93-8f95-80c6608d4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0448CF-90B3-48D6-A733-16A6C41962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D9F8A2-BF24-4528-8C41-F06FEFCA9960}"/>
</file>

<file path=customXml/itemProps3.xml><?xml version="1.0" encoding="utf-8"?>
<ds:datastoreItem xmlns:ds="http://schemas.openxmlformats.org/officeDocument/2006/customXml" ds:itemID="{07405446-8E86-4328-82F1-3D6A332C6500}">
  <ds:schemaRefs>
    <ds:schemaRef ds:uri="http://purl.org/dc/terms/"/>
    <ds:schemaRef ds:uri="a7bc11af-f039-4d93-8f95-80c6608d4e90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95c3dddf-4ab4-484b-bfa1-fbb03971aec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236</vt:i4>
      </vt:variant>
    </vt:vector>
  </HeadingPairs>
  <TitlesOfParts>
    <vt:vector size="251" baseType="lpstr">
      <vt:lpstr>Team Info</vt:lpstr>
      <vt:lpstr>Team Personnel</vt:lpstr>
      <vt:lpstr>Roster</vt:lpstr>
      <vt:lpstr>Lineup</vt:lpstr>
      <vt:lpstr>Player Stats</vt:lpstr>
      <vt:lpstr>Season Stats</vt:lpstr>
      <vt:lpstr>Team Stats</vt:lpstr>
      <vt:lpstr>Upcoming Schedule</vt:lpstr>
      <vt:lpstr>Team Heroes</vt:lpstr>
      <vt:lpstr>Team Users</vt:lpstr>
      <vt:lpstr>Player Heroes</vt:lpstr>
      <vt:lpstr>Player Users</vt:lpstr>
      <vt:lpstr>LOGOS</vt:lpstr>
      <vt:lpstr>GIC User Messages</vt:lpstr>
      <vt:lpstr>Sheet2</vt:lpstr>
      <vt:lpstr>ACTIONSHOT</vt:lpstr>
      <vt:lpstr>AGE</vt:lpstr>
      <vt:lpstr>BIO_HEADER</vt:lpstr>
      <vt:lpstr>CAT_1</vt:lpstr>
      <vt:lpstr>CAT_1_HILITE</vt:lpstr>
      <vt:lpstr>CAT_2</vt:lpstr>
      <vt:lpstr>CAT_2_HILITE</vt:lpstr>
      <vt:lpstr>CAT_3</vt:lpstr>
      <vt:lpstr>CAT_3_HILITE</vt:lpstr>
      <vt:lpstr>CBB_3PT</vt:lpstr>
      <vt:lpstr>CBB_ASSISTS</vt:lpstr>
      <vt:lpstr>CBB_BLOCKS</vt:lpstr>
      <vt:lpstr>CBB_FIELD_GOALS</vt:lpstr>
      <vt:lpstr>CBB_FT</vt:lpstr>
      <vt:lpstr>CBB_MINUTES</vt:lpstr>
      <vt:lpstr>CBB_POINTS</vt:lpstr>
      <vt:lpstr>CBB_REBOUNDS</vt:lpstr>
      <vt:lpstr>CBB_SEASON_3PT_FG_STAT</vt:lpstr>
      <vt:lpstr>CBB_SEASON_FT_STAT</vt:lpstr>
      <vt:lpstr>CBB_STEALS</vt:lpstr>
      <vt:lpstr>COACH_DEF_FIRST</vt:lpstr>
      <vt:lpstr>COACH_DEF_LAST</vt:lpstr>
      <vt:lpstr>COACH_DEF_TEXT</vt:lpstr>
      <vt:lpstr>COACH_HEAD_DROP</vt:lpstr>
      <vt:lpstr>COACH_HEAD_FIRST</vt:lpstr>
      <vt:lpstr>COACH_HEAD_FULL</vt:lpstr>
      <vt:lpstr>COACH_HEAD_HEADER</vt:lpstr>
      <vt:lpstr>COACH_HEAD_LAST</vt:lpstr>
      <vt:lpstr>COACH_HEAD_TEXT</vt:lpstr>
      <vt:lpstr>COACH_OFF_DROP</vt:lpstr>
      <vt:lpstr>COACH_OFF_FIRST</vt:lpstr>
      <vt:lpstr>COACH_OFF_FULL</vt:lpstr>
      <vt:lpstr>COACH_OFF_HEADER</vt:lpstr>
      <vt:lpstr>COACH_OFF_LAST</vt:lpstr>
      <vt:lpstr>COACH_OFF_TEXT</vt:lpstr>
      <vt:lpstr>COACH_RESUME_DROP</vt:lpstr>
      <vt:lpstr>COACH_RESUME_LINE1</vt:lpstr>
      <vt:lpstr>COACH_RESUME_LINE2</vt:lpstr>
      <vt:lpstr>COACH_RESUME_LINE3</vt:lpstr>
      <vt:lpstr>COACH_RESUME_LINE4</vt:lpstr>
      <vt:lpstr>COACH_RESUME_ROWS</vt:lpstr>
      <vt:lpstr>COACH_RESUME_SUBTITLE</vt:lpstr>
      <vt:lpstr>COACH_RESUME_TITLE</vt:lpstr>
      <vt:lpstr>CONFERENCE_LOGOS</vt:lpstr>
      <vt:lpstr>DASH_SWATCH</vt:lpstr>
      <vt:lpstr>ESPN100</vt:lpstr>
      <vt:lpstr>GENERIC_SWATCHES</vt:lpstr>
      <vt:lpstr>HEADER</vt:lpstr>
      <vt:lpstr>HEADSHOT</vt:lpstr>
      <vt:lpstr>HEIGHT</vt:lpstr>
      <vt:lpstr>HERO_1_DROP</vt:lpstr>
      <vt:lpstr>HERO_1_HEADER</vt:lpstr>
      <vt:lpstr>HERO_1_INFO</vt:lpstr>
      <vt:lpstr>HERO_USER</vt:lpstr>
      <vt:lpstr>HERO_USER2</vt:lpstr>
      <vt:lpstr>HERO_USER3</vt:lpstr>
      <vt:lpstr>HERO_USER4</vt:lpstr>
      <vt:lpstr>HOMETOWN</vt:lpstr>
      <vt:lpstr>JERSEY</vt:lpstr>
      <vt:lpstr>LU_Firstname</vt:lpstr>
      <vt:lpstr>LU_Fullname</vt:lpstr>
      <vt:lpstr>LU_Headshot</vt:lpstr>
      <vt:lpstr>LU_Height</vt:lpstr>
      <vt:lpstr>LU_Hometown</vt:lpstr>
      <vt:lpstr>LU_Lastname</vt:lpstr>
      <vt:lpstr>LU_Position</vt:lpstr>
      <vt:lpstr>LU_Position_Short</vt:lpstr>
      <vt:lpstr>LU_Year</vt:lpstr>
      <vt:lpstr>LU_Year_Short</vt:lpstr>
      <vt:lpstr>MAJOR</vt:lpstr>
      <vt:lpstr>NAME_FINIT</vt:lpstr>
      <vt:lpstr>NAME_FIRST</vt:lpstr>
      <vt:lpstr>NAME_FIRST_CAPS</vt:lpstr>
      <vt:lpstr>NAME_FULL</vt:lpstr>
      <vt:lpstr>NAME_FULL_CAPS</vt:lpstr>
      <vt:lpstr>NAME_LAST</vt:lpstr>
      <vt:lpstr>NAME_LAST_CAPS</vt:lpstr>
      <vt:lpstr>NETWORK_LOGOS</vt:lpstr>
      <vt:lpstr>NETWORK_LOGOS_WHITE</vt:lpstr>
      <vt:lpstr>POS</vt:lpstr>
      <vt:lpstr>POS_FULL</vt:lpstr>
      <vt:lpstr>'Season Stats'!Print_Area</vt:lpstr>
      <vt:lpstr>PROMO_TOWER</vt:lpstr>
      <vt:lpstr>ROSTER</vt:lpstr>
      <vt:lpstr>SCHED_AT_VS</vt:lpstr>
      <vt:lpstr>SCHED_DATE</vt:lpstr>
      <vt:lpstr>SCHED_NETWORK</vt:lpstr>
      <vt:lpstr>SCHED_OPPONENT</vt:lpstr>
      <vt:lpstr>SCHED_OPPONENT_LOGO</vt:lpstr>
      <vt:lpstr>SCHED_SUBTITLE</vt:lpstr>
      <vt:lpstr>SCHED_TIME</vt:lpstr>
      <vt:lpstr>SCHED_TITLE</vt:lpstr>
      <vt:lpstr>SEASON_SEL</vt:lpstr>
      <vt:lpstr>SEASON_SEL_COLON</vt:lpstr>
      <vt:lpstr>SEASON_STAT_AVG</vt:lpstr>
      <vt:lpstr>SEASON_STAT_COMBINED</vt:lpstr>
      <vt:lpstr>SEASON_STAT_INFO</vt:lpstr>
      <vt:lpstr>SEASON_STAT_RANK</vt:lpstr>
      <vt:lpstr>SEASON_STAT_RANK_PAREN</vt:lpstr>
      <vt:lpstr>STAT_3PT_PCT</vt:lpstr>
      <vt:lpstr>STAT_FT_PCT</vt:lpstr>
      <vt:lpstr>STAT_HIGHLIGHT_NOTE</vt:lpstr>
      <vt:lpstr>TEAM_1_LINE_DROP</vt:lpstr>
      <vt:lpstr>TEAM_2_LINE_DROP</vt:lpstr>
      <vt:lpstr>TEAM_2_LINE_HEADER</vt:lpstr>
      <vt:lpstr>TEAM_2_LINE_INFO_LINE_1</vt:lpstr>
      <vt:lpstr>TEAM_2_LINE_INFO_LINE_2</vt:lpstr>
      <vt:lpstr>TEAM_BG_COLOR_SELECT</vt:lpstr>
      <vt:lpstr>TEAM_CITY_COLLEGE</vt:lpstr>
      <vt:lpstr>TEAM_DASH_NAME</vt:lpstr>
      <vt:lpstr>TEAM_FULL_NAME</vt:lpstr>
      <vt:lpstr>TEAM_HEADER_INFO</vt:lpstr>
      <vt:lpstr>TEAM_INFO_LINE_1</vt:lpstr>
      <vt:lpstr>TEAM_LOGOS</vt:lpstr>
      <vt:lpstr>TEAM_LOGOTEXT</vt:lpstr>
      <vt:lpstr>TEAM_NICKNAME</vt:lpstr>
      <vt:lpstr>TEAM_RANK</vt:lpstr>
      <vt:lpstr>TEAM_RANK_NAME</vt:lpstr>
      <vt:lpstr>TEAM_RANK_NAME_NICKNAME</vt:lpstr>
      <vt:lpstr>TEAM_RANK_NAME_RECORD</vt:lpstr>
      <vt:lpstr>TEAM_RECORD_OVERALL</vt:lpstr>
      <vt:lpstr>TEAM_SPLIT</vt:lpstr>
      <vt:lpstr>TEAM_SWATCH_SELECT</vt:lpstr>
      <vt:lpstr>TEAM_SWATCH_SELECT_DASH</vt:lpstr>
      <vt:lpstr>TEAM_TRICODE</vt:lpstr>
      <vt:lpstr>TEAM_USERS</vt:lpstr>
      <vt:lpstr>TEAM_USERS2</vt:lpstr>
      <vt:lpstr>TEXT_COLOR</vt:lpstr>
      <vt:lpstr>TODAY_TONIGHT_SEL</vt:lpstr>
      <vt:lpstr>TODAY_TONIGHT_SEL_COLON</vt:lpstr>
      <vt:lpstr>USER_CAT1</vt:lpstr>
      <vt:lpstr>USER_CAT2</vt:lpstr>
      <vt:lpstr>WEIGHT</vt:lpstr>
      <vt:lpstr>YEAR</vt:lpstr>
      <vt:lpstr>YEAR_LONG</vt:lpstr>
      <vt:lpstr>YEAR_LONG_CAPS</vt:lpstr>
      <vt:lpstr>YEAR_SHORT</vt:lpstr>
      <vt:lpstr>ZZZ_PLAYER1</vt:lpstr>
      <vt:lpstr>ZZZ_PLAYER10</vt:lpstr>
      <vt:lpstr>ZZZ_PLAYER11</vt:lpstr>
      <vt:lpstr>ZZZ_PLAYER12</vt:lpstr>
      <vt:lpstr>ZZZ_PLAYER13</vt:lpstr>
      <vt:lpstr>ZZZ_PLAYER14</vt:lpstr>
      <vt:lpstr>ZZZ_PLAYER15</vt:lpstr>
      <vt:lpstr>ZZZ_PLAYER16</vt:lpstr>
      <vt:lpstr>ZZZ_PLAYER17</vt:lpstr>
      <vt:lpstr>ZZZ_PLAYER18</vt:lpstr>
      <vt:lpstr>ZZZ_PLAYER19</vt:lpstr>
      <vt:lpstr>ZZZ_PLAYER2</vt:lpstr>
      <vt:lpstr>ZZZ_PLAYER20</vt:lpstr>
      <vt:lpstr>ZZZ_PLAYER21</vt:lpstr>
      <vt:lpstr>ZZZ_PLAYER22</vt:lpstr>
      <vt:lpstr>ZZZ_PLAYER23</vt:lpstr>
      <vt:lpstr>ZZZ_PLAYER24</vt:lpstr>
      <vt:lpstr>ZZZ_PLAYER25</vt:lpstr>
      <vt:lpstr>ZZZ_PLAYER26</vt:lpstr>
      <vt:lpstr>ZZZ_PLAYER27</vt:lpstr>
      <vt:lpstr>ZZZ_PLAYER28</vt:lpstr>
      <vt:lpstr>ZZZ_PLAYER29</vt:lpstr>
      <vt:lpstr>ZZZ_PLAYER3</vt:lpstr>
      <vt:lpstr>ZZZ_PLAYER30</vt:lpstr>
      <vt:lpstr>ZZZ_PLAYER31</vt:lpstr>
      <vt:lpstr>ZZZ_PLAYER32</vt:lpstr>
      <vt:lpstr>ZZZ_PLAYER33</vt:lpstr>
      <vt:lpstr>ZZZ_PLAYER34</vt:lpstr>
      <vt:lpstr>ZZZ_PLAYER35</vt:lpstr>
      <vt:lpstr>ZZZ_PLAYER36</vt:lpstr>
      <vt:lpstr>ZZZ_PLAYER37</vt:lpstr>
      <vt:lpstr>ZZZ_PLAYER38</vt:lpstr>
      <vt:lpstr>ZZZ_PLAYER39</vt:lpstr>
      <vt:lpstr>ZZZ_PLAYER4</vt:lpstr>
      <vt:lpstr>ZZZ_PLAYER40</vt:lpstr>
      <vt:lpstr>ZZZ_PLAYER41</vt:lpstr>
      <vt:lpstr>ZZZ_PLAYER42</vt:lpstr>
      <vt:lpstr>ZZZ_PLAYER43</vt:lpstr>
      <vt:lpstr>ZZZ_PLAYER44</vt:lpstr>
      <vt:lpstr>ZZZ_PLAYER45</vt:lpstr>
      <vt:lpstr>ZZZ_PLAYER46</vt:lpstr>
      <vt:lpstr>ZZZ_PLAYER47</vt:lpstr>
      <vt:lpstr>ZZZ_PLAYER48</vt:lpstr>
      <vt:lpstr>ZZZ_PLAYER49</vt:lpstr>
      <vt:lpstr>ZZZ_PLAYER5</vt:lpstr>
      <vt:lpstr>ZZZ_PLAYER50</vt:lpstr>
      <vt:lpstr>ZZZ_PLAYER51</vt:lpstr>
      <vt:lpstr>ZZZ_PLAYER52</vt:lpstr>
      <vt:lpstr>ZZZ_PLAYER53</vt:lpstr>
      <vt:lpstr>ZZZ_PLAYER54</vt:lpstr>
      <vt:lpstr>ZZZ_PLAYER55</vt:lpstr>
      <vt:lpstr>ZZZ_PLAYER56</vt:lpstr>
      <vt:lpstr>ZZZ_PLAYER57</vt:lpstr>
      <vt:lpstr>ZZZ_PLAYER58</vt:lpstr>
      <vt:lpstr>ZZZ_PLAYER59</vt:lpstr>
      <vt:lpstr>ZZZ_PLAYER6</vt:lpstr>
      <vt:lpstr>ZZZ_PLAYER60</vt:lpstr>
      <vt:lpstr>ZZZ_PLAYER61</vt:lpstr>
      <vt:lpstr>ZZZ_PLAYER62</vt:lpstr>
      <vt:lpstr>ZZZ_PLAYER63</vt:lpstr>
      <vt:lpstr>ZZZ_PLAYER64</vt:lpstr>
      <vt:lpstr>ZZZ_PLAYER65</vt:lpstr>
      <vt:lpstr>ZZZ_PLAYER66</vt:lpstr>
      <vt:lpstr>ZZZ_PLAYER67</vt:lpstr>
      <vt:lpstr>ZZZ_PLAYER68</vt:lpstr>
      <vt:lpstr>ZZZ_PLAYER69</vt:lpstr>
      <vt:lpstr>ZZZ_PLAYER7</vt:lpstr>
      <vt:lpstr>ZZZ_PLAYER70</vt:lpstr>
      <vt:lpstr>ZZZ_PLAYER71</vt:lpstr>
      <vt:lpstr>ZZZ_PLAYER72</vt:lpstr>
      <vt:lpstr>ZZZ_PLAYER73</vt:lpstr>
      <vt:lpstr>ZZZ_PLAYER74</vt:lpstr>
      <vt:lpstr>ZZZ_PLAYER75</vt:lpstr>
      <vt:lpstr>ZZZ_PLAYER76</vt:lpstr>
      <vt:lpstr>ZZZ_PLAYER77</vt:lpstr>
      <vt:lpstr>ZZZ_PLAYER78</vt:lpstr>
      <vt:lpstr>ZZZ_PLAYER79</vt:lpstr>
      <vt:lpstr>ZZZ_PLAYER8</vt:lpstr>
      <vt:lpstr>ZZZ_PLAYER80</vt:lpstr>
      <vt:lpstr>ZZZ_PLAYER81</vt:lpstr>
      <vt:lpstr>ZZZ_PLAYER82</vt:lpstr>
      <vt:lpstr>ZZZ_PLAYER83</vt:lpstr>
      <vt:lpstr>ZZZ_PLAYER84</vt:lpstr>
      <vt:lpstr>ZZZ_PLAYER85</vt:lpstr>
      <vt:lpstr>ZZZ_PLAYER86</vt:lpstr>
      <vt:lpstr>ZZZ_PLAYER87</vt:lpstr>
      <vt:lpstr>ZZZ_PLAYER88</vt:lpstr>
      <vt:lpstr>ZZZ_PLAYER89</vt:lpstr>
      <vt:lpstr>ZZZ_PLAYER9</vt:lpstr>
      <vt:lpstr>ZZZ_PLAYER90</vt:lpstr>
      <vt:lpstr>ZZZ_PLAYER91</vt:lpstr>
      <vt:lpstr>ZZZ_PLAYER92</vt:lpstr>
      <vt:lpstr>ZZZ_PLAYER93</vt:lpstr>
      <vt:lpstr>ZZZ_PLAYER94</vt:lpstr>
      <vt:lpstr>ZZZ_PLAYER95</vt:lpstr>
      <vt:lpstr>ZZZ_PLAYER96</vt:lpstr>
      <vt:lpstr>ZZZ_PLAYER97</vt:lpstr>
      <vt:lpstr>ZZZ_PLAYER98</vt:lpstr>
      <vt:lpstr>ZZZ_PLAYER99</vt:lpstr>
    </vt:vector>
  </TitlesOfParts>
  <Manager/>
  <Company>ESPN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D Bell</dc:creator>
  <cp:keywords/>
  <dc:description/>
  <cp:lastModifiedBy>Bell, Brian D.</cp:lastModifiedBy>
  <cp:revision/>
  <dcterms:created xsi:type="dcterms:W3CDTF">2019-06-06T15:21:47Z</dcterms:created>
  <dcterms:modified xsi:type="dcterms:W3CDTF">2025-10-29T14:16:55Z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0x010100745F6030A2FA2A4681A58F0B5BFA097B</vt:lpwstr>
  </property>
  <property fmtid="{D5CDD505-2E9C-101B-9397-08002B2CF9AE}" pid="3" name="WorkbookGuid">
    <vt:lpwstr>7c086590-7386-4ea0-b82c-1635c8a74072</vt:lpwstr>
  </property>
  <property fmtid="{D5CDD505-2E9C-101B-9397-08002B2CF9AE}" pid="4" name="MSIP_Label_c62e0584-010f-4004-8a6a-d5c118c8b4bd_Enabled">
    <vt:lpwstr>true</vt:lpwstr>
  </property>
  <property fmtid="{D5CDD505-2E9C-101B-9397-08002B2CF9AE}" pid="5" name="MSIP_Label_c62e0584-010f-4004-8a6a-d5c118c8b4bd_SetDate">
    <vt:lpwstr>2024-10-04T20:42:26Z</vt:lpwstr>
  </property>
  <property fmtid="{D5CDD505-2E9C-101B-9397-08002B2CF9AE}" pid="6" name="MSIP_Label_c62e0584-010f-4004-8a6a-d5c118c8b4bd_Method">
    <vt:lpwstr>Standard</vt:lpwstr>
  </property>
  <property fmtid="{D5CDD505-2E9C-101B-9397-08002B2CF9AE}" pid="7" name="MSIP_Label_c62e0584-010f-4004-8a6a-d5c118c8b4bd_Name">
    <vt:lpwstr>Internal</vt:lpwstr>
  </property>
  <property fmtid="{D5CDD505-2E9C-101B-9397-08002B2CF9AE}" pid="8" name="MSIP_Label_c62e0584-010f-4004-8a6a-d5c118c8b4bd_SiteId">
    <vt:lpwstr>56b731a8-a2ac-4c32-bf6b-616810e913c6</vt:lpwstr>
  </property>
  <property fmtid="{D5CDD505-2E9C-101B-9397-08002B2CF9AE}" pid="9" name="MSIP_Label_c62e0584-010f-4004-8a6a-d5c118c8b4bd_ActionId">
    <vt:lpwstr>c3edef41-1084-4a94-965c-811e305a676b</vt:lpwstr>
  </property>
  <property fmtid="{D5CDD505-2E9C-101B-9397-08002B2CF9AE}" pid="10" name="MSIP_Label_c62e0584-010f-4004-8a6a-d5c118c8b4bd_ContentBits">
    <vt:lpwstr>0</vt:lpwstr>
  </property>
  <property fmtid="{D5CDD505-2E9C-101B-9397-08002B2CF9AE}" pid="11" name="MediaServiceImageTags">
    <vt:lpwstr/>
  </property>
</Properties>
</file>