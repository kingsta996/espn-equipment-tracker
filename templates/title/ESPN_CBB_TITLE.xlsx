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D:\Data\Basketball\"/>
    </mc:Choice>
  </mc:AlternateContent>
  <xr:revisionPtr revIDLastSave="0" documentId="8_{104BCE5E-CFEC-46D8-BA0F-03285E08E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Talent" sheetId="2" r:id="rId2"/>
    <sheet name="Conf Standings" sheetId="3" r:id="rId3"/>
    <sheet name="Top 25" sheetId="4" r:id="rId4"/>
    <sheet name="Game Elements" sheetId="5" r:id="rId5"/>
    <sheet name="Logos" sheetId="6" r:id="rId6"/>
  </sheets>
  <definedNames>
    <definedName name="ANALYST1">Talent!$O$14:$O$24</definedName>
    <definedName name="ANALYST2">Talent!$O$26:$O$36</definedName>
    <definedName name="ANALYST3">Talent!$O$38:$O$48</definedName>
    <definedName name="ANALYST4">Talent!$Q$1:$Q$11</definedName>
    <definedName name="ANALYST5">Talent!$Q$14:$Q$24</definedName>
    <definedName name="CITY_LOCATOR">Main!$E$14:$E$16</definedName>
    <definedName name="CITY_LOCATOR_SHORT">Main!$E$18:$E$20</definedName>
    <definedName name="CLUSTER_SCORE">'Game Elements'!$H$58:$M$91</definedName>
    <definedName name="CONF_BOTTOM_DIVISION">'Conf Standings'!$D$3:$D$4</definedName>
    <definedName name="CONF_LOGOTEXT">'Conf Standings'!$F$8:$F$28</definedName>
    <definedName name="CONF_OVERALL_RECORD">'Conf Standings'!$E$8:$E$28</definedName>
    <definedName name="CONF_RECORD">'Conf Standings'!$D$8:$D$28</definedName>
    <definedName name="CONF_START_ROW">'Conf Standings'!$H$5:$H$8</definedName>
    <definedName name="CONF_TEAM_NAME">'Conf Standings'!$B$8:$B$28</definedName>
    <definedName name="CONF_TEAM_TRICODE">'Conf Standings'!$C$8:$C$28</definedName>
    <definedName name="CONF_TOP_DIVISION">'Conf Standings'!$C$3:$C$4</definedName>
    <definedName name="CONFERENCE_LOGO">'Conf Standings'!$J$1:$J$2</definedName>
    <definedName name="CONFERENCE_LOGOS">Logos!$C$1:$C$50</definedName>
    <definedName name="CONFERENCE_NAME">'Conf Standings'!$B$3:$B$4</definedName>
    <definedName name="GAME_TIME">Main!$E$22:$E$23</definedName>
    <definedName name="HEADER_LOGO">Main!$G$18:$G$19</definedName>
    <definedName name="INTERFACE">Main!$G$24:$G$25</definedName>
    <definedName name="MISC_TALENT1">Talent!$S$14:$S$24</definedName>
    <definedName name="MISC_TALENT2">Talent!$S$26:$S$36</definedName>
    <definedName name="MISC_TALENT3">Talent!$S$38:$S$48</definedName>
    <definedName name="MISC_TALENT4">Talent!$U$1:$U$11</definedName>
    <definedName name="MISC_TALENT5">Talent!$U$14:$U$24</definedName>
    <definedName name="NETWORK_LOGOS">Logos!$E$1:$E$304</definedName>
    <definedName name="NETWORK_LOGOS_WHITE">Logos!$H$1:$H$19</definedName>
    <definedName name="NEWS_NOTES">'Game Elements'!$A$32:$B$51</definedName>
    <definedName name="NUMBER_OF_TALENT">Talent!$N$17:$N$18</definedName>
    <definedName name="PROMO_TOWER1A">'Game Elements'!$A$3:$B$14</definedName>
    <definedName name="PROMO_TOWER1B">'Game Elements'!$A$17:$B$26</definedName>
    <definedName name="PROMO_TOWER2A">'Game Elements'!$D$3:$E$14</definedName>
    <definedName name="PROMO_TOWER2B">'Game Elements'!$D$17:$E$26</definedName>
    <definedName name="REPORTER1">Talent!$Q$26:$Q$36</definedName>
    <definedName name="REPORTER2">Talent!$Q$38:$Q$48</definedName>
    <definedName name="REPORTER3">Talent!$S$1:$S$11</definedName>
    <definedName name="SEASON_RECAP_AWAY">'Game Elements'!$A$59:$B$76</definedName>
    <definedName name="SEASON_RECAP_HOME">'Game Elements'!$D$59:$E$76</definedName>
    <definedName name="SEASON_SEL">Main!$F$10:$F$11</definedName>
    <definedName name="SEASON_SEL_COLON">Main!$F$15:$F$16</definedName>
    <definedName name="SERIES_HISTORY">'Game Elements'!$D$32:$E$52</definedName>
    <definedName name="SHOW_LOGO">Main!$G$9:$G$10</definedName>
    <definedName name="SHOW_LOGO_SEL">Main!$G$5:$G$7</definedName>
    <definedName name="SPORT">Main!$G$21:$G$22</definedName>
    <definedName name="STADIUM_CITY">Main!$E$6:$E$8</definedName>
    <definedName name="STADIUM_CITY_SHORT">Main!$E$10:$E$12</definedName>
    <definedName name="STADIUM_LOCATOR">Main!$E$2:$E$4</definedName>
    <definedName name="SUBTITLE_1A">Main!$D$4:$D$5</definedName>
    <definedName name="SUBTITLE_2A">Main!$D$9:$D$10</definedName>
    <definedName name="TALENT_NETWORK">Talent!$N$11:$N$12</definedName>
    <definedName name="TALENT_PXP">Talent!$O$2:$O$12</definedName>
    <definedName name="TALENT_SUBHEAD">Talent!$N$8:$N$9</definedName>
    <definedName name="TEAM_LOGOS">Logos!$A$1:$A$407</definedName>
    <definedName name="TITLE_1A">Main!$D$2:$D$3</definedName>
    <definedName name="TITLE_2A">Main!$D$7:$D$8</definedName>
    <definedName name="TODAY_TONIGHT_SEL">Main!$F$8:$F$9</definedName>
    <definedName name="TODAY_TONIGHT_SEL_COLON">Main!$F$13:$F$14</definedName>
    <definedName name="TOP_25_AT_VS">'Top 25'!$E$3:$E$28</definedName>
    <definedName name="TOP_25_HEADER">'Top 25'!$M$5:$M$6</definedName>
    <definedName name="TOP_25_LOGOTEXT">'Top 25'!$C$3:$C$28</definedName>
    <definedName name="TOP_25_NETWORK_LOGO">'Top 25'!$K$2:$K$27</definedName>
    <definedName name="TOP_25_OPP_W_L">'Top 25'!$G$3:$G$28</definedName>
    <definedName name="TOP_25_OPPONENT">'Top 25'!$F$3:$F$28</definedName>
    <definedName name="TOP_25_SUBHEAD">'Top 25'!$M$8:$M$9</definedName>
    <definedName name="TOP_25_TEAM">'Top 25'!$B$3:$B$28</definedName>
    <definedName name="TOP_25_TEAMS">'Game Elements'!$I$32:$M$43</definedName>
    <definedName name="TOP_25_TIME">'Top 25'!$H$3:$H$28</definedName>
    <definedName name="TOP_25_W_L">'Top 25'!$D$3:$D$28</definedName>
    <definedName name="TWITTER_HANDLE">Talent!$N$2:$N$3</definedName>
    <definedName name="TWITTER_HASHTAG">Talent!$N$5:$N$6</definedName>
    <definedName name="Z_005802C1_68CA_4815_805E_0B80E75B8A52_.wvu.Cols" localSheetId="2" hidden="1">'Conf Standings'!$H:$J</definedName>
    <definedName name="Z_005802C1_68CA_4815_805E_0B80E75B8A52_.wvu.Cols" localSheetId="4" hidden="1">'Game Elements'!$G:$G</definedName>
    <definedName name="Z_005802C1_68CA_4815_805E_0B80E75B8A52_.wvu.Cols" localSheetId="0" hidden="1">Main!$D:$I</definedName>
    <definedName name="Z_005802C1_68CA_4815_805E_0B80E75B8A52_.wvu.Cols" localSheetId="1" hidden="1">Talent!$D:$S,Talent!$U:$W</definedName>
    <definedName name="Z_005802C1_68CA_4815_805E_0B80E75B8A52_.wvu.Cols" localSheetId="3" hidden="1">'Top 25'!$E:$M</definedName>
    <definedName name="Z_005802C1_68CA_4815_805E_0B80E75B8A52_.wvu.Rows" localSheetId="4" hidden="1">'Game Elements'!$14:$14,'Game Elements'!$26:$26,'Game Elements'!$51:$52,'Game Elements'!$86:$86</definedName>
    <definedName name="Z_005802C1_68CA_4815_805E_0B80E75B8A52_.wvu.Rows" localSheetId="0" hidden="1">Main!$14:$17</definedName>
    <definedName name="Z_005802C1_68CA_4815_805E_0B80E75B8A52_.wvu.Rows" localSheetId="1" hidden="1">Talent!$6:$9,Talent!$11:$18</definedName>
    <definedName name="Z_0728CAE9_F3A2_4700_ACEA_4F34D0D713B6_.wvu.Cols" localSheetId="2" hidden="1">'Conf Standings'!$H:$H,'Conf Standings'!$J:$J</definedName>
    <definedName name="Z_0728CAE9_F3A2_4700_ACEA_4F34D0D713B6_.wvu.Cols" localSheetId="0" hidden="1">Main!$D:$I</definedName>
    <definedName name="Z_0728CAE9_F3A2_4700_ACEA_4F34D0D713B6_.wvu.Cols" localSheetId="1" hidden="1">Talent!$D:$D,Talent!$F:$V</definedName>
    <definedName name="Z_0728CAE9_F3A2_4700_ACEA_4F34D0D713B6_.wvu.Cols" localSheetId="3" hidden="1">'Top 25'!$D:$I,'Top 25'!$K:$K,'Top 25'!$M:$M</definedName>
    <definedName name="Z_0728CAE9_F3A2_4700_ACEA_4F34D0D713B6_.wvu.Rows" localSheetId="1" hidden="1">Talent!$6:$9,Talent!$11:$18</definedName>
    <definedName name="Z_8A0DC7DB_68DC_4168_B04E_DD32ABFE343C_.wvu.Cols" localSheetId="2" hidden="1">'Conf Standings'!$H:$H,'Conf Standings'!$J:$J</definedName>
    <definedName name="Z_8A0DC7DB_68DC_4168_B04E_DD32ABFE343C_.wvu.Cols" localSheetId="4" hidden="1">'Game Elements'!$G:$G</definedName>
    <definedName name="Z_8A0DC7DB_68DC_4168_B04E_DD32ABFE343C_.wvu.Cols" localSheetId="0" hidden="1">Main!$D:$J</definedName>
    <definedName name="Z_8A0DC7DB_68DC_4168_B04E_DD32ABFE343C_.wvu.Cols" localSheetId="1" hidden="1">Talent!$D:$D,Talent!$F:$V</definedName>
    <definedName name="Z_8A0DC7DB_68DC_4168_B04E_DD32ABFE343C_.wvu.Cols" localSheetId="3" hidden="1">'Top 25'!$E:$M</definedName>
    <definedName name="Z_8A0DC7DB_68DC_4168_B04E_DD32ABFE343C_.wvu.Rows" localSheetId="4" hidden="1">'Game Elements'!$14:$14,'Game Elements'!$26:$26,'Game Elements'!$51:$52,'Game Elements'!$86:$86</definedName>
    <definedName name="Z_8A0DC7DB_68DC_4168_B04E_DD32ABFE343C_.wvu.Rows" localSheetId="1" hidden="1">Talent!$6:$9,Talent!$11:$18</definedName>
    <definedName name="Z_D09B7FBD_4C2F_4D51_8650_F30363D61164_.wvu.Cols" localSheetId="2" hidden="1">'Conf Standings'!$H:$J</definedName>
    <definedName name="Z_D09B7FBD_4C2F_4D51_8650_F30363D61164_.wvu.Cols" localSheetId="4" hidden="1">'Game Elements'!$G:$G</definedName>
    <definedName name="Z_D09B7FBD_4C2F_4D51_8650_F30363D61164_.wvu.Cols" localSheetId="0" hidden="1">Main!$D:$I</definedName>
    <definedName name="Z_D09B7FBD_4C2F_4D51_8650_F30363D61164_.wvu.Cols" localSheetId="1" hidden="1">Talent!$D:$D,Talent!$F:$W</definedName>
    <definedName name="Z_D09B7FBD_4C2F_4D51_8650_F30363D61164_.wvu.Cols" localSheetId="3" hidden="1">'Top 25'!$E:$M</definedName>
    <definedName name="Z_D09B7FBD_4C2F_4D51_8650_F30363D61164_.wvu.Rows" localSheetId="4" hidden="1">'Game Elements'!$14:$14,'Game Elements'!$26:$26,'Game Elements'!$51:$52,'Game Elements'!$86:$86</definedName>
    <definedName name="Z_D09B7FBD_4C2F_4D51_8650_F30363D61164_.wvu.Rows" localSheetId="0" hidden="1">Main!$14:$17</definedName>
    <definedName name="Z_D09B7FBD_4C2F_4D51_8650_F30363D61164_.wvu.Rows" localSheetId="1" hidden="1">Talent!$6:$9,Talent!$11:$18</definedName>
    <definedName name="Z_F324CAE3_7548_4FF5_ACBE_288AEC54CC06_.wvu.Cols" localSheetId="2" hidden="1">'Conf Standings'!$H:$H,'Conf Standings'!$J:$J</definedName>
    <definedName name="Z_F324CAE3_7548_4FF5_ACBE_288AEC54CC06_.wvu.Cols" localSheetId="0" hidden="1">Main!$D:$G</definedName>
    <definedName name="Z_F324CAE3_7548_4FF5_ACBE_288AEC54CC06_.wvu.Cols" localSheetId="1" hidden="1">Talent!$N:$O,Talent!$Q:$Q,Talent!$S:$V</definedName>
    <definedName name="Z_F324CAE3_7548_4FF5_ACBE_288AEC54CC06_.wvu.Cols" localSheetId="3" hidden="1">'Top 25'!$K:$K,'Top 25'!$M:$M</definedName>
    <definedName name="Z_F3D34B6E_C033_4619_B79B_F6641D36A08A_.wvu.Cols" localSheetId="2" hidden="1">'Conf Standings'!$H:$J</definedName>
    <definedName name="Z_F3D34B6E_C033_4619_B79B_F6641D36A08A_.wvu.Cols" localSheetId="4" hidden="1">'Game Elements'!$G:$G</definedName>
    <definedName name="Z_F3D34B6E_C033_4619_B79B_F6641D36A08A_.wvu.Cols" localSheetId="0" hidden="1">Main!$D:$I</definedName>
    <definedName name="Z_F3D34B6E_C033_4619_B79B_F6641D36A08A_.wvu.Cols" localSheetId="1" hidden="1">Talent!$D:$W</definedName>
    <definedName name="Z_F3D34B6E_C033_4619_B79B_F6641D36A08A_.wvu.Cols" localSheetId="3" hidden="1">'Top 25'!$E:$M</definedName>
    <definedName name="Z_F3D34B6E_C033_4619_B79B_F6641D36A08A_.wvu.Rows" localSheetId="4" hidden="1">'Game Elements'!$14:$14,'Game Elements'!$26:$26,'Game Elements'!$51:$52,'Game Elements'!$86:$86</definedName>
    <definedName name="Z_F3D34B6E_C033_4619_B79B_F6641D36A08A_.wvu.Rows" localSheetId="0" hidden="1">Main!$14:$17</definedName>
    <definedName name="Z_F3D34B6E_C033_4619_B79B_F6641D36A08A_.wvu.Rows" localSheetId="1" hidden="1">Talent!$6:$9,Talent!$11:$18</definedName>
    <definedName name="ZZZ_CONFERENCE_LOGO">Logos!$C$2:$C$50</definedName>
    <definedName name="ZZZ_NETWORK_LOGO">Logos!$E$2:$E$196</definedName>
    <definedName name="ZZZ_SHOW_LOGO_LIST">Logos!$G$2:$G$151</definedName>
    <definedName name="ZZZ_TEAM_LOGO">Logos!$A$2:$A$407</definedName>
  </definedNames>
  <calcPr calcId="191028"/>
  <customWorkbookViews>
    <customWorkbookView name="Bell, Brian D. - Personal View" guid="{F3D34B6E-C033-4619-B79B-F6641D36A08A}" mergeInterval="0" personalView="1" xWindow="1953" yWindow="38" windowWidth="1662" windowHeight="994" activeSheetId="1"/>
    <customWorkbookView name="Brian Bell - Personal View" guid="{D09B7FBD-4C2F-4D51-8650-F30363D61164}" mergeInterval="0" personalView="1" maximized="1" xWindow="-8" yWindow="-8" windowWidth="1936" windowHeight="1048" activeSheetId="1"/>
    <customWorkbookView name="Brian D Bell - Personal View" guid="{8A0DC7DB-68DC-4168-B04E-DD32ABFE343C}" mergeInterval="0" personalView="1" xWindow="139" windowWidth="1781" windowHeight="1050" activeSheetId="1"/>
    <customWorkbookView name="XPression - Personal View" guid="{F324CAE3-7548-4FF5-ACBE-288AEC54CC06}" mergeInterval="0" personalView="1" yWindow="14" windowWidth="1920" windowHeight="1041" activeSheetId="1"/>
    <customWorkbookView name="gfx - Personal View" guid="{0728CAE9-F3A2-4700-ACEA-4F34D0D713B6}" mergeInterval="0" personalView="1" maximized="1" xWindow="-8" yWindow="-8" windowWidth="1936" windowHeight="1176" activeSheetId="5"/>
    <customWorkbookView name="Flood, Megan K. - Personal View" guid="{005802C1-68CA-4815-805E-0B80E75B8A52}" mergeInterval="0" personalView="1" maximized="1" xWindow="-9" yWindow="-9" windowWidth="1938" windowHeight="1048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5" l="1"/>
  <c r="C25" i="5"/>
  <c r="F13" i="5"/>
  <c r="C13" i="5"/>
  <c r="B21" i="2" l="1"/>
  <c r="B23" i="2" s="1"/>
  <c r="C20" i="2"/>
  <c r="C20" i="1" l="1"/>
  <c r="E23" i="1" l="1"/>
  <c r="F28" i="4" l="1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J86" i="5" l="1"/>
  <c r="B51" i="5"/>
  <c r="M36" i="5" l="1"/>
  <c r="E14" i="5" l="1"/>
  <c r="B14" i="5"/>
  <c r="E26" i="5" l="1"/>
  <c r="B26" i="5"/>
  <c r="N12" i="2" l="1"/>
  <c r="O21" i="2"/>
  <c r="O22" i="2"/>
  <c r="O23" i="2"/>
  <c r="O24" i="2"/>
  <c r="O27" i="2"/>
  <c r="O28" i="2"/>
  <c r="C19" i="1" l="1"/>
  <c r="E18" i="2" l="1"/>
  <c r="E17" i="2"/>
  <c r="E16" i="2"/>
  <c r="E15" i="2"/>
  <c r="E14" i="2"/>
  <c r="E12" i="2"/>
  <c r="E11" i="2"/>
  <c r="E10" i="2"/>
  <c r="E8" i="2"/>
  <c r="E7" i="2"/>
  <c r="E6" i="2"/>
  <c r="E5" i="2"/>
  <c r="E4" i="2"/>
  <c r="E2" i="2"/>
  <c r="G25" i="1" l="1"/>
  <c r="G22" i="1"/>
  <c r="N18" i="2" l="1"/>
  <c r="G19" i="1" l="1"/>
  <c r="J2" i="3" l="1"/>
  <c r="M9" i="4"/>
  <c r="M6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3" i="4"/>
  <c r="G10" i="1"/>
  <c r="U24" i="2" l="1"/>
  <c r="U23" i="2"/>
  <c r="U22" i="2"/>
  <c r="U21" i="2"/>
  <c r="U20" i="2"/>
  <c r="U19" i="2"/>
  <c r="U18" i="2"/>
  <c r="U16" i="2"/>
  <c r="U15" i="2"/>
  <c r="U11" i="2"/>
  <c r="U10" i="2"/>
  <c r="U9" i="2"/>
  <c r="U8" i="2"/>
  <c r="U7" i="2"/>
  <c r="U6" i="2"/>
  <c r="U5" i="2"/>
  <c r="U3" i="2"/>
  <c r="U2" i="2"/>
  <c r="S48" i="2"/>
  <c r="S47" i="2"/>
  <c r="S46" i="2"/>
  <c r="S45" i="2"/>
  <c r="S44" i="2"/>
  <c r="S43" i="2"/>
  <c r="S42" i="2"/>
  <c r="S40" i="2"/>
  <c r="S39" i="2"/>
  <c r="S36" i="2"/>
  <c r="S35" i="2"/>
  <c r="S34" i="2"/>
  <c r="S33" i="2"/>
  <c r="S32" i="2"/>
  <c r="S31" i="2"/>
  <c r="S30" i="2"/>
  <c r="S28" i="2"/>
  <c r="S27" i="2"/>
  <c r="S24" i="2"/>
  <c r="S23" i="2"/>
  <c r="S22" i="2"/>
  <c r="S21" i="2"/>
  <c r="S20" i="2"/>
  <c r="S19" i="2"/>
  <c r="S18" i="2"/>
  <c r="S16" i="2"/>
  <c r="S15" i="2"/>
  <c r="S3" i="2"/>
  <c r="S11" i="2"/>
  <c r="S10" i="2"/>
  <c r="S9" i="2"/>
  <c r="S8" i="2"/>
  <c r="S7" i="2"/>
  <c r="S6" i="2"/>
  <c r="S5" i="2"/>
  <c r="S2" i="2"/>
  <c r="Q48" i="2"/>
  <c r="Q47" i="2"/>
  <c r="Q46" i="2"/>
  <c r="Q45" i="2"/>
  <c r="Q44" i="2"/>
  <c r="Q43" i="2"/>
  <c r="Q42" i="2"/>
  <c r="Q40" i="2"/>
  <c r="Q39" i="2"/>
  <c r="Q36" i="2"/>
  <c r="Q35" i="2"/>
  <c r="Q34" i="2"/>
  <c r="Q33" i="2"/>
  <c r="Q32" i="2"/>
  <c r="Q31" i="2"/>
  <c r="Q30" i="2"/>
  <c r="Q28" i="2"/>
  <c r="Q27" i="2"/>
  <c r="Q24" i="2"/>
  <c r="Q23" i="2"/>
  <c r="Q22" i="2"/>
  <c r="Q21" i="2"/>
  <c r="Q20" i="2"/>
  <c r="Q19" i="2"/>
  <c r="Q18" i="2"/>
  <c r="Q16" i="2"/>
  <c r="Q15" i="2"/>
  <c r="Q11" i="2"/>
  <c r="Q10" i="2"/>
  <c r="Q9" i="2"/>
  <c r="Q8" i="2"/>
  <c r="Q7" i="2"/>
  <c r="Q6" i="2"/>
  <c r="Q5" i="2"/>
  <c r="Q3" i="2"/>
  <c r="Q2" i="2"/>
  <c r="O48" i="2"/>
  <c r="O47" i="2"/>
  <c r="O46" i="2"/>
  <c r="O45" i="2"/>
  <c r="O44" i="2"/>
  <c r="O43" i="2"/>
  <c r="O42" i="2"/>
  <c r="O40" i="2"/>
  <c r="S4" i="2"/>
  <c r="O39" i="2"/>
  <c r="O36" i="2" l="1"/>
  <c r="O35" i="2"/>
  <c r="O34" i="2"/>
  <c r="O33" i="2"/>
  <c r="O32" i="2"/>
  <c r="O31" i="2"/>
  <c r="O30" i="2"/>
  <c r="O20" i="2"/>
  <c r="O19" i="2"/>
  <c r="O18" i="2"/>
  <c r="O17" i="2"/>
  <c r="O16" i="2"/>
  <c r="O15" i="2"/>
  <c r="O12" i="2"/>
  <c r="O11" i="2"/>
  <c r="O10" i="2"/>
  <c r="O9" i="2"/>
  <c r="O8" i="2"/>
  <c r="O7" i="2"/>
  <c r="O6" i="2"/>
  <c r="O4" i="2"/>
  <c r="O3" i="2"/>
  <c r="Q17" i="2"/>
  <c r="Q4" i="2"/>
  <c r="O41" i="2"/>
  <c r="O29" i="2"/>
  <c r="N6" i="2"/>
  <c r="N3" i="2"/>
  <c r="G6" i="1"/>
  <c r="G7" i="1" s="1"/>
  <c r="E19" i="1" l="1"/>
  <c r="E20" i="1" s="1"/>
  <c r="E15" i="1"/>
  <c r="E16" i="1" s="1"/>
  <c r="E11" i="1"/>
  <c r="E12" i="1" s="1"/>
  <c r="E7" i="1"/>
  <c r="E8" i="1" s="1"/>
  <c r="E3" i="1"/>
  <c r="E4" i="1" s="1"/>
  <c r="D10" i="1"/>
  <c r="D8" i="1"/>
  <c r="D5" i="1"/>
  <c r="D3" i="1"/>
  <c r="U17" i="2" l="1"/>
  <c r="U4" i="2"/>
  <c r="S41" i="2"/>
  <c r="S29" i="2"/>
  <c r="S17" i="2"/>
  <c r="Q41" i="2"/>
  <c r="Q29" i="2"/>
  <c r="O5" i="2"/>
  <c r="N9" i="2"/>
</calcChain>
</file>

<file path=xl/sharedStrings.xml><?xml version="1.0" encoding="utf-8"?>
<sst xmlns="http://schemas.openxmlformats.org/spreadsheetml/2006/main" count="1514" uniqueCount="1114">
  <si>
    <t>ESPN TITLE SHEET - v2025.1.2</t>
  </si>
  <si>
    <t>Updated: 10/27/2025</t>
  </si>
  <si>
    <t>TITLES</t>
  </si>
  <si>
    <t>LOCATORS</t>
  </si>
  <si>
    <t>TODAY/SEASON SEL</t>
  </si>
  <si>
    <t>SHOW LOGO</t>
  </si>
  <si>
    <t>LOGO SELECT</t>
  </si>
  <si>
    <t>TITLE 1A</t>
  </si>
  <si>
    <t>STADIUM_LOCATOR</t>
  </si>
  <si>
    <t>Season</t>
  </si>
  <si>
    <t>On</t>
  </si>
  <si>
    <t>None</t>
  </si>
  <si>
    <t>Title 1   (ALL CAPS)</t>
  </si>
  <si>
    <t>COLLEGE BASKETBALL</t>
  </si>
  <si>
    <t>Last Season</t>
  </si>
  <si>
    <t>Off</t>
  </si>
  <si>
    <t>ESPN</t>
  </si>
  <si>
    <t>Subtitle 1   (Proper Case)</t>
  </si>
  <si>
    <t>Sub1</t>
  </si>
  <si>
    <t>SUBTITLE 1A</t>
  </si>
  <si>
    <t>LHN</t>
  </si>
  <si>
    <t>Title 2   (ALL CAPS)</t>
  </si>
  <si>
    <t>Title2</t>
  </si>
  <si>
    <t>Today</t>
  </si>
  <si>
    <t>SHOW_LOGO_SEL</t>
  </si>
  <si>
    <t>ACC Network</t>
  </si>
  <si>
    <t>Subtitle 2   (Proper Case)</t>
  </si>
  <si>
    <t>Sub2</t>
  </si>
  <si>
    <t>STADIUM_CITY</t>
  </si>
  <si>
    <t>Tonight</t>
  </si>
  <si>
    <t>SEC Network</t>
  </si>
  <si>
    <t>TITLE 1B</t>
  </si>
  <si>
    <t>SEC Network Plus</t>
  </si>
  <si>
    <t>LOCATOR INFORMATION</t>
  </si>
  <si>
    <t>ACCN Extra</t>
  </si>
  <si>
    <t>Arena Locator</t>
  </si>
  <si>
    <t>Arena Name</t>
  </si>
  <si>
    <t>SUBTITLE 1B</t>
  </si>
  <si>
    <t>SHOW LOGO PATH</t>
  </si>
  <si>
    <t>Big12Now on ESPN+</t>
  </si>
  <si>
    <t>City Locator</t>
  </si>
  <si>
    <t>City, State</t>
  </si>
  <si>
    <t>STADIUM_CITY_SHORT</t>
  </si>
  <si>
    <t>AAC on ESPN+</t>
  </si>
  <si>
    <t>City Locator Short</t>
  </si>
  <si>
    <t>City, ST</t>
  </si>
  <si>
    <t>Game Time (CAPS)</t>
  </si>
  <si>
    <t>COMING UP - 7 ET ON ESPN</t>
  </si>
  <si>
    <t>HEADER_LOGO_LIST</t>
  </si>
  <si>
    <t>SHOW LOGO (LOCATORS / SCOREBOARDS)</t>
  </si>
  <si>
    <t>CITY LOCATOR</t>
  </si>
  <si>
    <t>CONF SELECT</t>
  </si>
  <si>
    <t>Show Logo On/Off</t>
  </si>
  <si>
    <t>Show Logo Select</t>
  </si>
  <si>
    <t>ACC_ON_ESPN</t>
  </si>
  <si>
    <t>ACC</t>
  </si>
  <si>
    <t>Big Ten</t>
  </si>
  <si>
    <t>NETWORK SELECTOR (LOCATORS / SCOREBOARDS)</t>
  </si>
  <si>
    <t>CITY_LOCATOR_SHORT</t>
  </si>
  <si>
    <t>HEADER_LOGO</t>
  </si>
  <si>
    <t>Pac-12</t>
  </si>
  <si>
    <t>Header Logo (Select 0-6)</t>
  </si>
  <si>
    <t>Interface</t>
  </si>
  <si>
    <t>SEC</t>
  </si>
  <si>
    <t>Conference Logo (Select 0-6)</t>
  </si>
  <si>
    <t>Non-interface</t>
  </si>
  <si>
    <t>Big 12</t>
  </si>
  <si>
    <t>SPORT</t>
  </si>
  <si>
    <t>American</t>
  </si>
  <si>
    <t>GAME SETTINGS</t>
  </si>
  <si>
    <t>GAME TIME</t>
  </si>
  <si>
    <t>College</t>
  </si>
  <si>
    <t>EVENT</t>
  </si>
  <si>
    <t>Sport</t>
  </si>
  <si>
    <t>High School</t>
  </si>
  <si>
    <t>Men or Women?</t>
  </si>
  <si>
    <t>Men</t>
  </si>
  <si>
    <t>NBA</t>
  </si>
  <si>
    <t>INTERFACE</t>
  </si>
  <si>
    <t>Interface / Non-interface</t>
  </si>
  <si>
    <t>WNBA</t>
  </si>
  <si>
    <t>ShotTracker Game ID</t>
  </si>
  <si>
    <t>Women</t>
  </si>
  <si>
    <t>FIRST NAME (CAPS)</t>
  </si>
  <si>
    <t>LAST NAME (CAPS)</t>
  </si>
  <si>
    <t>SUFFIX</t>
  </si>
  <si>
    <t>FULL NAME</t>
  </si>
  <si>
    <t>Twitter Handle</t>
  </si>
  <si>
    <t>Specialty1</t>
  </si>
  <si>
    <t>Specialty2</t>
  </si>
  <si>
    <t>Specialty3</t>
  </si>
  <si>
    <t>Specialty4</t>
  </si>
  <si>
    <t>Specialty5</t>
  </si>
  <si>
    <t>Headshot</t>
  </si>
  <si>
    <t>SOCIAL</t>
  </si>
  <si>
    <t>TALENT</t>
  </si>
  <si>
    <t>ANALYST4</t>
  </si>
  <si>
    <t>REPORTER3</t>
  </si>
  <si>
    <t>MISC_TALENT4</t>
  </si>
  <si>
    <t>Play-by-Play</t>
  </si>
  <si>
    <t>FIRST</t>
  </si>
  <si>
    <t>LAST</t>
  </si>
  <si>
    <t>TWITTER HANDLE</t>
  </si>
  <si>
    <t>PXP</t>
  </si>
  <si>
    <t>Analyst 1</t>
  </si>
  <si>
    <t>ANALYST1</t>
  </si>
  <si>
    <t>Analyst 2</t>
  </si>
  <si>
    <t>ANALYST2</t>
  </si>
  <si>
    <t>TWITTER HASHTAG</t>
  </si>
  <si>
    <t>Analyst 3</t>
  </si>
  <si>
    <t>ANALYST</t>
  </si>
  <si>
    <t>THREE</t>
  </si>
  <si>
    <t>NAME</t>
  </si>
  <si>
    <t>Analyst 4</t>
  </si>
  <si>
    <t>FOUR</t>
  </si>
  <si>
    <t>Analyst 5</t>
  </si>
  <si>
    <t>FIVE</t>
  </si>
  <si>
    <t>TALENT SUBHEAD</t>
  </si>
  <si>
    <t>Reporting1</t>
  </si>
  <si>
    <t>REPORTER</t>
  </si>
  <si>
    <t>Reporting2</t>
  </si>
  <si>
    <t>REPORTING</t>
  </si>
  <si>
    <t>TWO</t>
  </si>
  <si>
    <t>TALENT_NETWORK</t>
  </si>
  <si>
    <t>Reporting3</t>
  </si>
  <si>
    <t>Misc Talent</t>
  </si>
  <si>
    <t>CHRIS</t>
  </si>
  <si>
    <t>CARROLL</t>
  </si>
  <si>
    <t>III</t>
  </si>
  <si>
    <t>NETWORK_PATH</t>
  </si>
  <si>
    <t>ANALYST5</t>
  </si>
  <si>
    <t>MISC_TALENT1</t>
  </si>
  <si>
    <t>MISC_TALENT5</t>
  </si>
  <si>
    <t xml:space="preserve">MISC </t>
  </si>
  <si>
    <t>TALENT2</t>
  </si>
  <si>
    <t>D:\IMS IMAGES\NETWORK\PRIMARY\</t>
  </si>
  <si>
    <t>TALENT3</t>
  </si>
  <si>
    <t>TALENT4</t>
  </si>
  <si>
    <t>NUMBER_OF_TALENT</t>
  </si>
  <si>
    <t>TALENT5</t>
  </si>
  <si>
    <t>Talent Network Logo/Swatch</t>
  </si>
  <si>
    <t>Talent Subhead (Network)</t>
  </si>
  <si>
    <t>Talent Subhead (Custom)</t>
  </si>
  <si>
    <t>Talent Subhead</t>
  </si>
  <si>
    <t>Number of Talent in Booth</t>
  </si>
  <si>
    <t>Note: Type only in blue areas</t>
  </si>
  <si>
    <t>REPORTER1</t>
  </si>
  <si>
    <t>MISC_TALENT2</t>
  </si>
  <si>
    <t>CBB Generic</t>
  </si>
  <si>
    <t>College Basketball</t>
  </si>
  <si>
    <t>Longhorn</t>
  </si>
  <si>
    <t>LHN Basketball</t>
  </si>
  <si>
    <t>SECN</t>
  </si>
  <si>
    <t>SEC Network Basketball</t>
  </si>
  <si>
    <t>ACCN</t>
  </si>
  <si>
    <t>ACC Network Basketball</t>
  </si>
  <si>
    <t>American Basketball</t>
  </si>
  <si>
    <t>Big 12 Basketball</t>
  </si>
  <si>
    <t>Custom</t>
  </si>
  <si>
    <t>Fill in next row (B22)</t>
  </si>
  <si>
    <t>ANALYST3</t>
  </si>
  <si>
    <t>REPORTER2</t>
  </si>
  <si>
    <t>MISC_TALENT3</t>
  </si>
  <si>
    <t>CONFERENCE STANDINGS</t>
  </si>
  <si>
    <t>CONF_LOGO_PATH</t>
  </si>
  <si>
    <t>CONFERENCE_LOGO</t>
  </si>
  <si>
    <t>D:\IMS IMAGES\CONFERENCE\PRIMARY\</t>
  </si>
  <si>
    <t>Conference Name</t>
  </si>
  <si>
    <t>Top Division:</t>
  </si>
  <si>
    <t>Bottom Division:</t>
  </si>
  <si>
    <t>Row to Start Bottom?</t>
  </si>
  <si>
    <t>CONFERENCE NAME</t>
  </si>
  <si>
    <t>EAST</t>
  </si>
  <si>
    <t>WEST</t>
  </si>
  <si>
    <t>Conference Logo</t>
  </si>
  <si>
    <t>CONF_START_ROW</t>
  </si>
  <si>
    <t>Rank</t>
  </si>
  <si>
    <t>Team Name</t>
  </si>
  <si>
    <t>Team Tri-Code</t>
  </si>
  <si>
    <t>Conf. Record</t>
  </si>
  <si>
    <t>Overall Record</t>
  </si>
  <si>
    <t>Logos</t>
  </si>
  <si>
    <t>Team1</t>
  </si>
  <si>
    <t>TRI</t>
  </si>
  <si>
    <t>0-0</t>
  </si>
  <si>
    <t>BLANK_DUMMY</t>
  </si>
  <si>
    <t>Team2</t>
  </si>
  <si>
    <t>Team3</t>
  </si>
  <si>
    <t>Team4</t>
  </si>
  <si>
    <t>Team5</t>
  </si>
  <si>
    <t>Team6</t>
  </si>
  <si>
    <t>Team7</t>
  </si>
  <si>
    <t>Team8</t>
  </si>
  <si>
    <t>Team9</t>
  </si>
  <si>
    <t>Team10</t>
  </si>
  <si>
    <t>Team11</t>
  </si>
  <si>
    <t>Team12</t>
  </si>
  <si>
    <t>Team13</t>
  </si>
  <si>
    <t>Team14</t>
  </si>
  <si>
    <t>Team15</t>
  </si>
  <si>
    <t>Team16</t>
  </si>
  <si>
    <t>Team17</t>
  </si>
  <si>
    <t>Team18</t>
  </si>
  <si>
    <t>Team19</t>
  </si>
  <si>
    <t>Team20</t>
  </si>
  <si>
    <r>
      <t>5950      </t>
    </r>
    <r>
      <rPr>
        <sz val="11"/>
        <color theme="1"/>
        <rFont val="Calibri"/>
        <family val="2"/>
        <scheme val="minor"/>
      </rPr>
      <t>Slab – Up to 12, conference only</t>
    </r>
  </si>
  <si>
    <r>
      <t>5951     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Slab – Up to 12, conf. &amp; overall</t>
    </r>
  </si>
  <si>
    <r>
      <t xml:space="preserve">5952      </t>
    </r>
    <r>
      <rPr>
        <sz val="11"/>
        <color theme="1"/>
        <rFont val="Calibri"/>
        <family val="2"/>
        <scheme val="minor"/>
      </rPr>
      <t>Slab – Top 7 or 8, conf. only</t>
    </r>
  </si>
  <si>
    <r>
      <t xml:space="preserve">5953      </t>
    </r>
    <r>
      <rPr>
        <sz val="11"/>
        <color theme="1"/>
        <rFont val="Calibri"/>
        <family val="2"/>
        <scheme val="minor"/>
      </rPr>
      <t>Slab – Bottom 6 or 7, conf. only</t>
    </r>
  </si>
  <si>
    <r>
      <t xml:space="preserve">5954      </t>
    </r>
    <r>
      <rPr>
        <sz val="11"/>
        <color theme="1"/>
        <rFont val="Calibri"/>
        <family val="2"/>
        <scheme val="minor"/>
      </rPr>
      <t>FS – Up to 12, conf. only</t>
    </r>
  </si>
  <si>
    <r>
      <t>5955</t>
    </r>
    <r>
      <rPr>
        <sz val="11"/>
        <color theme="1"/>
        <rFont val="Calibri"/>
        <family val="2"/>
        <scheme val="minor"/>
      </rPr>
      <t>      FS – 13 (7 on left, 6 on right), conf. only</t>
    </r>
  </si>
  <si>
    <r>
      <t>5956</t>
    </r>
    <r>
      <rPr>
        <sz val="11"/>
        <color theme="1"/>
        <rFont val="Calibri"/>
        <family val="2"/>
        <scheme val="minor"/>
      </rPr>
      <t>      FS – 14 (7 on each side), conf. only</t>
    </r>
  </si>
  <si>
    <r>
      <t>5957</t>
    </r>
    <r>
      <rPr>
        <sz val="11"/>
        <color theme="1"/>
        <rFont val="Calibri"/>
        <family val="2"/>
        <scheme val="minor"/>
      </rPr>
      <t>      FS – 15 (8 on left, 7 on right), conf. only</t>
    </r>
  </si>
  <si>
    <r>
      <t xml:space="preserve">5964      </t>
    </r>
    <r>
      <rPr>
        <sz val="11"/>
        <color theme="1"/>
        <rFont val="Calibri"/>
        <family val="2"/>
        <scheme val="minor"/>
      </rPr>
      <t>FS – Up to 12, conf. &amp; overall</t>
    </r>
  </si>
  <si>
    <r>
      <t>5965</t>
    </r>
    <r>
      <rPr>
        <sz val="11"/>
        <color theme="1"/>
        <rFont val="Calibri"/>
        <family val="2"/>
        <scheme val="minor"/>
      </rPr>
      <t>      FS – 13 (7 on left, 6 on right), conf. &amp; overall</t>
    </r>
  </si>
  <si>
    <r>
      <t>5966</t>
    </r>
    <r>
      <rPr>
        <sz val="11"/>
        <color theme="1"/>
        <rFont val="Calibri"/>
        <family val="2"/>
        <scheme val="minor"/>
      </rPr>
      <t>      FS – 14 (7 on each side), conf. &amp; overall</t>
    </r>
  </si>
  <si>
    <r>
      <t>5967</t>
    </r>
    <r>
      <rPr>
        <sz val="11"/>
        <color theme="1"/>
        <rFont val="Calibri"/>
        <family val="2"/>
        <scheme val="minor"/>
      </rPr>
      <t>      FS – 15 (8 on left, 7 on right), conf. &amp; overall</t>
    </r>
  </si>
  <si>
    <t>Header</t>
  </si>
  <si>
    <t>AP POLL</t>
  </si>
  <si>
    <t>Subhead</t>
  </si>
  <si>
    <t/>
  </si>
  <si>
    <t>TOP_25_NETWORK_LOGO</t>
  </si>
  <si>
    <t>Num</t>
  </si>
  <si>
    <t>Team (CAPS)</t>
  </si>
  <si>
    <t>Logo</t>
  </si>
  <si>
    <t>W-L</t>
  </si>
  <si>
    <t>AT_VS</t>
  </si>
  <si>
    <t>OPPONENT</t>
  </si>
  <si>
    <t>OPP_W_L</t>
  </si>
  <si>
    <t>TIME</t>
  </si>
  <si>
    <t>NETWORK</t>
  </si>
  <si>
    <t>DUKE</t>
  </si>
  <si>
    <t>ABC</t>
  </si>
  <si>
    <t>MICHIGAN ST</t>
  </si>
  <si>
    <t>MICHIGAN_ST</t>
  </si>
  <si>
    <t>TOP_25_HEADER</t>
  </si>
  <si>
    <t>ARIZONA</t>
  </si>
  <si>
    <t>KANSAS</t>
  </si>
  <si>
    <t>KENTUCKY</t>
  </si>
  <si>
    <t>TOP_25_SUBHEAD</t>
  </si>
  <si>
    <t>VILLANOVA</t>
  </si>
  <si>
    <t>WICHITA STATE</t>
  </si>
  <si>
    <t>WICHITA_ST</t>
  </si>
  <si>
    <t>FLORIDA</t>
  </si>
  <si>
    <t>NORTH CAROLINA</t>
  </si>
  <si>
    <t>NORTH_CAROLINA</t>
  </si>
  <si>
    <t>USC</t>
  </si>
  <si>
    <t>WEST VIRGINIA</t>
  </si>
  <si>
    <t>WEST_VIRGINIA</t>
  </si>
  <si>
    <t>CINCINNATI</t>
  </si>
  <si>
    <t>MIAMI</t>
  </si>
  <si>
    <t>MIAMI_FL</t>
  </si>
  <si>
    <t>NOTRE DAME</t>
  </si>
  <si>
    <t>NOTRE_DAME</t>
  </si>
  <si>
    <t>MINNESOTA</t>
  </si>
  <si>
    <t>LOUISVILLE</t>
  </si>
  <si>
    <t>XAVIER</t>
  </si>
  <si>
    <t>GONZAGA</t>
  </si>
  <si>
    <t>NORTHWESTERN</t>
  </si>
  <si>
    <t>PURDUE</t>
  </si>
  <si>
    <t>UCLA</t>
  </si>
  <si>
    <t>SAINT MARY'S</t>
  </si>
  <si>
    <t>SAINT_MARYS</t>
  </si>
  <si>
    <t>SETON HALL</t>
  </si>
  <si>
    <t>SETON_HALL</t>
  </si>
  <si>
    <t>BAYLOR</t>
  </si>
  <si>
    <t>TEXAS A&amp;M</t>
  </si>
  <si>
    <t>TEXAS_AM</t>
  </si>
  <si>
    <t>Slab Save Locations:</t>
  </si>
  <si>
    <t>Top 10</t>
  </si>
  <si>
    <t>Top 11-20</t>
  </si>
  <si>
    <t>Top 21-25</t>
  </si>
  <si>
    <t>Fullscreen Save Locations:</t>
  </si>
  <si>
    <t>5901/5902: Promo Towers (Shell 9619)</t>
  </si>
  <si>
    <t>Number Games</t>
  </si>
  <si>
    <t>* Type only in blue areas</t>
  </si>
  <si>
    <t>Network_Logos</t>
  </si>
  <si>
    <t>GAME 1</t>
  </si>
  <si>
    <t>Number of Games:</t>
  </si>
  <si>
    <t>Header (CAPS)</t>
  </si>
  <si>
    <t>ESPN2</t>
  </si>
  <si>
    <t>Away Rank</t>
  </si>
  <si>
    <t>Number Stories</t>
  </si>
  <si>
    <t>ESPNEWS</t>
  </si>
  <si>
    <t>Away Team</t>
  </si>
  <si>
    <t>AWAY TEAM</t>
  </si>
  <si>
    <t>ESPNU</t>
  </si>
  <si>
    <t>Away Logo/Swatch</t>
  </si>
  <si>
    <t>ALABAMA</t>
  </si>
  <si>
    <t>Home Rank</t>
  </si>
  <si>
    <t>Home Team</t>
  </si>
  <si>
    <t>HOME TEAM</t>
  </si>
  <si>
    <t>Home Logo/Swatch</t>
  </si>
  <si>
    <t>ESPN+</t>
  </si>
  <si>
    <t>Game Time (number only)</t>
  </si>
  <si>
    <t>7:30</t>
  </si>
  <si>
    <t>Game Network</t>
  </si>
  <si>
    <t>NCAA/Conf</t>
  </si>
  <si>
    <t>XPN Network Path:</t>
  </si>
  <si>
    <t>NCAA</t>
  </si>
  <si>
    <t>Conference</t>
  </si>
  <si>
    <t>GAME 2</t>
  </si>
  <si>
    <t>Teams</t>
  </si>
  <si>
    <t>Status</t>
  </si>
  <si>
    <t>XPression Network Path:</t>
  </si>
  <si>
    <t>FINAL</t>
  </si>
  <si>
    <t>1st</t>
  </si>
  <si>
    <t>2nd</t>
  </si>
  <si>
    <t>3rd</t>
  </si>
  <si>
    <t>5910: News &amp; Notes (Shell 9209)</t>
  </si>
  <si>
    <t>5911: Series History (Shell 9224)</t>
  </si>
  <si>
    <t>4th</t>
  </si>
  <si>
    <t>5912: Conference Teams in Top 25 (Shell 9707)</t>
  </si>
  <si>
    <t>HALF</t>
  </si>
  <si>
    <t>Number of Stories (2-4):</t>
  </si>
  <si>
    <t>Title (CAPS)</t>
  </si>
  <si>
    <t>SERIES HISTORY</t>
  </si>
  <si>
    <t>Game Start</t>
  </si>
  <si>
    <t>Number of Rows:</t>
  </si>
  <si>
    <t>NCAA or Conference</t>
  </si>
  <si>
    <t>Subtitle</t>
  </si>
  <si>
    <t>Yes</t>
  </si>
  <si>
    <t>TEAMS IN AP TOP 25</t>
  </si>
  <si>
    <t>BIG_12</t>
  </si>
  <si>
    <t>No</t>
  </si>
  <si>
    <t>Header Logo</t>
  </si>
  <si>
    <t>XPN Header Logo:</t>
  </si>
  <si>
    <t>News &amp; Notes</t>
  </si>
  <si>
    <t>Story 1</t>
  </si>
  <si>
    <t>Kansas survives scare
vs Elon</t>
  </si>
  <si>
    <t>Rank/Team</t>
  </si>
  <si>
    <t>1 Alabama</t>
  </si>
  <si>
    <t>10 Kentucky</t>
  </si>
  <si>
    <t>2 Auburn</t>
  </si>
  <si>
    <t>11 LSU</t>
  </si>
  <si>
    <t>Story 2</t>
  </si>
  <si>
    <t>4 SEC teams in Top 10
(2 Florida, 3 Kentucky,
8 Miss St, 9 Tennessee)</t>
  </si>
  <si>
    <t>289th meeting
(7th-most in D-I history)</t>
  </si>
  <si>
    <t>3 Arkansas</t>
  </si>
  <si>
    <t>20 Mississippi St</t>
  </si>
  <si>
    <t>4 Florida</t>
  </si>
  <si>
    <t>21 Missouri</t>
  </si>
  <si>
    <t>5 Georgia</t>
  </si>
  <si>
    <t>25 Ole Miss</t>
  </si>
  <si>
    <t>Story3</t>
  </si>
  <si>
    <t>Zion Williamson Mania
continues</t>
  </si>
  <si>
    <t>Washington leads
series 184-104
(won last 3)</t>
  </si>
  <si>
    <t>Note: if odd # of teams, last team in 2nd column should select "Blank_Dummy" logo</t>
  </si>
  <si>
    <t>Story 4</t>
  </si>
  <si>
    <t>Devon Dotson (KU):
6 straight games
with 20+ PTS &amp; 10+ AST</t>
  </si>
  <si>
    <t>7-straight meetings
decided by 10 PTS or less
continues</t>
  </si>
  <si>
    <t>Dropline (Optional)</t>
  </si>
  <si>
    <t>XPN Logotext</t>
  </si>
  <si>
    <t>XPN Away Logotext</t>
  </si>
  <si>
    <t>alabama</t>
  </si>
  <si>
    <t>XPN Home Logotext</t>
  </si>
  <si>
    <t>arkansas</t>
  </si>
  <si>
    <r>
      <t xml:space="preserve">Note: press </t>
    </r>
    <r>
      <rPr>
        <b/>
        <sz val="11"/>
        <color theme="1"/>
        <rFont val="Calibri"/>
        <family val="2"/>
        <scheme val="minor"/>
      </rPr>
      <t>ALT-ENTER</t>
    </r>
    <r>
      <rPr>
        <sz val="11"/>
        <color theme="1"/>
        <rFont val="Calibri"/>
        <family val="2"/>
        <scheme val="minor"/>
      </rPr>
      <t xml:space="preserve"> to break into multiple lines</t>
    </r>
  </si>
  <si>
    <t>5913: Season Recap - Away (Shell 9209)</t>
  </si>
  <si>
    <t>5914: Season Recap - Home (Shell 9209)</t>
  </si>
  <si>
    <t>5915: Cluster Scoreboard (Shell 9204)</t>
  </si>
  <si>
    <t>Number of Games (3-5):</t>
  </si>
  <si>
    <t>Away Team Logo/Swatch</t>
  </si>
  <si>
    <t>Home Team Logo/Swatch</t>
  </si>
  <si>
    <t>BIG 12</t>
  </si>
  <si>
    <t>Story1 text</t>
  </si>
  <si>
    <t>Scoreboard</t>
  </si>
  <si>
    <t>Game 1</t>
  </si>
  <si>
    <t>Network</t>
  </si>
  <si>
    <t>Story2 text</t>
  </si>
  <si>
    <t>Story 2 text</t>
  </si>
  <si>
    <t>Game Started</t>
  </si>
  <si>
    <t>Duke</t>
  </si>
  <si>
    <t>Game Status</t>
  </si>
  <si>
    <t>Clemson</t>
  </si>
  <si>
    <t>Start Time</t>
  </si>
  <si>
    <t>Story3 text</t>
  </si>
  <si>
    <t>Story 3 text</t>
  </si>
  <si>
    <t>Game 2</t>
  </si>
  <si>
    <t>Story4 text</t>
  </si>
  <si>
    <t>Story 4 text</t>
  </si>
  <si>
    <t>Boston College</t>
  </si>
  <si>
    <t>Florida St</t>
  </si>
  <si>
    <t>Game 3</t>
  </si>
  <si>
    <t>Georgia Tech</t>
  </si>
  <si>
    <t>Wake Forest</t>
  </si>
  <si>
    <t>Game 4</t>
  </si>
  <si>
    <t>Pittsburgh</t>
  </si>
  <si>
    <t>Syracuse</t>
  </si>
  <si>
    <t>Game 5</t>
  </si>
  <si>
    <t>TEAM_LOGOS</t>
  </si>
  <si>
    <t>CONFERENCE_LOGOS</t>
  </si>
  <si>
    <t>NETWORK_LOGOS</t>
  </si>
  <si>
    <t>SHOW_LOGOS</t>
  </si>
  <si>
    <t>NETWORK_LOGOS_WHITE</t>
  </si>
  <si>
    <t>ACC_ESPN</t>
  </si>
  <si>
    <t>BLANK_LOGO</t>
  </si>
  <si>
    <t>ABILENE_CHRISTIAN</t>
  </si>
  <si>
    <t>AMERICA_EAST</t>
  </si>
  <si>
    <t>BIGTEN_ESPN</t>
  </si>
  <si>
    <t>AIR_FORCE</t>
  </si>
  <si>
    <t>AMERICAN</t>
  </si>
  <si>
    <t>ESPN3</t>
  </si>
  <si>
    <t>PAC12_ESPN</t>
  </si>
  <si>
    <t>AKRON</t>
  </si>
  <si>
    <t>ATLANTIC_10</t>
  </si>
  <si>
    <t>SEC_ON_ESPN</t>
  </si>
  <si>
    <t>ESPNEWS_WHITE</t>
  </si>
  <si>
    <t>ATLANTIC_SUN</t>
  </si>
  <si>
    <t>ESPNEWS_RED</t>
  </si>
  <si>
    <t>BIG12_ESPN_COBRAND</t>
  </si>
  <si>
    <t>ESPNU_WHITE</t>
  </si>
  <si>
    <t>ALABAMA_AM</t>
  </si>
  <si>
    <t>ESPNPLUS</t>
  </si>
  <si>
    <t>AAC_ESPN_COBRAND</t>
  </si>
  <si>
    <t>ABC_WHITE</t>
  </si>
  <si>
    <t>ALABAMA_ST</t>
  </si>
  <si>
    <t>BIG_EAST</t>
  </si>
  <si>
    <t>SEC_NETWORK</t>
  </si>
  <si>
    <t>AMERICA_EAST_ESPN3</t>
  </si>
  <si>
    <t>ACC_ESPN_NETWORK_WHITE</t>
  </si>
  <si>
    <t>ALBANY</t>
  </si>
  <si>
    <t>BIG_SKY</t>
  </si>
  <si>
    <t>SEC_NETWORK+</t>
  </si>
  <si>
    <t>AMERICAN_BLACK</t>
  </si>
  <si>
    <t>SEC_NETWORK_HORIZONTAL_WHITE</t>
  </si>
  <si>
    <t>ALCORN_ST</t>
  </si>
  <si>
    <t>BIG_SOUTH</t>
  </si>
  <si>
    <t>ACC_NETWORK</t>
  </si>
  <si>
    <t>AMERICAN_GRAY</t>
  </si>
  <si>
    <t>ESPNPLUS_WHITE</t>
  </si>
  <si>
    <t>AMERICAN_UNIVERSITY</t>
  </si>
  <si>
    <t>BIG_TEN</t>
  </si>
  <si>
    <t>ACC_NETWORK_EXTRA</t>
  </si>
  <si>
    <t>AMERICAN_WHITE</t>
  </si>
  <si>
    <t>APPALACHIAN_ST</t>
  </si>
  <si>
    <t>BIG_TEN_COLORNEGATIVE</t>
  </si>
  <si>
    <t>ESPN_APP</t>
  </si>
  <si>
    <t>AMERICANATHLETIC_ESPN</t>
  </si>
  <si>
    <t>BIG_WEST</t>
  </si>
  <si>
    <t>AAC_ESPN+_HORIZONTAL</t>
  </si>
  <si>
    <t>AMERICANATHLETIC_ESPN_BLACK</t>
  </si>
  <si>
    <t>ARIZONA_ST</t>
  </si>
  <si>
    <t>CIAA</t>
  </si>
  <si>
    <t>AMERICANATHLETIC_ESPN_WHITE</t>
  </si>
  <si>
    <t>ARKANSAS</t>
  </si>
  <si>
    <t>COLONIAL</t>
  </si>
  <si>
    <t>ATLANTIC10_ESPN</t>
  </si>
  <si>
    <t>ARKANSAS_PINE_BLUFF</t>
  </si>
  <si>
    <t>CONFERENCE_USA</t>
  </si>
  <si>
    <t>BIG12_ESPN_WHITE</t>
  </si>
  <si>
    <t>ARKANSAS_ST</t>
  </si>
  <si>
    <t>CUNY_ATHLETIC</t>
  </si>
  <si>
    <t>AAC_ESPN+_HORIZONTALBLACK</t>
  </si>
  <si>
    <t>BIGSOUTH_ESPN</t>
  </si>
  <si>
    <t>ARMY</t>
  </si>
  <si>
    <t>GREAT_WEST</t>
  </si>
  <si>
    <t>AAC_ESPN+_HORIZONTALDARKGRAY</t>
  </si>
  <si>
    <t>BIGTEN_ABC</t>
  </si>
  <si>
    <t>AUBURN</t>
  </si>
  <si>
    <t>HEART_OF_AMERICA_ATHLETIC</t>
  </si>
  <si>
    <t>AAC_ESPN+_HORIZONTALLIGHTGRAY</t>
  </si>
  <si>
    <t>BIGTEN_ABC_BLACK</t>
  </si>
  <si>
    <t>AUSTIN_PEAY</t>
  </si>
  <si>
    <t>HORIZON_LEAGUE</t>
  </si>
  <si>
    <t>AAC_ESPN+_HORIZONTALWHITE</t>
  </si>
  <si>
    <t>BIGTEN_ABC_GRAY</t>
  </si>
  <si>
    <t>BALL_ST</t>
  </si>
  <si>
    <t>IVY_LEAGUE</t>
  </si>
  <si>
    <t>AAC_ESPN+_VERTICAL</t>
  </si>
  <si>
    <t>BIGTEN_ABC_LIGHTGRAY</t>
  </si>
  <si>
    <t>LONE_STAR</t>
  </si>
  <si>
    <t>AAC_ESPN+_VERTICALBLACK</t>
  </si>
  <si>
    <t>BIGTEN_ABC_WHITE</t>
  </si>
  <si>
    <t>BELLARMINE</t>
  </si>
  <si>
    <t>MAAC</t>
  </si>
  <si>
    <t>AAC_ESPN+_VERTICALDARKGRAY</t>
  </si>
  <si>
    <t>BIGTEN_ESPN_BLACK</t>
  </si>
  <si>
    <t>BELMONT</t>
  </si>
  <si>
    <t>MAC</t>
  </si>
  <si>
    <t>AAC_ESPN+_VERTICALLIGHTGRAY</t>
  </si>
  <si>
    <t>BIGTEN_ESPN_GRAY</t>
  </si>
  <si>
    <t>BETHUNE_COOKMAN</t>
  </si>
  <si>
    <t>MEAC</t>
  </si>
  <si>
    <t>AAC_ESPN+_VERTICALWHITE</t>
  </si>
  <si>
    <t>BIGTEN_ESPN_LIGHTGRAY</t>
  </si>
  <si>
    <t>BINGHAMTON</t>
  </si>
  <si>
    <t>MISSOURI_VALLEY</t>
  </si>
  <si>
    <t>AAC_ESPN+_WATERMARK</t>
  </si>
  <si>
    <t>BIGTEN_ESPN_WHITE</t>
  </si>
  <si>
    <t>BOISE_ST</t>
  </si>
  <si>
    <t>MISSOURI_VALLEY_FOOTBALL</t>
  </si>
  <si>
    <t>ABC_BLACK</t>
  </si>
  <si>
    <t>BIGTENABC_COLORNEGATIVE</t>
  </si>
  <si>
    <t>BOSTON_COLLEGE</t>
  </si>
  <si>
    <t>MOUNTAIN_WEST</t>
  </si>
  <si>
    <t>ABC_ESPN_MIRROR</t>
  </si>
  <si>
    <t>BIGTENESPN_COLORNEGATIVE</t>
  </si>
  <si>
    <t>BOSTON_UNIVERSITY</t>
  </si>
  <si>
    <t>NAIA</t>
  </si>
  <si>
    <t>ABC_ESPN_MIRROR_BLACK</t>
  </si>
  <si>
    <t>RECRUITING_NATION</t>
  </si>
  <si>
    <t>BOWLING_GREEN</t>
  </si>
  <si>
    <t>NORTHEAST</t>
  </si>
  <si>
    <t>ABC_ESPN_MIRROR_WHITE</t>
  </si>
  <si>
    <t>SUNBELT_BLACK</t>
  </si>
  <si>
    <t>BRADLEY</t>
  </si>
  <si>
    <t>NORTHERN_SUN</t>
  </si>
  <si>
    <t>ABC_ESPN2_MIRROR</t>
  </si>
  <si>
    <t>SUNBELT_GRAY</t>
  </si>
  <si>
    <t>BROWN</t>
  </si>
  <si>
    <t>OHIO_VALLEY</t>
  </si>
  <si>
    <t>ABC_ESPN2_MIRROR_BLACK</t>
  </si>
  <si>
    <t>SUNBELT_WHITE</t>
  </si>
  <si>
    <t>BRYANT</t>
  </si>
  <si>
    <t>PAC_12</t>
  </si>
  <si>
    <t>ABC_ESPN2_MIRROR_WHITE</t>
  </si>
  <si>
    <t>THEVALLEY_ESPN</t>
  </si>
  <si>
    <t>BUCKNELL</t>
  </si>
  <si>
    <t>PATRIOT_LEAGUE</t>
  </si>
  <si>
    <t>ABC_ESPN3_MIRROR</t>
  </si>
  <si>
    <t>SEC_NETWORK_HORIZONTAL</t>
  </si>
  <si>
    <t>BUFFALO</t>
  </si>
  <si>
    <t>PIONEER_FOOTBALL_LEAGUE</t>
  </si>
  <si>
    <t>ABC_ESPN3_MIRROR_WHITE</t>
  </si>
  <si>
    <t>BUTLER</t>
  </si>
  <si>
    <t>ABC_GRAY</t>
  </si>
  <si>
    <t>BYU</t>
  </si>
  <si>
    <t>SOCON</t>
  </si>
  <si>
    <t>ABC_LIGHTGRAY</t>
  </si>
  <si>
    <t>CAL_POLY</t>
  </si>
  <si>
    <t>SOUTHLAND</t>
  </si>
  <si>
    <t>CAL_ST_BAKERSFIELD</t>
  </si>
  <si>
    <t>SOUTHWEST</t>
  </si>
  <si>
    <t>ABCAPPMIRROR</t>
  </si>
  <si>
    <t>CAL_ST_FULLERTON</t>
  </si>
  <si>
    <t>SUMMIT_LEAGUE</t>
  </si>
  <si>
    <t>ABCAPPMIRROR_WHITE</t>
  </si>
  <si>
    <t>CAL_ST_NORTHRIDGE</t>
  </si>
  <si>
    <t>SUN_BELT</t>
  </si>
  <si>
    <t>ACC_DIGITAL_NETWORK</t>
  </si>
  <si>
    <t>CALIFORNIA</t>
  </si>
  <si>
    <t>SWAC</t>
  </si>
  <si>
    <t>ACC_DIGITALNETWORK</t>
  </si>
  <si>
    <t>CALIFORNIA_BAPTIST</t>
  </si>
  <si>
    <t>WEST_COAST</t>
  </si>
  <si>
    <t>CAMPBELL</t>
  </si>
  <si>
    <t>WESTERN_ATHLETIC</t>
  </si>
  <si>
    <t>ACC_ESPN_NETWORK</t>
  </si>
  <si>
    <t>CANISIUS</t>
  </si>
  <si>
    <t>ACC_ESPN_NETWORK_BLACK</t>
  </si>
  <si>
    <t>CENTRAL_ARKANSAS</t>
  </si>
  <si>
    <t>ACC_ESPN_NETWORK_GRAY</t>
  </si>
  <si>
    <t>CENTRAL_CONNECTICUT_ST</t>
  </si>
  <si>
    <t>ACC_ESPN_NETWORK_LIGHTGRAY</t>
  </si>
  <si>
    <t>CENTRAL_MICHIGAN</t>
  </si>
  <si>
    <t>CHAMINADE</t>
  </si>
  <si>
    <t>ACC_NETWORK_BLACK</t>
  </si>
  <si>
    <t>CHARLESTON_SOUTHERN</t>
  </si>
  <si>
    <t>ACC_NETWORK_ESPN_2019</t>
  </si>
  <si>
    <t>CHARLOTTE</t>
  </si>
  <si>
    <t>ACC_NETWORK_ESPN_AUGUST2019</t>
  </si>
  <si>
    <t>CHATTANOOGA</t>
  </si>
  <si>
    <t>ACC_NETWORK_EXTRA_BLACK</t>
  </si>
  <si>
    <t>CHICAGO_ST</t>
  </si>
  <si>
    <t>ACC_NETWORK_EXTRA_GRAY</t>
  </si>
  <si>
    <t>ACC_NETWORK_EXTRA_LIGHTGRAY</t>
  </si>
  <si>
    <t>CLEMSON</t>
  </si>
  <si>
    <t>ACC_NETWORK_EXTRA_WHITE</t>
  </si>
  <si>
    <t>CLEVELAND_ST</t>
  </si>
  <si>
    <t>ACC_NETWORK_GRAY</t>
  </si>
  <si>
    <t>COASTAL_CAROLINA</t>
  </si>
  <si>
    <t>ACC_NETWORK_LIGHTGRAY</t>
  </si>
  <si>
    <t>COLGATE</t>
  </si>
  <si>
    <t>ACC_NETWORK_WHITE</t>
  </si>
  <si>
    <t>COLLEGE_OF_CHARLESTON</t>
  </si>
  <si>
    <t>COLORADO</t>
  </si>
  <si>
    <t>ACC_WHITE</t>
  </si>
  <si>
    <t>COLORADO_ST</t>
  </si>
  <si>
    <t>COLUMBIA</t>
  </si>
  <si>
    <t>AMERICAEAST</t>
  </si>
  <si>
    <t>CONNECTICUT</t>
  </si>
  <si>
    <t>AMERICAEAST_ESPN_BLACK</t>
  </si>
  <si>
    <t>COPPIN_ST</t>
  </si>
  <si>
    <t>AMERICAEAST_ESPN_DARKGRAY</t>
  </si>
  <si>
    <t>CORNELL</t>
  </si>
  <si>
    <t>AMERICAEAST_ESPN_LIGHTGRAY</t>
  </si>
  <si>
    <t>CREIGHTON</t>
  </si>
  <si>
    <t>AMERICAEAST_ESPN_PRIMARY</t>
  </si>
  <si>
    <t>DARTMOUTH</t>
  </si>
  <si>
    <t>AMERICAEAST_ESPN_WHITE</t>
  </si>
  <si>
    <t>DAVIDSON</t>
  </si>
  <si>
    <t>AMERICAEAST_SECONDARY</t>
  </si>
  <si>
    <t>DAYTON</t>
  </si>
  <si>
    <t>AMERICAEAST_SECONDARYKNOCKOUT</t>
  </si>
  <si>
    <t>DELAWARE</t>
  </si>
  <si>
    <t>DELAWARE_ST</t>
  </si>
  <si>
    <t>DENVER</t>
  </si>
  <si>
    <t>DEPAUL</t>
  </si>
  <si>
    <t>ASUN_ESPN_BLACK</t>
  </si>
  <si>
    <t>DETROIT_MERCY</t>
  </si>
  <si>
    <t>ASUN_ESPN_DARKGRAY</t>
  </si>
  <si>
    <t>DRAKE</t>
  </si>
  <si>
    <t>ASUN_ESPN_LIGHTGRAY</t>
  </si>
  <si>
    <t>DREXEL</t>
  </si>
  <si>
    <t>ASUN_ESPN_PRIMARY</t>
  </si>
  <si>
    <t>ASUN_ESPN_WHITE</t>
  </si>
  <si>
    <t>DUQUESNE</t>
  </si>
  <si>
    <t>BIGEAST_NETWORK</t>
  </si>
  <si>
    <t>EAST_CAROLINA</t>
  </si>
  <si>
    <t>BIGEAST_NETWORK_GRAY</t>
  </si>
  <si>
    <t>EAST_TENNESSEE_ST</t>
  </si>
  <si>
    <t>BIGEAST_NETWORK_LIGHTGRAY</t>
  </si>
  <si>
    <t>EASTERN_ILLINOIS</t>
  </si>
  <si>
    <t>BIGEAST_NETWORK_WHITE</t>
  </si>
  <si>
    <t>EASTERN_KENTUCKY</t>
  </si>
  <si>
    <t>BIGSOUTH_ESPN_BLACK</t>
  </si>
  <si>
    <t>EASTERN_MICHIGAN</t>
  </si>
  <si>
    <t>BIGSOUTH_ESPN_DARKGRAY</t>
  </si>
  <si>
    <t>EASTERN_WASHINGTON</t>
  </si>
  <si>
    <t>BIGSOUTH_ESPN_LIGHTGRAY</t>
  </si>
  <si>
    <t>ELON</t>
  </si>
  <si>
    <t>BIGSOUTH_ESPN_PRIMARY</t>
  </si>
  <si>
    <t>EVANSVILLE</t>
  </si>
  <si>
    <t>BIGSOUTH_ESPN_WHITE</t>
  </si>
  <si>
    <t>FAIRFIELD</t>
  </si>
  <si>
    <t>FAIRLEIGH_DICKINSON</t>
  </si>
  <si>
    <t>FLORIDA_AM</t>
  </si>
  <si>
    <t>FLORIDA_ATLANTIC</t>
  </si>
  <si>
    <t>FLORIDA_GULF_COAST</t>
  </si>
  <si>
    <t>FLORIDA_INTERNATIONAL</t>
  </si>
  <si>
    <t>FLORIDA_ST</t>
  </si>
  <si>
    <t>FORDHAM</t>
  </si>
  <si>
    <t>FRESNO_ST</t>
  </si>
  <si>
    <t>FURMAN</t>
  </si>
  <si>
    <t>BIGTENABC_BLACK</t>
  </si>
  <si>
    <t>GARDNER_WEBB</t>
  </si>
  <si>
    <t>BIGTENABC_COLORPOSITIVE</t>
  </si>
  <si>
    <t>GEORGE_MASON</t>
  </si>
  <si>
    <t>BIGTENABC_GRAY</t>
  </si>
  <si>
    <t>GEORGE_WASHINGTON</t>
  </si>
  <si>
    <t>BIGTENABC_LIGHTGRAY</t>
  </si>
  <si>
    <t>GEORGETOWN</t>
  </si>
  <si>
    <t>BIGTENABC_WHITE</t>
  </si>
  <si>
    <t>GEORGIA</t>
  </si>
  <si>
    <t>BIGTENESPN_BLACK</t>
  </si>
  <si>
    <t>GEORGIA_SOUTHERN</t>
  </si>
  <si>
    <t>BIGTENESPN_COLORPOSITIVE</t>
  </si>
  <si>
    <t>GEORGIA_ST</t>
  </si>
  <si>
    <t>BIGTENESPN_GRAY</t>
  </si>
  <si>
    <t>GEORGIA_TECH</t>
  </si>
  <si>
    <t>BIGTENESPN_LIGHTGRAY</t>
  </si>
  <si>
    <t>BIGTENESPN_WHITE</t>
  </si>
  <si>
    <t>GRAMBLING_ST</t>
  </si>
  <si>
    <t>CBS_SPORTS</t>
  </si>
  <si>
    <t>GRAND_CANYON</t>
  </si>
  <si>
    <t>CBS_SPORTS_GRAY</t>
  </si>
  <si>
    <t>GREEN_BAY</t>
  </si>
  <si>
    <t>CBS_SPORTS_NK</t>
  </si>
  <si>
    <t>HAMPTON</t>
  </si>
  <si>
    <t>CBS_SPORTS_WHITE</t>
  </si>
  <si>
    <t>HAMPTON_W</t>
  </si>
  <si>
    <t>CBSNETWORK</t>
  </si>
  <si>
    <t>HARTFORD</t>
  </si>
  <si>
    <t>CBSNETWORK_GRAY</t>
  </si>
  <si>
    <t>HARVARD</t>
  </si>
  <si>
    <t>CBSNETWORK_LIGHTGRAY</t>
  </si>
  <si>
    <t>HAWAII</t>
  </si>
  <si>
    <t>CBSNETWORK_WHITE</t>
  </si>
  <si>
    <t>HIGH_POINT</t>
  </si>
  <si>
    <t>HOFSTRA</t>
  </si>
  <si>
    <t>ESPN_APP_ICON</t>
  </si>
  <si>
    <t>HOLY_CROSS</t>
  </si>
  <si>
    <t>ESPN_BLACK</t>
  </si>
  <si>
    <t>HOUSTON</t>
  </si>
  <si>
    <t>ESPN_COLLEGE_BPI</t>
  </si>
  <si>
    <t>HOUSTON_BAPTIST</t>
  </si>
  <si>
    <t>ESPN_DEPORTESRADIO_LIGHTGRAY</t>
  </si>
  <si>
    <t>HOWARD</t>
  </si>
  <si>
    <t>ESPN_ESPN2_MIRROR_RED</t>
  </si>
  <si>
    <t>IDAHO</t>
  </si>
  <si>
    <t>ESPN_ESPN2_MIRROR_WHITE</t>
  </si>
  <si>
    <t>IDAHO_ST</t>
  </si>
  <si>
    <t>ESPN_ESPN2_WHITE</t>
  </si>
  <si>
    <t>ILLINOIS</t>
  </si>
  <si>
    <t>ESPN_ESPNAPP_MIRROR</t>
  </si>
  <si>
    <t>ILLINOIS_CHICAGO</t>
  </si>
  <si>
    <t>ESPN_ESPNAPP_MIRRORWHITE</t>
  </si>
  <si>
    <t>ILLINOIS_ST</t>
  </si>
  <si>
    <t>ESPN_ESPNEWS_WHITE</t>
  </si>
  <si>
    <t>INCARNATE_WORD</t>
  </si>
  <si>
    <t>ESPN_ESPNU_WHITE</t>
  </si>
  <si>
    <t>INDIANA</t>
  </si>
  <si>
    <t>ESPN_GRAY</t>
  </si>
  <si>
    <t>INDIANA_ST</t>
  </si>
  <si>
    <t>ESPN_LIGHTGRAY</t>
  </si>
  <si>
    <t>IONA</t>
  </si>
  <si>
    <t>ESPN_Plus_Bug</t>
  </si>
  <si>
    <t>IOWA</t>
  </si>
  <si>
    <t>ESPN_SECNETWORK_MIRROR</t>
  </si>
  <si>
    <t>IOWA_ST</t>
  </si>
  <si>
    <t>ESPN_WATCH_PLAY</t>
  </si>
  <si>
    <t>IUPUI</t>
  </si>
  <si>
    <t>ESPN_WATCHESPN_MIRROR</t>
  </si>
  <si>
    <t>JACKSON_ST</t>
  </si>
  <si>
    <t>ESPN_WATCHESPN_MIRROR_WHITE</t>
  </si>
  <si>
    <t>JACKSONVILLE</t>
  </si>
  <si>
    <t>ESPN_WHITE</t>
  </si>
  <si>
    <t>JACKSONVILLE_ST</t>
  </si>
  <si>
    <t>JAMES_MADISON</t>
  </si>
  <si>
    <t>ESPN+_BLACK</t>
  </si>
  <si>
    <t>ESPN+_COLORNEGATIVE</t>
  </si>
  <si>
    <t>KANSAS_ST</t>
  </si>
  <si>
    <t>ESPN+_GRAY</t>
  </si>
  <si>
    <t>KENNESAW_ST</t>
  </si>
  <si>
    <t>ESPN+_ICON</t>
  </si>
  <si>
    <t>KENT_ST</t>
  </si>
  <si>
    <t>ESPN+_ICON_BLACK</t>
  </si>
  <si>
    <t>ESPN+_ICON_COLORNEGATIVE</t>
  </si>
  <si>
    <t>LAFAYETTE</t>
  </si>
  <si>
    <t>ESPN+_ICON_GRAY</t>
  </si>
  <si>
    <t>LAMAR</t>
  </si>
  <si>
    <t>ESPN+_ICON_LIGHTGRAY</t>
  </si>
  <si>
    <t>LASALLE</t>
  </si>
  <si>
    <t>ESPN+_ICON_WHITE</t>
  </si>
  <si>
    <t>LEHIGH</t>
  </si>
  <si>
    <t>ESPN+_LIGHTGRAY</t>
  </si>
  <si>
    <t>LE MOYNE</t>
  </si>
  <si>
    <t>ESPN+_WHITE</t>
  </si>
  <si>
    <t>LIBERTY</t>
  </si>
  <si>
    <t>ESPN2_BLACK</t>
  </si>
  <si>
    <t>LINDENWOOD</t>
  </si>
  <si>
    <t>ESPN2_ESPNAPP_MIRROR</t>
  </si>
  <si>
    <t>LIPSCOMB</t>
  </si>
  <si>
    <t>ESPN2_ESPNAPP_MIRRORWHITE</t>
  </si>
  <si>
    <t>LITTLE_ROCK</t>
  </si>
  <si>
    <t>ESPN2_ESPNEWS_WHITE</t>
  </si>
  <si>
    <t>LONG_BEACH_ST</t>
  </si>
  <si>
    <t>ESPN2_ESPNU_WHITE</t>
  </si>
  <si>
    <t>LONG_ISLAND</t>
  </si>
  <si>
    <t>ESPN2_GRAY</t>
  </si>
  <si>
    <t>LONGWOOD</t>
  </si>
  <si>
    <t>ESPN2_GREY</t>
  </si>
  <si>
    <t>LOUISIANA</t>
  </si>
  <si>
    <t>ESPN2_LIGHTGRAY</t>
  </si>
  <si>
    <t>LOUISIANA_TECH</t>
  </si>
  <si>
    <t>ESPN2_RED</t>
  </si>
  <si>
    <t>ESPN2_WATCHESPN_MIRROR</t>
  </si>
  <si>
    <t>LOYOLA_CHICAGO</t>
  </si>
  <si>
    <t>ESPN2_WATCHESPN_MIRROR_WHITE</t>
  </si>
  <si>
    <t>LOYOLA_MARYLAND</t>
  </si>
  <si>
    <t>ESPN2_WHITE</t>
  </si>
  <si>
    <t>LOYOLA_MARYMOUNT</t>
  </si>
  <si>
    <t>ESPN3_BLACK</t>
  </si>
  <si>
    <t>LSU</t>
  </si>
  <si>
    <t>ESPN3_ESPNAPP_MIRROR</t>
  </si>
  <si>
    <t>MAINE</t>
  </si>
  <si>
    <t>ESPN3_ESPNAPP_MIRRORWHITE</t>
  </si>
  <si>
    <t>MANHATTAN</t>
  </si>
  <si>
    <t>ESPN3_GRAY</t>
  </si>
  <si>
    <t>MARIST</t>
  </si>
  <si>
    <t>ESPN3_LIGHTGRAY</t>
  </si>
  <si>
    <t>MARQUETTE</t>
  </si>
  <si>
    <t>ESPN3_WATCHESPN_MIRROR</t>
  </si>
  <si>
    <t>MARSHALL</t>
  </si>
  <si>
    <t>ESPN3_WATCHESPN_MIRROR_WHITE</t>
  </si>
  <si>
    <t>MARYLAND</t>
  </si>
  <si>
    <t>ESPN3_WHITE</t>
  </si>
  <si>
    <t>MARYLAND_EASTERN_SHORE</t>
  </si>
  <si>
    <t>ESPNAPP_1LINE</t>
  </si>
  <si>
    <t>MASSACHUSETTS</t>
  </si>
  <si>
    <t>ESPNAPP_1LINE_BLACK</t>
  </si>
  <si>
    <t>MCNEESE_ST</t>
  </si>
  <si>
    <t>ESPNAPP_1LINE_BWNEGATIVE</t>
  </si>
  <si>
    <t>MEMPHIS</t>
  </si>
  <si>
    <t>ESPNAPP_1LINE_BWPOSITIVE</t>
  </si>
  <si>
    <t>MERCER</t>
  </si>
  <si>
    <t>ESPNAPP_1LINE_COLORNEGATIVE</t>
  </si>
  <si>
    <t>MERRIMACK</t>
  </si>
  <si>
    <t>ESPNAPP_1LINE_GRAY</t>
  </si>
  <si>
    <t>ESPNAPP_1LINE_LIGHTGRAY</t>
  </si>
  <si>
    <t>MIAMI_OH</t>
  </si>
  <si>
    <t>ESPNAPP_1LINE_WHITE</t>
  </si>
  <si>
    <t>MICHIGAN</t>
  </si>
  <si>
    <t>ESPNAPP_BLACK</t>
  </si>
  <si>
    <t>ESPNAPP_BLACK_512</t>
  </si>
  <si>
    <t>MIDDLE_TENNESSEE</t>
  </si>
  <si>
    <t>ESPNAPP_BWNEGATIVE</t>
  </si>
  <si>
    <t>MILWAUKEE</t>
  </si>
  <si>
    <t>ESPNAPP_BWPOSITIVE</t>
  </si>
  <si>
    <t>ESPNAPP_COLORNEGATIVE</t>
  </si>
  <si>
    <t>MISSISSIPPI_ST</t>
  </si>
  <si>
    <t>ESPNAPP_ENVIVO</t>
  </si>
  <si>
    <t>MISSISSIPPI_VALLEY_ST</t>
  </si>
  <si>
    <t>ESPNAPP_ENVIVO_BLACK</t>
  </si>
  <si>
    <t>MISSOURI</t>
  </si>
  <si>
    <t>ESPNAPP_ENVIVO_BWNEGATIVE</t>
  </si>
  <si>
    <t>MISSOURI_ST</t>
  </si>
  <si>
    <t>ESPNAPP_ENVIVO_BWPOSITIVE</t>
  </si>
  <si>
    <t>MONMOUTH</t>
  </si>
  <si>
    <t>ESPNAPP_ENVIVO_COLORNEGATIVE</t>
  </si>
  <si>
    <t>MONTANA</t>
  </si>
  <si>
    <t>ESPNAPP_ENVIVO_GRAY</t>
  </si>
  <si>
    <t>MONTANA_ST</t>
  </si>
  <si>
    <t>ESPNAPP_ENVIVO_LIGHTGRAY</t>
  </si>
  <si>
    <t>MOREHEAD_ST</t>
  </si>
  <si>
    <t>ESPNAPP_ENVIVO_WHITE</t>
  </si>
  <si>
    <t>MORGAN_ST</t>
  </si>
  <si>
    <t>ESPNAPP_GRAY</t>
  </si>
  <si>
    <t>MOUNT_ST_MARYS</t>
  </si>
  <si>
    <t>ESPNAPP_ICON_OVERDARK</t>
  </si>
  <si>
    <t>MURRAY_ST</t>
  </si>
  <si>
    <t>ESPNAPP_ICON_OVERLIGHT</t>
  </si>
  <si>
    <t>NAVY</t>
  </si>
  <si>
    <t>ESPNAPP_KNOCKOUT</t>
  </si>
  <si>
    <t>NC_ST</t>
  </si>
  <si>
    <t>ESPNAPP_LIGHTGRAY</t>
  </si>
  <si>
    <t>NEBRASKA</t>
  </si>
  <si>
    <t>ESPNAPP_SPANISH</t>
  </si>
  <si>
    <t>NEVADA</t>
  </si>
  <si>
    <t>ESPNAPP_WATCHESPN_NOTEXTCOMBO1</t>
  </si>
  <si>
    <t>NEW_HAMPSHIRE</t>
  </si>
  <si>
    <t>ESPNAPP_WATCHESPN_NOTEXTCOMBO2</t>
  </si>
  <si>
    <t>NEW_MEXICO</t>
  </si>
  <si>
    <t>ESPNAPP_WHITE</t>
  </si>
  <si>
    <t>NEW_MEXICO_ST</t>
  </si>
  <si>
    <t>ESPNDOTCOM</t>
  </si>
  <si>
    <t>NEW_ORLEANS</t>
  </si>
  <si>
    <t>ESPNDOTCOM_GRAY</t>
  </si>
  <si>
    <t>NIAGARA</t>
  </si>
  <si>
    <t>ESPNDOTCOM_LIGHTGRAY</t>
  </si>
  <si>
    <t>NICHOLLS_ST</t>
  </si>
  <si>
    <t>ESPNDOTCOM_WHITE</t>
  </si>
  <si>
    <t>NJIT</t>
  </si>
  <si>
    <t>NORFOLK_ST</t>
  </si>
  <si>
    <t>ESPNEWS_BLACK</t>
  </si>
  <si>
    <t>NORTH_ALABAMA</t>
  </si>
  <si>
    <t>ESPNEWS_GRAY</t>
  </si>
  <si>
    <t>ESPNEWS_LIGHTGRAY</t>
  </si>
  <si>
    <t>NORTH_CAROLINA_AT</t>
  </si>
  <si>
    <t>NORTH_CAROLINA_CENTRAL</t>
  </si>
  <si>
    <t>ESPNFULLCOURT_LIGHTGRAY</t>
  </si>
  <si>
    <t>NORTH_DAKOTA</t>
  </si>
  <si>
    <t>ESPNGAMEPLAN_LIGHTGRAY</t>
  </si>
  <si>
    <t>NORTH_DAKOTA_ST</t>
  </si>
  <si>
    <t>ESPNPLUS_BLACK</t>
  </si>
  <si>
    <t>NORTH_FLORIDA</t>
  </si>
  <si>
    <t>ESPNPLUS_GRAY</t>
  </si>
  <si>
    <t>NORTH_TEXAS</t>
  </si>
  <si>
    <t>ESPNPLUS_LIGHTGRAY</t>
  </si>
  <si>
    <t>NORTHEASTERN</t>
  </si>
  <si>
    <t>NORTHERN_ARIZONA</t>
  </si>
  <si>
    <t>ESPNU_BLACK</t>
  </si>
  <si>
    <t>NORTHERN_COLORADO</t>
  </si>
  <si>
    <t>ESPNU_ESPNAPP_MIRROR</t>
  </si>
  <si>
    <t>NORTHERN_ILLINOIS</t>
  </si>
  <si>
    <t>ESPNU_ESPNAPP_MIRRORWHITE</t>
  </si>
  <si>
    <t>NORTHERN_IOWA</t>
  </si>
  <si>
    <t>ESPNU_ESPNEWS_WHITE</t>
  </si>
  <si>
    <t>NORTHERN_KENTUCKY</t>
  </si>
  <si>
    <t>ESPNU_GRAY</t>
  </si>
  <si>
    <t>ESPNU_LIGHTGRAY</t>
  </si>
  <si>
    <t>NORTHWESTERN_ST</t>
  </si>
  <si>
    <t>ESPNU_VERTICAL</t>
  </si>
  <si>
    <t>ESPNU_WATCHESPN_MIRROR</t>
  </si>
  <si>
    <t>OAKLAND</t>
  </si>
  <si>
    <t>ESPNU_WATCHESPN_MIRROR_WHITE</t>
  </si>
  <si>
    <t>OHIO</t>
  </si>
  <si>
    <t>OHIO_ST</t>
  </si>
  <si>
    <t>ESPNW</t>
  </si>
  <si>
    <t>OKLAHOMA</t>
  </si>
  <si>
    <t>ESPNW_GRAY</t>
  </si>
  <si>
    <t>OKLAHOMA_ST</t>
  </si>
  <si>
    <t>ESPNW_LIGHTGRAY</t>
  </si>
  <si>
    <t>OLD_DOMINION</t>
  </si>
  <si>
    <t>ESPNW_NO_KEY</t>
  </si>
  <si>
    <t>OLE_MISS</t>
  </si>
  <si>
    <t>ESPNW_RED_HORIZONTAL</t>
  </si>
  <si>
    <t>OMAHA</t>
  </si>
  <si>
    <t>ESPNW_RED_STACKED</t>
  </si>
  <si>
    <t>ORAL_ROBERTS</t>
  </si>
  <si>
    <t>ESPNW_WHITE</t>
  </si>
  <si>
    <t>OREGON</t>
  </si>
  <si>
    <t>ESPNWCOM_RED_HORIZONTAL</t>
  </si>
  <si>
    <t>OREGON_ST</t>
  </si>
  <si>
    <t>ESPNWCOM_RED_STACKED</t>
  </si>
  <si>
    <t>PACIFIC</t>
  </si>
  <si>
    <t>FOX_DEPORTES</t>
  </si>
  <si>
    <t>PENN_ST</t>
  </si>
  <si>
    <t>FOX_GREY_BOX</t>
  </si>
  <si>
    <t>PENNSYLVANIA</t>
  </si>
  <si>
    <t>FOX_NAVY</t>
  </si>
  <si>
    <t>PEPPERDINE</t>
  </si>
  <si>
    <t>FOX_NETWORK_BLACK</t>
  </si>
  <si>
    <t>PITTSBURGH</t>
  </si>
  <si>
    <t>FOX_NETWORK_WHITE</t>
  </si>
  <si>
    <t>PORTLAND</t>
  </si>
  <si>
    <t>FOX_SOCCER_CHANNEL</t>
  </si>
  <si>
    <t>PORTLAND_ST</t>
  </si>
  <si>
    <t>FOX_SOCCER_PLUS</t>
  </si>
  <si>
    <t>PRAIRIE_VIEW</t>
  </si>
  <si>
    <t>FOX_SOCCERCHANNEL</t>
  </si>
  <si>
    <t>PRESBYTERIAN</t>
  </si>
  <si>
    <t>FOX_SOCCERCHANNEL_GRAY</t>
  </si>
  <si>
    <t>PRINCETON</t>
  </si>
  <si>
    <t>FOX_SOCCERCHANNEL_WHITE</t>
  </si>
  <si>
    <t>PROVIDENCE</t>
  </si>
  <si>
    <t>FOX_SOCCERPLUS</t>
  </si>
  <si>
    <t>FOX_SOCCERPLUS_GRAY</t>
  </si>
  <si>
    <t>PURDUE_FORT_WAYNE</t>
  </si>
  <si>
    <t>FOX_SOCCERPLUS_WHITE</t>
  </si>
  <si>
    <t>QUEENS</t>
  </si>
  <si>
    <t>FOX_SPORTS</t>
  </si>
  <si>
    <t>QUINNIPIAC</t>
  </si>
  <si>
    <t>FOX_SPORTS_GRAY</t>
  </si>
  <si>
    <t>RADFORD</t>
  </si>
  <si>
    <t>FOX_SPORTS_LIGHTGRAY</t>
  </si>
  <si>
    <t>RHODE_ISLAND</t>
  </si>
  <si>
    <t>FOX_SPORTS_WHITE</t>
  </si>
  <si>
    <t>RICE</t>
  </si>
  <si>
    <t>FOX_SPORTS1</t>
  </si>
  <si>
    <t>RICHMOND</t>
  </si>
  <si>
    <t>FOX_SPORTS1_LIGHTGRAY</t>
  </si>
  <si>
    <t>RIDER</t>
  </si>
  <si>
    <t>FOX_SPORTS1_WHITE</t>
  </si>
  <si>
    <t>ROBERT_MORRIS</t>
  </si>
  <si>
    <t>FREEFORM</t>
  </si>
  <si>
    <t>RUTGERS</t>
  </si>
  <si>
    <t>FREEFORM_GRAY</t>
  </si>
  <si>
    <t>SACRAMENTO_ST</t>
  </si>
  <si>
    <t>FREEFORM_LIGHTGRAY</t>
  </si>
  <si>
    <t>SACRED_HEART</t>
  </si>
  <si>
    <t>FREEFORM_WHITE</t>
  </si>
  <si>
    <t>SAINT_JOSEPHS</t>
  </si>
  <si>
    <t>FULLCOURT</t>
  </si>
  <si>
    <t>SAINT_LOUIS</t>
  </si>
  <si>
    <t>FULLCOURT_GRAY</t>
  </si>
  <si>
    <t>FULLCOURT_LIGHTGRAY</t>
  </si>
  <si>
    <t>SAM_HOUSTON_ST</t>
  </si>
  <si>
    <t>FULLCOURT_WHITE</t>
  </si>
  <si>
    <t>SAMFORD</t>
  </si>
  <si>
    <t>GAMEPLAN</t>
  </si>
  <si>
    <t>SAN_DIEGO</t>
  </si>
  <si>
    <t>GAMEPLAN_GRAY</t>
  </si>
  <si>
    <t>SAN_DIEGO_ST</t>
  </si>
  <si>
    <t>GAMEPLAN_LIGHTGRAY</t>
  </si>
  <si>
    <t>SAN_FRANCISCO</t>
  </si>
  <si>
    <t>GAMEPLAN_WHITE</t>
  </si>
  <si>
    <t>SAN_JOSE_ST</t>
  </si>
  <si>
    <t>HORIZONLEAGUE_ESPN_BLACK</t>
  </si>
  <si>
    <t>SANTA_CLARA</t>
  </si>
  <si>
    <t>HORIZONLEAGUE_ESPN_DARKGRAY</t>
  </si>
  <si>
    <t>SAVANNAH_ST</t>
  </si>
  <si>
    <t>HORIZONLEAGUE_ESPN_LIGHTGRAY</t>
  </si>
  <si>
    <t>SEATTLE</t>
  </si>
  <si>
    <t>HORIZONLEAGUE_ESPN_PRIMARY</t>
  </si>
  <si>
    <t>HORIZONLEAGUE_ESPN_WHITE</t>
  </si>
  <si>
    <t>SIENA</t>
  </si>
  <si>
    <t>MAAC_ESPN_BLACK</t>
  </si>
  <si>
    <t>SIU_EDWARDSVILLE</t>
  </si>
  <si>
    <t>MAAC_ESPN_DARKGRAY</t>
  </si>
  <si>
    <t>SMU</t>
  </si>
  <si>
    <t>MAAC_ESPN_LIGHTGRAY</t>
  </si>
  <si>
    <t>SOUTH_ALABAMA</t>
  </si>
  <si>
    <t>MAAC_ESPN_PRIMARY</t>
  </si>
  <si>
    <t>SOUTH_CAROLINA</t>
  </si>
  <si>
    <t>MAAC_ESPN_WHITE</t>
  </si>
  <si>
    <t>SOUTH_CAROLINA_ST</t>
  </si>
  <si>
    <t>MISSOURIVALLEY_ESPN_COBRAND</t>
  </si>
  <si>
    <t>SOUTH_DAKOTA</t>
  </si>
  <si>
    <t>MISSOURIVALLEY_ESPN3_HORIZONTAL</t>
  </si>
  <si>
    <t>SOUTH_DAKOTA_ST</t>
  </si>
  <si>
    <t>MISSOURIVALLEY_ESPN3_VERTICAL</t>
  </si>
  <si>
    <t>SOUTH_FLORIDA</t>
  </si>
  <si>
    <t>MLB_NETWORK_GRAY</t>
  </si>
  <si>
    <t>SOUTHEAST_MISSOURI_ST</t>
  </si>
  <si>
    <t>MLB_NETWORK_HORIZONTAL</t>
  </si>
  <si>
    <t>SOUTHEASTERN_LOUISIANA</t>
  </si>
  <si>
    <t>MLB_NETWORK_LIGHTGRAY</t>
  </si>
  <si>
    <t>SOUTHERN</t>
  </si>
  <si>
    <t>MLB_NETWORK_VERTICAL</t>
  </si>
  <si>
    <t>SOUTHERN_ILLINOIS</t>
  </si>
  <si>
    <t>MLB_NETWORK_WHITE</t>
  </si>
  <si>
    <t>SOUTHERN_INDIANA</t>
  </si>
  <si>
    <t>PATRIOTLEAGUE_ESPN_BLACK</t>
  </si>
  <si>
    <t>SOUTHERN_MISS</t>
  </si>
  <si>
    <t>PATRIOTLEAGUE_ESPN_DARKGRAY</t>
  </si>
  <si>
    <t>SOUTHERN_UTAH</t>
  </si>
  <si>
    <t>PATRIOTLEAGUE_ESPN_LIGHTGRAY</t>
  </si>
  <si>
    <t>ST_BONAVENTURE</t>
  </si>
  <si>
    <t>PATRIOTLEAGUE_ESPN_PRIMARY</t>
  </si>
  <si>
    <t>ST_FRANCIS_BKN</t>
  </si>
  <si>
    <t>PATRIOTLEAGUE_ESPN_WHITE</t>
  </si>
  <si>
    <t>ST_FRANCIS_PA</t>
  </si>
  <si>
    <t>ST_JOHNS</t>
  </si>
  <si>
    <t>SEC_NETWORK_BLACK</t>
  </si>
  <si>
    <t>ST_PETERS</t>
  </si>
  <si>
    <t>SEC_NETWORK_GRAY</t>
  </si>
  <si>
    <t>ST_THOMAS</t>
  </si>
  <si>
    <t>STANFORD</t>
  </si>
  <si>
    <t>SEC_NETWORK_HORIZONTAL_BLACK</t>
  </si>
  <si>
    <t>STEPHEN_F_AUSTIN</t>
  </si>
  <si>
    <t>SEC_NETWORK_HORIZONTAL_GRAY</t>
  </si>
  <si>
    <t>STETSON</t>
  </si>
  <si>
    <t>STONEHILL</t>
  </si>
  <si>
    <t>SEC_NETWORK_LIGHTGRAY</t>
  </si>
  <si>
    <t>STONY_BROOK</t>
  </si>
  <si>
    <t>SEC_NETWORK_WHITE</t>
  </si>
  <si>
    <t>SYRACUSE</t>
  </si>
  <si>
    <t>SEC_NETWORK+_BLACK</t>
  </si>
  <si>
    <t>TARLETON</t>
  </si>
  <si>
    <t>SEC_NETWORK+_GRAY</t>
  </si>
  <si>
    <t>TCU</t>
  </si>
  <si>
    <t>SEC_NETWORK+_LIGHTGRAY</t>
  </si>
  <si>
    <t>TEMPLE</t>
  </si>
  <si>
    <t>SEC_NETWORK+_WHITE</t>
  </si>
  <si>
    <t>TENNESSEE</t>
  </si>
  <si>
    <t>TENNESSEE_MARTIN</t>
  </si>
  <si>
    <t>SECNETWORK+</t>
  </si>
  <si>
    <t>TENNESSEE_ST</t>
  </si>
  <si>
    <t>SECNETWORK+_GRAY</t>
  </si>
  <si>
    <t>TENNESSEE_TECH</t>
  </si>
  <si>
    <t>SECNETWORK+_LIGHTGRAY</t>
  </si>
  <si>
    <t>TENNESSEE_W</t>
  </si>
  <si>
    <t>SECNETWORK+_WHITE</t>
  </si>
  <si>
    <t>TEXAS</t>
  </si>
  <si>
    <t>SOCON_ESPN_BLACK</t>
  </si>
  <si>
    <t>SOCON_ESPN_DARKGRAY</t>
  </si>
  <si>
    <t>TEXAS_AM_COMMERCE</t>
  </si>
  <si>
    <t>SOCON_ESPN_LIGHTGRAY</t>
  </si>
  <si>
    <t>TEXAS_AM_CORPUS_CHRISTI</t>
  </si>
  <si>
    <t>SOCON_ESPN_PRIMARY</t>
  </si>
  <si>
    <t>TEXAS_SOUTHERN</t>
  </si>
  <si>
    <t>SOCON_ESPN_WHITE</t>
  </si>
  <si>
    <t>TEXAS_ST</t>
  </si>
  <si>
    <t>SOUTHLAND_ESPN_BLACK</t>
  </si>
  <si>
    <t>TEXAS_TECH</t>
  </si>
  <si>
    <t>SOUTHLAND_ESPN_DARKGRAY</t>
  </si>
  <si>
    <t>THE_CITADEL</t>
  </si>
  <si>
    <t>SOUTHLAND_ESPN_LIGHTGRAY</t>
  </si>
  <si>
    <t>TOLEDO</t>
  </si>
  <si>
    <t>SOUTHLAND_ESPN_PRIMARY</t>
  </si>
  <si>
    <t>TOWSON</t>
  </si>
  <si>
    <t>SOUTHLAND_ESPN_WHITE</t>
  </si>
  <si>
    <t>TROY</t>
  </si>
  <si>
    <t>STREAMINGLIVE_WATCHESPNAPPCOMBO_BLACK</t>
  </si>
  <si>
    <t>TULANE</t>
  </si>
  <si>
    <t>STREAMINGLIVE_WATCHESPNAPPCOMBO_BLACKANDWHITE1</t>
  </si>
  <si>
    <t>TULSA</t>
  </si>
  <si>
    <t>STREAMINGLIVE_WATCHESPNAPPCOMBO_BLACKANDWHITE2</t>
  </si>
  <si>
    <t>UAB</t>
  </si>
  <si>
    <t>STREAMINGLIVE_WATCHESPNAPPCOMBO_FULLCOLORBLACKTEXT</t>
  </si>
  <si>
    <t>UC_DAVIS</t>
  </si>
  <si>
    <t>STREAMINGLIVE_WATCHESPNAPPCOMBO_FULLCOLORWHITETEXT</t>
  </si>
  <si>
    <t>UC_IRVINE</t>
  </si>
  <si>
    <t>STREAMINGLIVE_WATCHESPNAPPCOMBO_WHITE</t>
  </si>
  <si>
    <t>UC_RIVERSIDE</t>
  </si>
  <si>
    <t>UC_SAN_DIEGO</t>
  </si>
  <si>
    <t>SUNBELT_ESPN_BLACK</t>
  </si>
  <si>
    <t>UC_SANTA_BARBARA</t>
  </si>
  <si>
    <t>SUNBELT_ESPN_DARKGRAY</t>
  </si>
  <si>
    <t>UCF</t>
  </si>
  <si>
    <t>SUNBELT_ESPN_PRIMARY</t>
  </si>
  <si>
    <t>SUNBELT_ESPN_WHITE</t>
  </si>
  <si>
    <t>UCONN</t>
  </si>
  <si>
    <t>UL_LAFAYETTE</t>
  </si>
  <si>
    <t>UL_MONROE</t>
  </si>
  <si>
    <t>WATCH_ESPN_HORIZONTAL</t>
  </si>
  <si>
    <t>UMASS</t>
  </si>
  <si>
    <t>WATCHESPN</t>
  </si>
  <si>
    <t>UMASS_LOWELL</t>
  </si>
  <si>
    <t>WATCHESPN_GRAY</t>
  </si>
  <si>
    <t>UMBC</t>
  </si>
  <si>
    <t>WATCHESPN_LIGHTGRAY</t>
  </si>
  <si>
    <t>UMKC</t>
  </si>
  <si>
    <t>WATCHESPN_WHITE</t>
  </si>
  <si>
    <t>UNC_ASHEVILLE</t>
  </si>
  <si>
    <t>UNC_WILMINGTON</t>
  </si>
  <si>
    <t>UNCG</t>
  </si>
  <si>
    <t>UNLV</t>
  </si>
  <si>
    <t>USC_UPSTATE</t>
  </si>
  <si>
    <t>UT_ARLINGTON</t>
  </si>
  <si>
    <t>UT_RIO_GRANDE_VALLEY</t>
  </si>
  <si>
    <t>UT_SAN_ANTONIO</t>
  </si>
  <si>
    <t>UTAH</t>
  </si>
  <si>
    <t>UTAH_ST</t>
  </si>
  <si>
    <t>UTAH_TECH</t>
  </si>
  <si>
    <t>UTAH_VALLEY</t>
  </si>
  <si>
    <t>UTEP</t>
  </si>
  <si>
    <t>VALPARAISO</t>
  </si>
  <si>
    <t>VANDERBILT</t>
  </si>
  <si>
    <t>VCU</t>
  </si>
  <si>
    <t>VERMONT</t>
  </si>
  <si>
    <t>VIRGINIA</t>
  </si>
  <si>
    <t>VIRGINIA_TECH</t>
  </si>
  <si>
    <t>VMI</t>
  </si>
  <si>
    <t>WAGNER</t>
  </si>
  <si>
    <t>WAKE_FOREST</t>
  </si>
  <si>
    <t>WASHINGTON</t>
  </si>
  <si>
    <t>WASHINGTON_ST</t>
  </si>
  <si>
    <t>WEBER_ST</t>
  </si>
  <si>
    <t>WESTERN_CAROLINA</t>
  </si>
  <si>
    <t>WESTERN_ILLINOIS</t>
  </si>
  <si>
    <t>WESTERN_KENTUCKY</t>
  </si>
  <si>
    <t>WESTERN_MICHIGAN</t>
  </si>
  <si>
    <t>WILLIAM_AND_MARY</t>
  </si>
  <si>
    <t>WINTHROP</t>
  </si>
  <si>
    <t>WISCONSIN</t>
  </si>
  <si>
    <t>WOFFORD</t>
  </si>
  <si>
    <t>WRIGHT_ST</t>
  </si>
  <si>
    <t>WYOMING</t>
  </si>
  <si>
    <t>WYOMING_W</t>
  </si>
  <si>
    <t>YALE</t>
  </si>
  <si>
    <t>YOUNGSTOWN_ST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</si>
</sst>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6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49" fontId="3" fillId="5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2" xfId="0" applyFont="1" applyFill="1" applyBorder="1"/>
    <xf numFmtId="49" fontId="3" fillId="5" borderId="2" xfId="0" applyNumberFormat="1" applyFon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0" fontId="0" fillId="0" borderId="0" xfId="0" quotePrefix="1"/>
    <xf numFmtId="0" fontId="4" fillId="6" borderId="0" xfId="0" applyFont="1" applyFill="1"/>
    <xf numFmtId="0" fontId="2" fillId="7" borderId="5" xfId="0" applyFont="1" applyFill="1" applyBorder="1"/>
    <xf numFmtId="0" fontId="4" fillId="0" borderId="0" xfId="0" applyFont="1"/>
    <xf numFmtId="49" fontId="4" fillId="8" borderId="5" xfId="0" quotePrefix="1" applyNumberFormat="1" applyFont="1" applyFill="1" applyBorder="1"/>
    <xf numFmtId="0" fontId="2" fillId="7" borderId="6" xfId="0" applyFont="1" applyFill="1" applyBorder="1"/>
    <xf numFmtId="0" fontId="4" fillId="8" borderId="6" xfId="0" applyFont="1" applyFill="1" applyBorder="1"/>
    <xf numFmtId="49" fontId="0" fillId="0" borderId="0" xfId="0" applyNumberFormat="1"/>
    <xf numFmtId="0" fontId="5" fillId="7" borderId="5" xfId="0" applyFont="1" applyFill="1" applyBorder="1"/>
    <xf numFmtId="0" fontId="6" fillId="0" borderId="0" xfId="0" applyFont="1"/>
    <xf numFmtId="0" fontId="4" fillId="8" borderId="5" xfId="0" applyFont="1" applyFill="1" applyBorder="1"/>
    <xf numFmtId="0" fontId="7" fillId="6" borderId="0" xfId="0" applyFont="1" applyFill="1"/>
    <xf numFmtId="0" fontId="0" fillId="0" borderId="0" xfId="0" applyAlignment="1">
      <alignment horizontal="left"/>
    </xf>
    <xf numFmtId="0" fontId="2" fillId="7" borderId="7" xfId="0" applyFont="1" applyFill="1" applyBorder="1"/>
    <xf numFmtId="49" fontId="0" fillId="4" borderId="5" xfId="0" applyNumberFormat="1" applyFill="1" applyBorder="1"/>
    <xf numFmtId="0" fontId="1" fillId="0" borderId="8" xfId="0" applyFont="1" applyBorder="1"/>
    <xf numFmtId="0" fontId="0" fillId="0" borderId="9" xfId="0" applyBorder="1"/>
    <xf numFmtId="49" fontId="0" fillId="0" borderId="9" xfId="0" applyNumberFormat="1" applyBorder="1"/>
    <xf numFmtId="49" fontId="0" fillId="0" borderId="6" xfId="0" applyNumberFormat="1" applyBorder="1"/>
    <xf numFmtId="0" fontId="8" fillId="6" borderId="0" xfId="0" applyFont="1" applyFill="1"/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6" borderId="5" xfId="0" applyFont="1" applyFill="1" applyBorder="1"/>
    <xf numFmtId="0" fontId="0" fillId="2" borderId="3" xfId="0" applyFill="1" applyBorder="1"/>
    <xf numFmtId="0" fontId="0" fillId="2" borderId="5" xfId="0" applyFill="1" applyBorder="1"/>
    <xf numFmtId="0" fontId="2" fillId="2" borderId="5" xfId="0" applyFont="1" applyFill="1" applyBorder="1"/>
    <xf numFmtId="0" fontId="3" fillId="3" borderId="5" xfId="0" applyFont="1" applyFill="1" applyBorder="1"/>
    <xf numFmtId="0" fontId="2" fillId="2" borderId="5" xfId="0" applyFont="1" applyFill="1" applyBorder="1" applyAlignment="1">
      <alignment horizontal="left"/>
    </xf>
    <xf numFmtId="0" fontId="3" fillId="2" borderId="5" xfId="0" applyFont="1" applyFill="1" applyBorder="1"/>
    <xf numFmtId="49" fontId="3" fillId="2" borderId="5" xfId="0" applyNumberFormat="1" applyFont="1" applyFill="1" applyBorder="1"/>
    <xf numFmtId="49" fontId="2" fillId="2" borderId="5" xfId="0" applyNumberFormat="1" applyFont="1" applyFill="1" applyBorder="1"/>
    <xf numFmtId="49" fontId="0" fillId="0" borderId="11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49" fontId="0" fillId="4" borderId="5" xfId="0" quotePrefix="1" applyNumberFormat="1" applyFill="1" applyBorder="1"/>
    <xf numFmtId="0" fontId="9" fillId="0" borderId="0" xfId="0" applyFont="1"/>
    <xf numFmtId="0" fontId="4" fillId="8" borderId="5" xfId="0" quotePrefix="1" applyFont="1" applyFill="1" applyBorder="1"/>
    <xf numFmtId="0" fontId="0" fillId="0" borderId="0" xfId="0" applyAlignment="1">
      <alignment horizontal="center"/>
    </xf>
    <xf numFmtId="0" fontId="0" fillId="9" borderId="5" xfId="0" applyFill="1" applyBorder="1" applyAlignment="1">
      <alignment horizontal="center"/>
    </xf>
    <xf numFmtId="0" fontId="0" fillId="6" borderId="0" xfId="0" applyFill="1"/>
    <xf numFmtId="0" fontId="4" fillId="8" borderId="5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vertical="top"/>
    </xf>
    <xf numFmtId="0" fontId="5" fillId="9" borderId="22" xfId="0" applyFont="1" applyFill="1" applyBorder="1"/>
    <xf numFmtId="0" fontId="0" fillId="7" borderId="5" xfId="0" applyFill="1" applyBorder="1"/>
    <xf numFmtId="0" fontId="2" fillId="9" borderId="20" xfId="0" applyFont="1" applyFill="1" applyBorder="1"/>
    <xf numFmtId="0" fontId="1" fillId="4" borderId="12" xfId="0" applyFont="1" applyFill="1" applyBorder="1" applyAlignment="1">
      <alignment horizontal="center"/>
    </xf>
    <xf numFmtId="0" fontId="0" fillId="0" borderId="5" xfId="0" applyBorder="1"/>
    <xf numFmtId="0" fontId="0" fillId="10" borderId="0" xfId="0" applyFill="1"/>
    <xf numFmtId="0" fontId="7" fillId="10" borderId="0" xfId="0" applyFont="1" applyFill="1"/>
    <xf numFmtId="0" fontId="2" fillId="0" borderId="5" xfId="0" applyFont="1" applyBorder="1" applyAlignment="1">
      <alignment horizontal="center"/>
    </xf>
    <xf numFmtId="0" fontId="3" fillId="0" borderId="5" xfId="0" applyFont="1" applyBorder="1"/>
    <xf numFmtId="0" fontId="2" fillId="9" borderId="4" xfId="0" applyFont="1" applyFill="1" applyBorder="1"/>
    <xf numFmtId="0" fontId="2" fillId="9" borderId="4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1" fillId="7" borderId="25" xfId="0" applyFont="1" applyFill="1" applyBorder="1"/>
    <xf numFmtId="0" fontId="1" fillId="7" borderId="17" xfId="0" applyFont="1" applyFill="1" applyBorder="1"/>
    <xf numFmtId="0" fontId="1" fillId="7" borderId="16" xfId="0" applyFont="1" applyFill="1" applyBorder="1"/>
    <xf numFmtId="0" fontId="1" fillId="7" borderId="18" xfId="0" applyFont="1" applyFill="1" applyBorder="1"/>
    <xf numFmtId="0" fontId="1" fillId="7" borderId="23" xfId="0" applyFont="1" applyFill="1" applyBorder="1"/>
    <xf numFmtId="0" fontId="1" fillId="7" borderId="31" xfId="0" applyFont="1" applyFill="1" applyBorder="1"/>
    <xf numFmtId="0" fontId="0" fillId="11" borderId="32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1" fillId="7" borderId="33" xfId="0" applyFont="1" applyFill="1" applyBorder="1"/>
    <xf numFmtId="0" fontId="0" fillId="11" borderId="34" xfId="0" applyFill="1" applyBorder="1" applyAlignment="1">
      <alignment horizontal="center"/>
    </xf>
    <xf numFmtId="0" fontId="0" fillId="11" borderId="14" xfId="0" applyFill="1" applyBorder="1" applyAlignment="1">
      <alignment horizontal="left"/>
    </xf>
    <xf numFmtId="0" fontId="0" fillId="11" borderId="15" xfId="0" applyFill="1" applyBorder="1" applyAlignment="1">
      <alignment horizontal="left"/>
    </xf>
    <xf numFmtId="0" fontId="0" fillId="11" borderId="19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0" borderId="23" xfId="0" applyBorder="1"/>
    <xf numFmtId="0" fontId="0" fillId="11" borderId="17" xfId="0" applyFill="1" applyBorder="1"/>
    <xf numFmtId="0" fontId="0" fillId="11" borderId="36" xfId="0" applyFill="1" applyBorder="1" applyAlignment="1">
      <alignment horizontal="left"/>
    </xf>
    <xf numFmtId="0" fontId="0" fillId="11" borderId="18" xfId="0" applyFill="1" applyBorder="1"/>
    <xf numFmtId="0" fontId="0" fillId="11" borderId="37" xfId="0" applyFill="1" applyBorder="1" applyAlignment="1">
      <alignment horizontal="left"/>
    </xf>
    <xf numFmtId="0" fontId="0" fillId="0" borderId="25" xfId="0" applyBorder="1"/>
    <xf numFmtId="0" fontId="1" fillId="0" borderId="38" xfId="0" applyFont="1" applyBorder="1"/>
    <xf numFmtId="0" fontId="1" fillId="7" borderId="35" xfId="0" applyFont="1" applyFill="1" applyBorder="1"/>
    <xf numFmtId="0" fontId="0" fillId="0" borderId="24" xfId="0" applyBorder="1"/>
    <xf numFmtId="0" fontId="2" fillId="9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0" fillId="12" borderId="39" xfId="0" applyFill="1" applyBorder="1"/>
    <xf numFmtId="0" fontId="0" fillId="12" borderId="40" xfId="0" applyFill="1" applyBorder="1" applyAlignment="1">
      <alignment horizontal="center"/>
    </xf>
    <xf numFmtId="0" fontId="0" fillId="12" borderId="41" xfId="0" applyFill="1" applyBorder="1"/>
    <xf numFmtId="0" fontId="0" fillId="12" borderId="42" xfId="0" applyFill="1" applyBorder="1" applyAlignment="1">
      <alignment horizontal="center"/>
    </xf>
    <xf numFmtId="0" fontId="0" fillId="11" borderId="26" xfId="0" quotePrefix="1" applyFill="1" applyBorder="1" applyAlignment="1">
      <alignment horizontal="center"/>
    </xf>
    <xf numFmtId="0" fontId="0" fillId="11" borderId="14" xfId="0" quotePrefix="1" applyFill="1" applyBorder="1" applyAlignment="1">
      <alignment horizontal="center"/>
    </xf>
    <xf numFmtId="0" fontId="1" fillId="7" borderId="27" xfId="0" applyFont="1" applyFill="1" applyBorder="1"/>
    <xf numFmtId="0" fontId="0" fillId="11" borderId="28" xfId="0" applyFill="1" applyBorder="1" applyAlignment="1">
      <alignment horizontal="center"/>
    </xf>
    <xf numFmtId="0" fontId="1" fillId="7" borderId="18" xfId="0" applyFont="1" applyFill="1" applyBorder="1" applyAlignment="1">
      <alignment vertical="center"/>
    </xf>
    <xf numFmtId="0" fontId="0" fillId="11" borderId="19" xfId="0" quotePrefix="1" applyFill="1" applyBorder="1" applyAlignment="1">
      <alignment horizontal="center"/>
    </xf>
    <xf numFmtId="0" fontId="0" fillId="11" borderId="15" xfId="0" quotePrefix="1" applyFill="1" applyBorder="1" applyAlignment="1">
      <alignment horizontal="center"/>
    </xf>
    <xf numFmtId="0" fontId="0" fillId="11" borderId="43" xfId="0" applyFill="1" applyBorder="1" applyAlignment="1">
      <alignment horizontal="left"/>
    </xf>
    <xf numFmtId="0" fontId="0" fillId="11" borderId="44" xfId="0" applyFill="1" applyBorder="1" applyAlignment="1">
      <alignment horizontal="left"/>
    </xf>
    <xf numFmtId="0" fontId="0" fillId="11" borderId="45" xfId="0" applyFill="1" applyBorder="1" applyAlignment="1">
      <alignment horizontal="left"/>
    </xf>
    <xf numFmtId="0" fontId="0" fillId="7" borderId="17" xfId="0" applyFill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1" fillId="4" borderId="5" xfId="0" applyFont="1" applyFill="1" applyBorder="1" applyAlignment="1">
      <alignment horizontal="center"/>
    </xf>
    <xf numFmtId="0" fontId="2" fillId="13" borderId="5" xfId="0" applyFont="1" applyFill="1" applyBorder="1"/>
    <xf numFmtId="0" fontId="2" fillId="13" borderId="3" xfId="0" applyFont="1" applyFill="1" applyBorder="1"/>
    <xf numFmtId="0" fontId="4" fillId="0" borderId="5" xfId="0" applyFont="1" applyBorder="1"/>
    <xf numFmtId="0" fontId="3" fillId="14" borderId="5" xfId="0" applyFont="1" applyFill="1" applyBorder="1"/>
    <xf numFmtId="0" fontId="2" fillId="14" borderId="5" xfId="0" applyFont="1" applyFill="1" applyBorder="1" applyProtection="1">
      <protection locked="0"/>
    </xf>
    <xf numFmtId="0" fontId="1" fillId="0" borderId="0" xfId="0" applyFont="1" applyAlignment="1">
      <alignment vertical="center"/>
    </xf>
    <xf numFmtId="49" fontId="0" fillId="11" borderId="19" xfId="0" applyNumberForma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10" fillId="0" borderId="0" xfId="0" applyFont="1"/>
    <xf numFmtId="0" fontId="1" fillId="7" borderId="12" xfId="0" quotePrefix="1" applyFont="1" applyFill="1" applyBorder="1" applyAlignment="1">
      <alignment horizontal="left"/>
    </xf>
    <xf numFmtId="0" fontId="1" fillId="7" borderId="13" xfId="0" quotePrefix="1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7" borderId="17" xfId="0" applyFont="1" applyFill="1" applyBorder="1" applyAlignment="1">
      <alignment horizontal="left"/>
    </xf>
    <xf numFmtId="0" fontId="1" fillId="7" borderId="36" xfId="0" applyFont="1" applyFill="1" applyBorder="1" applyAlignment="1">
      <alignment horizontal="left"/>
    </xf>
    <xf numFmtId="0" fontId="1" fillId="7" borderId="16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7" borderId="18" xfId="0" applyFont="1" applyFill="1" applyBorder="1" applyAlignment="1">
      <alignment horizontal="left"/>
    </xf>
    <xf numFmtId="0" fontId="1" fillId="7" borderId="37" xfId="0" applyFont="1" applyFill="1" applyBorder="1" applyAlignment="1">
      <alignment horizontal="left"/>
    </xf>
    <xf numFmtId="0" fontId="1" fillId="7" borderId="27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 wrapText="1"/>
    </xf>
    <xf numFmtId="0" fontId="0" fillId="11" borderId="30" xfId="0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49" fontId="1" fillId="4" borderId="12" xfId="0" quotePrefix="1" applyNumberFormat="1" applyFont="1" applyFill="1" applyBorder="1" applyAlignment="1"/>
    <xf numFmtId="49" fontId="1" fillId="4" borderId="13" xfId="0" quotePrefix="1" applyNumberFormat="1" applyFont="1" applyFill="1" applyBorder="1" applyAlignment="1"/>
    <xf numFmtId="0" fontId="1" fillId="7" borderId="12" xfId="0" quotePrefix="1" applyFont="1" applyFill="1" applyBorder="1" applyAlignment="1"/>
    <xf numFmtId="0" fontId="1" fillId="7" borderId="13" xfId="0" quotePrefix="1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7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6" Type="http://schemas.openxmlformats.org/officeDocument/2006/relationships/printerSettings" Target="../printerSettings/printerSettings20.bin"/><Relationship Id="rId5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7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B19" sqref="B19"/>
    </sheetView>
  </sheetViews>
  <sheetFormatPr defaultRowHeight="15"/>
  <cols>
    <col min="1" max="1" width="50.140625" bestFit="1" customWidth="1"/>
    <col min="2" max="2" width="30.7109375" customWidth="1"/>
    <col min="3" max="3" width="15.7109375" customWidth="1"/>
    <col min="4" max="4" width="25.7109375" hidden="1" customWidth="1"/>
    <col min="5" max="5" width="40.7109375" hidden="1" customWidth="1"/>
    <col min="6" max="6" width="28" hidden="1" customWidth="1"/>
    <col min="7" max="7" width="47.5703125" hidden="1" customWidth="1"/>
    <col min="8" max="9" width="9.140625" hidden="1" customWidth="1"/>
    <col min="10" max="10" width="9.140625" customWidth="1"/>
  </cols>
  <sheetData>
    <row r="1" spans="1:9" ht="15.75" thickBot="1">
      <c r="A1" s="54" t="s">
        <v>0</v>
      </c>
      <c r="B1" s="55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52"/>
    </row>
    <row r="2" spans="1:9">
      <c r="A2" s="14" t="s">
        <v>2</v>
      </c>
      <c r="B2" s="22"/>
      <c r="D2" s="1" t="s">
        <v>7</v>
      </c>
      <c r="E2" s="1" t="s">
        <v>8</v>
      </c>
      <c r="F2" t="s">
        <v>9</v>
      </c>
      <c r="G2" t="s">
        <v>10</v>
      </c>
      <c r="H2" s="50">
        <v>0</v>
      </c>
      <c r="I2" t="s">
        <v>11</v>
      </c>
    </row>
    <row r="3" spans="1:9">
      <c r="A3" s="21" t="s">
        <v>12</v>
      </c>
      <c r="B3" s="23" t="s">
        <v>13</v>
      </c>
      <c r="D3" t="str">
        <f>$B$3</f>
        <v>COLLEGE BASKETBALL</v>
      </c>
      <c r="E3" s="20" t="str">
        <f>$B$9</f>
        <v>Arena Name</v>
      </c>
      <c r="F3" t="s">
        <v>14</v>
      </c>
      <c r="G3" t="s">
        <v>15</v>
      </c>
      <c r="H3" s="50">
        <v>1</v>
      </c>
      <c r="I3" t="s">
        <v>16</v>
      </c>
    </row>
    <row r="4" spans="1:9">
      <c r="A4" s="21" t="s">
        <v>17</v>
      </c>
      <c r="B4" s="49" t="s">
        <v>18</v>
      </c>
      <c r="D4" s="1" t="s">
        <v>19</v>
      </c>
      <c r="E4" t="str">
        <f>UPPER(E3)</f>
        <v>ARENA NAME</v>
      </c>
      <c r="H4" s="50">
        <v>2</v>
      </c>
      <c r="I4" t="s">
        <v>20</v>
      </c>
    </row>
    <row r="5" spans="1:9">
      <c r="A5" s="21" t="s">
        <v>21</v>
      </c>
      <c r="B5" s="49" t="s">
        <v>22</v>
      </c>
      <c r="D5" t="str">
        <f>$B$4</f>
        <v>Sub1</v>
      </c>
      <c r="F5" t="s">
        <v>23</v>
      </c>
      <c r="G5" s="1" t="s">
        <v>24</v>
      </c>
      <c r="H5" s="50">
        <v>3</v>
      </c>
      <c r="I5" t="s">
        <v>25</v>
      </c>
    </row>
    <row r="6" spans="1:9">
      <c r="A6" s="21" t="s">
        <v>26</v>
      </c>
      <c r="B6" s="49" t="s">
        <v>27</v>
      </c>
      <c r="E6" s="1" t="s">
        <v>28</v>
      </c>
      <c r="F6" t="s">
        <v>29</v>
      </c>
      <c r="G6" t="str">
        <f>$B$15</f>
        <v>On</v>
      </c>
      <c r="H6" s="50">
        <v>4</v>
      </c>
      <c r="I6" t="s">
        <v>30</v>
      </c>
    </row>
    <row r="7" spans="1:9">
      <c r="A7" s="22"/>
      <c r="B7" s="22"/>
      <c r="D7" s="1" t="s">
        <v>31</v>
      </c>
      <c r="E7" t="str">
        <f>$B$9&amp;" - "&amp; $B$10</f>
        <v>Arena Name - City, State</v>
      </c>
      <c r="G7" s="25">
        <f>IF($G$6="On",1,0)</f>
        <v>1</v>
      </c>
      <c r="H7" s="50">
        <v>5</v>
      </c>
      <c r="I7" t="s">
        <v>32</v>
      </c>
    </row>
    <row r="8" spans="1:9">
      <c r="A8" s="14" t="s">
        <v>33</v>
      </c>
      <c r="B8" s="22"/>
      <c r="D8" t="str">
        <f>$B$5</f>
        <v>Title2</v>
      </c>
      <c r="E8" t="str">
        <f>UPPER(E7)</f>
        <v>ARENA NAME - CITY, STATE</v>
      </c>
      <c r="F8" s="1"/>
      <c r="H8" s="50">
        <v>6</v>
      </c>
      <c r="I8" t="s">
        <v>34</v>
      </c>
    </row>
    <row r="9" spans="1:9">
      <c r="A9" s="15" t="s">
        <v>35</v>
      </c>
      <c r="B9" s="17" t="s">
        <v>36</v>
      </c>
      <c r="D9" s="1" t="s">
        <v>37</v>
      </c>
      <c r="G9" s="1" t="s">
        <v>38</v>
      </c>
      <c r="H9" s="50">
        <v>7</v>
      </c>
      <c r="I9" t="s">
        <v>39</v>
      </c>
    </row>
    <row r="10" spans="1:9">
      <c r="A10" s="15" t="s">
        <v>40</v>
      </c>
      <c r="B10" s="17" t="s">
        <v>41</v>
      </c>
      <c r="D10" t="str">
        <f>$B$6</f>
        <v>Sub2</v>
      </c>
      <c r="E10" s="1" t="s">
        <v>42</v>
      </c>
      <c r="F10" s="1"/>
      <c r="G10" t="str">
        <f>"D:\IMS Images\Show\Logos\"&amp;$B$16&amp;".PNG"</f>
        <v>D:\IMS Images\Show\Logos\ACC_ON_ESPN.PNG</v>
      </c>
      <c r="H10" s="50">
        <v>8</v>
      </c>
      <c r="I10" t="s">
        <v>43</v>
      </c>
    </row>
    <row r="11" spans="1:9">
      <c r="A11" s="15" t="s">
        <v>44</v>
      </c>
      <c r="B11" s="17" t="s">
        <v>45</v>
      </c>
      <c r="E11" t="str">
        <f>$B$9&amp;" - "&amp; $B$11</f>
        <v>Arena Name - City, ST</v>
      </c>
      <c r="H11" s="50"/>
    </row>
    <row r="12" spans="1:9">
      <c r="A12" s="15" t="s">
        <v>46</v>
      </c>
      <c r="B12" s="17" t="s">
        <v>47</v>
      </c>
      <c r="D12" s="1"/>
      <c r="E12" t="str">
        <f>UPPER(E11)</f>
        <v>ARENA NAME - CITY, ST</v>
      </c>
      <c r="G12" t="s">
        <v>48</v>
      </c>
    </row>
    <row r="13" spans="1:9">
      <c r="A13" s="2"/>
      <c r="B13" s="16"/>
      <c r="F13" s="1"/>
      <c r="G13" s="25">
        <v>0</v>
      </c>
    </row>
    <row r="14" spans="1:9" hidden="1">
      <c r="A14" s="14" t="s">
        <v>49</v>
      </c>
      <c r="B14" s="16"/>
      <c r="E14" s="1" t="s">
        <v>50</v>
      </c>
      <c r="G14" s="25">
        <v>1</v>
      </c>
      <c r="H14" s="24" t="s">
        <v>51</v>
      </c>
      <c r="I14" s="52"/>
    </row>
    <row r="15" spans="1:9" hidden="1">
      <c r="A15" s="18" t="s">
        <v>52</v>
      </c>
      <c r="B15" s="19" t="s">
        <v>10</v>
      </c>
      <c r="D15" s="1"/>
      <c r="E15" s="20" t="str">
        <f>$B$10</f>
        <v>City, State</v>
      </c>
      <c r="F15" s="1"/>
      <c r="G15" s="25">
        <v>2</v>
      </c>
      <c r="H15">
        <v>0</v>
      </c>
      <c r="I15" t="s">
        <v>15</v>
      </c>
    </row>
    <row r="16" spans="1:9" hidden="1">
      <c r="A16" s="15" t="s">
        <v>53</v>
      </c>
      <c r="B16" s="23" t="s">
        <v>54</v>
      </c>
      <c r="E16" t="str">
        <f>UPPER(E15)</f>
        <v>CITY, STATE</v>
      </c>
      <c r="G16" s="25">
        <v>3</v>
      </c>
      <c r="H16">
        <v>1</v>
      </c>
      <c r="I16" t="s">
        <v>55</v>
      </c>
    </row>
    <row r="17" spans="1:9" hidden="1">
      <c r="A17" s="2"/>
      <c r="B17" s="16"/>
      <c r="H17">
        <v>2</v>
      </c>
      <c r="I17" t="s">
        <v>56</v>
      </c>
    </row>
    <row r="18" spans="1:9">
      <c r="A18" s="14" t="s">
        <v>57</v>
      </c>
      <c r="B18" s="16"/>
      <c r="E18" s="1" t="s">
        <v>58</v>
      </c>
      <c r="G18" s="45" t="s">
        <v>59</v>
      </c>
      <c r="H18">
        <v>3</v>
      </c>
      <c r="I18" t="s">
        <v>60</v>
      </c>
    </row>
    <row r="19" spans="1:9">
      <c r="A19" s="18" t="s">
        <v>61</v>
      </c>
      <c r="B19" s="53">
        <v>0</v>
      </c>
      <c r="C19" s="51" t="str">
        <f>VLOOKUP($B$19,H2:I14, 2,FALSE)</f>
        <v>None</v>
      </c>
      <c r="E19" s="20" t="str">
        <f>$B$11</f>
        <v>City, ST</v>
      </c>
      <c r="F19" t="s">
        <v>62</v>
      </c>
      <c r="G19" s="25">
        <f>B19</f>
        <v>0</v>
      </c>
      <c r="H19">
        <v>4</v>
      </c>
      <c r="I19" t="s">
        <v>63</v>
      </c>
    </row>
    <row r="20" spans="1:9">
      <c r="A20" s="18" t="s">
        <v>64</v>
      </c>
      <c r="B20" s="53">
        <v>0</v>
      </c>
      <c r="C20" s="51" t="str">
        <f>VLOOKUP($B$20,H15:I21, 2,FALSE)</f>
        <v>Off</v>
      </c>
      <c r="E20" t="str">
        <f>UPPER(E19)</f>
        <v>CITY, ST</v>
      </c>
      <c r="F20" t="s">
        <v>65</v>
      </c>
      <c r="H20">
        <v>5</v>
      </c>
      <c r="I20" t="s">
        <v>66</v>
      </c>
    </row>
    <row r="21" spans="1:9">
      <c r="A21" s="2"/>
      <c r="B21" s="121"/>
      <c r="G21" t="s">
        <v>67</v>
      </c>
      <c r="H21">
        <v>6</v>
      </c>
      <c r="I21" t="s">
        <v>68</v>
      </c>
    </row>
    <row r="22" spans="1:9">
      <c r="A22" s="14" t="s">
        <v>69</v>
      </c>
      <c r="B22" s="22"/>
      <c r="E22" s="1" t="s">
        <v>70</v>
      </c>
      <c r="F22" t="s">
        <v>71</v>
      </c>
      <c r="G22" t="str">
        <f>B23</f>
        <v>College</v>
      </c>
      <c r="H22">
        <v>7</v>
      </c>
      <c r="I22" t="s">
        <v>72</v>
      </c>
    </row>
    <row r="23" spans="1:9">
      <c r="A23" s="21" t="s">
        <v>73</v>
      </c>
      <c r="B23" s="23" t="s">
        <v>71</v>
      </c>
      <c r="E23" s="20" t="str">
        <f>B12</f>
        <v>COMING UP - 7 ET ON ESPN</v>
      </c>
      <c r="F23" t="s">
        <v>74</v>
      </c>
    </row>
    <row r="24" spans="1:9">
      <c r="A24" s="21" t="s">
        <v>75</v>
      </c>
      <c r="B24" s="23" t="s">
        <v>76</v>
      </c>
      <c r="F24" t="s">
        <v>77</v>
      </c>
      <c r="G24" t="s">
        <v>78</v>
      </c>
    </row>
    <row r="25" spans="1:9">
      <c r="A25" s="21" t="s">
        <v>79</v>
      </c>
      <c r="B25" s="23" t="s">
        <v>62</v>
      </c>
      <c r="F25" t="s">
        <v>80</v>
      </c>
      <c r="G25" t="str">
        <f>B25</f>
        <v>Interface</v>
      </c>
    </row>
    <row r="26" spans="1:9">
      <c r="A26" s="21" t="s">
        <v>81</v>
      </c>
      <c r="B26" s="131">
        <v>1</v>
      </c>
    </row>
    <row r="27" spans="1:9">
      <c r="F27" t="s">
        <v>76</v>
      </c>
    </row>
    <row r="28" spans="1:9">
      <c r="F28" t="s">
        <v>82</v>
      </c>
    </row>
  </sheetData>
  <sortState xmlns:xlrd2="http://schemas.microsoft.com/office/spreadsheetml/2017/richdata2" ref="G13:G24">
    <sortCondition ref="G13"/>
  </sortState>
  <customSheetViews>
    <customSheetView guid="{F3D34B6E-C033-4619-B79B-F6641D36A08A}" hiddenRows="1" hiddenColumns="1">
      <selection activeCell="B19" sqref="B19"/>
      <pageMargins left="0" right="0" top="0" bottom="0" header="0" footer="0"/>
      <pageSetup orientation="portrait" r:id="rId1"/>
    </customSheetView>
    <customSheetView guid="{D09B7FBD-4C2F-4D51-8650-F30363D61164}" hiddenRows="1" hiddenColumns="1">
      <selection activeCell="B1" sqref="B1"/>
      <pageMargins left="0" right="0" top="0" bottom="0" header="0" footer="0"/>
      <pageSetup orientation="portrait" r:id="rId2"/>
    </customSheetView>
    <customSheetView guid="{8A0DC7DB-68DC-4168-B04E-DD32ABFE343C}" hiddenColumns="1">
      <selection activeCell="B1" sqref="B1"/>
      <pageMargins left="0" right="0" top="0" bottom="0" header="0" footer="0"/>
      <pageSetup orientation="portrait" r:id="rId3"/>
    </customSheetView>
    <customSheetView guid="{F324CAE3-7548-4FF5-ACBE-288AEC54CC06}" hiddenColumns="1">
      <selection activeCell="B7" sqref="B7"/>
      <pageMargins left="0" right="0" top="0" bottom="0" header="0" footer="0"/>
      <pageSetup orientation="portrait" r:id="rId4"/>
    </customSheetView>
    <customSheetView guid="{0728CAE9-F3A2-4700-ACEA-4F34D0D713B6}" hiddenColumns="1">
      <selection activeCell="A9" sqref="A9"/>
      <pageMargins left="0" right="0" top="0" bottom="0" header="0" footer="0"/>
      <pageSetup orientation="portrait" r:id="rId5"/>
    </customSheetView>
    <customSheetView guid="{005802C1-68CA-4815-805E-0B80E75B8A52}" hiddenRows="1" hiddenColumns="1">
      <selection activeCell="A28" sqref="A28"/>
      <pageMargins left="0" right="0" top="0" bottom="0" header="0" footer="0"/>
      <pageSetup orientation="portrait" r:id="rId6"/>
    </customSheetView>
  </customSheetViews>
  <dataValidations count="7">
    <dataValidation type="list" allowBlank="1" showInputMessage="1" showErrorMessage="1" sqref="B15" xr:uid="{00000000-0002-0000-0000-000000000000}">
      <formula1>$G$2:$G$3</formula1>
    </dataValidation>
    <dataValidation type="list" allowBlank="1" showInputMessage="1" showErrorMessage="1" sqref="B16" xr:uid="{00000000-0002-0000-0000-000001000000}">
      <formula1>ZZZ_SHOW_LOGO_LIST</formula1>
    </dataValidation>
    <dataValidation type="list" allowBlank="1" showInputMessage="1" showErrorMessage="1" sqref="B25" xr:uid="{00000000-0002-0000-0000-000002000000}">
      <formula1>F19:F20</formula1>
    </dataValidation>
    <dataValidation type="list" allowBlank="1" showInputMessage="1" showErrorMessage="1" sqref="B23" xr:uid="{00000000-0002-0000-0000-000003000000}">
      <formula1>$F$22:$F$25</formula1>
    </dataValidation>
    <dataValidation type="list" allowBlank="1" showInputMessage="1" showErrorMessage="1" sqref="B24" xr:uid="{00000000-0002-0000-0000-000004000000}">
      <formula1>$F$27:$F$28</formula1>
    </dataValidation>
    <dataValidation type="list" allowBlank="1" showInputMessage="1" showErrorMessage="1" sqref="B20" xr:uid="{00000000-0002-0000-0000-000005000000}">
      <formula1>$H$15:$H$25</formula1>
    </dataValidation>
    <dataValidation type="list" allowBlank="1" showInputMessage="1" showErrorMessage="1" sqref="B19" xr:uid="{00000000-0002-0000-0000-000006000000}">
      <formula1>$H$2:$H$14</formula1>
    </dataValidation>
  </dataValidation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"/>
  <sheetViews>
    <sheetView workbookViewId="0">
      <selection activeCell="B2" sqref="B2"/>
    </sheetView>
  </sheetViews>
  <sheetFormatPr defaultRowHeight="15"/>
  <cols>
    <col min="1" max="1" width="27.7109375" customWidth="1"/>
    <col min="2" max="2" width="22.42578125" customWidth="1"/>
    <col min="3" max="3" width="27.42578125" customWidth="1"/>
    <col min="4" max="4" width="12.7109375" hidden="1" customWidth="1"/>
    <col min="5" max="5" width="25.7109375" hidden="1" customWidth="1"/>
    <col min="6" max="6" width="16" hidden="1" customWidth="1"/>
    <col min="7" max="12" width="12.7109375" hidden="1" customWidth="1"/>
    <col min="13" max="13" width="9.140625" hidden="1" customWidth="1"/>
    <col min="14" max="14" width="41.28515625" hidden="1" customWidth="1"/>
    <col min="15" max="15" width="30.7109375" hidden="1" customWidth="1"/>
    <col min="16" max="16" width="2.42578125" hidden="1" customWidth="1"/>
    <col min="17" max="17" width="30" hidden="1" customWidth="1"/>
    <col min="18" max="18" width="2.42578125" hidden="1" customWidth="1"/>
    <col min="19" max="19" width="29" hidden="1" customWidth="1"/>
    <col min="20" max="20" width="2.42578125" hidden="1" customWidth="1"/>
    <col min="21" max="21" width="29" hidden="1" customWidth="1"/>
    <col min="22" max="22" width="14.7109375" hidden="1" customWidth="1"/>
    <col min="23" max="23" width="24" hidden="1" customWidth="1"/>
  </cols>
  <sheetData>
    <row r="1" spans="1:21">
      <c r="B1" s="35" t="s">
        <v>83</v>
      </c>
      <c r="C1" s="35" t="s">
        <v>84</v>
      </c>
      <c r="D1" t="s">
        <v>85</v>
      </c>
      <c r="E1" s="59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N1" s="24" t="s">
        <v>94</v>
      </c>
      <c r="O1" s="24" t="s">
        <v>95</v>
      </c>
      <c r="Q1" s="28" t="s">
        <v>96</v>
      </c>
      <c r="S1" s="28" t="s">
        <v>97</v>
      </c>
      <c r="U1" s="28" t="s">
        <v>98</v>
      </c>
    </row>
    <row r="2" spans="1:21">
      <c r="A2" s="26" t="s">
        <v>99</v>
      </c>
      <c r="B2" s="27" t="s">
        <v>100</v>
      </c>
      <c r="C2" s="27" t="s">
        <v>101</v>
      </c>
      <c r="D2" s="27"/>
      <c r="E2" s="56" t="str">
        <f>B2&amp;" "&amp;C2&amp;" "&amp;IF(D2="","",D2)</f>
        <v xml:space="preserve">FIRST LAST </v>
      </c>
      <c r="F2" s="47"/>
      <c r="G2" s="27"/>
      <c r="H2" s="27"/>
      <c r="I2" s="27"/>
      <c r="J2" s="27"/>
      <c r="K2" s="27"/>
      <c r="L2" s="27"/>
      <c r="N2" s="1" t="s">
        <v>102</v>
      </c>
      <c r="O2" s="28" t="s">
        <v>103</v>
      </c>
      <c r="Q2" s="30" t="str">
        <f>$B7</f>
        <v>ANALYST</v>
      </c>
      <c r="S2" s="30" t="str">
        <f>$B12</f>
        <v>REPORTING</v>
      </c>
      <c r="U2" s="30" t="str">
        <f>$B17</f>
        <v xml:space="preserve">MISC </v>
      </c>
    </row>
    <row r="3" spans="1:21">
      <c r="A3" s="3"/>
      <c r="B3" s="20"/>
      <c r="C3" s="20"/>
      <c r="D3" s="20"/>
      <c r="F3" s="20"/>
      <c r="G3" s="20"/>
      <c r="H3" s="20"/>
      <c r="I3" s="20"/>
      <c r="J3" s="20"/>
      <c r="K3" s="20"/>
      <c r="L3" s="20"/>
      <c r="N3" s="20" t="str">
        <f>B21</f>
        <v>College Basketball</v>
      </c>
      <c r="O3" s="29" t="str">
        <f>B2</f>
        <v>FIRST</v>
      </c>
      <c r="Q3" s="30" t="str">
        <f>$C7</f>
        <v>FOUR</v>
      </c>
      <c r="S3" s="30" t="str">
        <f>$C12</f>
        <v>THREE</v>
      </c>
      <c r="U3" s="30" t="str">
        <f>$C17</f>
        <v>TALENT4</v>
      </c>
    </row>
    <row r="4" spans="1:21">
      <c r="A4" s="26" t="s">
        <v>104</v>
      </c>
      <c r="B4" s="27" t="s">
        <v>105</v>
      </c>
      <c r="C4" s="27" t="s">
        <v>105</v>
      </c>
      <c r="D4" s="27"/>
      <c r="E4" s="56" t="str">
        <f>B4&amp;" "&amp;C4&amp;" "&amp;IF(D4="","",D4)</f>
        <v xml:space="preserve">ANALYST1 ANALYST1 </v>
      </c>
      <c r="F4" s="27"/>
      <c r="G4" s="27"/>
      <c r="H4" s="27"/>
      <c r="I4" s="27"/>
      <c r="J4" s="27"/>
      <c r="K4" s="27"/>
      <c r="L4" s="27"/>
      <c r="O4" s="29" t="str">
        <f>C2</f>
        <v>LAST</v>
      </c>
      <c r="Q4" s="29" t="str">
        <f>$E7</f>
        <v>ANALYST FOUR NAME</v>
      </c>
      <c r="S4" s="29" t="str">
        <f>$E12</f>
        <v>REPORTING THREE NAME</v>
      </c>
      <c r="U4" s="29" t="str">
        <f>$E17</f>
        <v>MISC  TALENT4 NAME</v>
      </c>
    </row>
    <row r="5" spans="1:21">
      <c r="A5" s="26" t="s">
        <v>106</v>
      </c>
      <c r="B5" s="27" t="s">
        <v>107</v>
      </c>
      <c r="C5" s="27" t="s">
        <v>107</v>
      </c>
      <c r="D5" s="27"/>
      <c r="E5" s="56" t="str">
        <f t="shared" ref="E5:E18" si="0">B5&amp;" "&amp;C5&amp;" "&amp;IF(D5="","",D5)</f>
        <v xml:space="preserve">ANALYST2 ANALYST2 </v>
      </c>
      <c r="F5" s="27"/>
      <c r="G5" s="27"/>
      <c r="H5" s="27"/>
      <c r="I5" s="27"/>
      <c r="J5" s="27"/>
      <c r="K5" s="27"/>
      <c r="L5" s="27"/>
      <c r="N5" s="1" t="s">
        <v>108</v>
      </c>
      <c r="O5" s="29" t="str">
        <f>E2</f>
        <v xml:space="preserve">FIRST LAST </v>
      </c>
      <c r="Q5" s="30">
        <f>$F7</f>
        <v>0</v>
      </c>
      <c r="S5" s="30">
        <f>$F12</f>
        <v>0</v>
      </c>
      <c r="U5" s="30">
        <f>$F17</f>
        <v>0</v>
      </c>
    </row>
    <row r="6" spans="1:21" hidden="1">
      <c r="A6" s="26" t="s">
        <v>109</v>
      </c>
      <c r="B6" s="27" t="s">
        <v>110</v>
      </c>
      <c r="C6" s="27" t="s">
        <v>111</v>
      </c>
      <c r="D6" s="27" t="s">
        <v>112</v>
      </c>
      <c r="E6" s="56" t="str">
        <f t="shared" si="0"/>
        <v>ANALYST THREE NAME</v>
      </c>
      <c r="F6" s="27"/>
      <c r="G6" s="27"/>
      <c r="H6" s="27"/>
      <c r="I6" s="27"/>
      <c r="J6" s="27"/>
      <c r="K6" s="27"/>
      <c r="L6" s="27"/>
      <c r="N6" s="20">
        <f>B22</f>
        <v>0</v>
      </c>
      <c r="O6" s="29">
        <f>F2</f>
        <v>0</v>
      </c>
      <c r="Q6" s="30">
        <f>$G7</f>
        <v>0</v>
      </c>
      <c r="S6" s="30">
        <f>$G12</f>
        <v>0</v>
      </c>
      <c r="U6" s="30">
        <f>$G17</f>
        <v>0</v>
      </c>
    </row>
    <row r="7" spans="1:21" hidden="1">
      <c r="A7" s="26" t="s">
        <v>113</v>
      </c>
      <c r="B7" s="27" t="s">
        <v>110</v>
      </c>
      <c r="C7" s="27" t="s">
        <v>114</v>
      </c>
      <c r="D7" s="27" t="s">
        <v>112</v>
      </c>
      <c r="E7" s="56" t="str">
        <f t="shared" si="0"/>
        <v>ANALYST FOUR NAME</v>
      </c>
      <c r="F7" s="27"/>
      <c r="G7" s="27"/>
      <c r="H7" s="27"/>
      <c r="I7" s="27"/>
      <c r="J7" s="27"/>
      <c r="K7" s="27"/>
      <c r="L7" s="27"/>
      <c r="O7" s="30">
        <f>G2</f>
        <v>0</v>
      </c>
      <c r="Q7" s="30">
        <f>$H7</f>
        <v>0</v>
      </c>
      <c r="S7" s="30">
        <f>$H12</f>
        <v>0</v>
      </c>
      <c r="U7" s="30">
        <f>$H17</f>
        <v>0</v>
      </c>
    </row>
    <row r="8" spans="1:21" hidden="1">
      <c r="A8" s="26" t="s">
        <v>115</v>
      </c>
      <c r="B8" s="27" t="s">
        <v>110</v>
      </c>
      <c r="C8" s="27" t="s">
        <v>116</v>
      </c>
      <c r="D8" s="27" t="s">
        <v>112</v>
      </c>
      <c r="E8" s="56" t="str">
        <f t="shared" si="0"/>
        <v>ANALYST FIVE NAME</v>
      </c>
      <c r="F8" s="27"/>
      <c r="G8" s="27"/>
      <c r="H8" s="27"/>
      <c r="I8" s="27"/>
      <c r="J8" s="27"/>
      <c r="K8" s="27"/>
      <c r="L8" s="27"/>
      <c r="N8" s="1" t="s">
        <v>117</v>
      </c>
      <c r="O8" s="30">
        <f>H2</f>
        <v>0</v>
      </c>
      <c r="Q8" s="30">
        <f>$I7</f>
        <v>0</v>
      </c>
      <c r="S8" s="30">
        <f>$I12</f>
        <v>0</v>
      </c>
      <c r="U8" s="30">
        <f>$I17</f>
        <v>0</v>
      </c>
    </row>
    <row r="9" spans="1:21" hidden="1">
      <c r="A9" s="3"/>
      <c r="B9" s="20"/>
      <c r="C9" s="20"/>
      <c r="D9" s="20"/>
      <c r="F9" s="20"/>
      <c r="G9" s="20"/>
      <c r="H9" s="20"/>
      <c r="I9" s="20"/>
      <c r="J9" s="20"/>
      <c r="K9" s="20"/>
      <c r="L9" s="20"/>
      <c r="N9" t="str">
        <f>B23</f>
        <v>College Basketball</v>
      </c>
      <c r="O9" s="30">
        <f>I2</f>
        <v>0</v>
      </c>
      <c r="Q9" s="30">
        <f>$J7</f>
        <v>0</v>
      </c>
      <c r="S9" s="30">
        <f>$J12</f>
        <v>0</v>
      </c>
      <c r="U9" s="30">
        <f>$J17</f>
        <v>0</v>
      </c>
    </row>
    <row r="10" spans="1:21">
      <c r="A10" s="26" t="s">
        <v>118</v>
      </c>
      <c r="B10" s="27" t="s">
        <v>119</v>
      </c>
      <c r="C10" s="27" t="s">
        <v>119</v>
      </c>
      <c r="D10" s="27"/>
      <c r="E10" s="56" t="str">
        <f t="shared" si="0"/>
        <v xml:space="preserve">REPORTER REPORTER </v>
      </c>
      <c r="F10" s="27"/>
      <c r="G10" s="27"/>
      <c r="H10" s="27"/>
      <c r="I10" s="27"/>
      <c r="J10" s="27"/>
      <c r="K10" s="27"/>
      <c r="L10" s="27"/>
      <c r="O10" s="30">
        <f>J2</f>
        <v>0</v>
      </c>
      <c r="Q10" s="30">
        <f>$K7</f>
        <v>0</v>
      </c>
      <c r="S10" s="30">
        <f>$K12</f>
        <v>0</v>
      </c>
      <c r="U10" s="30">
        <f>$K17</f>
        <v>0</v>
      </c>
    </row>
    <row r="11" spans="1:21" hidden="1">
      <c r="A11" s="26" t="s">
        <v>120</v>
      </c>
      <c r="B11" s="27" t="s">
        <v>121</v>
      </c>
      <c r="C11" s="27" t="s">
        <v>122</v>
      </c>
      <c r="D11" s="27" t="s">
        <v>112</v>
      </c>
      <c r="E11" s="56" t="str">
        <f t="shared" si="0"/>
        <v>REPORTING TWO NAME</v>
      </c>
      <c r="F11" s="27"/>
      <c r="G11" s="27"/>
      <c r="H11" s="27"/>
      <c r="I11" s="27"/>
      <c r="J11" s="27"/>
      <c r="K11" s="27"/>
      <c r="L11" s="27"/>
      <c r="N11" t="s">
        <v>123</v>
      </c>
      <c r="O11" s="30">
        <f>K2</f>
        <v>0</v>
      </c>
      <c r="Q11" s="31">
        <f>$L7</f>
        <v>0</v>
      </c>
      <c r="S11" s="31">
        <f>$L12</f>
        <v>0</v>
      </c>
      <c r="U11" s="31">
        <f>$L17</f>
        <v>0</v>
      </c>
    </row>
    <row r="12" spans="1:21" hidden="1">
      <c r="A12" s="26" t="s">
        <v>124</v>
      </c>
      <c r="B12" s="27" t="s">
        <v>121</v>
      </c>
      <c r="C12" s="27" t="s">
        <v>111</v>
      </c>
      <c r="D12" s="27" t="s">
        <v>112</v>
      </c>
      <c r="E12" s="56" t="str">
        <f>B12&amp;" "&amp;C12&amp;" "&amp;D12</f>
        <v>REPORTING THREE NAME</v>
      </c>
      <c r="F12" s="27"/>
      <c r="G12" s="27"/>
      <c r="H12" s="27"/>
      <c r="I12" s="27"/>
      <c r="J12" s="27"/>
      <c r="K12" s="27"/>
      <c r="L12" s="27"/>
      <c r="N12" t="str">
        <f>N15&amp;C20&amp;".png"</f>
        <v>D:\IMS IMAGES\NETWORK\PRIMARY\ESPN.png</v>
      </c>
      <c r="O12" s="31">
        <f>L2</f>
        <v>0</v>
      </c>
    </row>
    <row r="13" spans="1:21" hidden="1">
      <c r="A13" s="3"/>
      <c r="B13" s="20"/>
      <c r="C13" s="20"/>
      <c r="D13" s="20"/>
      <c r="F13" s="20"/>
      <c r="G13" s="20"/>
      <c r="H13" s="20"/>
      <c r="I13" s="20"/>
      <c r="J13" s="20"/>
      <c r="K13" s="20"/>
      <c r="L13" s="20"/>
    </row>
    <row r="14" spans="1:21" hidden="1">
      <c r="A14" s="26" t="s">
        <v>125</v>
      </c>
      <c r="B14" s="27" t="s">
        <v>126</v>
      </c>
      <c r="C14" s="27" t="s">
        <v>127</v>
      </c>
      <c r="D14" s="27" t="s">
        <v>128</v>
      </c>
      <c r="E14" s="56" t="str">
        <f t="shared" si="0"/>
        <v>CHRIS CARROLL III</v>
      </c>
      <c r="F14" s="27"/>
      <c r="G14" s="27"/>
      <c r="H14" s="27"/>
      <c r="I14" s="27"/>
      <c r="J14" s="27"/>
      <c r="K14" s="27"/>
      <c r="L14" s="27"/>
      <c r="N14" s="44" t="s">
        <v>129</v>
      </c>
      <c r="O14" s="28" t="s">
        <v>105</v>
      </c>
      <c r="Q14" s="28" t="s">
        <v>130</v>
      </c>
      <c r="S14" s="28" t="s">
        <v>131</v>
      </c>
      <c r="U14" s="28" t="s">
        <v>132</v>
      </c>
    </row>
    <row r="15" spans="1:21" hidden="1">
      <c r="A15" s="26" t="s">
        <v>125</v>
      </c>
      <c r="B15" s="27" t="s">
        <v>133</v>
      </c>
      <c r="C15" s="27" t="s">
        <v>134</v>
      </c>
      <c r="D15" s="27" t="s">
        <v>112</v>
      </c>
      <c r="E15" s="56" t="str">
        <f t="shared" si="0"/>
        <v>MISC  TALENT2 NAME</v>
      </c>
      <c r="F15" s="27"/>
      <c r="G15" s="27"/>
      <c r="H15" s="27"/>
      <c r="I15" s="27"/>
      <c r="J15" s="27"/>
      <c r="K15" s="27"/>
      <c r="L15" s="27"/>
      <c r="N15" s="44" t="s">
        <v>135</v>
      </c>
      <c r="O15" s="30" t="str">
        <f>B4</f>
        <v>ANALYST1</v>
      </c>
      <c r="Q15" s="30" t="str">
        <f>$B8</f>
        <v>ANALYST</v>
      </c>
      <c r="S15" s="30" t="str">
        <f>$B14</f>
        <v>CHRIS</v>
      </c>
      <c r="U15" s="30" t="str">
        <f>$B18</f>
        <v xml:space="preserve">MISC </v>
      </c>
    </row>
    <row r="16" spans="1:21" hidden="1">
      <c r="A16" s="26" t="s">
        <v>125</v>
      </c>
      <c r="B16" s="27" t="s">
        <v>133</v>
      </c>
      <c r="C16" s="27" t="s">
        <v>136</v>
      </c>
      <c r="D16" s="27" t="s">
        <v>112</v>
      </c>
      <c r="E16" s="56" t="str">
        <f t="shared" si="0"/>
        <v>MISC  TALENT3 NAME</v>
      </c>
      <c r="F16" s="27"/>
      <c r="G16" s="27"/>
      <c r="H16" s="27"/>
      <c r="I16" s="27"/>
      <c r="J16" s="27"/>
      <c r="K16" s="27"/>
      <c r="L16" s="27"/>
      <c r="O16" s="30" t="str">
        <f>C4</f>
        <v>ANALYST1</v>
      </c>
      <c r="Q16" s="30" t="str">
        <f>$C8</f>
        <v>FIVE</v>
      </c>
      <c r="S16" s="30" t="str">
        <f>$C14</f>
        <v>CARROLL</v>
      </c>
      <c r="U16" s="30" t="str">
        <f>$C18</f>
        <v>TALENT5</v>
      </c>
    </row>
    <row r="17" spans="1:23" hidden="1">
      <c r="A17" s="26" t="s">
        <v>125</v>
      </c>
      <c r="B17" s="27" t="s">
        <v>133</v>
      </c>
      <c r="C17" s="27" t="s">
        <v>137</v>
      </c>
      <c r="D17" s="27" t="s">
        <v>112</v>
      </c>
      <c r="E17" s="56" t="str">
        <f t="shared" si="0"/>
        <v>MISC  TALENT4 NAME</v>
      </c>
      <c r="F17" s="27"/>
      <c r="G17" s="27"/>
      <c r="H17" s="27"/>
      <c r="I17" s="27"/>
      <c r="J17" s="27"/>
      <c r="K17" s="27"/>
      <c r="L17" s="27"/>
      <c r="N17" s="44" t="s">
        <v>138</v>
      </c>
      <c r="O17" s="29" t="str">
        <f>E4</f>
        <v xml:space="preserve">ANALYST1 ANALYST1 </v>
      </c>
      <c r="Q17" s="29" t="str">
        <f>$E8</f>
        <v>ANALYST FIVE NAME</v>
      </c>
      <c r="S17" s="29" t="str">
        <f>$E14</f>
        <v>CHRIS CARROLL III</v>
      </c>
      <c r="U17" s="29" t="str">
        <f>$E18</f>
        <v>MISC  TALENT5 NAME</v>
      </c>
    </row>
    <row r="18" spans="1:23" hidden="1">
      <c r="A18" s="26" t="s">
        <v>125</v>
      </c>
      <c r="B18" s="27" t="s">
        <v>133</v>
      </c>
      <c r="C18" s="27" t="s">
        <v>139</v>
      </c>
      <c r="D18" s="27" t="s">
        <v>112</v>
      </c>
      <c r="E18" s="56" t="str">
        <f t="shared" si="0"/>
        <v>MISC  TALENT5 NAME</v>
      </c>
      <c r="F18" s="27"/>
      <c r="G18" s="27"/>
      <c r="H18" s="27"/>
      <c r="I18" s="27"/>
      <c r="J18" s="27"/>
      <c r="K18" s="27"/>
      <c r="L18" s="27"/>
      <c r="N18" s="25">
        <f>B24</f>
        <v>2</v>
      </c>
      <c r="O18" s="30">
        <f>F4</f>
        <v>0</v>
      </c>
      <c r="Q18" s="30">
        <f>$F8</f>
        <v>0</v>
      </c>
      <c r="S18" s="30">
        <f>$F14</f>
        <v>0</v>
      </c>
      <c r="U18" s="30">
        <f>$F18</f>
        <v>0</v>
      </c>
    </row>
    <row r="19" spans="1:23">
      <c r="O19" s="30">
        <f>G4</f>
        <v>0</v>
      </c>
      <c r="Q19" s="30">
        <f>$G8</f>
        <v>0</v>
      </c>
      <c r="S19" s="30">
        <f>$G14</f>
        <v>0</v>
      </c>
      <c r="U19" s="30">
        <f>$G18</f>
        <v>0</v>
      </c>
    </row>
    <row r="20" spans="1:23">
      <c r="A20" s="15" t="s">
        <v>140</v>
      </c>
      <c r="B20" s="58">
        <v>2</v>
      </c>
      <c r="C20" s="51" t="str">
        <f>VLOOKUP($B$20,U27:V35, 2,FALSE)</f>
        <v>ESPN</v>
      </c>
      <c r="E20" s="13"/>
      <c r="O20" s="30">
        <f>H4</f>
        <v>0</v>
      </c>
      <c r="Q20" s="30">
        <f>$H8</f>
        <v>0</v>
      </c>
      <c r="S20" s="30">
        <f>$H14</f>
        <v>0</v>
      </c>
      <c r="U20" s="30">
        <f>$H18</f>
        <v>0</v>
      </c>
    </row>
    <row r="21" spans="1:23">
      <c r="A21" s="15" t="s">
        <v>141</v>
      </c>
      <c r="B21" s="133" t="str">
        <f>VLOOKUP($B$20,U27:W35, 3,FALSE)</f>
        <v>College Basketball</v>
      </c>
      <c r="C21" s="134"/>
      <c r="O21" s="30">
        <f>I4</f>
        <v>0</v>
      </c>
      <c r="Q21" s="30">
        <f>$I8</f>
        <v>0</v>
      </c>
      <c r="S21" s="30">
        <f>$I14</f>
        <v>0</v>
      </c>
      <c r="U21" s="30">
        <f>$I18</f>
        <v>0</v>
      </c>
    </row>
    <row r="22" spans="1:23">
      <c r="A22" s="15" t="s">
        <v>142</v>
      </c>
      <c r="B22" s="160"/>
      <c r="C22" s="161"/>
      <c r="O22" s="30">
        <f>J4</f>
        <v>0</v>
      </c>
      <c r="Q22" s="30">
        <f>$J8</f>
        <v>0</v>
      </c>
      <c r="S22" s="30">
        <f>$J14</f>
        <v>0</v>
      </c>
      <c r="U22" s="30">
        <f>$J18</f>
        <v>0</v>
      </c>
    </row>
    <row r="23" spans="1:23">
      <c r="A23" s="15" t="s">
        <v>143</v>
      </c>
      <c r="B23" s="162" t="str">
        <f>IF(B20 = 8,B22,B21)</f>
        <v>College Basketball</v>
      </c>
      <c r="C23" s="163"/>
      <c r="O23" s="30">
        <f>K4</f>
        <v>0</v>
      </c>
      <c r="Q23" s="30">
        <f>$K8</f>
        <v>0</v>
      </c>
      <c r="S23" s="30">
        <f>$K14</f>
        <v>0</v>
      </c>
      <c r="U23" s="30">
        <f>$K18</f>
        <v>0</v>
      </c>
    </row>
    <row r="24" spans="1:23">
      <c r="A24" s="15" t="s">
        <v>144</v>
      </c>
      <c r="B24" s="135">
        <v>2</v>
      </c>
      <c r="C24" s="135"/>
      <c r="O24" s="31">
        <f>L4</f>
        <v>0</v>
      </c>
      <c r="Q24" s="31">
        <f>$L8</f>
        <v>0</v>
      </c>
      <c r="S24" s="31">
        <f>$L14</f>
        <v>0</v>
      </c>
      <c r="U24" s="31">
        <f>$L18</f>
        <v>0</v>
      </c>
    </row>
    <row r="25" spans="1:23" ht="15.75" thickBot="1"/>
    <row r="26" spans="1:23" ht="15.75" thickBot="1">
      <c r="A26" s="57" t="s">
        <v>145</v>
      </c>
      <c r="O26" s="28" t="s">
        <v>107</v>
      </c>
      <c r="Q26" s="28" t="s">
        <v>146</v>
      </c>
      <c r="S26" s="28" t="s">
        <v>147</v>
      </c>
      <c r="U26" s="24" t="s">
        <v>6</v>
      </c>
      <c r="V26" s="52"/>
    </row>
    <row r="27" spans="1:23">
      <c r="A27" s="2"/>
      <c r="O27" s="30" t="str">
        <f>B5</f>
        <v>ANALYST2</v>
      </c>
      <c r="Q27" s="30" t="str">
        <f>$B10</f>
        <v>REPORTER</v>
      </c>
      <c r="S27" s="30" t="str">
        <f>$B15</f>
        <v xml:space="preserve">MISC </v>
      </c>
      <c r="U27" s="50">
        <v>0</v>
      </c>
      <c r="V27" t="s">
        <v>11</v>
      </c>
    </row>
    <row r="28" spans="1:23">
      <c r="A28" s="2"/>
      <c r="O28" s="30" t="str">
        <f>C5</f>
        <v>ANALYST2</v>
      </c>
      <c r="Q28" s="30" t="str">
        <f>$C10</f>
        <v>REPORTER</v>
      </c>
      <c r="S28" s="30" t="str">
        <f>$C15</f>
        <v>TALENT2</v>
      </c>
      <c r="U28" s="50">
        <v>1</v>
      </c>
      <c r="V28" t="s">
        <v>148</v>
      </c>
      <c r="W28" t="s">
        <v>149</v>
      </c>
    </row>
    <row r="29" spans="1:23">
      <c r="O29" s="29" t="str">
        <f>E5</f>
        <v xml:space="preserve">ANALYST2 ANALYST2 </v>
      </c>
      <c r="Q29" s="29" t="str">
        <f>$E10</f>
        <v xml:space="preserve">REPORTER REPORTER </v>
      </c>
      <c r="S29" s="29" t="str">
        <f>$E15</f>
        <v>MISC  TALENT2 NAME</v>
      </c>
      <c r="U29" s="50">
        <v>2</v>
      </c>
      <c r="V29" t="s">
        <v>16</v>
      </c>
      <c r="W29" t="s">
        <v>149</v>
      </c>
    </row>
    <row r="30" spans="1:23">
      <c r="O30" s="30">
        <f>F5</f>
        <v>0</v>
      </c>
      <c r="Q30" s="30">
        <f>$F10</f>
        <v>0</v>
      </c>
      <c r="S30" s="30">
        <f>$F15</f>
        <v>0</v>
      </c>
      <c r="U30" s="50">
        <v>3</v>
      </c>
      <c r="V30" t="s">
        <v>150</v>
      </c>
      <c r="W30" t="s">
        <v>151</v>
      </c>
    </row>
    <row r="31" spans="1:23">
      <c r="O31" s="30">
        <f>G5</f>
        <v>0</v>
      </c>
      <c r="Q31" s="30">
        <f>$G10</f>
        <v>0</v>
      </c>
      <c r="S31" s="30">
        <f>$G15</f>
        <v>0</v>
      </c>
      <c r="U31" s="50">
        <v>4</v>
      </c>
      <c r="V31" t="s">
        <v>152</v>
      </c>
      <c r="W31" t="s">
        <v>153</v>
      </c>
    </row>
    <row r="32" spans="1:23">
      <c r="O32" s="30">
        <f>H5</f>
        <v>0</v>
      </c>
      <c r="Q32" s="30">
        <f>$H10</f>
        <v>0</v>
      </c>
      <c r="S32" s="30">
        <f>$H15</f>
        <v>0</v>
      </c>
      <c r="U32" s="50">
        <v>5</v>
      </c>
      <c r="V32" t="s">
        <v>154</v>
      </c>
      <c r="W32" t="s">
        <v>155</v>
      </c>
    </row>
    <row r="33" spans="15:23">
      <c r="O33" s="30">
        <f>I5</f>
        <v>0</v>
      </c>
      <c r="Q33" s="30">
        <f>$I10</f>
        <v>0</v>
      </c>
      <c r="S33" s="30">
        <f>$I15</f>
        <v>0</v>
      </c>
      <c r="U33" s="50">
        <v>6</v>
      </c>
      <c r="V33" t="s">
        <v>68</v>
      </c>
      <c r="W33" t="s">
        <v>156</v>
      </c>
    </row>
    <row r="34" spans="15:23">
      <c r="O34" s="30">
        <f>J5</f>
        <v>0</v>
      </c>
      <c r="Q34" s="30">
        <f>$J10</f>
        <v>0</v>
      </c>
      <c r="S34" s="30">
        <f>$J15</f>
        <v>0</v>
      </c>
      <c r="U34" s="50">
        <v>7</v>
      </c>
      <c r="V34" t="s">
        <v>66</v>
      </c>
      <c r="W34" t="s">
        <v>157</v>
      </c>
    </row>
    <row r="35" spans="15:23">
      <c r="O35" s="30">
        <f>K5</f>
        <v>0</v>
      </c>
      <c r="Q35" s="30">
        <f>$K10</f>
        <v>0</v>
      </c>
      <c r="S35" s="30">
        <f>$K15</f>
        <v>0</v>
      </c>
      <c r="U35" s="50">
        <v>8</v>
      </c>
      <c r="V35" t="s">
        <v>158</v>
      </c>
      <c r="W35" t="s">
        <v>159</v>
      </c>
    </row>
    <row r="36" spans="15:23">
      <c r="O36" s="31">
        <f>L5</f>
        <v>0</v>
      </c>
      <c r="Q36" s="31">
        <f>$L10</f>
        <v>0</v>
      </c>
      <c r="S36" s="31">
        <f>$L15</f>
        <v>0</v>
      </c>
    </row>
    <row r="38" spans="15:23">
      <c r="O38" s="28" t="s">
        <v>160</v>
      </c>
      <c r="Q38" s="28" t="s">
        <v>161</v>
      </c>
      <c r="S38" s="28" t="s">
        <v>162</v>
      </c>
    </row>
    <row r="39" spans="15:23">
      <c r="O39" s="30" t="str">
        <f>B6</f>
        <v>ANALYST</v>
      </c>
      <c r="Q39" s="30" t="str">
        <f>$B11</f>
        <v>REPORTING</v>
      </c>
      <c r="S39" s="30" t="str">
        <f>$B16</f>
        <v xml:space="preserve">MISC </v>
      </c>
    </row>
    <row r="40" spans="15:23">
      <c r="O40" s="30" t="str">
        <f>B7</f>
        <v>ANALYST</v>
      </c>
      <c r="Q40" s="30" t="str">
        <f>$C11</f>
        <v>TWO</v>
      </c>
      <c r="S40" s="30" t="str">
        <f>$C16</f>
        <v>TALENT3</v>
      </c>
    </row>
    <row r="41" spans="15:23">
      <c r="O41" s="29" t="str">
        <f>E6</f>
        <v>ANALYST THREE NAME</v>
      </c>
      <c r="Q41" s="29" t="str">
        <f>$E11</f>
        <v>REPORTING TWO NAME</v>
      </c>
      <c r="S41" s="29" t="str">
        <f>$E16</f>
        <v>MISC  TALENT3 NAME</v>
      </c>
    </row>
    <row r="42" spans="15:23">
      <c r="O42" s="30">
        <f>F6</f>
        <v>0</v>
      </c>
      <c r="Q42" s="30">
        <f>$F11</f>
        <v>0</v>
      </c>
      <c r="S42" s="30">
        <f>$F16</f>
        <v>0</v>
      </c>
    </row>
    <row r="43" spans="15:23">
      <c r="O43" s="30">
        <f>G6</f>
        <v>0</v>
      </c>
      <c r="Q43" s="30">
        <f>$G11</f>
        <v>0</v>
      </c>
      <c r="S43" s="30">
        <f>$G16</f>
        <v>0</v>
      </c>
    </row>
    <row r="44" spans="15:23">
      <c r="O44" s="30">
        <f>H6</f>
        <v>0</v>
      </c>
      <c r="Q44" s="30">
        <f>$H11</f>
        <v>0</v>
      </c>
      <c r="S44" s="30">
        <f>$H16</f>
        <v>0</v>
      </c>
    </row>
    <row r="45" spans="15:23">
      <c r="O45" s="30">
        <f>I6</f>
        <v>0</v>
      </c>
      <c r="Q45" s="30">
        <f>$I11</f>
        <v>0</v>
      </c>
      <c r="S45" s="30">
        <f>$I16</f>
        <v>0</v>
      </c>
    </row>
    <row r="46" spans="15:23">
      <c r="O46" s="30">
        <f>J6</f>
        <v>0</v>
      </c>
      <c r="Q46" s="30">
        <f>$J11</f>
        <v>0</v>
      </c>
      <c r="S46" s="30">
        <f>$J16</f>
        <v>0</v>
      </c>
    </row>
    <row r="47" spans="15:23">
      <c r="O47" s="30">
        <f>K6</f>
        <v>0</v>
      </c>
      <c r="Q47" s="30">
        <f>$K11</f>
        <v>0</v>
      </c>
      <c r="S47" s="30">
        <f>$K16</f>
        <v>0</v>
      </c>
    </row>
    <row r="48" spans="15:23">
      <c r="O48" s="31">
        <f>L6</f>
        <v>0</v>
      </c>
      <c r="Q48" s="31">
        <f>$L11</f>
        <v>0</v>
      </c>
      <c r="S48" s="31">
        <f>$L16</f>
        <v>0</v>
      </c>
    </row>
  </sheetData>
  <customSheetViews>
    <customSheetView guid="{F3D34B6E-C033-4619-B79B-F6641D36A08A}" hiddenRows="1" hiddenColumns="1">
      <selection activeCell="B2" sqref="B2"/>
      <pageMargins left="0" right="0" top="0" bottom="0" header="0" footer="0"/>
      <pageSetup orientation="portrait" r:id="rId1"/>
    </customSheetView>
    <customSheetView guid="{D09B7FBD-4C2F-4D51-8650-F30363D61164}" hiddenRows="1" hiddenColumns="1">
      <selection activeCell="B20" sqref="B20"/>
      <pageMargins left="0" right="0" top="0" bottom="0" header="0" footer="0"/>
      <pageSetup orientation="portrait" r:id="rId2"/>
    </customSheetView>
    <customSheetView guid="{8A0DC7DB-68DC-4168-B04E-DD32ABFE343C}" hiddenRows="1" hiddenColumns="1">
      <selection activeCell="B26" sqref="B26"/>
      <pageMargins left="0" right="0" top="0" bottom="0" header="0" footer="0"/>
      <pageSetup orientation="portrait" r:id="rId3"/>
    </customSheetView>
    <customSheetView guid="{F324CAE3-7548-4FF5-ACBE-288AEC54CC06}" hiddenColumns="1">
      <selection activeCell="I26" sqref="I26"/>
      <pageMargins left="0" right="0" top="0" bottom="0" header="0" footer="0"/>
      <pageSetup orientation="portrait" r:id="rId4"/>
    </customSheetView>
    <customSheetView guid="{0728CAE9-F3A2-4700-ACEA-4F34D0D713B6}" hiddenRows="1" hiddenColumns="1">
      <selection activeCell="B26" sqref="B26"/>
      <pageMargins left="0" right="0" top="0" bottom="0" header="0" footer="0"/>
      <pageSetup orientation="portrait" r:id="rId5"/>
    </customSheetView>
    <customSheetView guid="{005802C1-68CA-4815-805E-0B80E75B8A52}" hiddenRows="1" hiddenColumns="1">
      <selection activeCell="B20" sqref="B20"/>
      <pageMargins left="0" right="0" top="0" bottom="0" header="0" footer="0"/>
      <pageSetup orientation="portrait" r:id="rId6"/>
    </customSheetView>
  </customSheetViews>
  <mergeCells count="4">
    <mergeCell ref="B21:C21"/>
    <mergeCell ref="B24:C24"/>
    <mergeCell ref="B22:C22"/>
    <mergeCell ref="B23:C23"/>
  </mergeCells>
  <dataValidations count="1">
    <dataValidation type="list" allowBlank="1" showInputMessage="1" showErrorMessage="1" sqref="B20" xr:uid="{00000000-0002-0000-0100-000000000000}">
      <formula1>$U$27:$U$35</formula1>
    </dataValidation>
  </dataValidation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selection activeCell="B5" sqref="B5"/>
    </sheetView>
  </sheetViews>
  <sheetFormatPr defaultRowHeight="15"/>
  <cols>
    <col min="1" max="1" width="5.5703125" bestFit="1" customWidth="1"/>
    <col min="2" max="2" width="24" bestFit="1" customWidth="1"/>
    <col min="3" max="6" width="20.7109375" customWidth="1"/>
    <col min="7" max="7" width="13.42578125" customWidth="1"/>
    <col min="8" max="8" width="33" hidden="1" customWidth="1"/>
    <col min="9" max="9" width="2.7109375" hidden="1" customWidth="1"/>
    <col min="10" max="10" width="43.28515625" hidden="1" customWidth="1"/>
  </cols>
  <sheetData>
    <row r="1" spans="1:10">
      <c r="B1" s="32" t="s">
        <v>163</v>
      </c>
      <c r="H1" t="s">
        <v>164</v>
      </c>
      <c r="J1" t="s">
        <v>165</v>
      </c>
    </row>
    <row r="2" spans="1:10">
      <c r="H2" t="s">
        <v>166</v>
      </c>
      <c r="J2" t="str">
        <f>H2&amp;B6&amp;".PNG"</f>
        <v>D:\IMS IMAGES\CONFERENCE\PRIMARY\ACC.PNG</v>
      </c>
    </row>
    <row r="3" spans="1:10">
      <c r="B3" s="124" t="s">
        <v>167</v>
      </c>
      <c r="C3" s="124" t="s">
        <v>168</v>
      </c>
      <c r="D3" s="125" t="s">
        <v>169</v>
      </c>
      <c r="F3" s="124" t="s">
        <v>170</v>
      </c>
    </row>
    <row r="4" spans="1:10">
      <c r="B4" s="37" t="s">
        <v>171</v>
      </c>
      <c r="C4" s="37" t="s">
        <v>172</v>
      </c>
      <c r="D4" s="36" t="s">
        <v>173</v>
      </c>
      <c r="F4" s="123">
        <v>6</v>
      </c>
    </row>
    <row r="5" spans="1:10">
      <c r="B5" s="126" t="s">
        <v>174</v>
      </c>
      <c r="C5" s="2"/>
      <c r="D5" s="2"/>
      <c r="H5" s="32" t="s">
        <v>175</v>
      </c>
    </row>
    <row r="6" spans="1:10">
      <c r="B6" s="38" t="s">
        <v>55</v>
      </c>
      <c r="C6" s="132" t="s">
        <v>174</v>
      </c>
      <c r="H6" s="50">
        <v>6</v>
      </c>
    </row>
    <row r="7" spans="1:10">
      <c r="B7" s="2"/>
      <c r="C7" s="2"/>
      <c r="H7" s="50">
        <v>7</v>
      </c>
    </row>
    <row r="8" spans="1:10">
      <c r="A8" s="39" t="s">
        <v>176</v>
      </c>
      <c r="B8" s="124" t="s">
        <v>177</v>
      </c>
      <c r="C8" s="127" t="s">
        <v>178</v>
      </c>
      <c r="D8" s="124" t="s">
        <v>179</v>
      </c>
      <c r="E8" s="124" t="s">
        <v>180</v>
      </c>
      <c r="F8" s="128" t="s">
        <v>181</v>
      </c>
      <c r="H8" s="50">
        <v>8</v>
      </c>
    </row>
    <row r="9" spans="1:10">
      <c r="A9" s="40">
        <v>1</v>
      </c>
      <c r="B9" s="41" t="s">
        <v>182</v>
      </c>
      <c r="C9" s="40" t="s">
        <v>183</v>
      </c>
      <c r="D9" s="42" t="s">
        <v>184</v>
      </c>
      <c r="E9" s="42" t="s">
        <v>184</v>
      </c>
      <c r="F9" s="43" t="s">
        <v>185</v>
      </c>
    </row>
    <row r="10" spans="1:10">
      <c r="A10" s="40">
        <v>2</v>
      </c>
      <c r="B10" s="41" t="s">
        <v>186</v>
      </c>
      <c r="C10" s="40" t="s">
        <v>183</v>
      </c>
      <c r="D10" s="42" t="s">
        <v>184</v>
      </c>
      <c r="E10" s="42" t="s">
        <v>184</v>
      </c>
      <c r="F10" s="43" t="s">
        <v>185</v>
      </c>
    </row>
    <row r="11" spans="1:10">
      <c r="A11" s="40">
        <v>3</v>
      </c>
      <c r="B11" s="41" t="s">
        <v>187</v>
      </c>
      <c r="C11" s="40" t="s">
        <v>183</v>
      </c>
      <c r="D11" s="42" t="s">
        <v>184</v>
      </c>
      <c r="E11" s="42" t="s">
        <v>184</v>
      </c>
      <c r="F11" s="43" t="s">
        <v>185</v>
      </c>
    </row>
    <row r="12" spans="1:10">
      <c r="A12" s="40">
        <v>4</v>
      </c>
      <c r="B12" s="41" t="s">
        <v>188</v>
      </c>
      <c r="C12" s="40" t="s">
        <v>183</v>
      </c>
      <c r="D12" s="42" t="s">
        <v>184</v>
      </c>
      <c r="E12" s="42" t="s">
        <v>184</v>
      </c>
      <c r="F12" s="43" t="s">
        <v>185</v>
      </c>
    </row>
    <row r="13" spans="1:10">
      <c r="A13" s="40">
        <v>5</v>
      </c>
      <c r="B13" s="41" t="s">
        <v>189</v>
      </c>
      <c r="C13" s="40" t="s">
        <v>183</v>
      </c>
      <c r="D13" s="42" t="s">
        <v>184</v>
      </c>
      <c r="E13" s="42" t="s">
        <v>184</v>
      </c>
      <c r="F13" s="43" t="s">
        <v>185</v>
      </c>
    </row>
    <row r="14" spans="1:10">
      <c r="A14" s="40">
        <v>6</v>
      </c>
      <c r="B14" s="41" t="s">
        <v>190</v>
      </c>
      <c r="C14" s="40" t="s">
        <v>183</v>
      </c>
      <c r="D14" s="42" t="s">
        <v>184</v>
      </c>
      <c r="E14" s="42" t="s">
        <v>184</v>
      </c>
      <c r="F14" s="43" t="s">
        <v>185</v>
      </c>
    </row>
    <row r="15" spans="1:10">
      <c r="A15" s="40">
        <v>7</v>
      </c>
      <c r="B15" s="41" t="s">
        <v>191</v>
      </c>
      <c r="C15" s="40" t="s">
        <v>183</v>
      </c>
      <c r="D15" s="42" t="s">
        <v>184</v>
      </c>
      <c r="E15" s="42" t="s">
        <v>184</v>
      </c>
      <c r="F15" s="43" t="s">
        <v>185</v>
      </c>
    </row>
    <row r="16" spans="1:10">
      <c r="A16" s="40">
        <v>8</v>
      </c>
      <c r="B16" s="41" t="s">
        <v>192</v>
      </c>
      <c r="C16" s="40" t="s">
        <v>183</v>
      </c>
      <c r="D16" s="42" t="s">
        <v>184</v>
      </c>
      <c r="E16" s="42" t="s">
        <v>184</v>
      </c>
      <c r="F16" s="43" t="s">
        <v>185</v>
      </c>
    </row>
    <row r="17" spans="1:7">
      <c r="A17" s="40">
        <v>9</v>
      </c>
      <c r="B17" s="41" t="s">
        <v>193</v>
      </c>
      <c r="C17" s="40" t="s">
        <v>183</v>
      </c>
      <c r="D17" s="42" t="s">
        <v>184</v>
      </c>
      <c r="E17" s="42" t="s">
        <v>184</v>
      </c>
      <c r="F17" s="43" t="s">
        <v>185</v>
      </c>
    </row>
    <row r="18" spans="1:7">
      <c r="A18" s="40">
        <v>10</v>
      </c>
      <c r="B18" s="41" t="s">
        <v>194</v>
      </c>
      <c r="C18" s="40" t="s">
        <v>183</v>
      </c>
      <c r="D18" s="42" t="s">
        <v>184</v>
      </c>
      <c r="E18" s="42" t="s">
        <v>184</v>
      </c>
      <c r="F18" s="43" t="s">
        <v>185</v>
      </c>
    </row>
    <row r="19" spans="1:7">
      <c r="A19" s="40">
        <v>11</v>
      </c>
      <c r="B19" s="41" t="s">
        <v>195</v>
      </c>
      <c r="C19" s="40" t="s">
        <v>183</v>
      </c>
      <c r="D19" s="42" t="s">
        <v>184</v>
      </c>
      <c r="E19" s="42" t="s">
        <v>184</v>
      </c>
      <c r="F19" s="43" t="s">
        <v>185</v>
      </c>
    </row>
    <row r="20" spans="1:7">
      <c r="A20" s="40">
        <v>12</v>
      </c>
      <c r="B20" s="41" t="s">
        <v>196</v>
      </c>
      <c r="C20" s="40" t="s">
        <v>183</v>
      </c>
      <c r="D20" s="42" t="s">
        <v>184</v>
      </c>
      <c r="E20" s="42" t="s">
        <v>184</v>
      </c>
      <c r="F20" s="43" t="s">
        <v>185</v>
      </c>
    </row>
    <row r="21" spans="1:7">
      <c r="A21" s="40">
        <v>13</v>
      </c>
      <c r="B21" s="41" t="s">
        <v>197</v>
      </c>
      <c r="C21" s="40" t="s">
        <v>183</v>
      </c>
      <c r="D21" s="42" t="s">
        <v>184</v>
      </c>
      <c r="E21" s="42" t="s">
        <v>184</v>
      </c>
      <c r="F21" s="43" t="s">
        <v>185</v>
      </c>
    </row>
    <row r="22" spans="1:7">
      <c r="A22" s="40">
        <v>14</v>
      </c>
      <c r="B22" s="41" t="s">
        <v>198</v>
      </c>
      <c r="C22" s="40" t="s">
        <v>183</v>
      </c>
      <c r="D22" s="42" t="s">
        <v>184</v>
      </c>
      <c r="E22" s="42" t="s">
        <v>184</v>
      </c>
      <c r="F22" s="43" t="s">
        <v>185</v>
      </c>
    </row>
    <row r="23" spans="1:7">
      <c r="A23" s="40">
        <v>15</v>
      </c>
      <c r="B23" s="41" t="s">
        <v>199</v>
      </c>
      <c r="C23" s="40" t="s">
        <v>183</v>
      </c>
      <c r="D23" s="42" t="s">
        <v>184</v>
      </c>
      <c r="E23" s="42" t="s">
        <v>184</v>
      </c>
      <c r="F23" s="43" t="s">
        <v>185</v>
      </c>
    </row>
    <row r="24" spans="1:7">
      <c r="A24" s="40">
        <v>16</v>
      </c>
      <c r="B24" s="41" t="s">
        <v>200</v>
      </c>
      <c r="C24" s="40" t="s">
        <v>183</v>
      </c>
      <c r="D24" s="42" t="s">
        <v>184</v>
      </c>
      <c r="E24" s="42" t="s">
        <v>184</v>
      </c>
      <c r="F24" s="43" t="s">
        <v>185</v>
      </c>
    </row>
    <row r="25" spans="1:7">
      <c r="A25" s="40">
        <v>17</v>
      </c>
      <c r="B25" s="41" t="s">
        <v>201</v>
      </c>
      <c r="C25" s="40" t="s">
        <v>183</v>
      </c>
      <c r="D25" s="42" t="s">
        <v>184</v>
      </c>
      <c r="E25" s="42" t="s">
        <v>184</v>
      </c>
      <c r="F25" s="43" t="s">
        <v>185</v>
      </c>
    </row>
    <row r="26" spans="1:7">
      <c r="A26" s="40">
        <v>18</v>
      </c>
      <c r="B26" s="41" t="s">
        <v>202</v>
      </c>
      <c r="C26" s="40" t="s">
        <v>183</v>
      </c>
      <c r="D26" s="42" t="s">
        <v>184</v>
      </c>
      <c r="E26" s="42" t="s">
        <v>184</v>
      </c>
      <c r="F26" s="43" t="s">
        <v>185</v>
      </c>
    </row>
    <row r="27" spans="1:7">
      <c r="A27" s="40">
        <v>19</v>
      </c>
      <c r="B27" s="41" t="s">
        <v>203</v>
      </c>
      <c r="C27" s="40" t="s">
        <v>183</v>
      </c>
      <c r="D27" s="42" t="s">
        <v>184</v>
      </c>
      <c r="E27" s="42" t="s">
        <v>184</v>
      </c>
      <c r="F27" s="43" t="s">
        <v>185</v>
      </c>
    </row>
    <row r="28" spans="1:7">
      <c r="A28" s="40">
        <v>20</v>
      </c>
      <c r="B28" s="41" t="s">
        <v>204</v>
      </c>
      <c r="C28" s="40" t="s">
        <v>183</v>
      </c>
      <c r="D28" s="42" t="s">
        <v>184</v>
      </c>
      <c r="E28" s="42" t="s">
        <v>184</v>
      </c>
      <c r="F28" s="43" t="s">
        <v>185</v>
      </c>
    </row>
    <row r="30" spans="1:7">
      <c r="B30" s="129" t="s">
        <v>205</v>
      </c>
      <c r="C30" s="48"/>
      <c r="D30" s="48"/>
      <c r="E30" s="48"/>
      <c r="F30" s="48"/>
      <c r="G30" s="48"/>
    </row>
    <row r="31" spans="1:7">
      <c r="B31" s="129" t="s">
        <v>206</v>
      </c>
      <c r="C31" s="48"/>
      <c r="D31" s="48"/>
      <c r="E31" s="48"/>
      <c r="F31" s="48"/>
      <c r="G31" s="48"/>
    </row>
    <row r="32" spans="1:7">
      <c r="B32" s="129" t="s">
        <v>207</v>
      </c>
    </row>
    <row r="33" spans="2:2">
      <c r="B33" s="129" t="s">
        <v>208</v>
      </c>
    </row>
    <row r="34" spans="2:2">
      <c r="B34" s="129" t="s">
        <v>209</v>
      </c>
    </row>
    <row r="35" spans="2:2">
      <c r="B35" s="129" t="s">
        <v>210</v>
      </c>
    </row>
    <row r="36" spans="2:2">
      <c r="B36" s="129" t="s">
        <v>211</v>
      </c>
    </row>
    <row r="37" spans="2:2">
      <c r="B37" s="129" t="s">
        <v>212</v>
      </c>
    </row>
    <row r="38" spans="2:2">
      <c r="B38" s="129" t="s">
        <v>213</v>
      </c>
    </row>
    <row r="39" spans="2:2">
      <c r="B39" s="129" t="s">
        <v>214</v>
      </c>
    </row>
    <row r="40" spans="2:2">
      <c r="B40" s="129" t="s">
        <v>215</v>
      </c>
    </row>
    <row r="41" spans="2:2">
      <c r="B41" s="129" t="s">
        <v>216</v>
      </c>
    </row>
  </sheetData>
  <customSheetViews>
    <customSheetView guid="{F3D34B6E-C033-4619-B79B-F6641D36A08A}" hiddenColumns="1">
      <selection activeCell="B5" sqref="B5"/>
      <pageMargins left="0" right="0" top="0" bottom="0" header="0" footer="0"/>
      <pageSetup orientation="portrait" r:id="rId1"/>
    </customSheetView>
    <customSheetView guid="{D09B7FBD-4C2F-4D51-8650-F30363D61164}" hiddenColumns="1">
      <selection activeCell="F9" sqref="F9"/>
      <pageMargins left="0" right="0" top="0" bottom="0" header="0" footer="0"/>
      <pageSetup orientation="portrait" r:id="rId2"/>
    </customSheetView>
    <customSheetView guid="{8A0DC7DB-68DC-4168-B04E-DD32ABFE343C}" hiddenColumns="1">
      <selection activeCell="A25" sqref="A25:F27"/>
      <pageMargins left="0" right="0" top="0" bottom="0" header="0" footer="0"/>
      <pageSetup orientation="portrait" r:id="rId3"/>
    </customSheetView>
    <customSheetView guid="{F324CAE3-7548-4FF5-ACBE-288AEC54CC06}" hiddenColumns="1">
      <selection activeCell="B6" sqref="B6"/>
      <pageMargins left="0" right="0" top="0" bottom="0" header="0" footer="0"/>
    </customSheetView>
    <customSheetView guid="{0728CAE9-F3A2-4700-ACEA-4F34D0D713B6}" hiddenColumns="1">
      <selection activeCell="A25" sqref="A25:F27"/>
      <pageMargins left="0" right="0" top="0" bottom="0" header="0" footer="0"/>
      <pageSetup orientation="portrait" r:id="rId4"/>
    </customSheetView>
    <customSheetView guid="{005802C1-68CA-4815-805E-0B80E75B8A52}" hiddenColumns="1">
      <selection activeCell="F9" sqref="F9"/>
      <pageMargins left="0" right="0" top="0" bottom="0" header="0" footer="0"/>
      <pageSetup orientation="portrait" r:id="rId5"/>
    </customSheetView>
  </customSheetViews>
  <dataValidations count="4">
    <dataValidation allowBlank="1" showErrorMessage="1" sqref="C4:D4" xr:uid="{00000000-0002-0000-0200-000000000000}"/>
    <dataValidation type="list" allowBlank="1" showErrorMessage="1" sqref="F9:F28" xr:uid="{00000000-0002-0000-0200-000001000000}">
      <formula1>ZZZ_TEAM_LOGO</formula1>
    </dataValidation>
    <dataValidation type="list" allowBlank="1" showInputMessage="1" showErrorMessage="1" sqref="B6" xr:uid="{00000000-0002-0000-0200-000002000000}">
      <formula1>ZZZ_CONFERENCE_LOGO</formula1>
    </dataValidation>
    <dataValidation type="list" allowBlank="1" showInputMessage="1" showErrorMessage="1" sqref="F4" xr:uid="{00000000-0002-0000-0200-000003000000}">
      <formula1>$H$6:$H$8</formula1>
    </dataValidation>
  </dataValidation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selection activeCell="E1" sqref="E1:M1048576"/>
    </sheetView>
  </sheetViews>
  <sheetFormatPr defaultRowHeight="15"/>
  <cols>
    <col min="1" max="1" width="20.7109375" customWidth="1"/>
    <col min="2" max="2" width="33.28515625" customWidth="1"/>
    <col min="3" max="4" width="20.7109375" customWidth="1"/>
    <col min="5" max="5" width="9.5703125" hidden="1" customWidth="1"/>
    <col min="6" max="6" width="33.140625" hidden="1" customWidth="1"/>
    <col min="7" max="7" width="12.7109375" hidden="1" customWidth="1"/>
    <col min="8" max="8" width="16.140625" hidden="1" customWidth="1"/>
    <col min="9" max="9" width="28.85546875" hidden="1" customWidth="1"/>
    <col min="10" max="10" width="2.7109375" hidden="1" customWidth="1"/>
    <col min="11" max="11" width="57.42578125" hidden="1" customWidth="1"/>
    <col min="12" max="12" width="2.7109375" hidden="1" customWidth="1"/>
    <col min="13" max="13" width="32.7109375" hidden="1" customWidth="1"/>
  </cols>
  <sheetData>
    <row r="1" spans="1:13">
      <c r="A1" s="35" t="s">
        <v>217</v>
      </c>
      <c r="B1" s="136" t="s">
        <v>218</v>
      </c>
      <c r="C1" s="136"/>
    </row>
    <row r="2" spans="1:13">
      <c r="A2" s="35" t="s">
        <v>219</v>
      </c>
      <c r="B2" s="137" t="s">
        <v>220</v>
      </c>
      <c r="C2" s="136"/>
      <c r="K2" s="46" t="s">
        <v>221</v>
      </c>
      <c r="M2" t="s">
        <v>129</v>
      </c>
    </row>
    <row r="3" spans="1:13">
      <c r="A3" s="65" t="s">
        <v>222</v>
      </c>
      <c r="B3" s="64" t="s">
        <v>223</v>
      </c>
      <c r="C3" s="65" t="s">
        <v>224</v>
      </c>
      <c r="D3" s="97" t="s">
        <v>225</v>
      </c>
      <c r="E3" s="4" t="s">
        <v>226</v>
      </c>
      <c r="F3" s="4" t="s">
        <v>227</v>
      </c>
      <c r="G3" s="4" t="s">
        <v>228</v>
      </c>
      <c r="H3" s="4" t="s">
        <v>229</v>
      </c>
      <c r="I3" s="4" t="s">
        <v>230</v>
      </c>
      <c r="K3" s="33" t="str">
        <f>$M$3&amp;I4&amp;".png"</f>
        <v>D:\IMS IMAGES\NETWORK\PRIMARY\ABC.png</v>
      </c>
      <c r="M3" s="34" t="s">
        <v>135</v>
      </c>
    </row>
    <row r="4" spans="1:13">
      <c r="A4" s="5">
        <v>1</v>
      </c>
      <c r="B4" s="6" t="s">
        <v>231</v>
      </c>
      <c r="C4" s="8" t="s">
        <v>231</v>
      </c>
      <c r="D4" s="7"/>
      <c r="E4" s="7"/>
      <c r="F4" s="98" t="str">
        <f>A4&amp;". " &amp; B4</f>
        <v>1. DUKE</v>
      </c>
      <c r="G4" s="7"/>
      <c r="H4" s="7"/>
      <c r="I4" s="7" t="s">
        <v>232</v>
      </c>
      <c r="K4" s="33" t="str">
        <f t="shared" ref="K4:K27" si="0">$M$3&amp;I5&amp;".png"</f>
        <v>D:\IMS IMAGES\NETWORK\PRIMARY\ABC.png</v>
      </c>
    </row>
    <row r="5" spans="1:13">
      <c r="A5" s="5">
        <v>2</v>
      </c>
      <c r="B5" s="6" t="s">
        <v>233</v>
      </c>
      <c r="C5" s="8" t="s">
        <v>234</v>
      </c>
      <c r="D5" s="7"/>
      <c r="E5" s="7"/>
      <c r="F5" s="98" t="str">
        <f t="shared" ref="F5:F28" si="1">A5&amp;". " &amp; B5</f>
        <v>2. MICHIGAN ST</v>
      </c>
      <c r="G5" s="7"/>
      <c r="H5" s="7"/>
      <c r="I5" s="7" t="s">
        <v>232</v>
      </c>
      <c r="K5" s="33" t="str">
        <f t="shared" si="0"/>
        <v>D:\IMS IMAGES\NETWORK\PRIMARY\ABC.png</v>
      </c>
      <c r="M5" t="s">
        <v>235</v>
      </c>
    </row>
    <row r="6" spans="1:13">
      <c r="A6" s="5">
        <v>3</v>
      </c>
      <c r="B6" s="6" t="s">
        <v>236</v>
      </c>
      <c r="C6" s="8" t="s">
        <v>236</v>
      </c>
      <c r="D6" s="7"/>
      <c r="E6" s="7"/>
      <c r="F6" s="98" t="str">
        <f t="shared" si="1"/>
        <v>3. ARIZONA</v>
      </c>
      <c r="G6" s="7"/>
      <c r="H6" s="7"/>
      <c r="I6" s="7" t="s">
        <v>232</v>
      </c>
      <c r="K6" s="33" t="str">
        <f t="shared" si="0"/>
        <v>D:\IMS IMAGES\NETWORK\PRIMARY\ABC.png</v>
      </c>
      <c r="M6" t="str">
        <f>B1</f>
        <v>AP POLL</v>
      </c>
    </row>
    <row r="7" spans="1:13">
      <c r="A7" s="5">
        <v>4</v>
      </c>
      <c r="B7" s="6" t="s">
        <v>237</v>
      </c>
      <c r="C7" s="8" t="s">
        <v>237</v>
      </c>
      <c r="D7" s="7"/>
      <c r="E7" s="7"/>
      <c r="F7" s="98" t="str">
        <f t="shared" si="1"/>
        <v>4. KANSAS</v>
      </c>
      <c r="G7" s="7"/>
      <c r="H7" s="7"/>
      <c r="I7" s="7" t="s">
        <v>232</v>
      </c>
      <c r="K7" s="33" t="str">
        <f t="shared" si="0"/>
        <v>D:\IMS IMAGES\NETWORK\PRIMARY\ABC.png</v>
      </c>
    </row>
    <row r="8" spans="1:13">
      <c r="A8" s="5">
        <v>5</v>
      </c>
      <c r="B8" s="6" t="s">
        <v>238</v>
      </c>
      <c r="C8" s="8" t="s">
        <v>238</v>
      </c>
      <c r="D8" s="7"/>
      <c r="E8" s="7"/>
      <c r="F8" s="98" t="str">
        <f t="shared" si="1"/>
        <v>5. KENTUCKY</v>
      </c>
      <c r="G8" s="7"/>
      <c r="H8" s="7"/>
      <c r="I8" s="7" t="s">
        <v>232</v>
      </c>
      <c r="K8" s="33" t="str">
        <f t="shared" si="0"/>
        <v>D:\IMS IMAGES\NETWORK\PRIMARY\ABC.png</v>
      </c>
      <c r="M8" t="s">
        <v>239</v>
      </c>
    </row>
    <row r="9" spans="1:13">
      <c r="A9" s="5">
        <v>6</v>
      </c>
      <c r="B9" s="6" t="s">
        <v>240</v>
      </c>
      <c r="C9" s="8" t="s">
        <v>240</v>
      </c>
      <c r="D9" s="7"/>
      <c r="E9" s="7"/>
      <c r="F9" s="98" t="str">
        <f t="shared" si="1"/>
        <v>6. VILLANOVA</v>
      </c>
      <c r="G9" s="7"/>
      <c r="H9" s="7"/>
      <c r="I9" s="7" t="s">
        <v>232</v>
      </c>
      <c r="K9" s="33" t="str">
        <f t="shared" si="0"/>
        <v>D:\IMS IMAGES\NETWORK\PRIMARY\ABC.png</v>
      </c>
      <c r="M9" t="str">
        <f>B2</f>
        <v/>
      </c>
    </row>
    <row r="10" spans="1:13">
      <c r="A10" s="5">
        <v>7</v>
      </c>
      <c r="B10" s="6" t="s">
        <v>241</v>
      </c>
      <c r="C10" s="8" t="s">
        <v>242</v>
      </c>
      <c r="D10" s="7"/>
      <c r="E10" s="7"/>
      <c r="F10" s="98" t="str">
        <f t="shared" si="1"/>
        <v>7. WICHITA STATE</v>
      </c>
      <c r="G10" s="7"/>
      <c r="H10" s="7"/>
      <c r="I10" s="7" t="s">
        <v>232</v>
      </c>
      <c r="K10" s="33" t="str">
        <f t="shared" si="0"/>
        <v>D:\IMS IMAGES\NETWORK\PRIMARY\ABC.png</v>
      </c>
    </row>
    <row r="11" spans="1:13">
      <c r="A11" s="5">
        <v>8</v>
      </c>
      <c r="B11" s="6" t="s">
        <v>243</v>
      </c>
      <c r="C11" s="8" t="s">
        <v>243</v>
      </c>
      <c r="D11" s="7"/>
      <c r="E11" s="7"/>
      <c r="F11" s="98" t="str">
        <f t="shared" si="1"/>
        <v>8. FLORIDA</v>
      </c>
      <c r="G11" s="7"/>
      <c r="H11" s="7"/>
      <c r="I11" s="7" t="s">
        <v>232</v>
      </c>
      <c r="K11" s="33" t="str">
        <f t="shared" si="0"/>
        <v>D:\IMS IMAGES\NETWORK\PRIMARY\ABC.png</v>
      </c>
    </row>
    <row r="12" spans="1:13">
      <c r="A12" s="5">
        <v>9</v>
      </c>
      <c r="B12" s="6" t="s">
        <v>244</v>
      </c>
      <c r="C12" s="8" t="s">
        <v>245</v>
      </c>
      <c r="D12" s="7"/>
      <c r="E12" s="7"/>
      <c r="F12" s="98" t="str">
        <f t="shared" si="1"/>
        <v>9. NORTH CAROLINA</v>
      </c>
      <c r="G12" s="7"/>
      <c r="H12" s="7"/>
      <c r="I12" s="7" t="s">
        <v>232</v>
      </c>
      <c r="K12" s="33" t="str">
        <f t="shared" si="0"/>
        <v>D:\IMS IMAGES\NETWORK\PRIMARY\ABC.png</v>
      </c>
    </row>
    <row r="13" spans="1:13">
      <c r="A13" s="5">
        <v>10</v>
      </c>
      <c r="B13" s="6" t="s">
        <v>246</v>
      </c>
      <c r="C13" s="8" t="s">
        <v>246</v>
      </c>
      <c r="D13" s="7"/>
      <c r="E13" s="7"/>
      <c r="F13" s="98" t="str">
        <f t="shared" si="1"/>
        <v>10. USC</v>
      </c>
      <c r="G13" s="7"/>
      <c r="H13" s="7"/>
      <c r="I13" s="7" t="s">
        <v>232</v>
      </c>
      <c r="K13" s="33" t="str">
        <f t="shared" si="0"/>
        <v>D:\IMS IMAGES\NETWORK\PRIMARY\ABC.png</v>
      </c>
    </row>
    <row r="14" spans="1:13">
      <c r="A14" s="5">
        <v>11</v>
      </c>
      <c r="B14" s="6" t="s">
        <v>247</v>
      </c>
      <c r="C14" s="8" t="s">
        <v>248</v>
      </c>
      <c r="D14" s="7"/>
      <c r="E14" s="7"/>
      <c r="F14" s="98" t="str">
        <f t="shared" si="1"/>
        <v>11. WEST VIRGINIA</v>
      </c>
      <c r="G14" s="7"/>
      <c r="H14" s="7"/>
      <c r="I14" s="7" t="s">
        <v>232</v>
      </c>
      <c r="K14" s="33" t="str">
        <f t="shared" si="0"/>
        <v>D:\IMS IMAGES\NETWORK\PRIMARY\ABC.png</v>
      </c>
    </row>
    <row r="15" spans="1:13">
      <c r="A15" s="5">
        <v>12</v>
      </c>
      <c r="B15" s="6" t="s">
        <v>249</v>
      </c>
      <c r="C15" s="8" t="s">
        <v>249</v>
      </c>
      <c r="D15" s="7"/>
      <c r="E15" s="7"/>
      <c r="F15" s="98" t="str">
        <f t="shared" si="1"/>
        <v>12. CINCINNATI</v>
      </c>
      <c r="G15" s="7"/>
      <c r="H15" s="7"/>
      <c r="I15" s="7" t="s">
        <v>232</v>
      </c>
      <c r="K15" s="33" t="str">
        <f t="shared" si="0"/>
        <v>D:\IMS IMAGES\NETWORK\PRIMARY\ABC.png</v>
      </c>
    </row>
    <row r="16" spans="1:13">
      <c r="A16" s="5">
        <v>13</v>
      </c>
      <c r="B16" s="6" t="s">
        <v>250</v>
      </c>
      <c r="C16" s="8" t="s">
        <v>251</v>
      </c>
      <c r="D16" s="7"/>
      <c r="E16" s="7"/>
      <c r="F16" s="98" t="str">
        <f t="shared" si="1"/>
        <v>13. MIAMI</v>
      </c>
      <c r="G16" s="7"/>
      <c r="H16" s="7"/>
      <c r="I16" s="7" t="s">
        <v>232</v>
      </c>
      <c r="K16" s="33" t="str">
        <f t="shared" si="0"/>
        <v>D:\IMS IMAGES\NETWORK\PRIMARY\ABC.png</v>
      </c>
    </row>
    <row r="17" spans="1:11">
      <c r="A17" s="5">
        <v>14</v>
      </c>
      <c r="B17" s="6" t="s">
        <v>252</v>
      </c>
      <c r="C17" s="8" t="s">
        <v>253</v>
      </c>
      <c r="D17" s="7"/>
      <c r="E17" s="7"/>
      <c r="F17" s="98" t="str">
        <f t="shared" si="1"/>
        <v>14. NOTRE DAME</v>
      </c>
      <c r="G17" s="7"/>
      <c r="H17" s="7"/>
      <c r="I17" s="7" t="s">
        <v>232</v>
      </c>
      <c r="K17" s="33" t="str">
        <f t="shared" si="0"/>
        <v>D:\IMS IMAGES\NETWORK\PRIMARY\ABC.png</v>
      </c>
    </row>
    <row r="18" spans="1:11">
      <c r="A18" s="5">
        <v>15</v>
      </c>
      <c r="B18" s="6" t="s">
        <v>254</v>
      </c>
      <c r="C18" s="8" t="s">
        <v>254</v>
      </c>
      <c r="D18" s="7"/>
      <c r="E18" s="7"/>
      <c r="F18" s="98" t="str">
        <f t="shared" si="1"/>
        <v>15. MINNESOTA</v>
      </c>
      <c r="G18" s="7"/>
      <c r="H18" s="7"/>
      <c r="I18" s="7" t="s">
        <v>232</v>
      </c>
      <c r="K18" s="33" t="str">
        <f t="shared" si="0"/>
        <v>D:\IMS IMAGES\NETWORK\PRIMARY\ABC.png</v>
      </c>
    </row>
    <row r="19" spans="1:11">
      <c r="A19" s="5">
        <v>16</v>
      </c>
      <c r="B19" s="6" t="s">
        <v>255</v>
      </c>
      <c r="C19" s="8" t="s">
        <v>255</v>
      </c>
      <c r="D19" s="7"/>
      <c r="E19" s="7"/>
      <c r="F19" s="98" t="str">
        <f t="shared" si="1"/>
        <v>16. LOUISVILLE</v>
      </c>
      <c r="G19" s="7"/>
      <c r="H19" s="7"/>
      <c r="I19" s="7" t="s">
        <v>232</v>
      </c>
      <c r="K19" s="33" t="str">
        <f t="shared" si="0"/>
        <v>D:\IMS IMAGES\NETWORK\PRIMARY\ABC.png</v>
      </c>
    </row>
    <row r="20" spans="1:11">
      <c r="A20" s="5">
        <v>17</v>
      </c>
      <c r="B20" s="6" t="s">
        <v>256</v>
      </c>
      <c r="C20" s="8" t="s">
        <v>256</v>
      </c>
      <c r="D20" s="7"/>
      <c r="E20" s="7"/>
      <c r="F20" s="98" t="str">
        <f t="shared" si="1"/>
        <v>17. XAVIER</v>
      </c>
      <c r="G20" s="7"/>
      <c r="H20" s="7"/>
      <c r="I20" s="7" t="s">
        <v>232</v>
      </c>
      <c r="K20" s="33" t="str">
        <f t="shared" si="0"/>
        <v>D:\IMS IMAGES\NETWORK\PRIMARY\ABC.png</v>
      </c>
    </row>
    <row r="21" spans="1:11">
      <c r="A21" s="5">
        <v>18</v>
      </c>
      <c r="B21" s="6" t="s">
        <v>257</v>
      </c>
      <c r="C21" s="8" t="s">
        <v>257</v>
      </c>
      <c r="D21" s="7"/>
      <c r="E21" s="7"/>
      <c r="F21" s="98" t="str">
        <f t="shared" si="1"/>
        <v>18. GONZAGA</v>
      </c>
      <c r="G21" s="7"/>
      <c r="H21" s="7"/>
      <c r="I21" s="7" t="s">
        <v>232</v>
      </c>
      <c r="K21" s="33" t="str">
        <f t="shared" si="0"/>
        <v>D:\IMS IMAGES\NETWORK\PRIMARY\ABC.png</v>
      </c>
    </row>
    <row r="22" spans="1:11">
      <c r="A22" s="9">
        <v>19</v>
      </c>
      <c r="B22" s="10" t="s">
        <v>258</v>
      </c>
      <c r="C22" s="12" t="s">
        <v>258</v>
      </c>
      <c r="D22" s="11"/>
      <c r="E22" s="11"/>
      <c r="F22" s="98" t="str">
        <f t="shared" si="1"/>
        <v>19. NORTHWESTERN</v>
      </c>
      <c r="G22" s="11"/>
      <c r="H22" s="11"/>
      <c r="I22" s="11" t="s">
        <v>232</v>
      </c>
      <c r="K22" s="33" t="str">
        <f t="shared" si="0"/>
        <v>D:\IMS IMAGES\NETWORK\PRIMARY\ABC.png</v>
      </c>
    </row>
    <row r="23" spans="1:11">
      <c r="A23" s="5">
        <v>20</v>
      </c>
      <c r="B23" s="6" t="s">
        <v>259</v>
      </c>
      <c r="C23" s="8" t="s">
        <v>259</v>
      </c>
      <c r="D23" s="7"/>
      <c r="E23" s="7"/>
      <c r="F23" s="98" t="str">
        <f t="shared" si="1"/>
        <v>20. PURDUE</v>
      </c>
      <c r="G23" s="7"/>
      <c r="H23" s="7"/>
      <c r="I23" s="7" t="s">
        <v>232</v>
      </c>
      <c r="K23" s="33" t="str">
        <f t="shared" si="0"/>
        <v>D:\IMS IMAGES\NETWORK\PRIMARY\ABC.png</v>
      </c>
    </row>
    <row r="24" spans="1:11">
      <c r="A24" s="5">
        <v>21</v>
      </c>
      <c r="B24" s="6" t="s">
        <v>260</v>
      </c>
      <c r="C24" s="8" t="s">
        <v>260</v>
      </c>
      <c r="D24" s="7"/>
      <c r="E24" s="7"/>
      <c r="F24" s="98" t="str">
        <f t="shared" si="1"/>
        <v>21. UCLA</v>
      </c>
      <c r="G24" s="7"/>
      <c r="H24" s="7"/>
      <c r="I24" s="7" t="s">
        <v>232</v>
      </c>
      <c r="K24" s="33" t="str">
        <f t="shared" si="0"/>
        <v>D:\IMS IMAGES\NETWORK\PRIMARY\ABC.png</v>
      </c>
    </row>
    <row r="25" spans="1:11">
      <c r="A25" s="5">
        <v>22</v>
      </c>
      <c r="B25" s="6" t="s">
        <v>261</v>
      </c>
      <c r="C25" s="8" t="s">
        <v>262</v>
      </c>
      <c r="D25" s="7"/>
      <c r="E25" s="7"/>
      <c r="F25" s="98" t="str">
        <f t="shared" si="1"/>
        <v>22. SAINT MARY'S</v>
      </c>
      <c r="G25" s="7"/>
      <c r="H25" s="7"/>
      <c r="I25" s="7" t="s">
        <v>232</v>
      </c>
      <c r="K25" s="33" t="str">
        <f t="shared" si="0"/>
        <v>D:\IMS IMAGES\NETWORK\PRIMARY\ABC.png</v>
      </c>
    </row>
    <row r="26" spans="1:11">
      <c r="A26" s="5">
        <v>23</v>
      </c>
      <c r="B26" s="6" t="s">
        <v>263</v>
      </c>
      <c r="C26" s="8" t="s">
        <v>264</v>
      </c>
      <c r="D26" s="7"/>
      <c r="E26" s="7"/>
      <c r="F26" s="98" t="str">
        <f t="shared" si="1"/>
        <v>23. SETON HALL</v>
      </c>
      <c r="G26" s="7"/>
      <c r="H26" s="7"/>
      <c r="I26" s="7" t="s">
        <v>232</v>
      </c>
      <c r="K26" s="33" t="str">
        <f t="shared" si="0"/>
        <v>D:\IMS IMAGES\NETWORK\PRIMARY\ABC.png</v>
      </c>
    </row>
    <row r="27" spans="1:11">
      <c r="A27" s="5">
        <v>24</v>
      </c>
      <c r="B27" s="6" t="s">
        <v>265</v>
      </c>
      <c r="C27" s="8" t="s">
        <v>265</v>
      </c>
      <c r="D27" s="7"/>
      <c r="E27" s="7"/>
      <c r="F27" s="98" t="str">
        <f t="shared" si="1"/>
        <v>24. BAYLOR</v>
      </c>
      <c r="G27" s="7"/>
      <c r="H27" s="7"/>
      <c r="I27" s="7" t="s">
        <v>232</v>
      </c>
      <c r="K27" s="33" t="str">
        <f t="shared" si="0"/>
        <v>D:\IMS IMAGES\NETWORK\PRIMARY\ABC.png</v>
      </c>
    </row>
    <row r="28" spans="1:11">
      <c r="A28" s="5">
        <v>25</v>
      </c>
      <c r="B28" s="6" t="s">
        <v>266</v>
      </c>
      <c r="C28" s="8" t="s">
        <v>267</v>
      </c>
      <c r="D28" s="7"/>
      <c r="E28" s="7"/>
      <c r="F28" s="98" t="str">
        <f t="shared" si="1"/>
        <v>25. TEXAS A&amp;M</v>
      </c>
      <c r="G28" s="7"/>
      <c r="H28" s="7"/>
      <c r="I28" s="7" t="s">
        <v>232</v>
      </c>
    </row>
    <row r="30" spans="1:11">
      <c r="A30" s="61" t="s">
        <v>268</v>
      </c>
      <c r="B30" s="60"/>
    </row>
    <row r="31" spans="1:11">
      <c r="A31" s="62">
        <v>5925</v>
      </c>
      <c r="B31" s="63" t="s">
        <v>269</v>
      </c>
    </row>
    <row r="32" spans="1:11">
      <c r="A32" s="62">
        <v>5926</v>
      </c>
      <c r="B32" s="63" t="s">
        <v>270</v>
      </c>
    </row>
    <row r="33" spans="1:2">
      <c r="A33" s="62">
        <v>5927</v>
      </c>
      <c r="B33" s="63" t="s">
        <v>271</v>
      </c>
    </row>
    <row r="35" spans="1:2">
      <c r="A35" s="61" t="s">
        <v>272</v>
      </c>
      <c r="B35" s="61"/>
    </row>
    <row r="36" spans="1:2">
      <c r="A36" s="62">
        <v>5935</v>
      </c>
      <c r="B36" s="63" t="s">
        <v>269</v>
      </c>
    </row>
    <row r="37" spans="1:2">
      <c r="A37" s="62">
        <v>5936</v>
      </c>
      <c r="B37" s="63" t="s">
        <v>270</v>
      </c>
    </row>
    <row r="38" spans="1:2">
      <c r="A38" s="62">
        <v>5937</v>
      </c>
      <c r="B38" s="63" t="s">
        <v>271</v>
      </c>
    </row>
  </sheetData>
  <customSheetViews>
    <customSheetView guid="{F3D34B6E-C033-4619-B79B-F6641D36A08A}" hiddenColumns="1">
      <selection activeCell="E1" sqref="E1:M1048576"/>
      <pageMargins left="0" right="0" top="0" bottom="0" header="0" footer="0"/>
    </customSheetView>
    <customSheetView guid="{D09B7FBD-4C2F-4D51-8650-F30363D61164}" hiddenColumns="1">
      <selection activeCell="E1" sqref="E1:M1048576"/>
      <pageMargins left="0" right="0" top="0" bottom="0" header="0" footer="0"/>
    </customSheetView>
    <customSheetView guid="{8A0DC7DB-68DC-4168-B04E-DD32ABFE343C}" hiddenColumns="1">
      <selection activeCell="E1" sqref="E1:M1048576"/>
      <pageMargins left="0" right="0" top="0" bottom="0" header="0" footer="0"/>
    </customSheetView>
    <customSheetView guid="{F324CAE3-7548-4FF5-ACBE-288AEC54CC06}" hiddenColumns="1">
      <selection activeCell="B34" sqref="B34"/>
      <pageMargins left="0" right="0" top="0" bottom="0" header="0" footer="0"/>
    </customSheetView>
    <customSheetView guid="{0728CAE9-F3A2-4700-ACEA-4F34D0D713B6}" hiddenColumns="1">
      <selection activeCell="M5" sqref="M5:M6"/>
      <pageMargins left="0" right="0" top="0" bottom="0" header="0" footer="0"/>
    </customSheetView>
    <customSheetView guid="{005802C1-68CA-4815-805E-0B80E75B8A52}" hiddenColumns="1">
      <selection activeCell="E1" sqref="E1:M1048576"/>
      <pageMargins left="0" right="0" top="0" bottom="0" header="0" footer="0"/>
    </customSheetView>
  </customSheetViews>
  <mergeCells count="2">
    <mergeCell ref="B1:C1"/>
    <mergeCell ref="B2:C2"/>
  </mergeCells>
  <dataValidations count="2">
    <dataValidation type="list" allowBlank="1" showErrorMessage="1" sqref="C4:C28" xr:uid="{00000000-0002-0000-0300-000000000000}">
      <formula1>ZZZ_TEAM_LOGO</formula1>
    </dataValidation>
    <dataValidation type="list" allowBlank="1" showInputMessage="1" showErrorMessage="1" sqref="I4:I28" xr:uid="{00000000-0002-0000-0300-000001000000}">
      <formula1>ZZZ_NETWORK_LOGO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0"/>
  <sheetViews>
    <sheetView workbookViewId="0">
      <selection activeCell="B13" sqref="B13"/>
    </sheetView>
  </sheetViews>
  <sheetFormatPr defaultRowHeight="15"/>
  <cols>
    <col min="1" max="1" width="25.7109375" customWidth="1"/>
    <col min="2" max="2" width="30.7109375" style="50" customWidth="1"/>
    <col min="3" max="3" width="14.7109375" customWidth="1"/>
    <col min="4" max="4" width="25.7109375" customWidth="1"/>
    <col min="5" max="5" width="30.7109375" customWidth="1"/>
    <col min="6" max="6" width="14.7109375" customWidth="1"/>
    <col min="7" max="7" width="15.7109375" style="50" hidden="1" customWidth="1"/>
    <col min="9" max="9" width="20.7109375" customWidth="1"/>
    <col min="10" max="10" width="30.7109375" customWidth="1"/>
    <col min="11" max="11" width="2.7109375" customWidth="1"/>
    <col min="12" max="12" width="20.7109375" customWidth="1"/>
    <col min="13" max="13" width="30.7109375" customWidth="1"/>
  </cols>
  <sheetData>
    <row r="1" spans="1:15">
      <c r="A1" s="32" t="s">
        <v>273</v>
      </c>
      <c r="B1" s="67"/>
      <c r="C1" s="32"/>
      <c r="D1" s="32"/>
      <c r="E1" s="32"/>
      <c r="G1" s="66" t="s">
        <v>274</v>
      </c>
    </row>
    <row r="2" spans="1:15" ht="15.75" thickBot="1">
      <c r="A2" t="s">
        <v>275</v>
      </c>
      <c r="E2" s="50"/>
      <c r="G2" s="50">
        <v>1</v>
      </c>
      <c r="N2" s="1" t="s">
        <v>276</v>
      </c>
    </row>
    <row r="3" spans="1:15" ht="15.75" thickBot="1">
      <c r="A3" s="101">
        <v>5901</v>
      </c>
      <c r="B3" s="102" t="s">
        <v>277</v>
      </c>
      <c r="D3" s="101">
        <v>5902</v>
      </c>
      <c r="E3" s="102" t="s">
        <v>277</v>
      </c>
      <c r="G3" s="50">
        <v>2</v>
      </c>
      <c r="N3" s="50">
        <v>0</v>
      </c>
      <c r="O3" t="s">
        <v>11</v>
      </c>
    </row>
    <row r="4" spans="1:15" ht="15.75" thickBot="1">
      <c r="A4" s="78" t="s">
        <v>278</v>
      </c>
      <c r="B4" s="68">
        <v>2</v>
      </c>
      <c r="D4" s="78" t="s">
        <v>278</v>
      </c>
      <c r="E4" s="68">
        <v>2</v>
      </c>
      <c r="N4" s="50">
        <v>1</v>
      </c>
      <c r="O4" t="s">
        <v>16</v>
      </c>
    </row>
    <row r="5" spans="1:15" ht="15.75" thickBot="1">
      <c r="A5" s="74" t="s">
        <v>279</v>
      </c>
      <c r="B5" s="107" t="s">
        <v>220</v>
      </c>
      <c r="D5" s="74" t="s">
        <v>279</v>
      </c>
      <c r="E5" s="107" t="s">
        <v>220</v>
      </c>
      <c r="N5" s="50">
        <v>2</v>
      </c>
      <c r="O5" t="s">
        <v>280</v>
      </c>
    </row>
    <row r="6" spans="1:15">
      <c r="A6" s="75" t="s">
        <v>281</v>
      </c>
      <c r="B6" s="108" t="s">
        <v>220</v>
      </c>
      <c r="D6" s="75" t="s">
        <v>281</v>
      </c>
      <c r="E6" s="108" t="s">
        <v>220</v>
      </c>
      <c r="G6" s="66" t="s">
        <v>282</v>
      </c>
      <c r="N6" s="50">
        <v>3</v>
      </c>
      <c r="O6" t="s">
        <v>283</v>
      </c>
    </row>
    <row r="7" spans="1:15">
      <c r="A7" s="76" t="s">
        <v>284</v>
      </c>
      <c r="B7" s="70" t="s">
        <v>285</v>
      </c>
      <c r="D7" s="76" t="s">
        <v>284</v>
      </c>
      <c r="E7" s="70" t="s">
        <v>285</v>
      </c>
      <c r="G7" s="50">
        <v>1</v>
      </c>
      <c r="N7" s="50">
        <v>4</v>
      </c>
      <c r="O7" t="s">
        <v>286</v>
      </c>
    </row>
    <row r="8" spans="1:15" ht="15.75" thickBot="1">
      <c r="A8" s="77" t="s">
        <v>287</v>
      </c>
      <c r="B8" s="71" t="s">
        <v>288</v>
      </c>
      <c r="D8" s="77" t="s">
        <v>287</v>
      </c>
      <c r="E8" s="71" t="s">
        <v>288</v>
      </c>
      <c r="G8" s="50">
        <v>2</v>
      </c>
      <c r="N8" s="50">
        <v>5</v>
      </c>
      <c r="O8" t="s">
        <v>232</v>
      </c>
    </row>
    <row r="9" spans="1:15">
      <c r="A9" s="75" t="s">
        <v>289</v>
      </c>
      <c r="B9" s="108" t="s">
        <v>220</v>
      </c>
      <c r="D9" s="75" t="s">
        <v>289</v>
      </c>
      <c r="E9" s="108" t="s">
        <v>220</v>
      </c>
      <c r="G9" s="50">
        <v>3</v>
      </c>
      <c r="N9" s="50">
        <v>6</v>
      </c>
      <c r="O9" t="s">
        <v>55</v>
      </c>
    </row>
    <row r="10" spans="1:15">
      <c r="A10" s="76" t="s">
        <v>290</v>
      </c>
      <c r="B10" s="70" t="s">
        <v>291</v>
      </c>
      <c r="D10" s="76" t="s">
        <v>290</v>
      </c>
      <c r="E10" s="70" t="s">
        <v>291</v>
      </c>
      <c r="G10" s="50">
        <v>4</v>
      </c>
      <c r="N10" s="50">
        <v>7</v>
      </c>
      <c r="O10" t="s">
        <v>63</v>
      </c>
    </row>
    <row r="11" spans="1:15" ht="15.75" thickBot="1">
      <c r="A11" s="76" t="s">
        <v>292</v>
      </c>
      <c r="B11" s="71" t="s">
        <v>288</v>
      </c>
      <c r="D11" s="76" t="s">
        <v>292</v>
      </c>
      <c r="E11" s="71" t="s">
        <v>288</v>
      </c>
      <c r="N11" s="50">
        <v>8</v>
      </c>
      <c r="O11" t="s">
        <v>293</v>
      </c>
    </row>
    <row r="12" spans="1:15" ht="15.75" thickBot="1">
      <c r="A12" s="77" t="s">
        <v>294</v>
      </c>
      <c r="B12" s="130" t="s">
        <v>295</v>
      </c>
      <c r="D12" s="77" t="s">
        <v>294</v>
      </c>
      <c r="E12" s="130" t="s">
        <v>295</v>
      </c>
      <c r="N12" s="50">
        <v>9</v>
      </c>
      <c r="O12" t="s">
        <v>158</v>
      </c>
    </row>
    <row r="13" spans="1:15" ht="15.75" thickBot="1">
      <c r="A13" s="78" t="s">
        <v>296</v>
      </c>
      <c r="B13" s="68">
        <v>1</v>
      </c>
      <c r="C13" s="51" t="str">
        <f>VLOOKUP(B13,$N$3:$O$12, 2,FALSE)</f>
        <v>ESPN</v>
      </c>
      <c r="D13" s="78" t="s">
        <v>296</v>
      </c>
      <c r="E13" s="68">
        <v>1</v>
      </c>
      <c r="F13" s="51" t="str">
        <f>VLOOKUP(E13,$N$3:$O$12, 2,FALSE)</f>
        <v>ESPN</v>
      </c>
      <c r="G13" s="66" t="s">
        <v>297</v>
      </c>
    </row>
    <row r="14" spans="1:15" ht="15.75" hidden="1" thickBot="1">
      <c r="A14" t="s">
        <v>298</v>
      </c>
      <c r="B14" t="str">
        <f>"D:\IMS Images\Network\Primary\" &amp; $B$13 &amp; ".png"</f>
        <v>D:\IMS Images\Network\Primary\1.png</v>
      </c>
      <c r="D14" t="s">
        <v>298</v>
      </c>
      <c r="E14" t="str">
        <f>"D:\IMS Images\Network\Primary\" &amp; $E$13 &amp; ".png"</f>
        <v>D:\IMS Images\Network\Primary\1.png</v>
      </c>
      <c r="G14" s="50">
        <v>1</v>
      </c>
    </row>
    <row r="15" spans="1:15">
      <c r="A15" s="99"/>
      <c r="B15" s="100"/>
      <c r="D15" s="103"/>
      <c r="E15" s="104"/>
      <c r="G15" s="50" t="s">
        <v>299</v>
      </c>
    </row>
    <row r="16" spans="1:15" ht="15.75" thickBot="1">
      <c r="A16" s="99"/>
      <c r="B16" s="100"/>
      <c r="D16" s="105"/>
      <c r="E16" s="106"/>
      <c r="G16" s="50" t="s">
        <v>300</v>
      </c>
    </row>
    <row r="17" spans="1:13" ht="15.75" thickBot="1">
      <c r="A17" s="101">
        <v>5901</v>
      </c>
      <c r="B17" s="102" t="s">
        <v>301</v>
      </c>
      <c r="D17" s="101">
        <v>5902</v>
      </c>
      <c r="E17" s="102" t="s">
        <v>301</v>
      </c>
    </row>
    <row r="18" spans="1:13">
      <c r="A18" s="75" t="s">
        <v>281</v>
      </c>
      <c r="B18" s="108" t="s">
        <v>220</v>
      </c>
      <c r="D18" s="75" t="s">
        <v>281</v>
      </c>
      <c r="E18" s="108" t="s">
        <v>220</v>
      </c>
      <c r="G18" s="66" t="s">
        <v>302</v>
      </c>
    </row>
    <row r="19" spans="1:13">
      <c r="A19" s="76" t="s">
        <v>284</v>
      </c>
      <c r="B19" s="70" t="s">
        <v>285</v>
      </c>
      <c r="D19" s="76" t="s">
        <v>284</v>
      </c>
      <c r="E19" s="70" t="s">
        <v>285</v>
      </c>
      <c r="G19" s="50">
        <v>2</v>
      </c>
    </row>
    <row r="20" spans="1:13" ht="15.75" thickBot="1">
      <c r="A20" s="77" t="s">
        <v>287</v>
      </c>
      <c r="B20" s="71" t="s">
        <v>288</v>
      </c>
      <c r="D20" s="77" t="s">
        <v>287</v>
      </c>
      <c r="E20" s="71" t="s">
        <v>288</v>
      </c>
      <c r="G20" s="50">
        <v>3</v>
      </c>
    </row>
    <row r="21" spans="1:13">
      <c r="A21" s="75" t="s">
        <v>289</v>
      </c>
      <c r="B21" s="108" t="s">
        <v>220</v>
      </c>
      <c r="D21" s="75" t="s">
        <v>289</v>
      </c>
      <c r="E21" s="108" t="s">
        <v>220</v>
      </c>
      <c r="G21" s="50">
        <v>4</v>
      </c>
    </row>
    <row r="22" spans="1:13">
      <c r="A22" s="76" t="s">
        <v>290</v>
      </c>
      <c r="B22" s="70" t="s">
        <v>291</v>
      </c>
      <c r="D22" s="76" t="s">
        <v>290</v>
      </c>
      <c r="E22" s="70" t="s">
        <v>291</v>
      </c>
      <c r="G22" s="50">
        <v>5</v>
      </c>
    </row>
    <row r="23" spans="1:13" ht="15.75" thickBot="1">
      <c r="A23" s="76" t="s">
        <v>292</v>
      </c>
      <c r="B23" s="71" t="s">
        <v>288</v>
      </c>
      <c r="D23" s="76" t="s">
        <v>292</v>
      </c>
      <c r="E23" s="71" t="s">
        <v>288</v>
      </c>
    </row>
    <row r="24" spans="1:13" ht="15.75" thickBot="1">
      <c r="A24" s="77" t="s">
        <v>294</v>
      </c>
      <c r="B24" s="130" t="s">
        <v>295</v>
      </c>
      <c r="D24" s="77" t="s">
        <v>294</v>
      </c>
      <c r="E24" s="130" t="s">
        <v>295</v>
      </c>
    </row>
    <row r="25" spans="1:13" ht="15.75" thickBot="1">
      <c r="A25" s="78" t="s">
        <v>296</v>
      </c>
      <c r="B25" s="68">
        <v>1</v>
      </c>
      <c r="C25" s="51" t="str">
        <f>VLOOKUP(B25,$N$3:$O$12, 2,FALSE)</f>
        <v>ESPN</v>
      </c>
      <c r="D25" s="78" t="s">
        <v>296</v>
      </c>
      <c r="E25" s="68">
        <v>1</v>
      </c>
      <c r="F25" s="51" t="str">
        <f>VLOOKUP(E25,$N$3:$O$12, 2,FALSE)</f>
        <v>ESPN</v>
      </c>
      <c r="G25" s="66" t="s">
        <v>303</v>
      </c>
    </row>
    <row r="26" spans="1:13" hidden="1">
      <c r="A26" t="s">
        <v>304</v>
      </c>
      <c r="B26" t="str">
        <f>"d:\IMS Images\Network\Primary\" &amp; $B$25 &amp; ".png"</f>
        <v>d:\IMS Images\Network\Primary\1.png</v>
      </c>
      <c r="D26" t="s">
        <v>304</v>
      </c>
      <c r="E26" t="str">
        <f>"d:\IMS Images\Network\Primary\" &amp; $E$25 &amp; ".png"</f>
        <v>d:\IMS Images\Network\Primary\1.png</v>
      </c>
      <c r="G26" s="50" t="s">
        <v>305</v>
      </c>
    </row>
    <row r="27" spans="1:13">
      <c r="G27" s="50" t="s">
        <v>306</v>
      </c>
    </row>
    <row r="28" spans="1:13">
      <c r="G28" s="50" t="s">
        <v>307</v>
      </c>
    </row>
    <row r="29" spans="1:13">
      <c r="G29" s="50" t="s">
        <v>308</v>
      </c>
    </row>
    <row r="30" spans="1:13">
      <c r="A30" s="32" t="s">
        <v>309</v>
      </c>
      <c r="B30" s="67"/>
      <c r="C30" s="32"/>
      <c r="D30" s="32" t="s">
        <v>310</v>
      </c>
      <c r="E30" s="32"/>
      <c r="G30" s="50" t="s">
        <v>311</v>
      </c>
      <c r="H30" s="32" t="s">
        <v>312</v>
      </c>
      <c r="I30" s="52"/>
      <c r="J30" s="67"/>
      <c r="K30" s="32"/>
      <c r="L30" s="32"/>
      <c r="M30" s="32"/>
    </row>
    <row r="31" spans="1:13" ht="15.75" thickBot="1">
      <c r="G31" s="50" t="s">
        <v>313</v>
      </c>
    </row>
    <row r="32" spans="1:13" ht="15.75" thickBot="1">
      <c r="A32" s="101">
        <v>5910</v>
      </c>
      <c r="B32" s="73"/>
      <c r="D32" s="101">
        <v>5911</v>
      </c>
      <c r="E32" s="73"/>
      <c r="H32" s="101">
        <v>5912</v>
      </c>
      <c r="I32" s="72"/>
      <c r="J32" s="73"/>
    </row>
    <row r="33" spans="1:13" ht="15.75" thickBot="1">
      <c r="A33" s="78" t="s">
        <v>314</v>
      </c>
      <c r="B33" s="68">
        <v>4</v>
      </c>
      <c r="D33" s="79" t="s">
        <v>315</v>
      </c>
      <c r="E33" s="80" t="s">
        <v>316</v>
      </c>
      <c r="G33" s="66" t="s">
        <v>317</v>
      </c>
      <c r="I33" s="78" t="s">
        <v>318</v>
      </c>
      <c r="J33" s="68">
        <v>5</v>
      </c>
    </row>
    <row r="34" spans="1:13" ht="15.75" thickBot="1">
      <c r="A34" s="82" t="s">
        <v>319</v>
      </c>
      <c r="B34" s="83" t="s">
        <v>299</v>
      </c>
      <c r="D34" s="109" t="s">
        <v>320</v>
      </c>
      <c r="E34" s="110" t="s">
        <v>320</v>
      </c>
      <c r="G34" s="50" t="s">
        <v>321</v>
      </c>
      <c r="I34" s="79" t="s">
        <v>315</v>
      </c>
      <c r="J34" s="80" t="s">
        <v>322</v>
      </c>
    </row>
    <row r="35" spans="1:13" ht="15.75" thickBot="1">
      <c r="A35" s="76" t="s">
        <v>300</v>
      </c>
      <c r="B35" s="70" t="s">
        <v>323</v>
      </c>
      <c r="D35" s="75" t="s">
        <v>281</v>
      </c>
      <c r="E35" s="108" t="s">
        <v>220</v>
      </c>
      <c r="G35" s="50" t="s">
        <v>324</v>
      </c>
      <c r="I35" s="77" t="s">
        <v>320</v>
      </c>
      <c r="J35" s="71"/>
    </row>
    <row r="36" spans="1:13" ht="15.75" thickBot="1">
      <c r="A36" s="79" t="s">
        <v>315</v>
      </c>
      <c r="B36" s="80" t="s">
        <v>299</v>
      </c>
      <c r="D36" s="76" t="s">
        <v>284</v>
      </c>
      <c r="E36" s="70" t="s">
        <v>284</v>
      </c>
      <c r="I36" s="78" t="s">
        <v>325</v>
      </c>
      <c r="J36" s="68" t="s">
        <v>55</v>
      </c>
      <c r="L36" s="56" t="s">
        <v>326</v>
      </c>
      <c r="M36" s="56" t="str">
        <f>J36 &amp; " | conference"</f>
        <v>ACC | conference</v>
      </c>
    </row>
    <row r="37" spans="1:13" ht="15.75" thickBot="1">
      <c r="A37" s="77" t="s">
        <v>320</v>
      </c>
      <c r="B37" s="71" t="s">
        <v>327</v>
      </c>
      <c r="D37" s="77" t="s">
        <v>287</v>
      </c>
      <c r="E37" s="71" t="s">
        <v>288</v>
      </c>
    </row>
    <row r="38" spans="1:13" ht="15" customHeight="1" thickBot="1">
      <c r="A38" s="157" t="s">
        <v>328</v>
      </c>
      <c r="B38" s="154" t="s">
        <v>329</v>
      </c>
      <c r="D38" s="75" t="s">
        <v>289</v>
      </c>
      <c r="E38" s="108" t="s">
        <v>220</v>
      </c>
      <c r="I38" s="78" t="s">
        <v>224</v>
      </c>
      <c r="J38" s="68" t="s">
        <v>330</v>
      </c>
      <c r="L38" s="78" t="s">
        <v>224</v>
      </c>
      <c r="M38" s="68" t="s">
        <v>330</v>
      </c>
    </row>
    <row r="39" spans="1:13" ht="15.75" thickBot="1">
      <c r="A39" s="158"/>
      <c r="B39" s="155"/>
      <c r="D39" s="76" t="s">
        <v>290</v>
      </c>
      <c r="E39" s="70" t="s">
        <v>290</v>
      </c>
      <c r="I39" s="117" t="s">
        <v>288</v>
      </c>
      <c r="J39" s="114" t="s">
        <v>331</v>
      </c>
      <c r="L39" s="117" t="s">
        <v>288</v>
      </c>
      <c r="M39" s="84" t="s">
        <v>332</v>
      </c>
    </row>
    <row r="40" spans="1:13" ht="15.75" thickBot="1">
      <c r="A40" s="158"/>
      <c r="B40" s="155"/>
      <c r="D40" s="111" t="s">
        <v>292</v>
      </c>
      <c r="E40" s="71" t="s">
        <v>288</v>
      </c>
      <c r="I40" s="117" t="s">
        <v>288</v>
      </c>
      <c r="J40" s="115" t="s">
        <v>333</v>
      </c>
      <c r="L40" s="117" t="s">
        <v>288</v>
      </c>
      <c r="M40" s="85" t="s">
        <v>334</v>
      </c>
    </row>
    <row r="41" spans="1:13" ht="15" customHeight="1" thickBot="1">
      <c r="A41" s="158" t="s">
        <v>335</v>
      </c>
      <c r="B41" s="155" t="s">
        <v>336</v>
      </c>
      <c r="D41" s="145" t="s">
        <v>328</v>
      </c>
      <c r="E41" s="148" t="s">
        <v>337</v>
      </c>
      <c r="I41" s="117" t="s">
        <v>288</v>
      </c>
      <c r="J41" s="115" t="s">
        <v>338</v>
      </c>
      <c r="L41" s="117" t="s">
        <v>288</v>
      </c>
      <c r="M41" s="85" t="s">
        <v>339</v>
      </c>
    </row>
    <row r="42" spans="1:13" ht="15.75" thickBot="1">
      <c r="A42" s="158"/>
      <c r="B42" s="155"/>
      <c r="D42" s="145"/>
      <c r="E42" s="148"/>
      <c r="I42" s="117" t="s">
        <v>288</v>
      </c>
      <c r="J42" s="115" t="s">
        <v>340</v>
      </c>
      <c r="L42" s="117" t="s">
        <v>288</v>
      </c>
      <c r="M42" s="85" t="s">
        <v>341</v>
      </c>
    </row>
    <row r="43" spans="1:13" ht="15.75" thickBot="1">
      <c r="A43" s="158"/>
      <c r="B43" s="155"/>
      <c r="D43" s="151"/>
      <c r="E43" s="149"/>
      <c r="I43" s="117" t="s">
        <v>288</v>
      </c>
      <c r="J43" s="116" t="s">
        <v>342</v>
      </c>
      <c r="L43" s="117" t="s">
        <v>288</v>
      </c>
      <c r="M43" s="86" t="s">
        <v>343</v>
      </c>
    </row>
    <row r="44" spans="1:13" ht="15" customHeight="1">
      <c r="A44" s="158" t="s">
        <v>344</v>
      </c>
      <c r="B44" s="155" t="s">
        <v>345</v>
      </c>
      <c r="D44" s="144" t="s">
        <v>335</v>
      </c>
      <c r="E44" s="153" t="s">
        <v>346</v>
      </c>
    </row>
    <row r="45" spans="1:13">
      <c r="A45" s="158"/>
      <c r="B45" s="155"/>
      <c r="D45" s="145"/>
      <c r="E45" s="148"/>
      <c r="I45" s="25" t="s">
        <v>347</v>
      </c>
    </row>
    <row r="46" spans="1:13">
      <c r="A46" s="158"/>
      <c r="B46" s="155"/>
      <c r="D46" s="151"/>
      <c r="E46" s="149"/>
    </row>
    <row r="47" spans="1:13" ht="15" customHeight="1">
      <c r="A47" s="158" t="s">
        <v>348</v>
      </c>
      <c r="B47" s="155" t="s">
        <v>349</v>
      </c>
      <c r="D47" s="144" t="s">
        <v>344</v>
      </c>
      <c r="E47" s="153" t="s">
        <v>350</v>
      </c>
    </row>
    <row r="48" spans="1:13">
      <c r="A48" s="158"/>
      <c r="B48" s="155"/>
      <c r="D48" s="145"/>
      <c r="E48" s="148"/>
    </row>
    <row r="49" spans="1:13" ht="15.75" thickBot="1">
      <c r="A49" s="159"/>
      <c r="B49" s="156"/>
      <c r="D49" s="146"/>
      <c r="E49" s="152"/>
    </row>
    <row r="50" spans="1:13">
      <c r="A50" s="76" t="s">
        <v>351</v>
      </c>
      <c r="B50" s="70"/>
      <c r="D50" s="76" t="s">
        <v>351</v>
      </c>
      <c r="E50" s="70"/>
    </row>
    <row r="51" spans="1:13" hidden="1">
      <c r="A51" s="56" t="s">
        <v>352</v>
      </c>
      <c r="B51" s="87" t="str">
        <f>IF(B34 = "NCAA",B34 &amp; " | SHOW",B35 &amp; " | CONFERENCE")</f>
        <v>NCAA | SHOW</v>
      </c>
      <c r="D51" s="56" t="s">
        <v>353</v>
      </c>
      <c r="E51" s="81" t="s">
        <v>354</v>
      </c>
    </row>
    <row r="52" spans="1:13" hidden="1">
      <c r="D52" s="56" t="s">
        <v>355</v>
      </c>
      <c r="E52" s="81" t="s">
        <v>356</v>
      </c>
    </row>
    <row r="54" spans="1:13">
      <c r="A54" t="s">
        <v>357</v>
      </c>
    </row>
    <row r="57" spans="1:13">
      <c r="A57" s="32" t="s">
        <v>358</v>
      </c>
      <c r="B57" s="67"/>
      <c r="C57" s="32"/>
      <c r="D57" s="32" t="s">
        <v>359</v>
      </c>
      <c r="E57" s="32"/>
      <c r="H57" s="32" t="s">
        <v>360</v>
      </c>
      <c r="I57" s="52"/>
      <c r="J57" s="67"/>
      <c r="K57" s="32"/>
      <c r="L57" s="32"/>
      <c r="M57" s="32"/>
    </row>
    <row r="58" spans="1:13" ht="15.75" thickBot="1"/>
    <row r="59" spans="1:13" ht="15.75" thickBot="1">
      <c r="A59" s="101">
        <v>5913</v>
      </c>
      <c r="B59" s="73"/>
      <c r="D59" s="101">
        <v>5914</v>
      </c>
      <c r="E59" s="73"/>
      <c r="H59" s="118">
        <v>5915</v>
      </c>
      <c r="I59" s="119"/>
      <c r="J59" s="120"/>
    </row>
    <row r="60" spans="1:13" ht="15.75" thickBot="1">
      <c r="A60" s="78" t="s">
        <v>314</v>
      </c>
      <c r="B60" s="68">
        <v>4</v>
      </c>
      <c r="D60" s="78" t="s">
        <v>314</v>
      </c>
      <c r="E60" s="68">
        <v>4</v>
      </c>
      <c r="H60" s="138" t="s">
        <v>361</v>
      </c>
      <c r="I60" s="139"/>
      <c r="J60" s="69">
        <v>5</v>
      </c>
    </row>
    <row r="61" spans="1:13">
      <c r="A61" s="79" t="s">
        <v>315</v>
      </c>
      <c r="B61" s="80" t="s">
        <v>285</v>
      </c>
      <c r="D61" s="79" t="s">
        <v>315</v>
      </c>
      <c r="E61" s="80" t="s">
        <v>291</v>
      </c>
      <c r="H61" s="140" t="s">
        <v>319</v>
      </c>
      <c r="I61" s="141"/>
      <c r="J61" s="70" t="s">
        <v>300</v>
      </c>
    </row>
    <row r="62" spans="1:13" ht="15.75" thickBot="1">
      <c r="A62" s="77" t="s">
        <v>320</v>
      </c>
      <c r="B62" s="112" t="s">
        <v>220</v>
      </c>
      <c r="D62" s="77" t="s">
        <v>320</v>
      </c>
      <c r="E62" s="112" t="s">
        <v>220</v>
      </c>
      <c r="H62" s="140" t="s">
        <v>300</v>
      </c>
      <c r="I62" s="141"/>
      <c r="J62" s="70" t="s">
        <v>323</v>
      </c>
    </row>
    <row r="63" spans="1:13" ht="15" customHeight="1" thickBot="1">
      <c r="A63" s="77" t="s">
        <v>362</v>
      </c>
      <c r="B63" s="71" t="s">
        <v>288</v>
      </c>
      <c r="D63" s="77" t="s">
        <v>363</v>
      </c>
      <c r="E63" s="71" t="s">
        <v>288</v>
      </c>
      <c r="H63" s="140" t="s">
        <v>315</v>
      </c>
      <c r="I63" s="141"/>
      <c r="J63" s="113" t="s">
        <v>364</v>
      </c>
    </row>
    <row r="64" spans="1:13" ht="15" customHeight="1" thickBot="1">
      <c r="A64" s="150" t="s">
        <v>328</v>
      </c>
      <c r="B64" s="147" t="s">
        <v>365</v>
      </c>
      <c r="D64" s="150" t="s">
        <v>328</v>
      </c>
      <c r="E64" s="147" t="s">
        <v>365</v>
      </c>
      <c r="H64" s="142" t="s">
        <v>320</v>
      </c>
      <c r="I64" s="143"/>
      <c r="J64" s="112" t="s">
        <v>366</v>
      </c>
    </row>
    <row r="65" spans="1:13" ht="15" customHeight="1" thickBot="1">
      <c r="A65" s="145"/>
      <c r="B65" s="148"/>
      <c r="D65" s="145"/>
      <c r="E65" s="148"/>
      <c r="I65" s="1"/>
      <c r="J65" s="50"/>
      <c r="L65" s="1"/>
      <c r="M65" s="50"/>
    </row>
    <row r="66" spans="1:13" ht="15" customHeight="1" thickBot="1">
      <c r="A66" s="151"/>
      <c r="B66" s="149"/>
      <c r="D66" s="151"/>
      <c r="E66" s="152"/>
      <c r="H66" s="88"/>
      <c r="I66" s="95" t="s">
        <v>367</v>
      </c>
      <c r="J66" s="96"/>
      <c r="L66" s="75" t="s">
        <v>368</v>
      </c>
      <c r="M66" s="69" t="s">
        <v>232</v>
      </c>
    </row>
    <row r="67" spans="1:13" ht="15" customHeight="1" thickBot="1">
      <c r="A67" s="144" t="s">
        <v>335</v>
      </c>
      <c r="B67" s="153" t="s">
        <v>369</v>
      </c>
      <c r="D67" s="144" t="s">
        <v>335</v>
      </c>
      <c r="E67" s="147" t="s">
        <v>370</v>
      </c>
      <c r="H67" s="93" t="s">
        <v>176</v>
      </c>
      <c r="I67" s="94"/>
      <c r="J67" s="94"/>
      <c r="L67" s="76" t="s">
        <v>371</v>
      </c>
      <c r="M67" s="70" t="s">
        <v>321</v>
      </c>
    </row>
    <row r="68" spans="1:13" ht="15" customHeight="1">
      <c r="A68" s="145"/>
      <c r="B68" s="148"/>
      <c r="D68" s="145"/>
      <c r="E68" s="148"/>
      <c r="H68" s="89">
        <v>1</v>
      </c>
      <c r="I68" s="90" t="s">
        <v>372</v>
      </c>
      <c r="J68" s="69">
        <v>10</v>
      </c>
      <c r="L68" s="76" t="s">
        <v>373</v>
      </c>
      <c r="M68" s="70" t="s">
        <v>305</v>
      </c>
    </row>
    <row r="69" spans="1:13" ht="15" customHeight="1" thickBot="1">
      <c r="A69" s="151"/>
      <c r="B69" s="149"/>
      <c r="D69" s="151"/>
      <c r="E69" s="152"/>
      <c r="H69" s="91">
        <v>2</v>
      </c>
      <c r="I69" s="92" t="s">
        <v>374</v>
      </c>
      <c r="J69" s="71">
        <v>11</v>
      </c>
      <c r="L69" s="77" t="s">
        <v>375</v>
      </c>
      <c r="M69" s="71"/>
    </row>
    <row r="70" spans="1:13" ht="15" customHeight="1" thickBot="1">
      <c r="A70" s="144" t="s">
        <v>344</v>
      </c>
      <c r="B70" s="153" t="s">
        <v>376</v>
      </c>
      <c r="D70" s="144" t="s">
        <v>344</v>
      </c>
      <c r="E70" s="147" t="s">
        <v>377</v>
      </c>
      <c r="J70" s="25"/>
      <c r="M70" s="25"/>
    </row>
    <row r="71" spans="1:13" ht="15" customHeight="1" thickBot="1">
      <c r="A71" s="145"/>
      <c r="B71" s="148"/>
      <c r="D71" s="145"/>
      <c r="E71" s="148"/>
      <c r="H71" s="88"/>
      <c r="I71" s="95" t="s">
        <v>378</v>
      </c>
      <c r="J71" s="96"/>
      <c r="L71" s="75" t="s">
        <v>368</v>
      </c>
      <c r="M71" s="69" t="s">
        <v>232</v>
      </c>
    </row>
    <row r="72" spans="1:13" ht="15" customHeight="1" thickBot="1">
      <c r="A72" s="151"/>
      <c r="B72" s="149"/>
      <c r="D72" s="151"/>
      <c r="E72" s="152"/>
      <c r="H72" s="93" t="s">
        <v>176</v>
      </c>
      <c r="I72" s="94"/>
      <c r="J72" s="94"/>
      <c r="L72" s="76" t="s">
        <v>371</v>
      </c>
      <c r="M72" s="70" t="s">
        <v>321</v>
      </c>
    </row>
    <row r="73" spans="1:13" ht="15" customHeight="1">
      <c r="A73" s="144" t="s">
        <v>348</v>
      </c>
      <c r="B73" s="153" t="s">
        <v>379</v>
      </c>
      <c r="D73" s="144" t="s">
        <v>348</v>
      </c>
      <c r="E73" s="147" t="s">
        <v>380</v>
      </c>
      <c r="H73" s="89">
        <v>3</v>
      </c>
      <c r="I73" s="90" t="s">
        <v>381</v>
      </c>
      <c r="J73" s="69">
        <v>12</v>
      </c>
      <c r="L73" s="76" t="s">
        <v>373</v>
      </c>
      <c r="M73" s="70" t="s">
        <v>305</v>
      </c>
    </row>
    <row r="74" spans="1:13" ht="15" customHeight="1" thickBot="1">
      <c r="A74" s="145"/>
      <c r="B74" s="148"/>
      <c r="D74" s="145"/>
      <c r="E74" s="148"/>
      <c r="H74" s="91">
        <v>4</v>
      </c>
      <c r="I74" s="92" t="s">
        <v>382</v>
      </c>
      <c r="J74" s="71">
        <v>13</v>
      </c>
      <c r="L74" s="77" t="s">
        <v>375</v>
      </c>
      <c r="M74" s="71"/>
    </row>
    <row r="75" spans="1:13" ht="15.75" thickBot="1">
      <c r="A75" s="146"/>
      <c r="B75" s="152"/>
      <c r="D75" s="146"/>
      <c r="E75" s="149"/>
    </row>
    <row r="76" spans="1:13" ht="15.75" thickBot="1">
      <c r="A76" s="76" t="s">
        <v>351</v>
      </c>
      <c r="B76" s="113" t="s">
        <v>220</v>
      </c>
      <c r="D76" s="76" t="s">
        <v>351</v>
      </c>
      <c r="E76" s="113" t="s">
        <v>220</v>
      </c>
      <c r="H76" s="88"/>
      <c r="I76" s="95" t="s">
        <v>383</v>
      </c>
      <c r="J76" s="96"/>
      <c r="L76" s="75" t="s">
        <v>368</v>
      </c>
      <c r="M76" s="69" t="s">
        <v>232</v>
      </c>
    </row>
    <row r="77" spans="1:13" ht="15.75" thickBot="1">
      <c r="H77" s="93" t="s">
        <v>176</v>
      </c>
      <c r="I77" s="94"/>
      <c r="J77" s="94"/>
      <c r="L77" s="76" t="s">
        <v>371</v>
      </c>
      <c r="M77" s="70" t="s">
        <v>321</v>
      </c>
    </row>
    <row r="78" spans="1:13">
      <c r="A78" t="s">
        <v>357</v>
      </c>
      <c r="H78" s="89">
        <v>5</v>
      </c>
      <c r="I78" s="90" t="s">
        <v>384</v>
      </c>
      <c r="J78" s="69">
        <v>14</v>
      </c>
      <c r="L78" s="76" t="s">
        <v>373</v>
      </c>
      <c r="M78" s="70" t="s">
        <v>305</v>
      </c>
    </row>
    <row r="79" spans="1:13" ht="15.75" thickBot="1">
      <c r="H79" s="91">
        <v>6</v>
      </c>
      <c r="I79" s="92" t="s">
        <v>385</v>
      </c>
      <c r="J79" s="71">
        <v>15</v>
      </c>
      <c r="L79" s="77" t="s">
        <v>375</v>
      </c>
      <c r="M79" s="71"/>
    </row>
    <row r="80" spans="1:13" ht="15.75" thickBot="1"/>
    <row r="81" spans="8:13" ht="15.75" thickBot="1">
      <c r="H81" s="88"/>
      <c r="I81" s="95" t="s">
        <v>386</v>
      </c>
      <c r="J81" s="96"/>
      <c r="L81" s="75" t="s">
        <v>368</v>
      </c>
      <c r="M81" s="69" t="s">
        <v>232</v>
      </c>
    </row>
    <row r="82" spans="8:13" ht="15.75" thickBot="1">
      <c r="H82" s="93" t="s">
        <v>176</v>
      </c>
      <c r="I82" s="94"/>
      <c r="J82" s="94"/>
      <c r="L82" s="76" t="s">
        <v>371</v>
      </c>
      <c r="M82" s="70" t="s">
        <v>321</v>
      </c>
    </row>
    <row r="83" spans="8:13">
      <c r="H83" s="89">
        <v>7</v>
      </c>
      <c r="I83" s="90" t="s">
        <v>387</v>
      </c>
      <c r="J83" s="69">
        <v>16</v>
      </c>
      <c r="L83" s="76" t="s">
        <v>373</v>
      </c>
      <c r="M83" s="70" t="s">
        <v>305</v>
      </c>
    </row>
    <row r="84" spans="8:13" ht="15.75" thickBot="1">
      <c r="H84" s="91">
        <v>8</v>
      </c>
      <c r="I84" s="92" t="s">
        <v>388</v>
      </c>
      <c r="J84" s="71">
        <v>17</v>
      </c>
      <c r="L84" s="77" t="s">
        <v>375</v>
      </c>
      <c r="M84" s="71"/>
    </row>
    <row r="85" spans="8:13" ht="15.75" thickBot="1"/>
    <row r="86" spans="8:13" ht="15.75" hidden="1" thickBot="1">
      <c r="I86" s="56" t="s">
        <v>326</v>
      </c>
      <c r="J86" s="87" t="str">
        <f>IF($J$61 = "NCAA",$J$61 &amp; " | SHOW",$J$62 &amp; " | CONFERENCE")</f>
        <v>BIG_12 | CONFERENCE</v>
      </c>
    </row>
    <row r="87" spans="8:13" ht="15.75" thickBot="1">
      <c r="H87" s="88"/>
      <c r="I87" s="95" t="s">
        <v>389</v>
      </c>
      <c r="J87" s="96"/>
      <c r="L87" s="75" t="s">
        <v>368</v>
      </c>
      <c r="M87" s="69" t="s">
        <v>232</v>
      </c>
    </row>
    <row r="88" spans="8:13" ht="15.75" thickBot="1">
      <c r="H88" s="93" t="s">
        <v>176</v>
      </c>
      <c r="I88" s="94"/>
      <c r="J88" s="94"/>
      <c r="L88" s="76" t="s">
        <v>371</v>
      </c>
      <c r="M88" s="70" t="s">
        <v>321</v>
      </c>
    </row>
    <row r="89" spans="8:13">
      <c r="H89" s="89">
        <v>9</v>
      </c>
      <c r="I89" s="90" t="s">
        <v>387</v>
      </c>
      <c r="J89" s="69">
        <v>18</v>
      </c>
      <c r="L89" s="76" t="s">
        <v>373</v>
      </c>
      <c r="M89" s="70" t="s">
        <v>305</v>
      </c>
    </row>
    <row r="90" spans="8:13" ht="15.75" thickBot="1">
      <c r="H90" s="91">
        <v>10</v>
      </c>
      <c r="I90" s="92" t="s">
        <v>388</v>
      </c>
      <c r="J90" s="71">
        <v>19</v>
      </c>
      <c r="L90" s="77" t="s">
        <v>375</v>
      </c>
      <c r="M90" s="71"/>
    </row>
  </sheetData>
  <customSheetViews>
    <customSheetView guid="{F3D34B6E-C033-4619-B79B-F6641D36A08A}" hiddenRows="1" hiddenColumns="1">
      <selection activeCell="B13" sqref="B13"/>
      <pageMargins left="0" right="0" top="0" bottom="0" header="0" footer="0"/>
      <pageSetup orientation="portrait" r:id="rId1"/>
    </customSheetView>
    <customSheetView guid="{D09B7FBD-4C2F-4D51-8650-F30363D61164}" hiddenRows="1" hiddenColumns="1">
      <selection activeCell="B11" sqref="B11"/>
      <pageMargins left="0" right="0" top="0" bottom="0" header="0" footer="0"/>
      <pageSetup orientation="portrait" r:id="rId2"/>
    </customSheetView>
    <customSheetView guid="{8A0DC7DB-68DC-4168-B04E-DD32ABFE343C}" hiddenRows="1" hiddenColumns="1" topLeftCell="A58">
      <selection activeCell="D83" sqref="D83"/>
      <pageMargins left="0" right="0" top="0" bottom="0" header="0" footer="0"/>
      <pageSetup orientation="portrait" r:id="rId3"/>
    </customSheetView>
    <customSheetView guid="{0728CAE9-F3A2-4700-ACEA-4F34D0D713B6}" topLeftCell="A46">
      <selection activeCell="G83" sqref="G83"/>
      <pageMargins left="0" right="0" top="0" bottom="0" header="0" footer="0"/>
    </customSheetView>
    <customSheetView guid="{005802C1-68CA-4815-805E-0B80E75B8A52}" hiddenRows="1" hiddenColumns="1">
      <selection activeCell="B11" sqref="B11"/>
      <pageMargins left="0" right="0" top="0" bottom="0" header="0" footer="0"/>
      <pageSetup orientation="portrait" r:id="rId4"/>
    </customSheetView>
  </customSheetViews>
  <mergeCells count="35">
    <mergeCell ref="B38:B40"/>
    <mergeCell ref="B41:B43"/>
    <mergeCell ref="B44:B46"/>
    <mergeCell ref="B47:B49"/>
    <mergeCell ref="A38:A40"/>
    <mergeCell ref="A41:A43"/>
    <mergeCell ref="A44:A46"/>
    <mergeCell ref="A47:A49"/>
    <mergeCell ref="D47:D49"/>
    <mergeCell ref="E47:E49"/>
    <mergeCell ref="E41:E43"/>
    <mergeCell ref="E44:E46"/>
    <mergeCell ref="D41:D43"/>
    <mergeCell ref="D44:D46"/>
    <mergeCell ref="A64:A66"/>
    <mergeCell ref="A67:A69"/>
    <mergeCell ref="A70:A72"/>
    <mergeCell ref="A73:A75"/>
    <mergeCell ref="B64:B66"/>
    <mergeCell ref="B67:B69"/>
    <mergeCell ref="B70:B72"/>
    <mergeCell ref="B73:B75"/>
    <mergeCell ref="D73:D75"/>
    <mergeCell ref="E73:E75"/>
    <mergeCell ref="D64:D66"/>
    <mergeCell ref="E64:E66"/>
    <mergeCell ref="D67:D69"/>
    <mergeCell ref="E67:E69"/>
    <mergeCell ref="D70:D72"/>
    <mergeCell ref="E70:E72"/>
    <mergeCell ref="H60:I60"/>
    <mergeCell ref="H61:I61"/>
    <mergeCell ref="H62:I62"/>
    <mergeCell ref="H63:I63"/>
    <mergeCell ref="H64:I64"/>
  </mergeCells>
  <dataValidations count="7">
    <dataValidation type="list" allowBlank="1" showInputMessage="1" showErrorMessage="1" sqref="E2 B4 B2 E4" xr:uid="{00000000-0002-0000-0400-000000000000}">
      <formula1>$G$2:$G$3</formula1>
    </dataValidation>
    <dataValidation type="list" allowBlank="1" showInputMessage="1" showErrorMessage="1" sqref="B33 B60 E60" xr:uid="{00000000-0002-0000-0400-000001000000}">
      <formula1>$G$7:$G$10</formula1>
    </dataValidation>
    <dataValidation type="list" allowBlank="1" showInputMessage="1" showErrorMessage="1" sqref="B34 J61" xr:uid="{00000000-0002-0000-0400-000002000000}">
      <formula1>$G$15:$G$16</formula1>
    </dataValidation>
    <dataValidation type="list" allowBlank="1" showInputMessage="1" showErrorMessage="1" sqref="J33 J60" xr:uid="{00000000-0002-0000-0400-000003000000}">
      <formula1>$G$19:$G$22</formula1>
    </dataValidation>
    <dataValidation type="list" allowBlank="1" showInputMessage="1" showErrorMessage="1" sqref="M68 M73 M78 M83 M89" xr:uid="{00000000-0002-0000-0400-000004000000}">
      <formula1>$G$26:$G$31</formula1>
    </dataValidation>
    <dataValidation type="list" allowBlank="1" showInputMessage="1" showErrorMessage="1" sqref="M67 M72 M77 M82 M88" xr:uid="{00000000-0002-0000-0400-000005000000}">
      <formula1>$G$34:$G$35</formula1>
    </dataValidation>
    <dataValidation type="list" allowBlank="1" showInputMessage="1" showErrorMessage="1" sqref="B13 E13 B25 E25" xr:uid="{00000000-0002-0000-0400-000006000000}">
      <formula1>$N$3:$N$12</formula1>
    </dataValidation>
  </dataValidation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7000000}">
          <x14:formula1>
            <xm:f>Logos!$C$2:$C$50</xm:f>
          </x14:formula1>
          <xm:sqref>B35 J36 J62</xm:sqref>
        </x14:dataValidation>
        <x14:dataValidation type="list" allowBlank="1" showInputMessage="1" showErrorMessage="1" xr:uid="{00000000-0002-0000-0400-000008000000}">
          <x14:formula1>
            <xm:f>Logos!$A$2:$A$382</xm:f>
          </x14:formula1>
          <xm:sqref>B8 L39:L43 I39:I43 E63 B63</xm:sqref>
        </x14:dataValidation>
        <x14:dataValidation type="list" allowBlank="1" showInputMessage="1" showErrorMessage="1" xr:uid="{00000000-0002-0000-0400-000009000000}">
          <x14:formula1>
            <xm:f>Logos!$A$3:$A$382</xm:f>
          </x14:formula1>
          <xm:sqref>B11 E8 E11 B20 B23 E20 E23 E37 E40</xm:sqref>
        </x14:dataValidation>
        <x14:dataValidation type="list" allowBlank="1" showInputMessage="1" showErrorMessage="1" xr:uid="{00000000-0002-0000-0400-00000A000000}">
          <x14:formula1>
            <xm:f>Logos!$E$2:$E$196</xm:f>
          </x14:formula1>
          <xm:sqref>M66 M71 M76 M81 M87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3"/>
  <sheetViews>
    <sheetView workbookViewId="0">
      <selection activeCell="H11" sqref="H11"/>
    </sheetView>
  </sheetViews>
  <sheetFormatPr defaultRowHeight="15"/>
  <cols>
    <col min="1" max="1" width="28.7109375" customWidth="1"/>
    <col min="2" max="2" width="2.7109375" customWidth="1"/>
    <col min="3" max="3" width="20" bestFit="1" customWidth="1"/>
    <col min="4" max="4" width="2.7109375" customWidth="1"/>
    <col min="5" max="5" width="64.85546875" bestFit="1" customWidth="1"/>
    <col min="6" max="6" width="2.7109375" customWidth="1"/>
    <col min="7" max="7" width="45.28515625" bestFit="1" customWidth="1"/>
    <col min="8" max="8" width="30.7109375" customWidth="1"/>
  </cols>
  <sheetData>
    <row r="1" spans="1:8">
      <c r="A1" s="32" t="s">
        <v>390</v>
      </c>
      <c r="C1" s="32" t="s">
        <v>391</v>
      </c>
      <c r="E1" s="32" t="s">
        <v>392</v>
      </c>
      <c r="G1" s="32" t="s">
        <v>393</v>
      </c>
      <c r="H1" s="32" t="s">
        <v>394</v>
      </c>
    </row>
    <row r="2" spans="1:8">
      <c r="A2" t="s">
        <v>185</v>
      </c>
      <c r="C2" t="s">
        <v>55</v>
      </c>
      <c r="E2" s="122" t="s">
        <v>16</v>
      </c>
      <c r="G2" t="s">
        <v>395</v>
      </c>
      <c r="H2" t="s">
        <v>396</v>
      </c>
    </row>
    <row r="3" spans="1:8">
      <c r="A3" t="s">
        <v>397</v>
      </c>
      <c r="C3" t="s">
        <v>398</v>
      </c>
      <c r="E3" s="122" t="s">
        <v>280</v>
      </c>
      <c r="G3" t="s">
        <v>399</v>
      </c>
      <c r="H3" t="s">
        <v>16</v>
      </c>
    </row>
    <row r="4" spans="1:8">
      <c r="A4" t="s">
        <v>400</v>
      </c>
      <c r="C4" t="s">
        <v>401</v>
      </c>
      <c r="E4" s="122" t="s">
        <v>402</v>
      </c>
      <c r="G4" t="s">
        <v>403</v>
      </c>
      <c r="H4" t="s">
        <v>280</v>
      </c>
    </row>
    <row r="5" spans="1:8">
      <c r="A5" t="s">
        <v>404</v>
      </c>
      <c r="C5" t="s">
        <v>405</v>
      </c>
      <c r="E5" s="122" t="s">
        <v>286</v>
      </c>
      <c r="G5" t="s">
        <v>406</v>
      </c>
      <c r="H5" t="s">
        <v>407</v>
      </c>
    </row>
    <row r="6" spans="1:8">
      <c r="A6" t="s">
        <v>288</v>
      </c>
      <c r="C6" t="s">
        <v>408</v>
      </c>
      <c r="E6" s="122" t="s">
        <v>409</v>
      </c>
      <c r="G6" t="s">
        <v>410</v>
      </c>
      <c r="H6" t="s">
        <v>411</v>
      </c>
    </row>
    <row r="7" spans="1:8">
      <c r="A7" t="s">
        <v>412</v>
      </c>
      <c r="C7" t="s">
        <v>323</v>
      </c>
      <c r="E7" s="122" t="s">
        <v>413</v>
      </c>
      <c r="G7" t="s">
        <v>414</v>
      </c>
      <c r="H7" t="s">
        <v>415</v>
      </c>
    </row>
    <row r="8" spans="1:8">
      <c r="A8" t="s">
        <v>416</v>
      </c>
      <c r="C8" t="s">
        <v>417</v>
      </c>
      <c r="E8" s="122" t="s">
        <v>418</v>
      </c>
      <c r="G8" t="s">
        <v>419</v>
      </c>
      <c r="H8" t="s">
        <v>420</v>
      </c>
    </row>
    <row r="9" spans="1:8">
      <c r="A9" t="s">
        <v>421</v>
      </c>
      <c r="C9" t="s">
        <v>422</v>
      </c>
      <c r="E9" s="122" t="s">
        <v>423</v>
      </c>
      <c r="G9" t="s">
        <v>424</v>
      </c>
      <c r="H9" t="s">
        <v>425</v>
      </c>
    </row>
    <row r="10" spans="1:8">
      <c r="A10" t="s">
        <v>426</v>
      </c>
      <c r="C10" t="s">
        <v>427</v>
      </c>
      <c r="E10" s="122" t="s">
        <v>428</v>
      </c>
      <c r="G10" t="s">
        <v>429</v>
      </c>
      <c r="H10" t="s">
        <v>430</v>
      </c>
    </row>
    <row r="11" spans="1:8">
      <c r="A11" t="s">
        <v>431</v>
      </c>
      <c r="C11" t="s">
        <v>432</v>
      </c>
      <c r="E11" s="122" t="s">
        <v>433</v>
      </c>
      <c r="G11" t="s">
        <v>434</v>
      </c>
    </row>
    <row r="12" spans="1:8">
      <c r="A12" t="s">
        <v>435</v>
      </c>
      <c r="C12" t="s">
        <v>436</v>
      </c>
      <c r="E12" s="122" t="s">
        <v>437</v>
      </c>
      <c r="G12" t="s">
        <v>438</v>
      </c>
    </row>
    <row r="13" spans="1:8">
      <c r="A13" t="s">
        <v>236</v>
      </c>
      <c r="C13" t="s">
        <v>439</v>
      </c>
      <c r="E13" t="s">
        <v>440</v>
      </c>
      <c r="G13" t="s">
        <v>441</v>
      </c>
    </row>
    <row r="14" spans="1:8">
      <c r="A14" t="s">
        <v>442</v>
      </c>
      <c r="C14" t="s">
        <v>443</v>
      </c>
      <c r="E14" s="122" t="s">
        <v>232</v>
      </c>
      <c r="G14" t="s">
        <v>444</v>
      </c>
    </row>
    <row r="15" spans="1:8">
      <c r="A15" t="s">
        <v>445</v>
      </c>
      <c r="C15" t="s">
        <v>446</v>
      </c>
      <c r="G15" t="s">
        <v>447</v>
      </c>
    </row>
    <row r="16" spans="1:8">
      <c r="A16" t="s">
        <v>448</v>
      </c>
      <c r="C16" t="s">
        <v>449</v>
      </c>
      <c r="E16" t="s">
        <v>414</v>
      </c>
      <c r="G16" t="s">
        <v>450</v>
      </c>
    </row>
    <row r="17" spans="1:7">
      <c r="A17" t="s">
        <v>451</v>
      </c>
      <c r="C17" t="s">
        <v>452</v>
      </c>
      <c r="E17" t="s">
        <v>453</v>
      </c>
      <c r="G17" t="s">
        <v>454</v>
      </c>
    </row>
    <row r="18" spans="1:7">
      <c r="A18" t="s">
        <v>455</v>
      </c>
      <c r="C18" t="s">
        <v>456</v>
      </c>
      <c r="E18" t="s">
        <v>457</v>
      </c>
      <c r="G18" t="s">
        <v>458</v>
      </c>
    </row>
    <row r="19" spans="1:7">
      <c r="A19" t="s">
        <v>459</v>
      </c>
      <c r="C19" t="s">
        <v>460</v>
      </c>
      <c r="E19" t="s">
        <v>461</v>
      </c>
      <c r="G19" t="s">
        <v>462</v>
      </c>
    </row>
    <row r="20" spans="1:7">
      <c r="A20" t="s">
        <v>463</v>
      </c>
      <c r="C20" t="s">
        <v>464</v>
      </c>
      <c r="E20" t="s">
        <v>465</v>
      </c>
      <c r="G20" t="s">
        <v>466</v>
      </c>
    </row>
    <row r="21" spans="1:7">
      <c r="A21" t="s">
        <v>467</v>
      </c>
      <c r="C21" t="s">
        <v>468</v>
      </c>
      <c r="E21" t="s">
        <v>469</v>
      </c>
      <c r="G21" t="s">
        <v>470</v>
      </c>
    </row>
    <row r="22" spans="1:7">
      <c r="A22" t="s">
        <v>265</v>
      </c>
      <c r="C22" t="s">
        <v>471</v>
      </c>
      <c r="E22" t="s">
        <v>472</v>
      </c>
      <c r="G22" t="s">
        <v>473</v>
      </c>
    </row>
    <row r="23" spans="1:7">
      <c r="A23" t="s">
        <v>474</v>
      </c>
      <c r="C23" t="s">
        <v>475</v>
      </c>
      <c r="E23" t="s">
        <v>476</v>
      </c>
      <c r="G23" t="s">
        <v>477</v>
      </c>
    </row>
    <row r="24" spans="1:7">
      <c r="A24" t="s">
        <v>478</v>
      </c>
      <c r="C24" t="s">
        <v>479</v>
      </c>
      <c r="E24" t="s">
        <v>480</v>
      </c>
      <c r="G24" t="s">
        <v>481</v>
      </c>
    </row>
    <row r="25" spans="1:7">
      <c r="A25" t="s">
        <v>482</v>
      </c>
      <c r="C25" t="s">
        <v>483</v>
      </c>
      <c r="E25" t="s">
        <v>484</v>
      </c>
      <c r="G25" t="s">
        <v>485</v>
      </c>
    </row>
    <row r="26" spans="1:7">
      <c r="A26" t="s">
        <v>486</v>
      </c>
      <c r="C26" t="s">
        <v>487</v>
      </c>
      <c r="E26" t="s">
        <v>488</v>
      </c>
      <c r="G26" t="s">
        <v>489</v>
      </c>
    </row>
    <row r="27" spans="1:7">
      <c r="A27" t="s">
        <v>490</v>
      </c>
      <c r="C27" t="s">
        <v>491</v>
      </c>
      <c r="E27" t="s">
        <v>492</v>
      </c>
      <c r="G27" t="s">
        <v>493</v>
      </c>
    </row>
    <row r="28" spans="1:7">
      <c r="A28" t="s">
        <v>494</v>
      </c>
      <c r="C28" t="s">
        <v>495</v>
      </c>
      <c r="E28" t="s">
        <v>496</v>
      </c>
      <c r="G28" t="s">
        <v>497</v>
      </c>
    </row>
    <row r="29" spans="1:7">
      <c r="A29" t="s">
        <v>498</v>
      </c>
      <c r="C29" t="s">
        <v>499</v>
      </c>
      <c r="E29" t="s">
        <v>500</v>
      </c>
      <c r="G29" t="s">
        <v>501</v>
      </c>
    </row>
    <row r="30" spans="1:7">
      <c r="A30" t="s">
        <v>502</v>
      </c>
      <c r="C30" t="s">
        <v>503</v>
      </c>
      <c r="E30" t="s">
        <v>504</v>
      </c>
      <c r="G30" t="s">
        <v>505</v>
      </c>
    </row>
    <row r="31" spans="1:7">
      <c r="A31" t="s">
        <v>506</v>
      </c>
      <c r="C31" t="s">
        <v>507</v>
      </c>
      <c r="E31" t="s">
        <v>508</v>
      </c>
      <c r="G31" t="s">
        <v>509</v>
      </c>
    </row>
    <row r="32" spans="1:7">
      <c r="A32" t="s">
        <v>510</v>
      </c>
      <c r="C32" t="s">
        <v>511</v>
      </c>
      <c r="E32" t="s">
        <v>512</v>
      </c>
      <c r="G32" t="s">
        <v>513</v>
      </c>
    </row>
    <row r="33" spans="1:7">
      <c r="A33" t="s">
        <v>514</v>
      </c>
      <c r="C33" t="s">
        <v>515</v>
      </c>
      <c r="E33" t="s">
        <v>516</v>
      </c>
      <c r="G33" t="s">
        <v>517</v>
      </c>
    </row>
    <row r="34" spans="1:7">
      <c r="A34" t="s">
        <v>518</v>
      </c>
      <c r="C34" t="s">
        <v>519</v>
      </c>
      <c r="E34" t="s">
        <v>520</v>
      </c>
      <c r="G34" t="s">
        <v>521</v>
      </c>
    </row>
    <row r="35" spans="1:7">
      <c r="A35" t="s">
        <v>522</v>
      </c>
      <c r="C35" t="s">
        <v>523</v>
      </c>
      <c r="E35" t="s">
        <v>524</v>
      </c>
      <c r="G35" t="s">
        <v>420</v>
      </c>
    </row>
    <row r="36" spans="1:7">
      <c r="A36" t="s">
        <v>525</v>
      </c>
      <c r="C36" t="s">
        <v>63</v>
      </c>
      <c r="E36" t="s">
        <v>526</v>
      </c>
    </row>
    <row r="37" spans="1:7">
      <c r="A37" t="s">
        <v>527</v>
      </c>
      <c r="C37" t="s">
        <v>528</v>
      </c>
      <c r="E37" t="s">
        <v>529</v>
      </c>
    </row>
    <row r="38" spans="1:7">
      <c r="A38" t="s">
        <v>530</v>
      </c>
      <c r="C38" t="s">
        <v>531</v>
      </c>
      <c r="E38" t="s">
        <v>415</v>
      </c>
    </row>
    <row r="39" spans="1:7">
      <c r="A39" t="s">
        <v>532</v>
      </c>
      <c r="C39" t="s">
        <v>533</v>
      </c>
      <c r="E39" t="s">
        <v>534</v>
      </c>
    </row>
    <row r="40" spans="1:7">
      <c r="A40" t="s">
        <v>535</v>
      </c>
      <c r="C40" t="s">
        <v>536</v>
      </c>
      <c r="E40" t="s">
        <v>537</v>
      </c>
    </row>
    <row r="41" spans="1:7">
      <c r="A41" t="s">
        <v>538</v>
      </c>
      <c r="C41" t="s">
        <v>539</v>
      </c>
      <c r="E41" t="s">
        <v>540</v>
      </c>
    </row>
    <row r="42" spans="1:7">
      <c r="A42" t="s">
        <v>541</v>
      </c>
      <c r="C42" t="s">
        <v>542</v>
      </c>
      <c r="E42" t="s">
        <v>543</v>
      </c>
    </row>
    <row r="43" spans="1:7">
      <c r="A43" t="s">
        <v>544</v>
      </c>
      <c r="C43" t="s">
        <v>545</v>
      </c>
      <c r="E43" t="s">
        <v>395</v>
      </c>
    </row>
    <row r="44" spans="1:7">
      <c r="A44" t="s">
        <v>546</v>
      </c>
      <c r="C44" t="s">
        <v>547</v>
      </c>
      <c r="E44" t="s">
        <v>548</v>
      </c>
    </row>
    <row r="45" spans="1:7">
      <c r="A45" t="s">
        <v>549</v>
      </c>
      <c r="E45" t="s">
        <v>550</v>
      </c>
    </row>
    <row r="46" spans="1:7">
      <c r="A46" t="s">
        <v>551</v>
      </c>
      <c r="E46" t="s">
        <v>552</v>
      </c>
    </row>
    <row r="47" spans="1:7">
      <c r="A47" t="s">
        <v>553</v>
      </c>
      <c r="E47" t="s">
        <v>554</v>
      </c>
    </row>
    <row r="48" spans="1:7">
      <c r="A48" t="s">
        <v>555</v>
      </c>
      <c r="E48" t="s">
        <v>420</v>
      </c>
    </row>
    <row r="49" spans="1:5">
      <c r="A49" t="s">
        <v>556</v>
      </c>
      <c r="E49" t="s">
        <v>557</v>
      </c>
    </row>
    <row r="50" spans="1:5">
      <c r="A50" t="s">
        <v>558</v>
      </c>
      <c r="E50" t="s">
        <v>559</v>
      </c>
    </row>
    <row r="51" spans="1:5">
      <c r="A51" t="s">
        <v>560</v>
      </c>
      <c r="E51" t="s">
        <v>561</v>
      </c>
    </row>
    <row r="52" spans="1:5">
      <c r="A52" t="s">
        <v>562</v>
      </c>
      <c r="E52" t="s">
        <v>563</v>
      </c>
    </row>
    <row r="53" spans="1:5">
      <c r="A53" t="s">
        <v>564</v>
      </c>
      <c r="E53" t="s">
        <v>565</v>
      </c>
    </row>
    <row r="54" spans="1:5">
      <c r="A54" t="s">
        <v>249</v>
      </c>
      <c r="E54" t="s">
        <v>566</v>
      </c>
    </row>
    <row r="55" spans="1:5">
      <c r="A55" t="s">
        <v>567</v>
      </c>
      <c r="E55" t="s">
        <v>568</v>
      </c>
    </row>
    <row r="56" spans="1:5">
      <c r="A56" t="s">
        <v>569</v>
      </c>
      <c r="E56" t="s">
        <v>570</v>
      </c>
    </row>
    <row r="57" spans="1:5">
      <c r="A57" t="s">
        <v>571</v>
      </c>
      <c r="E57" t="s">
        <v>572</v>
      </c>
    </row>
    <row r="58" spans="1:5">
      <c r="A58" t="s">
        <v>573</v>
      </c>
      <c r="E58" t="s">
        <v>574</v>
      </c>
    </row>
    <row r="59" spans="1:5">
      <c r="A59" t="s">
        <v>575</v>
      </c>
      <c r="E59" t="s">
        <v>54</v>
      </c>
    </row>
    <row r="60" spans="1:5">
      <c r="A60" t="s">
        <v>576</v>
      </c>
      <c r="E60" t="s">
        <v>577</v>
      </c>
    </row>
    <row r="61" spans="1:5">
      <c r="A61" t="s">
        <v>578</v>
      </c>
      <c r="E61" t="s">
        <v>419</v>
      </c>
    </row>
    <row r="62" spans="1:5">
      <c r="A62" t="s">
        <v>579</v>
      </c>
      <c r="E62" t="s">
        <v>580</v>
      </c>
    </row>
    <row r="63" spans="1:5">
      <c r="A63" t="s">
        <v>581</v>
      </c>
      <c r="E63" t="s">
        <v>582</v>
      </c>
    </row>
    <row r="64" spans="1:5">
      <c r="A64" t="s">
        <v>583</v>
      </c>
      <c r="E64" t="s">
        <v>584</v>
      </c>
    </row>
    <row r="65" spans="1:5">
      <c r="A65" t="s">
        <v>585</v>
      </c>
      <c r="E65" t="s">
        <v>586</v>
      </c>
    </row>
    <row r="66" spans="1:5">
      <c r="A66" t="s">
        <v>587</v>
      </c>
      <c r="E66" t="s">
        <v>588</v>
      </c>
    </row>
    <row r="67" spans="1:5">
      <c r="A67" t="s">
        <v>589</v>
      </c>
      <c r="E67" t="s">
        <v>590</v>
      </c>
    </row>
    <row r="68" spans="1:5">
      <c r="A68" t="s">
        <v>591</v>
      </c>
      <c r="E68" t="s">
        <v>592</v>
      </c>
    </row>
    <row r="69" spans="1:5">
      <c r="A69" t="s">
        <v>593</v>
      </c>
      <c r="E69" t="s">
        <v>594</v>
      </c>
    </row>
    <row r="70" spans="1:5">
      <c r="A70" t="s">
        <v>595</v>
      </c>
      <c r="E70" t="s">
        <v>424</v>
      </c>
    </row>
    <row r="71" spans="1:5">
      <c r="A71" t="s">
        <v>596</v>
      </c>
      <c r="E71" t="s">
        <v>429</v>
      </c>
    </row>
    <row r="72" spans="1:5">
      <c r="A72" t="s">
        <v>597</v>
      </c>
      <c r="E72" t="s">
        <v>434</v>
      </c>
    </row>
    <row r="73" spans="1:5">
      <c r="A73" t="s">
        <v>598</v>
      </c>
      <c r="E73" t="s">
        <v>599</v>
      </c>
    </row>
    <row r="74" spans="1:5">
      <c r="A74" t="s">
        <v>600</v>
      </c>
      <c r="E74" t="s">
        <v>601</v>
      </c>
    </row>
    <row r="75" spans="1:5">
      <c r="A75" t="s">
        <v>602</v>
      </c>
      <c r="E75" t="s">
        <v>603</v>
      </c>
    </row>
    <row r="76" spans="1:5">
      <c r="A76" t="s">
        <v>604</v>
      </c>
      <c r="E76" t="s">
        <v>605</v>
      </c>
    </row>
    <row r="77" spans="1:5">
      <c r="A77" t="s">
        <v>231</v>
      </c>
      <c r="E77" t="s">
        <v>606</v>
      </c>
    </row>
    <row r="78" spans="1:5">
      <c r="A78" t="s">
        <v>607</v>
      </c>
      <c r="E78" t="s">
        <v>608</v>
      </c>
    </row>
    <row r="79" spans="1:5">
      <c r="A79" t="s">
        <v>609</v>
      </c>
      <c r="E79" t="s">
        <v>610</v>
      </c>
    </row>
    <row r="80" spans="1:5">
      <c r="A80" t="s">
        <v>611</v>
      </c>
      <c r="E80" t="s">
        <v>612</v>
      </c>
    </row>
    <row r="81" spans="1:5">
      <c r="A81" t="s">
        <v>613</v>
      </c>
      <c r="E81" t="s">
        <v>614</v>
      </c>
    </row>
    <row r="82" spans="1:5">
      <c r="A82" t="s">
        <v>615</v>
      </c>
      <c r="E82" t="s">
        <v>616</v>
      </c>
    </row>
    <row r="83" spans="1:5">
      <c r="A83" t="s">
        <v>617</v>
      </c>
      <c r="E83" t="s">
        <v>618</v>
      </c>
    </row>
    <row r="84" spans="1:5">
      <c r="A84" t="s">
        <v>619</v>
      </c>
      <c r="E84" t="s">
        <v>620</v>
      </c>
    </row>
    <row r="85" spans="1:5">
      <c r="A85" t="s">
        <v>621</v>
      </c>
      <c r="E85" t="s">
        <v>622</v>
      </c>
    </row>
    <row r="86" spans="1:5">
      <c r="A86" t="s">
        <v>623</v>
      </c>
      <c r="E86" t="s">
        <v>624</v>
      </c>
    </row>
    <row r="87" spans="1:5">
      <c r="A87" t="s">
        <v>625</v>
      </c>
      <c r="E87" t="s">
        <v>458</v>
      </c>
    </row>
    <row r="88" spans="1:5">
      <c r="A88" t="s">
        <v>626</v>
      </c>
      <c r="E88" t="s">
        <v>462</v>
      </c>
    </row>
    <row r="89" spans="1:5">
      <c r="A89" t="s">
        <v>243</v>
      </c>
      <c r="E89" t="s">
        <v>466</v>
      </c>
    </row>
    <row r="90" spans="1:5">
      <c r="A90" t="s">
        <v>627</v>
      </c>
      <c r="E90" t="s">
        <v>470</v>
      </c>
    </row>
    <row r="91" spans="1:5">
      <c r="A91" t="s">
        <v>628</v>
      </c>
      <c r="E91" t="s">
        <v>473</v>
      </c>
    </row>
    <row r="92" spans="1:5">
      <c r="A92" t="s">
        <v>629</v>
      </c>
      <c r="E92" t="s">
        <v>399</v>
      </c>
    </row>
    <row r="93" spans="1:5">
      <c r="A93" t="s">
        <v>630</v>
      </c>
      <c r="E93" t="s">
        <v>477</v>
      </c>
    </row>
    <row r="94" spans="1:5">
      <c r="A94" t="s">
        <v>631</v>
      </c>
      <c r="E94" t="s">
        <v>481</v>
      </c>
    </row>
    <row r="95" spans="1:5">
      <c r="A95" t="s">
        <v>632</v>
      </c>
      <c r="E95" t="s">
        <v>485</v>
      </c>
    </row>
    <row r="96" spans="1:5">
      <c r="A96" t="s">
        <v>633</v>
      </c>
      <c r="E96" t="s">
        <v>489</v>
      </c>
    </row>
    <row r="97" spans="1:5">
      <c r="A97" t="s">
        <v>634</v>
      </c>
      <c r="E97" t="s">
        <v>635</v>
      </c>
    </row>
    <row r="98" spans="1:5">
      <c r="A98" t="s">
        <v>636</v>
      </c>
      <c r="E98" t="s">
        <v>637</v>
      </c>
    </row>
    <row r="99" spans="1:5">
      <c r="A99" t="s">
        <v>638</v>
      </c>
      <c r="E99" t="s">
        <v>639</v>
      </c>
    </row>
    <row r="100" spans="1:5">
      <c r="A100" t="s">
        <v>640</v>
      </c>
      <c r="E100" t="s">
        <v>641</v>
      </c>
    </row>
    <row r="101" spans="1:5">
      <c r="A101" t="s">
        <v>642</v>
      </c>
      <c r="E101" t="s">
        <v>643</v>
      </c>
    </row>
    <row r="102" spans="1:5">
      <c r="A102" t="s">
        <v>644</v>
      </c>
      <c r="E102" t="s">
        <v>645</v>
      </c>
    </row>
    <row r="103" spans="1:5">
      <c r="A103" t="s">
        <v>646</v>
      </c>
      <c r="E103" t="s">
        <v>647</v>
      </c>
    </row>
    <row r="104" spans="1:5">
      <c r="A104" t="s">
        <v>648</v>
      </c>
      <c r="E104" t="s">
        <v>649</v>
      </c>
    </row>
    <row r="105" spans="1:5">
      <c r="A105" t="s">
        <v>650</v>
      </c>
      <c r="E105" t="s">
        <v>651</v>
      </c>
    </row>
    <row r="106" spans="1:5">
      <c r="A106" t="s">
        <v>257</v>
      </c>
      <c r="E106" t="s">
        <v>652</v>
      </c>
    </row>
    <row r="107" spans="1:5">
      <c r="A107" t="s">
        <v>653</v>
      </c>
      <c r="E107" t="s">
        <v>654</v>
      </c>
    </row>
    <row r="108" spans="1:5">
      <c r="A108" t="s">
        <v>655</v>
      </c>
      <c r="E108" t="s">
        <v>656</v>
      </c>
    </row>
    <row r="109" spans="1:5">
      <c r="A109" t="s">
        <v>657</v>
      </c>
      <c r="E109" t="s">
        <v>658</v>
      </c>
    </row>
    <row r="110" spans="1:5">
      <c r="A110" t="s">
        <v>659</v>
      </c>
      <c r="E110" t="s">
        <v>660</v>
      </c>
    </row>
    <row r="111" spans="1:5">
      <c r="A111" t="s">
        <v>661</v>
      </c>
      <c r="E111" t="s">
        <v>662</v>
      </c>
    </row>
    <row r="112" spans="1:5">
      <c r="A112" t="s">
        <v>663</v>
      </c>
      <c r="E112" t="s">
        <v>664</v>
      </c>
    </row>
    <row r="113" spans="1:5">
      <c r="A113" t="s">
        <v>665</v>
      </c>
      <c r="E113" t="s">
        <v>666</v>
      </c>
    </row>
    <row r="114" spans="1:5">
      <c r="A114" t="s">
        <v>667</v>
      </c>
      <c r="E114" t="s">
        <v>668</v>
      </c>
    </row>
    <row r="115" spans="1:5">
      <c r="A115" t="s">
        <v>669</v>
      </c>
      <c r="E115" t="s">
        <v>437</v>
      </c>
    </row>
    <row r="116" spans="1:5">
      <c r="A116" t="s">
        <v>670</v>
      </c>
      <c r="E116" t="s">
        <v>671</v>
      </c>
    </row>
    <row r="117" spans="1:5">
      <c r="A117" t="s">
        <v>672</v>
      </c>
      <c r="E117" t="s">
        <v>673</v>
      </c>
    </row>
    <row r="118" spans="1:5">
      <c r="A118" t="s">
        <v>674</v>
      </c>
      <c r="E118" t="s">
        <v>675</v>
      </c>
    </row>
    <row r="119" spans="1:5">
      <c r="A119" t="s">
        <v>676</v>
      </c>
      <c r="E119" t="s">
        <v>677</v>
      </c>
    </row>
    <row r="120" spans="1:5">
      <c r="A120" t="s">
        <v>678</v>
      </c>
      <c r="E120" t="s">
        <v>679</v>
      </c>
    </row>
    <row r="121" spans="1:5">
      <c r="A121" t="s">
        <v>680</v>
      </c>
      <c r="E121" t="s">
        <v>681</v>
      </c>
    </row>
    <row r="122" spans="1:5">
      <c r="A122" t="s">
        <v>682</v>
      </c>
      <c r="E122" t="s">
        <v>683</v>
      </c>
    </row>
    <row r="123" spans="1:5">
      <c r="A123" t="s">
        <v>684</v>
      </c>
      <c r="E123" t="s">
        <v>685</v>
      </c>
    </row>
    <row r="124" spans="1:5">
      <c r="A124" t="s">
        <v>686</v>
      </c>
      <c r="E124" t="s">
        <v>687</v>
      </c>
    </row>
    <row r="125" spans="1:5">
      <c r="A125" t="s">
        <v>688</v>
      </c>
      <c r="E125" t="s">
        <v>689</v>
      </c>
    </row>
    <row r="126" spans="1:5">
      <c r="A126" t="s">
        <v>690</v>
      </c>
      <c r="E126" t="s">
        <v>691</v>
      </c>
    </row>
    <row r="127" spans="1:5">
      <c r="A127" t="s">
        <v>692</v>
      </c>
      <c r="E127" t="s">
        <v>693</v>
      </c>
    </row>
    <row r="128" spans="1:5">
      <c r="A128" t="s">
        <v>694</v>
      </c>
      <c r="E128" t="s">
        <v>695</v>
      </c>
    </row>
    <row r="129" spans="1:5">
      <c r="A129" t="s">
        <v>696</v>
      </c>
      <c r="E129" t="s">
        <v>697</v>
      </c>
    </row>
    <row r="130" spans="1:5">
      <c r="A130" t="s">
        <v>698</v>
      </c>
      <c r="E130" t="s">
        <v>699</v>
      </c>
    </row>
    <row r="131" spans="1:5">
      <c r="A131" t="s">
        <v>700</v>
      </c>
      <c r="E131" t="s">
        <v>701</v>
      </c>
    </row>
    <row r="132" spans="1:5">
      <c r="A132" t="s">
        <v>702</v>
      </c>
      <c r="E132" t="s">
        <v>703</v>
      </c>
    </row>
    <row r="133" spans="1:5">
      <c r="A133" t="s">
        <v>704</v>
      </c>
      <c r="E133" t="s">
        <v>705</v>
      </c>
    </row>
    <row r="134" spans="1:5">
      <c r="A134" t="s">
        <v>706</v>
      </c>
      <c r="E134" t="s">
        <v>707</v>
      </c>
    </row>
    <row r="135" spans="1:5">
      <c r="A135" t="s">
        <v>708</v>
      </c>
      <c r="E135" t="s">
        <v>293</v>
      </c>
    </row>
    <row r="136" spans="1:5">
      <c r="A136" t="s">
        <v>709</v>
      </c>
      <c r="E136" t="s">
        <v>710</v>
      </c>
    </row>
    <row r="137" spans="1:5">
      <c r="A137" t="s">
        <v>237</v>
      </c>
      <c r="E137" t="s">
        <v>711</v>
      </c>
    </row>
    <row r="138" spans="1:5">
      <c r="A138" t="s">
        <v>712</v>
      </c>
      <c r="E138" t="s">
        <v>713</v>
      </c>
    </row>
    <row r="139" spans="1:5">
      <c r="A139" t="s">
        <v>714</v>
      </c>
      <c r="E139" t="s">
        <v>715</v>
      </c>
    </row>
    <row r="140" spans="1:5">
      <c r="A140" t="s">
        <v>716</v>
      </c>
      <c r="E140" t="s">
        <v>717</v>
      </c>
    </row>
    <row r="141" spans="1:5">
      <c r="A141" t="s">
        <v>238</v>
      </c>
      <c r="E141" t="s">
        <v>718</v>
      </c>
    </row>
    <row r="142" spans="1:5">
      <c r="A142" t="s">
        <v>719</v>
      </c>
      <c r="E142" t="s">
        <v>720</v>
      </c>
    </row>
    <row r="143" spans="1:5">
      <c r="A143" t="s">
        <v>721</v>
      </c>
      <c r="E143" t="s">
        <v>722</v>
      </c>
    </row>
    <row r="144" spans="1:5">
      <c r="A144" t="s">
        <v>723</v>
      </c>
      <c r="E144" t="s">
        <v>724</v>
      </c>
    </row>
    <row r="145" spans="1:5">
      <c r="A145" t="s">
        <v>725</v>
      </c>
      <c r="E145" t="s">
        <v>726</v>
      </c>
    </row>
    <row r="146" spans="1:5">
      <c r="A146" t="s">
        <v>727</v>
      </c>
      <c r="E146" t="s">
        <v>728</v>
      </c>
    </row>
    <row r="147" spans="1:5">
      <c r="A147" t="s">
        <v>729</v>
      </c>
      <c r="E147" t="s">
        <v>730</v>
      </c>
    </row>
    <row r="148" spans="1:5">
      <c r="A148" t="s">
        <v>731</v>
      </c>
      <c r="E148" t="s">
        <v>732</v>
      </c>
    </row>
    <row r="149" spans="1:5">
      <c r="A149" t="s">
        <v>733</v>
      </c>
      <c r="E149" t="s">
        <v>734</v>
      </c>
    </row>
    <row r="150" spans="1:5">
      <c r="A150" t="s">
        <v>735</v>
      </c>
      <c r="E150" t="s">
        <v>736</v>
      </c>
    </row>
    <row r="151" spans="1:5">
      <c r="A151" t="s">
        <v>737</v>
      </c>
      <c r="E151" t="s">
        <v>738</v>
      </c>
    </row>
    <row r="152" spans="1:5">
      <c r="A152" t="s">
        <v>739</v>
      </c>
      <c r="E152" t="s">
        <v>740</v>
      </c>
    </row>
    <row r="153" spans="1:5">
      <c r="A153" t="s">
        <v>741</v>
      </c>
      <c r="E153" t="s">
        <v>742</v>
      </c>
    </row>
    <row r="154" spans="1:5">
      <c r="A154" t="s">
        <v>743</v>
      </c>
      <c r="E154" t="s">
        <v>744</v>
      </c>
    </row>
    <row r="155" spans="1:5">
      <c r="A155" t="s">
        <v>745</v>
      </c>
      <c r="E155" t="s">
        <v>746</v>
      </c>
    </row>
    <row r="156" spans="1:5">
      <c r="A156" t="s">
        <v>255</v>
      </c>
      <c r="E156" t="s">
        <v>747</v>
      </c>
    </row>
    <row r="157" spans="1:5">
      <c r="A157" t="s">
        <v>748</v>
      </c>
      <c r="E157" t="s">
        <v>749</v>
      </c>
    </row>
    <row r="158" spans="1:5">
      <c r="A158" t="s">
        <v>750</v>
      </c>
      <c r="E158" t="s">
        <v>751</v>
      </c>
    </row>
    <row r="159" spans="1:5">
      <c r="A159" t="s">
        <v>752</v>
      </c>
      <c r="E159" t="s">
        <v>753</v>
      </c>
    </row>
    <row r="160" spans="1:5">
      <c r="A160" t="s">
        <v>754</v>
      </c>
      <c r="E160" t="s">
        <v>755</v>
      </c>
    </row>
    <row r="161" spans="1:5">
      <c r="A161" t="s">
        <v>756</v>
      </c>
      <c r="E161" t="s">
        <v>757</v>
      </c>
    </row>
    <row r="162" spans="1:5">
      <c r="A162" t="s">
        <v>758</v>
      </c>
      <c r="E162" t="s">
        <v>759</v>
      </c>
    </row>
    <row r="163" spans="1:5">
      <c r="A163" t="s">
        <v>760</v>
      </c>
      <c r="E163" t="s">
        <v>761</v>
      </c>
    </row>
    <row r="164" spans="1:5">
      <c r="A164" t="s">
        <v>762</v>
      </c>
      <c r="E164" t="s">
        <v>763</v>
      </c>
    </row>
    <row r="165" spans="1:5">
      <c r="A165" t="s">
        <v>764</v>
      </c>
      <c r="E165" t="s">
        <v>765</v>
      </c>
    </row>
    <row r="166" spans="1:5">
      <c r="A166" t="s">
        <v>766</v>
      </c>
      <c r="E166" t="s">
        <v>767</v>
      </c>
    </row>
    <row r="167" spans="1:5">
      <c r="A167" t="s">
        <v>768</v>
      </c>
      <c r="E167" t="s">
        <v>769</v>
      </c>
    </row>
    <row r="168" spans="1:5">
      <c r="A168" t="s">
        <v>770</v>
      </c>
      <c r="E168" t="s">
        <v>771</v>
      </c>
    </row>
    <row r="169" spans="1:5">
      <c r="A169" t="s">
        <v>772</v>
      </c>
      <c r="E169" t="s">
        <v>773</v>
      </c>
    </row>
    <row r="170" spans="1:5">
      <c r="A170" t="s">
        <v>774</v>
      </c>
      <c r="E170" t="s">
        <v>775</v>
      </c>
    </row>
    <row r="171" spans="1:5">
      <c r="A171" t="s">
        <v>776</v>
      </c>
      <c r="E171" t="s">
        <v>777</v>
      </c>
    </row>
    <row r="172" spans="1:5">
      <c r="A172" t="s">
        <v>778</v>
      </c>
      <c r="E172" t="s">
        <v>779</v>
      </c>
    </row>
    <row r="173" spans="1:5">
      <c r="A173" t="s">
        <v>251</v>
      </c>
      <c r="E173" t="s">
        <v>780</v>
      </c>
    </row>
    <row r="174" spans="1:5">
      <c r="A174" t="s">
        <v>781</v>
      </c>
      <c r="E174" t="s">
        <v>782</v>
      </c>
    </row>
    <row r="175" spans="1:5">
      <c r="A175" t="s">
        <v>783</v>
      </c>
      <c r="E175" t="s">
        <v>784</v>
      </c>
    </row>
    <row r="176" spans="1:5">
      <c r="A176" t="s">
        <v>234</v>
      </c>
      <c r="E176" t="s">
        <v>785</v>
      </c>
    </row>
    <row r="177" spans="1:5">
      <c r="A177" t="s">
        <v>786</v>
      </c>
      <c r="E177" t="s">
        <v>787</v>
      </c>
    </row>
    <row r="178" spans="1:5">
      <c r="A178" t="s">
        <v>788</v>
      </c>
      <c r="E178" t="s">
        <v>789</v>
      </c>
    </row>
    <row r="179" spans="1:5">
      <c r="A179" t="s">
        <v>254</v>
      </c>
      <c r="E179" t="s">
        <v>790</v>
      </c>
    </row>
    <row r="180" spans="1:5">
      <c r="A180" t="s">
        <v>791</v>
      </c>
      <c r="E180" t="s">
        <v>792</v>
      </c>
    </row>
    <row r="181" spans="1:5">
      <c r="A181" t="s">
        <v>793</v>
      </c>
      <c r="E181" t="s">
        <v>794</v>
      </c>
    </row>
    <row r="182" spans="1:5">
      <c r="A182" t="s">
        <v>795</v>
      </c>
      <c r="E182" t="s">
        <v>796</v>
      </c>
    </row>
    <row r="183" spans="1:5">
      <c r="A183" t="s">
        <v>797</v>
      </c>
      <c r="E183" t="s">
        <v>798</v>
      </c>
    </row>
    <row r="184" spans="1:5">
      <c r="A184" t="s">
        <v>799</v>
      </c>
      <c r="E184" t="s">
        <v>800</v>
      </c>
    </row>
    <row r="185" spans="1:5">
      <c r="A185" t="s">
        <v>801</v>
      </c>
      <c r="E185" t="s">
        <v>802</v>
      </c>
    </row>
    <row r="186" spans="1:5">
      <c r="A186" t="s">
        <v>803</v>
      </c>
      <c r="E186" t="s">
        <v>804</v>
      </c>
    </row>
    <row r="187" spans="1:5">
      <c r="A187" t="s">
        <v>805</v>
      </c>
      <c r="E187" t="s">
        <v>806</v>
      </c>
    </row>
    <row r="188" spans="1:5">
      <c r="A188" t="s">
        <v>807</v>
      </c>
      <c r="E188" t="s">
        <v>808</v>
      </c>
    </row>
    <row r="189" spans="1:5">
      <c r="A189" t="s">
        <v>809</v>
      </c>
      <c r="E189" t="s">
        <v>810</v>
      </c>
    </row>
    <row r="190" spans="1:5">
      <c r="A190" t="s">
        <v>811</v>
      </c>
      <c r="E190" t="s">
        <v>812</v>
      </c>
    </row>
    <row r="191" spans="1:5">
      <c r="A191" t="s">
        <v>813</v>
      </c>
      <c r="E191" t="s">
        <v>814</v>
      </c>
    </row>
    <row r="192" spans="1:5">
      <c r="A192" t="s">
        <v>815</v>
      </c>
      <c r="E192" t="s">
        <v>816</v>
      </c>
    </row>
    <row r="193" spans="1:5">
      <c r="A193" t="s">
        <v>817</v>
      </c>
      <c r="E193" t="s">
        <v>818</v>
      </c>
    </row>
    <row r="194" spans="1:5">
      <c r="A194" t="s">
        <v>819</v>
      </c>
      <c r="E194" t="s">
        <v>820</v>
      </c>
    </row>
    <row r="195" spans="1:5">
      <c r="A195" t="s">
        <v>821</v>
      </c>
      <c r="E195" t="s">
        <v>822</v>
      </c>
    </row>
    <row r="196" spans="1:5">
      <c r="A196" t="s">
        <v>823</v>
      </c>
      <c r="E196" t="s">
        <v>824</v>
      </c>
    </row>
    <row r="197" spans="1:5">
      <c r="A197" t="s">
        <v>825</v>
      </c>
      <c r="E197" t="s">
        <v>826</v>
      </c>
    </row>
    <row r="198" spans="1:5">
      <c r="A198" t="s">
        <v>827</v>
      </c>
      <c r="E198" t="s">
        <v>828</v>
      </c>
    </row>
    <row r="199" spans="1:5">
      <c r="A199" t="s">
        <v>829</v>
      </c>
      <c r="E199" t="s">
        <v>830</v>
      </c>
    </row>
    <row r="200" spans="1:5">
      <c r="A200" t="s">
        <v>831</v>
      </c>
      <c r="E200" t="s">
        <v>832</v>
      </c>
    </row>
    <row r="201" spans="1:5">
      <c r="A201" t="s">
        <v>833</v>
      </c>
      <c r="E201" t="s">
        <v>283</v>
      </c>
    </row>
    <row r="202" spans="1:5">
      <c r="A202" t="s">
        <v>834</v>
      </c>
      <c r="E202" t="s">
        <v>835</v>
      </c>
    </row>
    <row r="203" spans="1:5">
      <c r="A203" t="s">
        <v>836</v>
      </c>
      <c r="E203" t="s">
        <v>837</v>
      </c>
    </row>
    <row r="204" spans="1:5">
      <c r="A204" t="s">
        <v>245</v>
      </c>
      <c r="E204" t="s">
        <v>838</v>
      </c>
    </row>
    <row r="205" spans="1:5">
      <c r="A205" t="s">
        <v>839</v>
      </c>
      <c r="E205" t="s">
        <v>407</v>
      </c>
    </row>
    <row r="206" spans="1:5">
      <c r="A206" t="s">
        <v>840</v>
      </c>
      <c r="E206" t="s">
        <v>841</v>
      </c>
    </row>
    <row r="207" spans="1:5">
      <c r="A207" t="s">
        <v>842</v>
      </c>
      <c r="E207" t="s">
        <v>843</v>
      </c>
    </row>
    <row r="208" spans="1:5">
      <c r="A208" t="s">
        <v>844</v>
      </c>
      <c r="E208" t="s">
        <v>845</v>
      </c>
    </row>
    <row r="209" spans="1:5">
      <c r="A209" t="s">
        <v>846</v>
      </c>
      <c r="E209" t="s">
        <v>847</v>
      </c>
    </row>
    <row r="210" spans="1:5">
      <c r="A210" t="s">
        <v>848</v>
      </c>
      <c r="E210" t="s">
        <v>849</v>
      </c>
    </row>
    <row r="211" spans="1:5">
      <c r="A211" t="s">
        <v>850</v>
      </c>
      <c r="E211" t="s">
        <v>430</v>
      </c>
    </row>
    <row r="212" spans="1:5">
      <c r="A212" t="s">
        <v>851</v>
      </c>
      <c r="E212" t="s">
        <v>852</v>
      </c>
    </row>
    <row r="213" spans="1:5">
      <c r="A213" t="s">
        <v>853</v>
      </c>
      <c r="E213" t="s">
        <v>854</v>
      </c>
    </row>
    <row r="214" spans="1:5">
      <c r="A214" t="s">
        <v>855</v>
      </c>
      <c r="E214" t="s">
        <v>856</v>
      </c>
    </row>
    <row r="215" spans="1:5">
      <c r="A215" t="s">
        <v>857</v>
      </c>
      <c r="E215" t="s">
        <v>858</v>
      </c>
    </row>
    <row r="216" spans="1:5">
      <c r="A216" t="s">
        <v>859</v>
      </c>
      <c r="E216" t="s">
        <v>860</v>
      </c>
    </row>
    <row r="217" spans="1:5">
      <c r="A217" t="s">
        <v>258</v>
      </c>
      <c r="E217" t="s">
        <v>861</v>
      </c>
    </row>
    <row r="218" spans="1:5">
      <c r="A218" t="s">
        <v>862</v>
      </c>
      <c r="E218" t="s">
        <v>863</v>
      </c>
    </row>
    <row r="219" spans="1:5">
      <c r="A219" t="s">
        <v>253</v>
      </c>
      <c r="E219" t="s">
        <v>864</v>
      </c>
    </row>
    <row r="220" spans="1:5">
      <c r="A220" t="s">
        <v>865</v>
      </c>
      <c r="E220" t="s">
        <v>866</v>
      </c>
    </row>
    <row r="221" spans="1:5">
      <c r="A221" t="s">
        <v>867</v>
      </c>
      <c r="E221" t="s">
        <v>411</v>
      </c>
    </row>
    <row r="222" spans="1:5">
      <c r="A222" t="s">
        <v>868</v>
      </c>
      <c r="E222" t="s">
        <v>869</v>
      </c>
    </row>
    <row r="223" spans="1:5">
      <c r="A223" t="s">
        <v>870</v>
      </c>
      <c r="E223" t="s">
        <v>871</v>
      </c>
    </row>
    <row r="224" spans="1:5">
      <c r="A224" t="s">
        <v>872</v>
      </c>
      <c r="E224" t="s">
        <v>873</v>
      </c>
    </row>
    <row r="225" spans="1:5">
      <c r="A225" t="s">
        <v>874</v>
      </c>
      <c r="E225" t="s">
        <v>875</v>
      </c>
    </row>
    <row r="226" spans="1:5">
      <c r="A226" t="s">
        <v>876</v>
      </c>
      <c r="E226" t="s">
        <v>877</v>
      </c>
    </row>
    <row r="227" spans="1:5">
      <c r="A227" t="s">
        <v>878</v>
      </c>
      <c r="E227" t="s">
        <v>879</v>
      </c>
    </row>
    <row r="228" spans="1:5">
      <c r="A228" t="s">
        <v>880</v>
      </c>
      <c r="E228" t="s">
        <v>881</v>
      </c>
    </row>
    <row r="229" spans="1:5">
      <c r="A229" t="s">
        <v>882</v>
      </c>
      <c r="E229" t="s">
        <v>883</v>
      </c>
    </row>
    <row r="230" spans="1:5">
      <c r="A230" t="s">
        <v>884</v>
      </c>
      <c r="E230" t="s">
        <v>885</v>
      </c>
    </row>
    <row r="231" spans="1:5">
      <c r="A231" t="s">
        <v>886</v>
      </c>
      <c r="E231" t="s">
        <v>887</v>
      </c>
    </row>
    <row r="232" spans="1:5">
      <c r="A232" t="s">
        <v>888</v>
      </c>
      <c r="E232" t="s">
        <v>889</v>
      </c>
    </row>
    <row r="233" spans="1:5">
      <c r="A233" t="s">
        <v>890</v>
      </c>
      <c r="E233" t="s">
        <v>891</v>
      </c>
    </row>
    <row r="234" spans="1:5">
      <c r="A234" t="s">
        <v>892</v>
      </c>
      <c r="E234" t="s">
        <v>893</v>
      </c>
    </row>
    <row r="235" spans="1:5">
      <c r="A235" t="s">
        <v>894</v>
      </c>
      <c r="E235" t="s">
        <v>895</v>
      </c>
    </row>
    <row r="236" spans="1:5">
      <c r="A236" t="s">
        <v>896</v>
      </c>
      <c r="E236" t="s">
        <v>897</v>
      </c>
    </row>
    <row r="237" spans="1:5">
      <c r="A237" t="s">
        <v>898</v>
      </c>
      <c r="E237" t="s">
        <v>899</v>
      </c>
    </row>
    <row r="238" spans="1:5">
      <c r="A238" t="s">
        <v>900</v>
      </c>
      <c r="E238" t="s">
        <v>901</v>
      </c>
    </row>
    <row r="239" spans="1:5">
      <c r="A239" t="s">
        <v>902</v>
      </c>
      <c r="E239" t="s">
        <v>903</v>
      </c>
    </row>
    <row r="240" spans="1:5">
      <c r="A240" t="s">
        <v>904</v>
      </c>
      <c r="E240" t="s">
        <v>905</v>
      </c>
    </row>
    <row r="241" spans="1:5">
      <c r="A241" t="s">
        <v>906</v>
      </c>
      <c r="E241" t="s">
        <v>907</v>
      </c>
    </row>
    <row r="242" spans="1:5">
      <c r="A242" t="s">
        <v>259</v>
      </c>
      <c r="E242" t="s">
        <v>908</v>
      </c>
    </row>
    <row r="243" spans="1:5">
      <c r="A243" t="s">
        <v>909</v>
      </c>
      <c r="E243" t="s">
        <v>910</v>
      </c>
    </row>
    <row r="244" spans="1:5">
      <c r="A244" t="s">
        <v>911</v>
      </c>
      <c r="E244" t="s">
        <v>912</v>
      </c>
    </row>
    <row r="245" spans="1:5">
      <c r="A245" t="s">
        <v>913</v>
      </c>
      <c r="E245" t="s">
        <v>914</v>
      </c>
    </row>
    <row r="246" spans="1:5">
      <c r="A246" t="s">
        <v>915</v>
      </c>
      <c r="E246" t="s">
        <v>916</v>
      </c>
    </row>
    <row r="247" spans="1:5">
      <c r="A247" t="s">
        <v>917</v>
      </c>
      <c r="E247" t="s">
        <v>918</v>
      </c>
    </row>
    <row r="248" spans="1:5">
      <c r="A248" t="s">
        <v>919</v>
      </c>
      <c r="E248" t="s">
        <v>920</v>
      </c>
    </row>
    <row r="249" spans="1:5">
      <c r="A249" t="s">
        <v>921</v>
      </c>
      <c r="E249" t="s">
        <v>922</v>
      </c>
    </row>
    <row r="250" spans="1:5">
      <c r="A250" t="s">
        <v>923</v>
      </c>
      <c r="E250" t="s">
        <v>924</v>
      </c>
    </row>
    <row r="251" spans="1:5">
      <c r="A251" t="s">
        <v>925</v>
      </c>
      <c r="E251" t="s">
        <v>926</v>
      </c>
    </row>
    <row r="252" spans="1:5">
      <c r="A252" t="s">
        <v>927</v>
      </c>
      <c r="E252" t="s">
        <v>928</v>
      </c>
    </row>
    <row r="253" spans="1:5">
      <c r="A253" t="s">
        <v>929</v>
      </c>
      <c r="E253" t="s">
        <v>930</v>
      </c>
    </row>
    <row r="254" spans="1:5">
      <c r="A254" t="s">
        <v>931</v>
      </c>
      <c r="E254" t="s">
        <v>932</v>
      </c>
    </row>
    <row r="255" spans="1:5">
      <c r="A255" t="s">
        <v>933</v>
      </c>
      <c r="E255" t="s">
        <v>934</v>
      </c>
    </row>
    <row r="256" spans="1:5">
      <c r="A256" t="s">
        <v>935</v>
      </c>
      <c r="E256" t="s">
        <v>936</v>
      </c>
    </row>
    <row r="257" spans="1:5">
      <c r="A257" t="s">
        <v>262</v>
      </c>
      <c r="E257" t="s">
        <v>937</v>
      </c>
    </row>
    <row r="258" spans="1:5">
      <c r="A258" t="s">
        <v>938</v>
      </c>
      <c r="E258" t="s">
        <v>939</v>
      </c>
    </row>
    <row r="259" spans="1:5">
      <c r="A259" t="s">
        <v>940</v>
      </c>
      <c r="E259" t="s">
        <v>941</v>
      </c>
    </row>
    <row r="260" spans="1:5">
      <c r="A260" t="s">
        <v>942</v>
      </c>
      <c r="E260" t="s">
        <v>943</v>
      </c>
    </row>
    <row r="261" spans="1:5">
      <c r="A261" t="s">
        <v>944</v>
      </c>
      <c r="E261" t="s">
        <v>945</v>
      </c>
    </row>
    <row r="262" spans="1:5">
      <c r="A262" t="s">
        <v>946</v>
      </c>
      <c r="E262" t="s">
        <v>947</v>
      </c>
    </row>
    <row r="263" spans="1:5">
      <c r="A263" t="s">
        <v>948</v>
      </c>
      <c r="E263" t="s">
        <v>949</v>
      </c>
    </row>
    <row r="264" spans="1:5">
      <c r="A264" t="s">
        <v>950</v>
      </c>
      <c r="E264" t="s">
        <v>951</v>
      </c>
    </row>
    <row r="265" spans="1:5">
      <c r="A265" t="s">
        <v>952</v>
      </c>
      <c r="E265" t="s">
        <v>953</v>
      </c>
    </row>
    <row r="266" spans="1:5">
      <c r="A266" t="s">
        <v>954</v>
      </c>
      <c r="E266" t="s">
        <v>955</v>
      </c>
    </row>
    <row r="267" spans="1:5">
      <c r="A267" t="s">
        <v>264</v>
      </c>
      <c r="E267" t="s">
        <v>956</v>
      </c>
    </row>
    <row r="268" spans="1:5">
      <c r="A268" t="s">
        <v>957</v>
      </c>
      <c r="E268" t="s">
        <v>958</v>
      </c>
    </row>
    <row r="269" spans="1:5">
      <c r="A269" t="s">
        <v>959</v>
      </c>
      <c r="E269" t="s">
        <v>960</v>
      </c>
    </row>
    <row r="270" spans="1:5">
      <c r="A270" t="s">
        <v>961</v>
      </c>
      <c r="E270" t="s">
        <v>962</v>
      </c>
    </row>
    <row r="271" spans="1:5">
      <c r="A271" t="s">
        <v>963</v>
      </c>
      <c r="E271" t="s">
        <v>964</v>
      </c>
    </row>
    <row r="272" spans="1:5">
      <c r="A272" t="s">
        <v>965</v>
      </c>
      <c r="E272" t="s">
        <v>966</v>
      </c>
    </row>
    <row r="273" spans="1:5">
      <c r="A273" t="s">
        <v>967</v>
      </c>
      <c r="E273" t="s">
        <v>968</v>
      </c>
    </row>
    <row r="274" spans="1:5">
      <c r="A274" t="s">
        <v>969</v>
      </c>
      <c r="E274" t="s">
        <v>970</v>
      </c>
    </row>
    <row r="275" spans="1:5">
      <c r="A275" t="s">
        <v>971</v>
      </c>
      <c r="E275" t="s">
        <v>972</v>
      </c>
    </row>
    <row r="276" spans="1:5">
      <c r="A276" t="s">
        <v>973</v>
      </c>
      <c r="E276" t="s">
        <v>974</v>
      </c>
    </row>
    <row r="277" spans="1:5">
      <c r="A277" t="s">
        <v>975</v>
      </c>
      <c r="E277" t="s">
        <v>976</v>
      </c>
    </row>
    <row r="278" spans="1:5">
      <c r="A278" t="s">
        <v>977</v>
      </c>
      <c r="E278" t="s">
        <v>978</v>
      </c>
    </row>
    <row r="279" spans="1:5">
      <c r="A279" t="s">
        <v>979</v>
      </c>
      <c r="E279" t="s">
        <v>980</v>
      </c>
    </row>
    <row r="280" spans="1:5">
      <c r="A280" t="s">
        <v>981</v>
      </c>
      <c r="E280" t="s">
        <v>982</v>
      </c>
    </row>
    <row r="281" spans="1:5">
      <c r="A281" t="s">
        <v>983</v>
      </c>
      <c r="E281" t="s">
        <v>984</v>
      </c>
    </row>
    <row r="282" spans="1:5">
      <c r="A282" t="s">
        <v>985</v>
      </c>
      <c r="E282" t="s">
        <v>986</v>
      </c>
    </row>
    <row r="283" spans="1:5">
      <c r="A283" t="s">
        <v>987</v>
      </c>
      <c r="E283" t="s">
        <v>988</v>
      </c>
    </row>
    <row r="284" spans="1:5">
      <c r="A284" t="s">
        <v>989</v>
      </c>
      <c r="E284" t="s">
        <v>990</v>
      </c>
    </row>
    <row r="285" spans="1:5">
      <c r="A285" t="s">
        <v>991</v>
      </c>
      <c r="E285" t="s">
        <v>992</v>
      </c>
    </row>
    <row r="286" spans="1:5">
      <c r="A286" t="s">
        <v>993</v>
      </c>
      <c r="E286" t="s">
        <v>418</v>
      </c>
    </row>
    <row r="287" spans="1:5">
      <c r="A287" t="s">
        <v>994</v>
      </c>
      <c r="E287" t="s">
        <v>995</v>
      </c>
    </row>
    <row r="288" spans="1:5">
      <c r="A288" t="s">
        <v>996</v>
      </c>
      <c r="E288" t="s">
        <v>997</v>
      </c>
    </row>
    <row r="289" spans="1:5">
      <c r="A289" t="s">
        <v>998</v>
      </c>
      <c r="E289" t="s">
        <v>521</v>
      </c>
    </row>
    <row r="290" spans="1:5">
      <c r="A290" t="s">
        <v>999</v>
      </c>
      <c r="E290" t="s">
        <v>1000</v>
      </c>
    </row>
    <row r="291" spans="1:5">
      <c r="A291" t="s">
        <v>1001</v>
      </c>
      <c r="E291" t="s">
        <v>1002</v>
      </c>
    </row>
    <row r="292" spans="1:5">
      <c r="A292" t="s">
        <v>1003</v>
      </c>
      <c r="E292" t="s">
        <v>425</v>
      </c>
    </row>
    <row r="293" spans="1:5">
      <c r="A293" t="s">
        <v>1004</v>
      </c>
      <c r="E293" t="s">
        <v>1005</v>
      </c>
    </row>
    <row r="294" spans="1:5">
      <c r="A294" t="s">
        <v>1006</v>
      </c>
      <c r="E294" t="s">
        <v>1007</v>
      </c>
    </row>
    <row r="295" spans="1:5">
      <c r="A295" t="s">
        <v>1008</v>
      </c>
      <c r="E295" t="s">
        <v>1009</v>
      </c>
    </row>
    <row r="296" spans="1:5">
      <c r="A296" s="25" t="s">
        <v>1010</v>
      </c>
      <c r="E296" t="s">
        <v>1011</v>
      </c>
    </row>
    <row r="297" spans="1:5">
      <c r="A297" t="s">
        <v>1012</v>
      </c>
      <c r="E297" t="s">
        <v>1013</v>
      </c>
    </row>
    <row r="298" spans="1:5">
      <c r="A298" t="s">
        <v>1014</v>
      </c>
      <c r="E298" t="s">
        <v>1015</v>
      </c>
    </row>
    <row r="299" spans="1:5">
      <c r="A299" t="s">
        <v>1016</v>
      </c>
      <c r="E299" t="s">
        <v>406</v>
      </c>
    </row>
    <row r="300" spans="1:5">
      <c r="A300" t="s">
        <v>1017</v>
      </c>
      <c r="E300" t="s">
        <v>1018</v>
      </c>
    </row>
    <row r="301" spans="1:5">
      <c r="A301" t="s">
        <v>1019</v>
      </c>
      <c r="E301" t="s">
        <v>1020</v>
      </c>
    </row>
    <row r="302" spans="1:5">
      <c r="A302" t="s">
        <v>1021</v>
      </c>
      <c r="E302" t="s">
        <v>1022</v>
      </c>
    </row>
    <row r="303" spans="1:5">
      <c r="A303" t="s">
        <v>1023</v>
      </c>
      <c r="E303" t="s">
        <v>1024</v>
      </c>
    </row>
    <row r="304" spans="1:5">
      <c r="A304" t="s">
        <v>1025</v>
      </c>
      <c r="E304" t="s">
        <v>1026</v>
      </c>
    </row>
    <row r="305" spans="1:5">
      <c r="A305" t="s">
        <v>267</v>
      </c>
      <c r="E305" t="s">
        <v>1027</v>
      </c>
    </row>
    <row r="306" spans="1:5">
      <c r="A306" t="s">
        <v>1028</v>
      </c>
      <c r="E306" t="s">
        <v>1029</v>
      </c>
    </row>
    <row r="307" spans="1:5">
      <c r="A307" t="s">
        <v>1030</v>
      </c>
      <c r="E307" t="s">
        <v>1031</v>
      </c>
    </row>
    <row r="308" spans="1:5">
      <c r="A308" t="s">
        <v>1032</v>
      </c>
      <c r="E308" t="s">
        <v>1033</v>
      </c>
    </row>
    <row r="309" spans="1:5">
      <c r="A309" t="s">
        <v>1034</v>
      </c>
      <c r="E309" t="s">
        <v>1035</v>
      </c>
    </row>
    <row r="310" spans="1:5">
      <c r="A310" t="s">
        <v>1036</v>
      </c>
      <c r="E310" t="s">
        <v>1037</v>
      </c>
    </row>
    <row r="311" spans="1:5">
      <c r="A311" t="s">
        <v>1038</v>
      </c>
      <c r="E311" t="s">
        <v>1039</v>
      </c>
    </row>
    <row r="312" spans="1:5">
      <c r="A312" t="s">
        <v>1040</v>
      </c>
      <c r="E312" t="s">
        <v>1041</v>
      </c>
    </row>
    <row r="313" spans="1:5">
      <c r="A313" t="s">
        <v>1042</v>
      </c>
      <c r="E313" t="s">
        <v>1043</v>
      </c>
    </row>
    <row r="314" spans="1:5">
      <c r="A314" t="s">
        <v>1044</v>
      </c>
      <c r="E314" t="s">
        <v>1045</v>
      </c>
    </row>
    <row r="315" spans="1:5">
      <c r="A315" t="s">
        <v>1046</v>
      </c>
      <c r="E315" t="s">
        <v>1047</v>
      </c>
    </row>
    <row r="316" spans="1:5">
      <c r="A316" t="s">
        <v>1048</v>
      </c>
      <c r="E316" t="s">
        <v>1049</v>
      </c>
    </row>
    <row r="317" spans="1:5">
      <c r="A317" t="s">
        <v>1050</v>
      </c>
      <c r="E317" t="s">
        <v>1051</v>
      </c>
    </row>
    <row r="318" spans="1:5">
      <c r="A318" t="s">
        <v>1052</v>
      </c>
      <c r="E318" t="s">
        <v>1053</v>
      </c>
    </row>
    <row r="319" spans="1:5">
      <c r="A319" t="s">
        <v>1054</v>
      </c>
      <c r="E319" t="s">
        <v>1055</v>
      </c>
    </row>
    <row r="320" spans="1:5">
      <c r="A320" t="s">
        <v>1056</v>
      </c>
      <c r="E320" t="s">
        <v>505</v>
      </c>
    </row>
    <row r="321" spans="1:5">
      <c r="A321" s="25" t="s">
        <v>1057</v>
      </c>
      <c r="E321" t="s">
        <v>1058</v>
      </c>
    </row>
    <row r="322" spans="1:5">
      <c r="A322" t="s">
        <v>1059</v>
      </c>
      <c r="E322" t="s">
        <v>1060</v>
      </c>
    </row>
    <row r="323" spans="1:5">
      <c r="A323" t="s">
        <v>1061</v>
      </c>
      <c r="E323" t="s">
        <v>1062</v>
      </c>
    </row>
    <row r="324" spans="1:5">
      <c r="A324" t="s">
        <v>260</v>
      </c>
      <c r="E324" t="s">
        <v>1063</v>
      </c>
    </row>
    <row r="325" spans="1:5">
      <c r="A325" t="s">
        <v>1064</v>
      </c>
      <c r="E325" t="s">
        <v>509</v>
      </c>
    </row>
    <row r="326" spans="1:5">
      <c r="A326" t="s">
        <v>1065</v>
      </c>
      <c r="E326" t="s">
        <v>513</v>
      </c>
    </row>
    <row r="327" spans="1:5">
      <c r="A327" t="s">
        <v>1066</v>
      </c>
      <c r="E327" t="s">
        <v>1067</v>
      </c>
    </row>
    <row r="328" spans="1:5">
      <c r="A328" t="s">
        <v>1068</v>
      </c>
      <c r="E328" t="s">
        <v>1069</v>
      </c>
    </row>
    <row r="329" spans="1:5">
      <c r="A329" t="s">
        <v>1070</v>
      </c>
      <c r="E329" t="s">
        <v>1071</v>
      </c>
    </row>
    <row r="330" spans="1:5">
      <c r="A330" t="s">
        <v>1072</v>
      </c>
      <c r="E330" t="s">
        <v>1073</v>
      </c>
    </row>
    <row r="331" spans="1:5">
      <c r="A331" t="s">
        <v>1074</v>
      </c>
      <c r="E331" t="s">
        <v>1075</v>
      </c>
    </row>
    <row r="332" spans="1:5">
      <c r="A332" t="s">
        <v>1076</v>
      </c>
    </row>
    <row r="333" spans="1:5">
      <c r="A333" t="s">
        <v>1077</v>
      </c>
    </row>
    <row r="334" spans="1:5">
      <c r="A334" t="s">
        <v>1078</v>
      </c>
    </row>
    <row r="335" spans="1:5">
      <c r="A335" t="s">
        <v>1079</v>
      </c>
    </row>
    <row r="336" spans="1:5">
      <c r="A336" t="s">
        <v>246</v>
      </c>
    </row>
    <row r="337" spans="1:1">
      <c r="A337" t="s">
        <v>1080</v>
      </c>
    </row>
    <row r="338" spans="1:1">
      <c r="A338" t="s">
        <v>1081</v>
      </c>
    </row>
    <row r="339" spans="1:1">
      <c r="A339" t="s">
        <v>1082</v>
      </c>
    </row>
    <row r="340" spans="1:1">
      <c r="A340" t="s">
        <v>1083</v>
      </c>
    </row>
    <row r="341" spans="1:1">
      <c r="A341" t="s">
        <v>1084</v>
      </c>
    </row>
    <row r="342" spans="1:1">
      <c r="A342" t="s">
        <v>1085</v>
      </c>
    </row>
    <row r="343" spans="1:1">
      <c r="A343" t="s">
        <v>1086</v>
      </c>
    </row>
    <row r="344" spans="1:1">
      <c r="A344" t="s">
        <v>1087</v>
      </c>
    </row>
    <row r="345" spans="1:1">
      <c r="A345" t="s">
        <v>1088</v>
      </c>
    </row>
    <row r="346" spans="1:1">
      <c r="A346" t="s">
        <v>1089</v>
      </c>
    </row>
    <row r="347" spans="1:1">
      <c r="A347" t="s">
        <v>1090</v>
      </c>
    </row>
    <row r="348" spans="1:1">
      <c r="A348" t="s">
        <v>1091</v>
      </c>
    </row>
    <row r="349" spans="1:1">
      <c r="A349" t="s">
        <v>1092</v>
      </c>
    </row>
    <row r="350" spans="1:1">
      <c r="A350" t="s">
        <v>240</v>
      </c>
    </row>
    <row r="351" spans="1:1">
      <c r="A351" t="s">
        <v>1093</v>
      </c>
    </row>
    <row r="352" spans="1:1">
      <c r="A352" t="s">
        <v>1094</v>
      </c>
    </row>
    <row r="353" spans="1:1">
      <c r="A353" t="s">
        <v>1095</v>
      </c>
    </row>
    <row r="354" spans="1:1">
      <c r="A354" t="s">
        <v>1096</v>
      </c>
    </row>
    <row r="355" spans="1:1">
      <c r="A355" t="s">
        <v>1097</v>
      </c>
    </row>
    <row r="356" spans="1:1">
      <c r="A356" t="s">
        <v>1098</v>
      </c>
    </row>
    <row r="357" spans="1:1">
      <c r="A357" t="s">
        <v>1099</v>
      </c>
    </row>
    <row r="358" spans="1:1">
      <c r="A358" t="s">
        <v>1100</v>
      </c>
    </row>
    <row r="359" spans="1:1">
      <c r="A359" t="s">
        <v>248</v>
      </c>
    </row>
    <row r="360" spans="1:1">
      <c r="A360" t="s">
        <v>1101</v>
      </c>
    </row>
    <row r="361" spans="1:1">
      <c r="A361" t="s">
        <v>1102</v>
      </c>
    </row>
    <row r="362" spans="1:1">
      <c r="A362" t="s">
        <v>1103</v>
      </c>
    </row>
    <row r="363" spans="1:1">
      <c r="A363" t="s">
        <v>1104</v>
      </c>
    </row>
    <row r="364" spans="1:1">
      <c r="A364" t="s">
        <v>242</v>
      </c>
    </row>
    <row r="365" spans="1:1">
      <c r="A365" t="s">
        <v>1105</v>
      </c>
    </row>
    <row r="366" spans="1:1">
      <c r="A366" t="s">
        <v>1106</v>
      </c>
    </row>
    <row r="367" spans="1:1">
      <c r="A367" t="s">
        <v>1107</v>
      </c>
    </row>
    <row r="368" spans="1:1">
      <c r="A368" t="s">
        <v>1108</v>
      </c>
    </row>
    <row r="369" spans="1:1">
      <c r="A369" t="s">
        <v>1109</v>
      </c>
    </row>
    <row r="370" spans="1:1">
      <c r="A370" t="s">
        <v>1110</v>
      </c>
    </row>
    <row r="371" spans="1:1">
      <c r="A371" t="s">
        <v>1111</v>
      </c>
    </row>
    <row r="372" spans="1:1">
      <c r="A372" t="s">
        <v>256</v>
      </c>
    </row>
    <row r="373" spans="1:1">
      <c r="A373" t="s">
        <v>1112</v>
      </c>
    </row>
    <row r="374" spans="1:1">
      <c r="A374" t="s">
        <v>1113</v>
      </c>
    </row>
    <row r="383" spans="1:1">
      <c r="A383" s="99"/>
    </row>
  </sheetData>
  <sortState xmlns:xlrd2="http://schemas.microsoft.com/office/spreadsheetml/2017/richdata2" ref="A2:A363">
    <sortCondition ref="A363"/>
  </sortState>
  <customSheetViews>
    <customSheetView guid="{F3D34B6E-C033-4619-B79B-F6641D36A08A}">
      <selection activeCell="H11" sqref="H11"/>
      <pageMargins left="0" right="0" top="0" bottom="0" header="0" footer="0"/>
      <pageSetup orientation="portrait" r:id="rId1"/>
    </customSheetView>
    <customSheetView guid="{D09B7FBD-4C2F-4D51-8650-F30363D61164}" topLeftCell="A115">
      <selection activeCell="A147" sqref="A147"/>
      <pageMargins left="0" right="0" top="0" bottom="0" header="0" footer="0"/>
      <pageSetup orientation="portrait" r:id="rId2"/>
    </customSheetView>
    <customSheetView guid="{8A0DC7DB-68DC-4168-B04E-DD32ABFE343C}" topLeftCell="A128">
      <selection activeCell="E226" sqref="E226"/>
      <pageMargins left="0" right="0" top="0" bottom="0" header="0" footer="0"/>
      <pageSetup orientation="portrait" r:id="rId3"/>
    </customSheetView>
    <customSheetView guid="{F324CAE3-7548-4FF5-ACBE-288AEC54CC06}">
      <selection activeCell="G26" sqref="G26"/>
      <pageMargins left="0" right="0" top="0" bottom="0" header="0" footer="0"/>
      <pageSetup orientation="portrait" r:id="rId4"/>
    </customSheetView>
    <customSheetView guid="{0728CAE9-F3A2-4700-ACEA-4F34D0D713B6}" topLeftCell="A10">
      <selection activeCell="G34" sqref="G34:G35"/>
      <pageMargins left="0" right="0" top="0" bottom="0" header="0" footer="0"/>
      <pageSetup orientation="portrait" r:id="rId5"/>
    </customSheetView>
    <customSheetView guid="{005802C1-68CA-4815-805E-0B80E75B8A52}" topLeftCell="A3">
      <selection activeCell="A2" sqref="A2:A373"/>
      <pageMargins left="0" right="0" top="0" bottom="0" header="0" footer="0"/>
      <pageSetup orientation="portrait" r:id="rId6"/>
    </customSheetView>
  </customSheetView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c3dddf-4ab4-484b-bfa1-fbb03971aec5" xsi:nil="true"/>
    <lcf76f155ced4ddcb4097134ff3c332f xmlns="a7bc11af-f039-4d93-8f95-80c6608d4e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eee3e489b969c262403037e5fa3d627a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720fa2ad0e8ccc11fdbe94977815c0fa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07A54-D701-417D-BBAE-8179D1250AEF}"/>
</file>

<file path=customXml/itemProps2.xml><?xml version="1.0" encoding="utf-8"?>
<ds:datastoreItem xmlns:ds="http://schemas.openxmlformats.org/officeDocument/2006/customXml" ds:itemID="{42CFAACE-AA5A-4F7D-B4D9-8CF716957629}"/>
</file>

<file path=customXml/itemProps3.xml><?xml version="1.0" encoding="utf-8"?>
<ds:datastoreItem xmlns:ds="http://schemas.openxmlformats.org/officeDocument/2006/customXml" ds:itemID="{599E8C3F-DB6F-4178-B27C-7E41CF427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ESPN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Bell, Brian D.</cp:lastModifiedBy>
  <cp:revision/>
  <dcterms:created xsi:type="dcterms:W3CDTF">2019-06-06T15:34:17Z</dcterms:created>
  <dcterms:modified xsi:type="dcterms:W3CDTF">2026-05-03T17:29:14Z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0x010100745F6030A2FA2A4681A58F0B5BFA097B</vt:lpwstr>
  </property>
  <property fmtid="{D5CDD505-2E9C-101B-9397-08002B2CF9AE}" pid="3" name="WorkbookGuid">
    <vt:lpwstr>0c7d219d-d2a1-471b-904f-0e76be59fe26</vt:lpwstr>
  </property>
  <property fmtid="{D5CDD505-2E9C-101B-9397-08002B2CF9AE}" pid="4" name="MediaServiceImageTags">
    <vt:lpwstr/>
  </property>
</Properties>
</file>