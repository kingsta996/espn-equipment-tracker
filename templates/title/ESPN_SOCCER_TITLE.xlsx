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Main" sheetId="1" state="visible" r:id="rId1"/>
    <sheet name="Talent" sheetId="2" state="visible" r:id="rId2"/>
    <sheet name="Conf Standings" sheetId="3" state="visible" r:id="rId3"/>
    <sheet name="Top 25" sheetId="4" state="visible" r:id="rId4"/>
    <sheet name="Game Elements" sheetId="5" state="visible" r:id="rId5"/>
    <sheet name="Logos" sheetId="6" state="visible" r:id="rId6"/>
  </sheets>
  <definedNames>
    <definedName name="ANALYST1">Talent!$O$14:$O$24</definedName>
    <definedName name="ANALYST2">Talent!$O$26:$O$36</definedName>
    <definedName name="ANALYST3">Talent!$O$38:$O$48</definedName>
    <definedName name="ANALYST4">Talent!$Q$1:$Q$11</definedName>
    <definedName name="ANALYST5">Talent!$Q$14:$Q$24</definedName>
    <definedName name="CITY_LOCATOR">Main!$E$14:$E$16</definedName>
    <definedName name="CITY_LOCATOR_SHORT">Main!$E$18:$E$20</definedName>
    <definedName name="CLUSTER_SCORE">'Game Elements'!$H$59:$M$107</definedName>
    <definedName name="CONF_BOTTOM_DIVISION">'Conf Standings'!$D$3:$D$4</definedName>
    <definedName name="CONF_LOGOTEXT">'Conf Standings'!$F$8:$F$28</definedName>
    <definedName name="CONF_OVERALL_RECORD">'Conf Standings'!$E$8:$E$28</definedName>
    <definedName name="CONF_RECORD">'Conf Standings'!$D$8:$D$28</definedName>
    <definedName name="CONF_START_ROW">'Conf Standings'!$H$5:$H$8</definedName>
    <definedName name="CONF_TEAM_NAME">'Conf Standings'!$B$8:$B$28</definedName>
    <definedName name="CONF_TEAM_TRICODE">'Conf Standings'!$C$8:$C$28</definedName>
    <definedName name="CONF_TOP_DIVISION">'Conf Standings'!$C$3:$C$4</definedName>
    <definedName name="CONFERENCE_LOGO">'Conf Standings'!$J$1:$J$2</definedName>
    <definedName name="CONFERENCE_LOGOS">Logos!$C$1:$C$50</definedName>
    <definedName name="CONFERENCE_NAME">'Conf Standings'!$B$3:$B$4</definedName>
    <definedName name="GAME_TIME">Main!$E$22:$E$23</definedName>
    <definedName name="HEADER_LOGO">Main!$G$18:$G$19</definedName>
    <definedName name="INTERFACE">Main!$G$24:$G$24</definedName>
    <definedName name="MISC_TALENT1">Talent!$S$14:$S$24</definedName>
    <definedName name="MISC_TALENT2">Talent!$S$26:$S$36</definedName>
    <definedName name="MISC_TALENT3">Talent!$S$38:$S$48</definedName>
    <definedName name="MISC_TALENT4">Talent!$U$1:$U$11</definedName>
    <definedName name="MISC_TALENT5">Talent!$U$14:$U$24</definedName>
    <definedName name="NETWORK_LOGOS">Logos!$E$1:$E$273</definedName>
    <definedName name="NETWORK_LOGOS_WHITE">Logos!$H$1:$H$18</definedName>
    <definedName name="NEWS_NOTES">'Game Elements'!$A$32:$B$51</definedName>
    <definedName name="NUMBER_OF_TALENT">Talent!$N$17:$N$18</definedName>
    <definedName name="PROMO_TOWER1A">'Game Elements'!$A$3:$B$14</definedName>
    <definedName name="PROMO_TOWER1B">'Game Elements'!$A$17:$B$26</definedName>
    <definedName name="PROMO_TOWER2A">'Game Elements'!$D$3:$E$14</definedName>
    <definedName name="PROMO_TOWER2B">'Game Elements'!$D$17:$E$26</definedName>
    <definedName name="REPORTER1">Talent!$Q$26:$Q$36</definedName>
    <definedName name="REPORTER2">Talent!$Q$38:$Q$48</definedName>
    <definedName name="REPORTER3">Talent!$S$1:$S$11</definedName>
    <definedName name="SEASON_CHOICE_GLOBAL">Main!$F$10:$F$12</definedName>
    <definedName name="SEASON_RECAP_AWAY">'Game Elements'!$A$60:$B$76</definedName>
    <definedName name="SEASON_RECAP_HOME">'Game Elements'!$D$60:$E$71</definedName>
    <definedName name="SEASON_SEL">Main!$F$10:$F$11</definedName>
    <definedName name="SEASON_SEL_COLON">Main!$F$15:$F$16</definedName>
    <definedName name="SERIES_HISTORY">'Game Elements'!$D$32:$E$52</definedName>
    <definedName name="SHOW_LOGO">Main!$G$9:$G$10</definedName>
    <definedName name="SHOW_LOGO_SEL">Main!$G$5:$G$7</definedName>
    <definedName name="SPORT">Main!$G$21:$G$22</definedName>
    <definedName name="STADIUM_CITY">Main!$E$6:$E$8</definedName>
    <definedName name="STADIUM_CITY_SHORT">Main!$E$10:$E$12</definedName>
    <definedName name="STADIUM_LOCATOR">Main!$E$2:$E$4</definedName>
    <definedName name="SUBTITLE_1A">Main!$D$4:$D$5</definedName>
    <definedName name="SUBTITLE_2A">Main!$D$9:$D$10</definedName>
    <definedName name="TALENT_NETWORK">Talent!$N$11:$N$12</definedName>
    <definedName name="TALENT_PXP">Talent!$O$2:$O$12</definedName>
    <definedName name="TALENT_SUBHEAD">Talent!$N$8:$N$9</definedName>
    <definedName name="TEAM_LOGOS">Logos!$A$1:$A$405</definedName>
    <definedName name="TITLE_1A">Main!$D$2:$D$3</definedName>
    <definedName name="TITLE_2A">Main!$D$7:$D$8</definedName>
    <definedName name="TODAY_TONIGHT_SEL">Main!$F$8:$F$9</definedName>
    <definedName name="TODAY_TONIGHT_SEL_COLON">Main!$F$13:$F$14</definedName>
    <definedName name="TOP_25_AT_VS">'Top 25'!$E$3:$E$28</definedName>
    <definedName name="TOP_25_HEADER">'Top 25'!$M$5:$M$6</definedName>
    <definedName name="TOP_25_LOGOTEXT">'Top 25'!$C$3:$C$28</definedName>
    <definedName name="TOP_25_NETWORK_LOGO">'Top 25'!$K$2:$K$27</definedName>
    <definedName name="TOP_25_OPP_W_L">'Top 25'!$G$3:$G$28</definedName>
    <definedName name="TOP_25_OPPONENT">'Top 25'!$F$3:$F$28</definedName>
    <definedName name="TOP_25_SUBHEAD">'Top 25'!$M$8:$M$9</definedName>
    <definedName name="TOP_25_TEAM">'Top 25'!$B$3:$B$28</definedName>
    <definedName name="TOP_25_TEAMS">'Game Elements'!$I$32:$M$43</definedName>
    <definedName name="TOP_25_TIME">'Top 25'!$H$3:$H$28</definedName>
    <definedName name="TOP_25_W_L">'Top 25'!$D$3:$D$28</definedName>
    <definedName name="TWITTER_HANDLE">Talent!$N$2:$N$3</definedName>
    <definedName name="TWITTER_HASHTAG">Talent!$N$5:$N$6</definedName>
    <definedName name="ZZZ_CONFERENCE_LOGO">Logos!$C$2:$C$50</definedName>
    <definedName name="ZZZ_NETWORK_LOGO">Logos!$E$2:$E$191</definedName>
    <definedName name="ZZZ_SHOW_LOGO_LIST">Logos!$G$2:$G$151</definedName>
    <definedName name="ZZZ_TEAM_LOGO">Logos!$A$2:$A$405</definedName>
    <definedName name="Z_0728CAE9_F3A2_4700_ACEA_4F34D0D713B6_.wvu.Cols" localSheetId="0" hidden="1">Main!$D:$I</definedName>
    <definedName name="Z_1076EFEE_ABD5_40BD_8DE7_2D462ABB9A3F_.wvu.Cols" localSheetId="0" hidden="1">Main!$D:$I</definedName>
    <definedName name="Z_4ECA09D7_D852_41CE_B706_22E7091FBBF1_.wvu.Cols" localSheetId="0" hidden="1">Main!$D:$I</definedName>
    <definedName name="Z_8A0DC7DB_68DC_4168_B04E_DD32ABFE343C_.wvu.Cols" localSheetId="0" hidden="1">Main!$D:$I</definedName>
    <definedName name="Z_8A0DC7DB_68DC_4168_B04E_DD32ABFE343C_.wvu.Rows" localSheetId="0" hidden="1">Main!$14:$17</definedName>
    <definedName name="Z_B1F96E1C_F8BF_4E96_99A8_0A6EF65B9F56_.wvu.Cols" localSheetId="0" hidden="1">Main!$D:$I</definedName>
    <definedName name="Z_B1F96E1C_F8BF_4E96_99A8_0A6EF65B9F56_.wvu.Rows" localSheetId="0" hidden="1">Main!$14:$17</definedName>
    <definedName name="Z_C6E98543_1B6A_4D86_ABBD_63BB6471D54D_.wvu.Cols" localSheetId="0" hidden="1">Main!$D:$I</definedName>
    <definedName name="Z_D09B7FBD_4C2F_4D51_8650_F30363D61164_.wvu.Cols" localSheetId="0" hidden="1">Main!$D:$I</definedName>
    <definedName name="Z_F324CAE3_7548_4FF5_ACBE_288AEC54CC06_.wvu.Cols" localSheetId="0" hidden="1">Main!$D:$G</definedName>
    <definedName name="Z_F3D34B6E_C033_4619_B79B_F6641D36A08A_.wvu.Cols" localSheetId="0" hidden="1">Main!$D:$I</definedName>
    <definedName name="Z_F3D34B6E_C033_4619_B79B_F6641D36A08A_.wvu.Rows" localSheetId="0" hidden="1">Main!$14:$17</definedName>
    <definedName name="Z_0728CAE9_F3A2_4700_ACEA_4F34D0D713B6_.wvu.Cols" localSheetId="1" hidden="1">Talent!$D:$D,Talent!$F:$V</definedName>
    <definedName name="Z_0728CAE9_F3A2_4700_ACEA_4F34D0D713B6_.wvu.Rows" localSheetId="1" hidden="1">Talent!$6:$9,Talent!$11:$18</definedName>
    <definedName name="Z_1076EFEE_ABD5_40BD_8DE7_2D462ABB9A3F_.wvu.Cols" localSheetId="1" hidden="1">Talent!$D:$D,Talent!$F:$V</definedName>
    <definedName name="Z_1076EFEE_ABD5_40BD_8DE7_2D462ABB9A3F_.wvu.Rows" localSheetId="1" hidden="1">Talent!$6:$9,Talent!$11:$18</definedName>
    <definedName name="Z_4ECA09D7_D852_41CE_B706_22E7091FBBF1_.wvu.Cols" localSheetId="1" hidden="1">Talent!$D:$D,Talent!$F:$V</definedName>
    <definedName name="Z_4ECA09D7_D852_41CE_B706_22E7091FBBF1_.wvu.Rows" localSheetId="1" hidden="1">Talent!$6:$9,Talent!$11:$18,Talent!$20:$24</definedName>
    <definedName name="Z_8A0DC7DB_68DC_4168_B04E_DD32ABFE343C_.wvu.Cols" localSheetId="1" hidden="1">Talent!$D:$D,Talent!$F:$V</definedName>
    <definedName name="Z_8A0DC7DB_68DC_4168_B04E_DD32ABFE343C_.wvu.Rows" localSheetId="1" hidden="1">Talent!$6:$9,Talent!$11:$18,Talent!$21:$22</definedName>
    <definedName name="Z_B1F96E1C_F8BF_4E96_99A8_0A6EF65B9F56_.wvu.Cols" localSheetId="1" hidden="1">Talent!$D:$D,Talent!$F:$V</definedName>
    <definedName name="Z_B1F96E1C_F8BF_4E96_99A8_0A6EF65B9F56_.wvu.Rows" localSheetId="1" hidden="1">Talent!$6:$9,Talent!$11:$18,Talent!$21:$22</definedName>
    <definedName name="Z_C6E98543_1B6A_4D86_ABBD_63BB6471D54D_.wvu.Cols" localSheetId="1" hidden="1">Talent!$D:$D,Talent!$F:$V</definedName>
    <definedName name="Z_C6E98543_1B6A_4D86_ABBD_63BB6471D54D_.wvu.Rows" localSheetId="1" hidden="1">Talent!$6:$9,Talent!$11:$18,Talent!$20:$24</definedName>
    <definedName name="Z_D09B7FBD_4C2F_4D51_8650_F30363D61164_.wvu.Cols" localSheetId="1" hidden="1">Talent!$D:$D,Talent!$F:$V</definedName>
    <definedName name="Z_D09B7FBD_4C2F_4D51_8650_F30363D61164_.wvu.Rows" localSheetId="1" hidden="1">Talent!$6:$9,Talent!$11:$18</definedName>
    <definedName name="Z_F324CAE3_7548_4FF5_ACBE_288AEC54CC06_.wvu.Cols" localSheetId="1" hidden="1">Talent!$N:$O,Talent!$Q:$Q,Talent!$S:$V</definedName>
    <definedName name="Z_F3D34B6E_C033_4619_B79B_F6641D36A08A_.wvu.Cols" localSheetId="1" hidden="1">Talent!$D:$D,Talent!$F:$V</definedName>
    <definedName name="Z_F3D34B6E_C033_4619_B79B_F6641D36A08A_.wvu.Rows" localSheetId="1" hidden="1">Talent!$6:$9,Talent!$11:$18</definedName>
    <definedName name="Z_0728CAE9_F3A2_4700_ACEA_4F34D0D713B6_.wvu.Cols" localSheetId="2" hidden="1">'Conf Standings'!$H:$H,'Conf Standings'!$J:$J</definedName>
    <definedName name="Z_1076EFEE_ABD5_40BD_8DE7_2D462ABB9A3F_.wvu.Cols" localSheetId="2" hidden="1">'Conf Standings'!$H:$H,'Conf Standings'!$J:$J</definedName>
    <definedName name="Z_4ECA09D7_D852_41CE_B706_22E7091FBBF1_.wvu.Cols" localSheetId="2" hidden="1">'Conf Standings'!$H:$H,'Conf Standings'!$J:$J</definedName>
    <definedName name="Z_8A0DC7DB_68DC_4168_B04E_DD32ABFE343C_.wvu.Cols" localSheetId="2" hidden="1">'Conf Standings'!$H:$J</definedName>
    <definedName name="Z_B1F96E1C_F8BF_4E96_99A8_0A6EF65B9F56_.wvu.Cols" localSheetId="2" hidden="1">'Conf Standings'!$H:$J</definedName>
    <definedName name="Z_C6E98543_1B6A_4D86_ABBD_63BB6471D54D_.wvu.Cols" localSheetId="2" hidden="1">'Conf Standings'!$H:$H,'Conf Standings'!$J:$J</definedName>
    <definedName name="Z_D09B7FBD_4C2F_4D51_8650_F30363D61164_.wvu.Cols" localSheetId="2" hidden="1">'Conf Standings'!$H:$H,'Conf Standings'!$J:$J</definedName>
    <definedName name="Z_F324CAE3_7548_4FF5_ACBE_288AEC54CC06_.wvu.Cols" localSheetId="2" hidden="1">'Conf Standings'!$H:$H,'Conf Standings'!$J:$J</definedName>
    <definedName name="Z_F3D34B6E_C033_4619_B79B_F6641D36A08A_.wvu.Cols" localSheetId="2" hidden="1">'Conf Standings'!$H:$J</definedName>
    <definedName name="Z_0728CAE9_F3A2_4700_ACEA_4F34D0D713B6_.wvu.Cols" localSheetId="3" hidden="1">'Top 25'!$D:$I,'Top 25'!$K:$K,'Top 25'!$M:$M</definedName>
    <definedName name="Z_1076EFEE_ABD5_40BD_8DE7_2D462ABB9A3F_.wvu.Cols" localSheetId="3" hidden="1">'Top 25'!$E:$M</definedName>
    <definedName name="Z_4ECA09D7_D852_41CE_B706_22E7091FBBF1_.wvu.Cols" localSheetId="3" hidden="1">'Top 25'!$E:$M</definedName>
    <definedName name="Z_4ECA09D7_D852_41CE_B706_22E7091FBBF1_.wvu.Rows" localSheetId="3" hidden="1">'Top 25'!$30:$33</definedName>
    <definedName name="Z_8A0DC7DB_68DC_4168_B04E_DD32ABFE343C_.wvu.Cols" localSheetId="3" hidden="1">'Top 25'!$E:$M</definedName>
    <definedName name="Z_B1F96E1C_F8BF_4E96_99A8_0A6EF65B9F56_.wvu.Cols" localSheetId="3" hidden="1">'Top 25'!$E:$M</definedName>
    <definedName name="Z_C6E98543_1B6A_4D86_ABBD_63BB6471D54D_.wvu.Cols" localSheetId="3" hidden="1">'Top 25'!$E:$M</definedName>
    <definedName name="Z_C6E98543_1B6A_4D86_ABBD_63BB6471D54D_.wvu.Rows" localSheetId="3" hidden="1">'Top 25'!$30:$33</definedName>
    <definedName name="Z_D09B7FBD_4C2F_4D51_8650_F30363D61164_.wvu.Cols" localSheetId="3" hidden="1">'Top 25'!$E:$M</definedName>
    <definedName name="Z_F324CAE3_7548_4FF5_ACBE_288AEC54CC06_.wvu.Cols" localSheetId="3" hidden="1">'Top 25'!$K:$K,'Top 25'!$M:$M</definedName>
    <definedName name="Z_F3D34B6E_C033_4619_B79B_F6641D36A08A_.wvu.Cols" localSheetId="3" hidden="1">'Top 25'!$E:$M</definedName>
    <definedName name="Z_1076EFEE_ABD5_40BD_8DE7_2D462ABB9A3F_.wvu.Cols" localSheetId="4" hidden="1">'Game Elements'!$G:$G</definedName>
    <definedName name="Z_1076EFEE_ABD5_40BD_8DE7_2D462ABB9A3F_.wvu.Rows" localSheetId="4" hidden="1">'Game Elements'!$14:$14,'Game Elements'!$26:$26,'Game Elements'!$51:$52,'Game Elements'!$87:$87</definedName>
    <definedName name="Z_4ECA09D7_D852_41CE_B706_22E7091FBBF1_.wvu.Cols" localSheetId="4" hidden="1">'Game Elements'!$G:$G</definedName>
    <definedName name="Z_4ECA09D7_D852_41CE_B706_22E7091FBBF1_.wvu.Rows" localSheetId="4" hidden="1">'Game Elements'!$14:$14,'Game Elements'!$26:$26,'Game Elements'!$51:$52,'Game Elements'!$87:$87</definedName>
    <definedName name="Z_8A0DC7DB_68DC_4168_B04E_DD32ABFE343C_.wvu.Cols" localSheetId="4" hidden="1">'Game Elements'!$G:$G</definedName>
    <definedName name="Z_8A0DC7DB_68DC_4168_B04E_DD32ABFE343C_.wvu.Rows" localSheetId="4" hidden="1">'Game Elements'!$14:$16,'Game Elements'!$26:$26,'Game Elements'!$87:$87</definedName>
    <definedName name="Z_B1F96E1C_F8BF_4E96_99A8_0A6EF65B9F56_.wvu.Cols" localSheetId="4" hidden="1">'Game Elements'!$G:$G</definedName>
    <definedName name="Z_B1F96E1C_F8BF_4E96_99A8_0A6EF65B9F56_.wvu.Rows" localSheetId="4" hidden="1">'Game Elements'!$14:$16,'Game Elements'!$26:$26,'Game Elements'!$87:$87</definedName>
    <definedName name="Z_C6E98543_1B6A_4D86_ABBD_63BB6471D54D_.wvu.Cols" localSheetId="4" hidden="1">'Game Elements'!$G:$G</definedName>
    <definedName name="Z_C6E98543_1B6A_4D86_ABBD_63BB6471D54D_.wvu.Rows" localSheetId="4" hidden="1">'Game Elements'!$14:$14,'Game Elements'!$26:$26,'Game Elements'!$51:$52,'Game Elements'!$87:$87</definedName>
    <definedName name="Z_D09B7FBD_4C2F_4D51_8650_F30363D61164_.wvu.Cols" localSheetId="4" hidden="1">'Game Elements'!$G:$G</definedName>
    <definedName name="Z_D09B7FBD_4C2F_4D51_8650_F30363D61164_.wvu.Rows" localSheetId="4" hidden="1">'Game Elements'!$14:$14,'Game Elements'!$26:$26,'Game Elements'!$51:$52,'Game Elements'!$87:$87</definedName>
    <definedName name="Z_F3D34B6E_C033_4619_B79B_F6641D36A08A_.wvu.Cols" localSheetId="4" hidden="1">'Game Elements'!$G:$G</definedName>
    <definedName name="Z_F3D34B6E_C033_4619_B79B_F6641D36A08A_.wvu.Rows" localSheetId="4" hidden="1">'Game Elements'!$14:$14,'Game Elements'!$26:$26,'Game Elements'!$51:$52,'Game Elements'!$87:$87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8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0000"/>
      <sz val="11"/>
      <scheme val="minor"/>
    </font>
    <font>
      <name val="Arial"/>
      <family val="2"/>
      <sz val="10"/>
    </font>
    <font>
      <name val="Calibri"/>
      <family val="2"/>
      <sz val="11"/>
      <scheme val="minor"/>
    </font>
  </fonts>
  <fills count="15">
    <fill>
      <patternFill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indexed="31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indexed="26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pivotButton="0" quotePrefix="0" xfId="0"/>
    <xf numFmtId="49" fontId="3" fillId="5" borderId="1" applyAlignment="1" pivotButton="0" quotePrefix="0" xfId="0">
      <alignment horizontal="center"/>
    </xf>
    <xf numFmtId="49" fontId="0" fillId="5" borderId="1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2" pivotButton="0" quotePrefix="0" xfId="0"/>
    <xf numFmtId="49" fontId="3" fillId="5" borderId="2" applyAlignment="1" pivotButton="0" quotePrefix="0" xfId="0">
      <alignment horizontal="center"/>
    </xf>
    <xf numFmtId="49" fontId="0" fillId="5" borderId="2" applyAlignment="1" pivotButton="0" quotePrefix="0" xfId="0">
      <alignment horizontal="center"/>
    </xf>
    <xf numFmtId="0" fontId="0" fillId="0" borderId="0" pivotButton="0" quotePrefix="1" xfId="0"/>
    <xf numFmtId="0" fontId="4" fillId="6" borderId="0" pivotButton="0" quotePrefix="0" xfId="0"/>
    <xf numFmtId="0" fontId="2" fillId="7" borderId="5" pivotButton="0" quotePrefix="0" xfId="0"/>
    <xf numFmtId="0" fontId="4" fillId="0" borderId="0" pivotButton="0" quotePrefix="0" xfId="0"/>
    <xf numFmtId="49" fontId="4" fillId="8" borderId="5" pivotButton="0" quotePrefix="1" xfId="0"/>
    <xf numFmtId="0" fontId="2" fillId="7" borderId="6" pivotButton="0" quotePrefix="0" xfId="0"/>
    <xf numFmtId="0" fontId="4" fillId="8" borderId="6" pivotButton="0" quotePrefix="0" xfId="0"/>
    <xf numFmtId="49" fontId="0" fillId="0" borderId="0" pivotButton="0" quotePrefix="0" xfId="0"/>
    <xf numFmtId="0" fontId="5" fillId="7" borderId="5" pivotButton="0" quotePrefix="0" xfId="0"/>
    <xf numFmtId="0" fontId="6" fillId="0" borderId="0" pivotButton="0" quotePrefix="0" xfId="0"/>
    <xf numFmtId="0" fontId="4" fillId="8" borderId="5" pivotButton="0" quotePrefix="0" xfId="0"/>
    <xf numFmtId="0" fontId="7" fillId="6" borderId="0" pivotButton="0" quotePrefix="0" xfId="0"/>
    <xf numFmtId="0" fontId="0" fillId="0" borderId="0" applyAlignment="1" pivotButton="0" quotePrefix="0" xfId="0">
      <alignment horizontal="left"/>
    </xf>
    <xf numFmtId="0" fontId="2" fillId="7" borderId="7" pivotButton="0" quotePrefix="0" xfId="0"/>
    <xf numFmtId="49" fontId="0" fillId="4" borderId="5" pivotButton="0" quotePrefix="0" xfId="0"/>
    <xf numFmtId="0" fontId="1" fillId="0" borderId="8" pivotButton="0" quotePrefix="0" xfId="0"/>
    <xf numFmtId="0" fontId="0" fillId="0" borderId="9" pivotButton="0" quotePrefix="0" xfId="0"/>
    <xf numFmtId="49" fontId="0" fillId="0" borderId="9" pivotButton="0" quotePrefix="0" xfId="0"/>
    <xf numFmtId="49" fontId="0" fillId="0" borderId="6" pivotButton="0" quotePrefix="0" xfId="0"/>
    <xf numFmtId="0" fontId="8" fillId="6" borderId="0" pivotButton="0" quotePrefix="0" xfId="0"/>
    <xf numFmtId="0" fontId="2" fillId="0" borderId="1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8" fillId="6" borderId="5" pivotButton="0" quotePrefix="0" xfId="0"/>
    <xf numFmtId="0" fontId="0" fillId="2" borderId="3" pivotButton="0" quotePrefix="0" xfId="0"/>
    <xf numFmtId="0" fontId="0" fillId="2" borderId="5" pivotButton="0" quotePrefix="0" xfId="0"/>
    <xf numFmtId="0" fontId="2" fillId="2" borderId="5" pivotButton="0" quotePrefix="0" xfId="0"/>
    <xf numFmtId="0" fontId="3" fillId="3" borderId="5" pivotButton="0" quotePrefix="0" xfId="0"/>
    <xf numFmtId="0" fontId="2" fillId="2" borderId="5" applyAlignment="1" pivotButton="0" quotePrefix="0" xfId="0">
      <alignment horizontal="left"/>
    </xf>
    <xf numFmtId="0" fontId="3" fillId="2" borderId="5" pivotButton="0" quotePrefix="0" xfId="0"/>
    <xf numFmtId="49" fontId="3" fillId="2" borderId="5" pivotButton="0" quotePrefix="0" xfId="0"/>
    <xf numFmtId="49" fontId="2" fillId="2" borderId="5" pivotButton="0" quotePrefix="0" xfId="0"/>
    <xf numFmtId="49" fontId="0" fillId="0" borderId="11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49" fontId="0" fillId="4" borderId="5" pivotButton="0" quotePrefix="1" xfId="0"/>
    <xf numFmtId="0" fontId="9" fillId="0" borderId="0" pivotButton="0" quotePrefix="0" xfId="0"/>
    <xf numFmtId="0" fontId="4" fillId="8" borderId="5" pivotButton="0" quotePrefix="1" xfId="0"/>
    <xf numFmtId="0" fontId="0" fillId="0" borderId="0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6" borderId="0" pivotButton="0" quotePrefix="0" xfId="0"/>
    <xf numFmtId="0" fontId="4" fillId="8" borderId="5" applyAlignment="1" pivotButton="0" quotePrefix="0" xfId="0">
      <alignment horizontal="center" vertical="center"/>
    </xf>
    <xf numFmtId="0" fontId="5" fillId="9" borderId="21" applyAlignment="1" pivotButton="0" quotePrefix="0" xfId="0">
      <alignment vertical="top"/>
    </xf>
    <xf numFmtId="0" fontId="5" fillId="9" borderId="22" pivotButton="0" quotePrefix="0" xfId="0"/>
    <xf numFmtId="0" fontId="0" fillId="7" borderId="5" pivotButton="0" quotePrefix="0" xfId="0"/>
    <xf numFmtId="0" fontId="2" fillId="9" borderId="20" pivotButton="0" quotePrefix="0" xfId="0"/>
    <xf numFmtId="0" fontId="1" fillId="4" borderId="12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7" fillId="10" borderId="0" pivotButton="0" quotePrefix="0" xfId="0"/>
    <xf numFmtId="0" fontId="2" fillId="0" borderId="5" applyAlignment="1" pivotButton="0" quotePrefix="0" xfId="0">
      <alignment horizontal="center"/>
    </xf>
    <xf numFmtId="0" fontId="3" fillId="0" borderId="5" pivotButton="0" quotePrefix="0" xfId="0"/>
    <xf numFmtId="0" fontId="2" fillId="9" borderId="4" pivotButton="0" quotePrefix="0" xfId="0"/>
    <xf numFmtId="0" fontId="2" fillId="9" borderId="4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0" fillId="11" borderId="24" applyAlignment="1" pivotButton="0" quotePrefix="0" xfId="0">
      <alignment horizontal="center"/>
    </xf>
    <xf numFmtId="0" fontId="0" fillId="11" borderId="14" applyAlignment="1" pivotButton="0" quotePrefix="0" xfId="0">
      <alignment horizontal="center"/>
    </xf>
    <xf numFmtId="0" fontId="0" fillId="11" borderId="15" applyAlignment="1" pivotButton="0" quotePrefix="0" xfId="0">
      <alignment horizontal="center"/>
    </xf>
    <xf numFmtId="0" fontId="0" fillId="11" borderId="19" applyAlignment="1" pivotButton="0" quotePrefix="0" xfId="0">
      <alignment horizontal="center"/>
    </xf>
    <xf numFmtId="20" fontId="0" fillId="11" borderId="19" applyAlignment="1" pivotButton="0" quotePrefix="0" xfId="0">
      <alignment horizontal="center"/>
    </xf>
    <xf numFmtId="0" fontId="0" fillId="9" borderId="21" applyAlignment="1" pivotButton="0" quotePrefix="0" xfId="0">
      <alignment horizontal="center"/>
    </xf>
    <xf numFmtId="0" fontId="0" fillId="9" borderId="22" applyAlignment="1" pivotButton="0" quotePrefix="0" xfId="0">
      <alignment horizontal="center"/>
    </xf>
    <xf numFmtId="0" fontId="1" fillId="7" borderId="25" pivotButton="0" quotePrefix="0" xfId="0"/>
    <xf numFmtId="0" fontId="1" fillId="7" borderId="17" pivotButton="0" quotePrefix="0" xfId="0"/>
    <xf numFmtId="0" fontId="1" fillId="7" borderId="16" pivotButton="0" quotePrefix="0" xfId="0"/>
    <xf numFmtId="0" fontId="1" fillId="7" borderId="18" pivotButton="0" quotePrefix="0" xfId="0"/>
    <xf numFmtId="0" fontId="1" fillId="7" borderId="23" pivotButton="0" quotePrefix="0" xfId="0"/>
    <xf numFmtId="0" fontId="1" fillId="7" borderId="29" pivotButton="0" quotePrefix="0" xfId="0"/>
    <xf numFmtId="0" fontId="0" fillId="11" borderId="30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1" fillId="7" borderId="31" pivotButton="0" quotePrefix="0" xfId="0"/>
    <xf numFmtId="0" fontId="0" fillId="11" borderId="32" applyAlignment="1" pivotButton="0" quotePrefix="0" xfId="0">
      <alignment horizontal="center"/>
    </xf>
    <xf numFmtId="0" fontId="0" fillId="11" borderId="14" applyAlignment="1" pivotButton="0" quotePrefix="0" xfId="0">
      <alignment horizontal="left"/>
    </xf>
    <xf numFmtId="0" fontId="0" fillId="11" borderId="15" applyAlignment="1" pivotButton="0" quotePrefix="0" xfId="0">
      <alignment horizontal="left"/>
    </xf>
    <xf numFmtId="0" fontId="0" fillId="11" borderId="19" applyAlignment="1" pivotButton="0" quotePrefix="0" xfId="0">
      <alignment horizontal="left"/>
    </xf>
    <xf numFmtId="0" fontId="0" fillId="7" borderId="5" applyAlignment="1" pivotButton="0" quotePrefix="0" xfId="0">
      <alignment horizontal="center"/>
    </xf>
    <xf numFmtId="0" fontId="0" fillId="0" borderId="23" pivotButton="0" quotePrefix="0" xfId="0"/>
    <xf numFmtId="0" fontId="0" fillId="11" borderId="17" pivotButton="0" quotePrefix="0" xfId="0"/>
    <xf numFmtId="0" fontId="0" fillId="11" borderId="34" applyAlignment="1" pivotButton="0" quotePrefix="0" xfId="0">
      <alignment horizontal="left"/>
    </xf>
    <xf numFmtId="0" fontId="0" fillId="11" borderId="18" pivotButton="0" quotePrefix="0" xfId="0"/>
    <xf numFmtId="0" fontId="0" fillId="11" borderId="35" applyAlignment="1" pivotButton="0" quotePrefix="0" xfId="0">
      <alignment horizontal="left"/>
    </xf>
    <xf numFmtId="0" fontId="0" fillId="0" borderId="25" pivotButton="0" quotePrefix="0" xfId="0"/>
    <xf numFmtId="0" fontId="1" fillId="0" borderId="36" pivotButton="0" quotePrefix="0" xfId="0"/>
    <xf numFmtId="0" fontId="1" fillId="7" borderId="33" pivotButton="0" quotePrefix="0" xfId="0"/>
    <xf numFmtId="0" fontId="0" fillId="0" borderId="24" pivotButton="0" quotePrefix="0" xfId="0"/>
    <xf numFmtId="0" fontId="2" fillId="9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12" borderId="0" pivotButton="0" quotePrefix="0" xfId="0"/>
    <xf numFmtId="0" fontId="0" fillId="12" borderId="0" applyAlignment="1" pivotButton="0" quotePrefix="0" xfId="0">
      <alignment horizontal="center"/>
    </xf>
    <xf numFmtId="0" fontId="1" fillId="9" borderId="21" applyAlignment="1" pivotButton="0" quotePrefix="0" xfId="0">
      <alignment horizontal="center"/>
    </xf>
    <xf numFmtId="0" fontId="1" fillId="9" borderId="22" applyAlignment="1" pivotButton="0" quotePrefix="0" xfId="0">
      <alignment horizontal="center"/>
    </xf>
    <xf numFmtId="0" fontId="0" fillId="12" borderId="37" pivotButton="0" quotePrefix="0" xfId="0"/>
    <xf numFmtId="0" fontId="0" fillId="12" borderId="38" applyAlignment="1" pivotButton="0" quotePrefix="0" xfId="0">
      <alignment horizontal="center"/>
    </xf>
    <xf numFmtId="0" fontId="0" fillId="12" borderId="39" pivotButton="0" quotePrefix="0" xfId="0"/>
    <xf numFmtId="0" fontId="0" fillId="12" borderId="40" applyAlignment="1" pivotButton="0" quotePrefix="0" xfId="0">
      <alignment horizontal="center"/>
    </xf>
    <xf numFmtId="0" fontId="0" fillId="11" borderId="26" applyAlignment="1" pivotButton="0" quotePrefix="1" xfId="0">
      <alignment horizontal="center"/>
    </xf>
    <xf numFmtId="0" fontId="0" fillId="11" borderId="14" applyAlignment="1" pivotButton="0" quotePrefix="1" xfId="0">
      <alignment horizontal="center"/>
    </xf>
    <xf numFmtId="0" fontId="1" fillId="7" borderId="27" pivotButton="0" quotePrefix="0" xfId="0"/>
    <xf numFmtId="0" fontId="0" fillId="11" borderId="28" applyAlignment="1" pivotButton="0" quotePrefix="0" xfId="0">
      <alignment horizontal="center"/>
    </xf>
    <xf numFmtId="0" fontId="1" fillId="7" borderId="18" applyAlignment="1" pivotButton="0" quotePrefix="0" xfId="0">
      <alignment vertical="center"/>
    </xf>
    <xf numFmtId="0" fontId="0" fillId="11" borderId="19" applyAlignment="1" pivotButton="0" quotePrefix="1" xfId="0">
      <alignment horizontal="center"/>
    </xf>
    <xf numFmtId="0" fontId="0" fillId="11" borderId="15" applyAlignment="1" pivotButton="0" quotePrefix="1" xfId="0">
      <alignment horizontal="center"/>
    </xf>
    <xf numFmtId="0" fontId="0" fillId="11" borderId="41" applyAlignment="1" pivotButton="0" quotePrefix="0" xfId="0">
      <alignment horizontal="left"/>
    </xf>
    <xf numFmtId="0" fontId="0" fillId="11" borderId="42" applyAlignment="1" pivotButton="0" quotePrefix="0" xfId="0">
      <alignment horizontal="left"/>
    </xf>
    <xf numFmtId="0" fontId="0" fillId="11" borderId="43" applyAlignment="1" pivotButton="0" quotePrefix="0" xfId="0">
      <alignment horizontal="left"/>
    </xf>
    <xf numFmtId="0" fontId="0" fillId="7" borderId="17" applyAlignment="1" pivotButton="0" quotePrefix="0" xfId="0">
      <alignment horizontal="center"/>
    </xf>
    <xf numFmtId="0" fontId="1" fillId="9" borderId="37" applyAlignment="1" pivotButton="0" quotePrefix="0" xfId="0">
      <alignment horizontal="center"/>
    </xf>
    <xf numFmtId="0" fontId="0" fillId="9" borderId="37" applyAlignment="1" pivotButton="0" quotePrefix="0" xfId="0">
      <alignment horizontal="center"/>
    </xf>
    <xf numFmtId="0" fontId="0" fillId="9" borderId="38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/>
    </xf>
    <xf numFmtId="0" fontId="2" fillId="13" borderId="5" pivotButton="0" quotePrefix="0" xfId="0"/>
    <xf numFmtId="0" fontId="2" fillId="13" borderId="3" pivotButton="0" quotePrefix="0" xfId="0"/>
    <xf numFmtId="0" fontId="4" fillId="0" borderId="5" pivotButton="0" quotePrefix="0" xfId="0"/>
    <xf numFmtId="0" fontId="3" fillId="14" borderId="5" pivotButton="0" quotePrefix="0" xfId="0"/>
    <xf numFmtId="0" fontId="2" fillId="14" borderId="5" applyProtection="1" pivotButton="0" quotePrefix="0" xfId="0">
      <protection locked="0" hidden="0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7" borderId="27" applyAlignment="1" pivotButton="0" quotePrefix="0" xfId="0">
      <alignment vertical="center"/>
    </xf>
    <xf numFmtId="0" fontId="1" fillId="7" borderId="17" applyAlignment="1" pivotButton="0" quotePrefix="0" xfId="0">
      <alignment vertical="center"/>
    </xf>
    <xf numFmtId="0" fontId="0" fillId="11" borderId="14" applyAlignment="1" pivotButton="0" quotePrefix="0" xfId="0">
      <alignment vertical="center" wrapText="1"/>
    </xf>
    <xf numFmtId="0" fontId="1" fillId="7" borderId="16" applyAlignment="1" pivotButton="0" quotePrefix="0" xfId="0">
      <alignment vertical="center"/>
    </xf>
    <xf numFmtId="0" fontId="0" fillId="11" borderId="15" applyAlignment="1" pivotButton="0" quotePrefix="0" xfId="0">
      <alignment vertical="center" wrapText="1"/>
    </xf>
    <xf numFmtId="0" fontId="0" fillId="11" borderId="19" applyAlignment="1" pivotButton="0" quotePrefix="0" xfId="0">
      <alignment vertical="center" wrapText="1"/>
    </xf>
    <xf numFmtId="0" fontId="0" fillId="11" borderId="24" applyAlignment="1" pivotButton="0" quotePrefix="1" xfId="0">
      <alignment horizontal="center"/>
    </xf>
    <xf numFmtId="0" fontId="0" fillId="0" borderId="0" applyAlignment="1" pivotButton="0" quotePrefix="0" xfId="0">
      <alignment vertical="center" wrapText="1"/>
    </xf>
    <xf numFmtId="0" fontId="0" fillId="11" borderId="28" applyAlignment="1" pivotButton="0" quotePrefix="0" xfId="0">
      <alignment vertical="center" wrapText="1"/>
    </xf>
    <xf numFmtId="0" fontId="1" fillId="7" borderId="29" applyAlignment="1" pivotButton="0" quotePrefix="0" xfId="0">
      <alignment vertical="center"/>
    </xf>
    <xf numFmtId="0" fontId="0" fillId="11" borderId="30" applyAlignment="1" pivotButton="0" quotePrefix="0" xfId="0">
      <alignment vertical="center" wrapText="1"/>
    </xf>
    <xf numFmtId="0" fontId="1" fillId="7" borderId="23" applyAlignment="1" pivotButton="0" quotePrefix="0" xfId="0">
      <alignment vertical="center"/>
    </xf>
    <xf numFmtId="0" fontId="0" fillId="11" borderId="24" applyAlignment="1" pivotButton="0" quotePrefix="0" xfId="0">
      <alignment horizontal="center" vertical="center" wrapText="1"/>
    </xf>
    <xf numFmtId="0" fontId="0" fillId="7" borderId="17" pivotButton="0" quotePrefix="0" xfId="0"/>
    <xf numFmtId="0" fontId="0" fillId="7" borderId="16" pivotButton="0" quotePrefix="0" xfId="0"/>
    <xf numFmtId="0" fontId="0" fillId="7" borderId="18" pivotButton="0" quotePrefix="0" xfId="0"/>
    <xf numFmtId="0" fontId="11" fillId="0" borderId="0" pivotButton="0" quotePrefix="0" xfId="0"/>
    <xf numFmtId="0" fontId="1" fillId="9" borderId="0" pivotButton="0" quotePrefix="0" xfId="0"/>
    <xf numFmtId="49" fontId="1" fillId="4" borderId="12" applyAlignment="1" pivotButton="0" quotePrefix="1" xfId="0">
      <alignment horizontal="left"/>
    </xf>
    <xf numFmtId="49" fontId="1" fillId="4" borderId="13" applyAlignment="1" pivotButton="0" quotePrefix="1" xfId="0">
      <alignment horizontal="left"/>
    </xf>
    <xf numFmtId="0" fontId="1" fillId="4" borderId="5" applyAlignment="1" pivotButton="0" quotePrefix="0" xfId="0">
      <alignment horizontal="left"/>
    </xf>
    <xf numFmtId="0" fontId="0" fillId="4" borderId="5" applyAlignment="1" pivotButton="0" quotePrefix="0" xfId="0">
      <alignment horizontal="center"/>
    </xf>
    <xf numFmtId="0" fontId="0" fillId="4" borderId="5" applyAlignment="1" pivotButton="0" quotePrefix="1" xfId="0">
      <alignment horizontal="center"/>
    </xf>
    <xf numFmtId="0" fontId="1" fillId="7" borderId="17" applyAlignment="1" pivotButton="0" quotePrefix="0" xfId="0">
      <alignment horizontal="left"/>
    </xf>
    <xf numFmtId="0" fontId="1" fillId="7" borderId="34" applyAlignment="1" pivotButton="0" quotePrefix="0" xfId="0">
      <alignment horizontal="left"/>
    </xf>
    <xf numFmtId="0" fontId="1" fillId="7" borderId="16" applyAlignment="1" pivotButton="0" quotePrefix="0" xfId="0">
      <alignment horizontal="left"/>
    </xf>
    <xf numFmtId="0" fontId="1" fillId="7" borderId="5" applyAlignment="1" pivotButton="0" quotePrefix="0" xfId="0">
      <alignment horizontal="left"/>
    </xf>
    <xf numFmtId="0" fontId="1" fillId="7" borderId="18" applyAlignment="1" pivotButton="0" quotePrefix="0" xfId="0">
      <alignment horizontal="left"/>
    </xf>
    <xf numFmtId="0" fontId="1" fillId="7" borderId="35" applyAlignment="1" pivotButton="0" quotePrefix="0" xfId="0">
      <alignment horizontal="left"/>
    </xf>
    <xf numFmtId="49" fontId="1" fillId="4" borderId="12" pivotButton="0" quotePrefix="1" xfId="0"/>
    <xf numFmtId="49" fontId="1" fillId="4" borderId="13" pivotButton="0" quotePrefix="1" xfId="0"/>
    <xf numFmtId="49" fontId="1" fillId="4" borderId="5" applyAlignment="1" pivotButton="0" quotePrefix="1" xfId="0">
      <alignment horizontal="left"/>
    </xf>
    <xf numFmtId="0" fontId="0" fillId="0" borderId="13" pivotButton="0" quotePrefix="0" xfId="0"/>
    <xf numFmtId="49" fontId="1" fillId="4" borderId="5" pivotButton="0" quotePrefix="1" xfId="0"/>
    <xf numFmtId="0" fontId="0" fillId="0" borderId="48" pivotButton="0" quotePrefix="0" xfId="0"/>
    <xf numFmtId="0" fontId="0" fillId="0" borderId="49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selection activeCell="B1" sqref="B1"/>
    </sheetView>
  </sheetViews>
  <sheetFormatPr baseColWidth="8" defaultRowHeight="15"/>
  <cols>
    <col width="50.140625" bestFit="1" customWidth="1" min="1" max="1"/>
    <col width="30.7109375" customWidth="1" min="2" max="2"/>
    <col width="15.7109375" customWidth="1" min="3" max="3"/>
    <col hidden="1" width="25.7109375" customWidth="1" min="4" max="4"/>
    <col hidden="1" width="40.7109375" customWidth="1" min="5" max="5"/>
    <col hidden="1" width="28" customWidth="1" min="6" max="6"/>
    <col hidden="1" width="47.5703125" customWidth="1" min="7" max="7"/>
    <col hidden="1" width="9.140625" customWidth="1" min="8" max="9"/>
    <col width="9.140625" customWidth="1" min="10" max="10"/>
  </cols>
  <sheetData>
    <row r="1" ht="15.75" customHeight="1" thickBot="1">
      <c r="A1" s="54" t="inlineStr">
        <is>
          <t>ESPN TITLE SHEET</t>
        </is>
      </c>
      <c r="B1" s="55" t="inlineStr">
        <is>
          <t>Updated: 8/14/24</t>
        </is>
      </c>
      <c r="D1" s="24" t="inlineStr">
        <is>
          <t>TITLES</t>
        </is>
      </c>
      <c r="E1" s="24" t="inlineStr">
        <is>
          <t>LOCATORS</t>
        </is>
      </c>
      <c r="F1" s="24" t="inlineStr">
        <is>
          <t>TODAY/SEASON SEL</t>
        </is>
      </c>
      <c r="G1" s="24" t="inlineStr">
        <is>
          <t>SHOW LOGO</t>
        </is>
      </c>
      <c r="H1" s="24" t="inlineStr">
        <is>
          <t>LOGO SELECT</t>
        </is>
      </c>
      <c r="I1" s="52" t="n"/>
    </row>
    <row r="2">
      <c r="A2" s="14" t="inlineStr">
        <is>
          <t>TITLES</t>
        </is>
      </c>
      <c r="B2" s="22" t="n"/>
      <c r="D2" s="1" t="inlineStr">
        <is>
          <t>TITLE 1A</t>
        </is>
      </c>
      <c r="E2" s="1" t="inlineStr">
        <is>
          <t>STADIUM_LOCATOR</t>
        </is>
      </c>
      <c r="F2" t="inlineStr">
        <is>
          <t>Season</t>
        </is>
      </c>
      <c r="G2" t="inlineStr">
        <is>
          <t>On</t>
        </is>
      </c>
      <c r="H2" s="50" t="n">
        <v>0</v>
      </c>
      <c r="I2" t="inlineStr">
        <is>
          <t>None</t>
        </is>
      </c>
    </row>
    <row r="3">
      <c r="A3" s="21" t="inlineStr">
        <is>
          <t>Title 1   (ALL CAPS)</t>
        </is>
      </c>
      <c r="B3" s="23" t="inlineStr">
        <is>
          <t>COLLEGE VOLLEYBALL</t>
        </is>
      </c>
      <c r="D3">
        <f>$B$3</f>
        <v/>
      </c>
      <c r="E3" s="20">
        <f>$B$9</f>
        <v/>
      </c>
      <c r="F3" t="inlineStr">
        <is>
          <t>Last Season</t>
        </is>
      </c>
      <c r="G3" t="inlineStr">
        <is>
          <t>Off</t>
        </is>
      </c>
      <c r="H3" s="50" t="n">
        <v>1</v>
      </c>
      <c r="I3" t="inlineStr">
        <is>
          <t>ESPN</t>
        </is>
      </c>
    </row>
    <row r="4">
      <c r="A4" s="21" t="inlineStr">
        <is>
          <t>Subtitle 1   (Proper Case)</t>
        </is>
      </c>
      <c r="B4" s="49" t="inlineStr">
        <is>
          <t>Sub1</t>
        </is>
      </c>
      <c r="D4" s="1" t="inlineStr">
        <is>
          <t>SUBTITLE 1A</t>
        </is>
      </c>
      <c r="E4">
        <f>UPPER(E3)</f>
        <v/>
      </c>
      <c r="H4" s="50" t="n">
        <v>2</v>
      </c>
      <c r="I4" t="inlineStr">
        <is>
          <t>LHN</t>
        </is>
      </c>
    </row>
    <row r="5">
      <c r="A5" s="21" t="inlineStr">
        <is>
          <t>Title 2   (ALL CAPS)</t>
        </is>
      </c>
      <c r="B5" s="49" t="inlineStr">
        <is>
          <t>TITLE2</t>
        </is>
      </c>
      <c r="D5">
        <f>$B$4</f>
        <v/>
      </c>
      <c r="F5" t="inlineStr">
        <is>
          <t>Today</t>
        </is>
      </c>
      <c r="G5" s="1" t="inlineStr">
        <is>
          <t>SHOW_LOGO_SEL</t>
        </is>
      </c>
      <c r="H5" s="50" t="n">
        <v>3</v>
      </c>
      <c r="I5" t="inlineStr">
        <is>
          <t>ACC Network</t>
        </is>
      </c>
    </row>
    <row r="6">
      <c r="A6" s="21" t="inlineStr">
        <is>
          <t>Subtitle 2   (Proper Case)</t>
        </is>
      </c>
      <c r="B6" s="49" t="inlineStr">
        <is>
          <t>Sub2</t>
        </is>
      </c>
      <c r="E6" s="1" t="inlineStr">
        <is>
          <t>STADIUM_CITY</t>
        </is>
      </c>
      <c r="F6" t="inlineStr">
        <is>
          <t>Tonight</t>
        </is>
      </c>
      <c r="G6">
        <f>$B$15</f>
        <v/>
      </c>
      <c r="H6" s="50" t="n">
        <v>4</v>
      </c>
      <c r="I6" t="inlineStr">
        <is>
          <t>SEC Network</t>
        </is>
      </c>
    </row>
    <row r="7">
      <c r="A7" s="22" t="n"/>
      <c r="B7" s="22" t="n"/>
      <c r="D7" s="1" t="inlineStr">
        <is>
          <t>TITLE 1B</t>
        </is>
      </c>
      <c r="E7">
        <f>$B$9&amp;" - "&amp; $B$10</f>
        <v/>
      </c>
      <c r="G7" s="25">
        <f>IF($G$6="On",1,0)</f>
        <v/>
      </c>
      <c r="H7" s="50" t="n">
        <v>5</v>
      </c>
      <c r="I7" t="inlineStr">
        <is>
          <t>SEC Network Plus</t>
        </is>
      </c>
    </row>
    <row r="8">
      <c r="A8" s="14" t="inlineStr">
        <is>
          <t>LOCATOR INFORMATION</t>
        </is>
      </c>
      <c r="B8" s="22" t="n"/>
      <c r="D8">
        <f>$B$5</f>
        <v/>
      </c>
      <c r="E8">
        <f>UPPER(E7)</f>
        <v/>
      </c>
      <c r="F8" s="1" t="n"/>
      <c r="H8" s="50" t="n">
        <v>6</v>
      </c>
      <c r="I8" t="inlineStr">
        <is>
          <t>ACCN Extra</t>
        </is>
      </c>
    </row>
    <row r="9">
      <c r="A9" s="15" t="inlineStr">
        <is>
          <t>Arena Locator</t>
        </is>
      </c>
      <c r="B9" s="17" t="inlineStr">
        <is>
          <t>Arena Name</t>
        </is>
      </c>
      <c r="D9" s="1" t="inlineStr">
        <is>
          <t>SUBTITLE 1B</t>
        </is>
      </c>
      <c r="G9" s="1" t="inlineStr">
        <is>
          <t>SHOW LOGO PATH</t>
        </is>
      </c>
      <c r="H9" s="50" t="n">
        <v>7</v>
      </c>
      <c r="I9" t="inlineStr">
        <is>
          <t>Big 12 Now</t>
        </is>
      </c>
    </row>
    <row r="10">
      <c r="A10" s="15" t="inlineStr">
        <is>
          <t>City Locator</t>
        </is>
      </c>
      <c r="B10" s="17" t="inlineStr">
        <is>
          <t>City, State</t>
        </is>
      </c>
      <c r="D10">
        <f>$B$6</f>
        <v/>
      </c>
      <c r="E10" s="1" t="inlineStr">
        <is>
          <t>STADIUM_CITY_SHORT</t>
        </is>
      </c>
      <c r="F10" s="1" t="inlineStr">
        <is>
          <t>SEASON</t>
        </is>
      </c>
      <c r="G10">
        <f>"D:\IMS Images\Show\Logos\"&amp;$B$16&amp;".PNG"</f>
        <v/>
      </c>
      <c r="H10" s="50" t="n">
        <v>8</v>
      </c>
      <c r="I10" t="inlineStr">
        <is>
          <t>American</t>
        </is>
      </c>
    </row>
    <row r="11">
      <c r="A11" s="15" t="inlineStr">
        <is>
          <t>City Locator Short</t>
        </is>
      </c>
      <c r="B11" s="17" t="inlineStr">
        <is>
          <t>City, ST</t>
        </is>
      </c>
      <c r="E11">
        <f>$B$9&amp;" - "&amp; $B$11</f>
        <v/>
      </c>
      <c r="F11" t="inlineStr">
        <is>
          <t>Regular</t>
        </is>
      </c>
      <c r="H11" s="50" t="n">
        <v>9</v>
      </c>
      <c r="I11" t="inlineStr">
        <is>
          <t>Soonervision</t>
        </is>
      </c>
    </row>
    <row r="12">
      <c r="A12" s="15" t="inlineStr">
        <is>
          <t>Game Time</t>
        </is>
      </c>
      <c r="B12" s="17" t="inlineStr">
        <is>
          <t>Coming Up - 7 ET on ESPN</t>
        </is>
      </c>
      <c r="D12" s="1" t="n"/>
      <c r="E12">
        <f>UPPER(E11)</f>
        <v/>
      </c>
      <c r="F12" t="inlineStr">
        <is>
          <t>Championship</t>
        </is>
      </c>
      <c r="G12" t="inlineStr">
        <is>
          <t>HEADER_LOGO_LIST</t>
        </is>
      </c>
      <c r="H12" s="50" t="n">
        <v>10</v>
      </c>
    </row>
    <row r="13">
      <c r="A13" s="2" t="n"/>
      <c r="B13" s="16" t="n"/>
      <c r="F13" s="1" t="n"/>
      <c r="G13" s="25" t="n">
        <v>0</v>
      </c>
    </row>
    <row r="14">
      <c r="A14" s="14" t="inlineStr">
        <is>
          <t>SHOW LOGO (LOCATORS / SCOREBOARDS)</t>
        </is>
      </c>
      <c r="B14" s="16" t="n"/>
      <c r="E14" s="1" t="inlineStr">
        <is>
          <t>CITY LOCATOR</t>
        </is>
      </c>
      <c r="G14" s="25" t="n">
        <v>1</v>
      </c>
    </row>
    <row r="15">
      <c r="A15" s="18" t="inlineStr">
        <is>
          <t>Show Logo On/Off</t>
        </is>
      </c>
      <c r="B15" s="19" t="inlineStr">
        <is>
          <t>On</t>
        </is>
      </c>
      <c r="D15" s="1" t="n"/>
      <c r="E15" s="20">
        <f>$B$10</f>
        <v/>
      </c>
      <c r="F15" s="1" t="n"/>
      <c r="G15" s="25" t="n">
        <v>2</v>
      </c>
      <c r="H15" s="24" t="inlineStr">
        <is>
          <t>CONF SELECT</t>
        </is>
      </c>
      <c r="I15" s="52" t="n"/>
    </row>
    <row r="16">
      <c r="A16" s="15" t="inlineStr">
        <is>
          <t>Show Logo Select</t>
        </is>
      </c>
      <c r="B16" s="23" t="inlineStr">
        <is>
          <t>ACC_ON_ESPN</t>
        </is>
      </c>
      <c r="E16">
        <f>UPPER(E15)</f>
        <v/>
      </c>
      <c r="G16" s="25" t="n">
        <v>3</v>
      </c>
      <c r="H16" t="n">
        <v>0</v>
      </c>
      <c r="I16" t="inlineStr">
        <is>
          <t>Off</t>
        </is>
      </c>
    </row>
    <row r="17">
      <c r="A17" s="2" t="n"/>
      <c r="B17" s="16" t="n"/>
      <c r="H17" t="n">
        <v>1</v>
      </c>
      <c r="I17" t="inlineStr">
        <is>
          <t>ACC</t>
        </is>
      </c>
    </row>
    <row r="18">
      <c r="A18" s="14" t="inlineStr">
        <is>
          <t>NETWORK SELECTOR (LOCATORS / SCOREBOARDS)</t>
        </is>
      </c>
      <c r="B18" s="16" t="n"/>
      <c r="E18" s="1" t="inlineStr">
        <is>
          <t>CITY_LOCATOR_SHORT</t>
        </is>
      </c>
      <c r="F18" s="1" t="inlineStr">
        <is>
          <t>INTERFACE</t>
        </is>
      </c>
      <c r="G18" s="45" t="inlineStr">
        <is>
          <t>HEADER_LOGO</t>
        </is>
      </c>
      <c r="H18" t="n">
        <v>2</v>
      </c>
      <c r="I18" t="inlineStr">
        <is>
          <t>Big Ten</t>
        </is>
      </c>
    </row>
    <row r="19">
      <c r="A19" s="18" t="inlineStr">
        <is>
          <t>Header Logo (Select 0-6)</t>
        </is>
      </c>
      <c r="B19" s="53" t="n">
        <v>8</v>
      </c>
      <c r="C19" s="51">
        <f>VLOOKUP($B$19,H2:I15, 2,FALSE)</f>
        <v/>
      </c>
      <c r="E19" s="20">
        <f>$B$11</f>
        <v/>
      </c>
      <c r="F19" t="inlineStr">
        <is>
          <t>Interface</t>
        </is>
      </c>
      <c r="G19" s="25">
        <f>B19</f>
        <v/>
      </c>
      <c r="H19" t="n">
        <v>3</v>
      </c>
      <c r="I19" t="inlineStr">
        <is>
          <t>Pac-12</t>
        </is>
      </c>
    </row>
    <row r="20">
      <c r="A20" s="18" t="inlineStr">
        <is>
          <t>Conference Logo (Select 0-6)</t>
        </is>
      </c>
      <c r="B20" s="53" t="n">
        <v>0</v>
      </c>
      <c r="C20" s="51">
        <f>VLOOKUP($B$20,H16:I22, 2,FALSE)</f>
        <v/>
      </c>
      <c r="E20">
        <f>UPPER(E19)</f>
        <v/>
      </c>
      <c r="F20" t="inlineStr">
        <is>
          <t>Non-interface</t>
        </is>
      </c>
      <c r="H20" t="n">
        <v>4</v>
      </c>
      <c r="I20" t="inlineStr">
        <is>
          <t>SEC</t>
        </is>
      </c>
    </row>
    <row r="21">
      <c r="A21" s="2" t="n"/>
      <c r="B21" s="122" t="n"/>
      <c r="G21" s="1" t="inlineStr">
        <is>
          <t>SPORT</t>
        </is>
      </c>
      <c r="H21" t="n">
        <v>5</v>
      </c>
      <c r="I21" t="inlineStr">
        <is>
          <t>Big 12</t>
        </is>
      </c>
    </row>
    <row r="22">
      <c r="A22" s="14" t="inlineStr">
        <is>
          <t>GAME SETTINGS</t>
        </is>
      </c>
      <c r="B22" s="22" t="n"/>
      <c r="E22" s="1" t="inlineStr">
        <is>
          <t>GAME TIME</t>
        </is>
      </c>
      <c r="F22" t="inlineStr">
        <is>
          <t>Indoor</t>
        </is>
      </c>
      <c r="G22">
        <f>B23</f>
        <v/>
      </c>
      <c r="H22" t="n">
        <v>6</v>
      </c>
      <c r="I22" t="inlineStr">
        <is>
          <t>American</t>
        </is>
      </c>
    </row>
    <row r="23">
      <c r="A23" s="21" t="inlineStr">
        <is>
          <t>Sport</t>
        </is>
      </c>
      <c r="B23" s="23" t="inlineStr">
        <is>
          <t>Indoor</t>
        </is>
      </c>
      <c r="E23" s="20">
        <f>B12</f>
        <v/>
      </c>
      <c r="F23" t="inlineStr">
        <is>
          <t>Beach</t>
        </is>
      </c>
      <c r="H23" t="n">
        <v>7</v>
      </c>
      <c r="I23" t="inlineStr">
        <is>
          <t>EVENT</t>
        </is>
      </c>
    </row>
    <row r="24">
      <c r="A24" s="21" t="inlineStr">
        <is>
          <t>Men or Women?</t>
        </is>
      </c>
      <c r="B24" s="23" t="inlineStr">
        <is>
          <t>Women</t>
        </is>
      </c>
      <c r="G24" s="1" t="n"/>
    </row>
    <row r="25">
      <c r="A25" s="21" t="inlineStr">
        <is>
          <t>Season (Regular/Championship)</t>
        </is>
      </c>
      <c r="B25" s="23" t="inlineStr">
        <is>
          <t>Regular</t>
        </is>
      </c>
    </row>
    <row r="26">
      <c r="F26" t="inlineStr">
        <is>
          <t>Men</t>
        </is>
      </c>
    </row>
    <row r="27">
      <c r="A27" s="148" t="inlineStr">
        <is>
          <t>WHEN YOU NEED TO LEAVE A TEXT BOX  BLANK… PUT AN APOSTROPHE IN THE BLUE BOX</t>
        </is>
      </c>
      <c r="B27" s="148" t="n"/>
      <c r="F27" t="inlineStr">
        <is>
          <t>Women</t>
        </is>
      </c>
    </row>
  </sheetData>
  <dataValidations count="7">
    <dataValidation sqref="B15" showDropDown="0" showInputMessage="1" showErrorMessage="1" allowBlank="1" type="list">
      <formula1>$G$2:$G$3</formula1>
    </dataValidation>
    <dataValidation sqref="B16" showDropDown="0" showInputMessage="1" showErrorMessage="1" allowBlank="1" type="list">
      <formula1>ZZZ_SHOW_LOGO_LIST</formula1>
    </dataValidation>
    <dataValidation sqref="B24" showDropDown="0" showInputMessage="1" showErrorMessage="1" allowBlank="1" type="list">
      <formula1>$F$26:$F$27</formula1>
    </dataValidation>
    <dataValidation sqref="B20" showDropDown="0" showInputMessage="1" showErrorMessage="1" allowBlank="1" type="list">
      <formula1>$H$16:$H$26</formula1>
    </dataValidation>
    <dataValidation sqref="B25" showDropDown="0" showInputMessage="1" showErrorMessage="1" allowBlank="1" type="list">
      <formula1>$F$11:$F$12</formula1>
    </dataValidation>
    <dataValidation sqref="B23" showDropDown="0" showInputMessage="1" showErrorMessage="1" allowBlank="1" type="list">
      <formula1>$F$22:$F$24</formula1>
    </dataValidation>
    <dataValidation sqref="B19" showDropDown="0" showInputMessage="1" showErrorMessage="1" allowBlank="1" type="list">
      <formula1>$H$2:$H$12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B31" sqref="B31"/>
    </sheetView>
  </sheetViews>
  <sheetFormatPr baseColWidth="8" defaultRowHeight="15"/>
  <cols>
    <col width="27.7109375" customWidth="1" min="1" max="1"/>
    <col width="22.42578125" customWidth="1" min="2" max="2"/>
    <col width="27.42578125" customWidth="1" min="3" max="3"/>
    <col hidden="1" width="12.7109375" customWidth="1" min="4" max="4"/>
    <col width="25.7109375" customWidth="1" min="5" max="5"/>
    <col hidden="1" width="16" customWidth="1" min="6" max="6"/>
    <col hidden="1" width="12.7109375" customWidth="1" min="7" max="12"/>
    <col hidden="1" width="9.140625" customWidth="1" min="13" max="13"/>
    <col hidden="1" width="41.28515625" customWidth="1" min="14" max="14"/>
    <col hidden="1" width="30.7109375" customWidth="1" min="15" max="15"/>
    <col hidden="1" width="2.42578125" customWidth="1" min="16" max="16"/>
    <col hidden="1" width="30" customWidth="1" min="17" max="17"/>
    <col hidden="1" width="2.42578125" customWidth="1" min="18" max="18"/>
    <col hidden="1" width="29" customWidth="1" min="19" max="19"/>
    <col hidden="1" width="2.42578125" customWidth="1" min="20" max="20"/>
    <col hidden="1" width="29" customWidth="1" min="21" max="21"/>
    <col hidden="1" width="9.140625" customWidth="1" min="22" max="22"/>
  </cols>
  <sheetData>
    <row r="1">
      <c r="B1" s="35" t="inlineStr">
        <is>
          <t>FIRST NAME</t>
        </is>
      </c>
      <c r="C1" s="35" t="inlineStr">
        <is>
          <t>LAST NAME</t>
        </is>
      </c>
      <c r="D1" t="inlineStr">
        <is>
          <t>SUFFIX</t>
        </is>
      </c>
      <c r="E1" s="59" t="inlineStr">
        <is>
          <t>FULL NAME</t>
        </is>
      </c>
      <c r="F1" t="inlineStr">
        <is>
          <t>Twitter Handle</t>
        </is>
      </c>
      <c r="G1" t="inlineStr">
        <is>
          <t>Specialty1</t>
        </is>
      </c>
      <c r="H1" t="inlineStr">
        <is>
          <t>Specialty2</t>
        </is>
      </c>
      <c r="I1" t="inlineStr">
        <is>
          <t>Specialty3</t>
        </is>
      </c>
      <c r="J1" t="inlineStr">
        <is>
          <t>Specialty4</t>
        </is>
      </c>
      <c r="K1" t="inlineStr">
        <is>
          <t>Specialty5</t>
        </is>
      </c>
      <c r="L1" t="inlineStr">
        <is>
          <t>Headshot</t>
        </is>
      </c>
      <c r="N1" s="24" t="inlineStr">
        <is>
          <t>SOCIAL</t>
        </is>
      </c>
      <c r="O1" s="24" t="inlineStr">
        <is>
          <t>TALENT</t>
        </is>
      </c>
      <c r="Q1" s="28" t="inlineStr">
        <is>
          <t>ANALYST4</t>
        </is>
      </c>
      <c r="S1" s="28" t="inlineStr">
        <is>
          <t>REPORTER3</t>
        </is>
      </c>
      <c r="U1" s="28" t="inlineStr">
        <is>
          <t>MISC_TALENT4</t>
        </is>
      </c>
    </row>
    <row r="2">
      <c r="A2" s="26" t="inlineStr">
        <is>
          <t>Play-by-Play</t>
        </is>
      </c>
      <c r="B2" s="27" t="inlineStr">
        <is>
          <t>PxP First</t>
        </is>
      </c>
      <c r="C2" s="27" t="inlineStr">
        <is>
          <t>PxP Last</t>
        </is>
      </c>
      <c r="D2" s="27" t="n"/>
      <c r="E2" s="56">
        <f>B2&amp;" "&amp;C2&amp;" "&amp;IF(D2="","",D2)</f>
        <v/>
      </c>
      <c r="F2" s="47" t="n"/>
      <c r="G2" s="27" t="n"/>
      <c r="H2" s="27" t="n"/>
      <c r="I2" s="27" t="n"/>
      <c r="J2" s="27" t="n"/>
      <c r="K2" s="27" t="n"/>
      <c r="L2" s="27" t="n"/>
      <c r="N2" s="1" t="inlineStr">
        <is>
          <t>TWITTER HANDLE</t>
        </is>
      </c>
      <c r="O2" s="28" t="inlineStr">
        <is>
          <t>PXP</t>
        </is>
      </c>
      <c r="Q2" s="30">
        <f>$B7</f>
        <v/>
      </c>
      <c r="S2" s="30">
        <f>$B12</f>
        <v/>
      </c>
      <c r="U2" s="30">
        <f>$B17</f>
        <v/>
      </c>
    </row>
    <row r="3">
      <c r="A3" s="3" t="n"/>
      <c r="B3" s="20" t="n"/>
      <c r="C3" s="20" t="n"/>
      <c r="D3" s="20" t="n"/>
      <c r="F3" s="20" t="n"/>
      <c r="G3" s="20" t="n"/>
      <c r="H3" s="20" t="n"/>
      <c r="I3" s="20" t="n"/>
      <c r="J3" s="20" t="n"/>
      <c r="K3" s="20" t="n"/>
      <c r="L3" s="20" t="n"/>
      <c r="N3" s="20">
        <f>B21</f>
        <v/>
      </c>
      <c r="O3" s="29">
        <f>B2</f>
        <v/>
      </c>
      <c r="Q3" s="30">
        <f>$C7</f>
        <v/>
      </c>
      <c r="S3" s="30">
        <f>$C12</f>
        <v/>
      </c>
      <c r="U3" s="30">
        <f>$C17</f>
        <v/>
      </c>
    </row>
    <row r="4">
      <c r="A4" s="26" t="inlineStr">
        <is>
          <t>Analyst 1</t>
        </is>
      </c>
      <c r="B4" s="27" t="inlineStr">
        <is>
          <t>Analyst1</t>
        </is>
      </c>
      <c r="C4" s="27" t="inlineStr">
        <is>
          <t>Analyst1</t>
        </is>
      </c>
      <c r="D4" s="27" t="n"/>
      <c r="E4" s="56">
        <f>B4&amp;" "&amp;C4&amp;" "&amp;IF(D4="","",D4)</f>
        <v/>
      </c>
      <c r="F4" s="27" t="n"/>
      <c r="G4" s="27" t="n"/>
      <c r="H4" s="27" t="n"/>
      <c r="I4" s="27" t="n"/>
      <c r="J4" s="27" t="n"/>
      <c r="K4" s="27" t="n"/>
      <c r="L4" s="27" t="n"/>
      <c r="O4" s="29">
        <f>C2</f>
        <v/>
      </c>
      <c r="Q4" s="29">
        <f>$E7</f>
        <v/>
      </c>
      <c r="S4" s="29">
        <f>$E12</f>
        <v/>
      </c>
      <c r="U4" s="29">
        <f>$E17</f>
        <v/>
      </c>
    </row>
    <row r="5">
      <c r="A5" s="26" t="inlineStr">
        <is>
          <t>Analyst 2</t>
        </is>
      </c>
      <c r="B5" s="27" t="inlineStr">
        <is>
          <t>Analyst2</t>
        </is>
      </c>
      <c r="C5" s="27" t="inlineStr">
        <is>
          <t>Analyst2</t>
        </is>
      </c>
      <c r="D5" s="27" t="n"/>
      <c r="E5" s="56">
        <f>B5&amp;" "&amp;C5&amp;" "&amp;IF(D5="","",D5)</f>
        <v/>
      </c>
      <c r="F5" s="27" t="n"/>
      <c r="G5" s="27" t="n"/>
      <c r="H5" s="27" t="n"/>
      <c r="I5" s="27" t="n"/>
      <c r="J5" s="27" t="n"/>
      <c r="K5" s="27" t="n"/>
      <c r="L5" s="27" t="n"/>
      <c r="N5" s="1" t="inlineStr">
        <is>
          <t>TWITTER HASHTAG</t>
        </is>
      </c>
      <c r="O5" s="29">
        <f>E2</f>
        <v/>
      </c>
      <c r="Q5" s="30">
        <f>$F7</f>
        <v/>
      </c>
      <c r="S5" s="30">
        <f>$F12</f>
        <v/>
      </c>
      <c r="U5" s="30">
        <f>$F17</f>
        <v/>
      </c>
    </row>
    <row r="6" hidden="1">
      <c r="A6" s="26" t="inlineStr">
        <is>
          <t>Analyst 3</t>
        </is>
      </c>
      <c r="B6" s="27" t="inlineStr">
        <is>
          <t>ANALYST</t>
        </is>
      </c>
      <c r="C6" s="27" t="inlineStr">
        <is>
          <t>THREE</t>
        </is>
      </c>
      <c r="D6" s="27" t="inlineStr">
        <is>
          <t>NAME</t>
        </is>
      </c>
      <c r="E6" s="56">
        <f>B6&amp;" "&amp;C6&amp;" "&amp;IF(D6="","",D6)</f>
        <v/>
      </c>
      <c r="F6" s="27" t="n"/>
      <c r="G6" s="27" t="n"/>
      <c r="H6" s="27" t="n"/>
      <c r="I6" s="27" t="n"/>
      <c r="J6" s="27" t="n"/>
      <c r="K6" s="27" t="n"/>
      <c r="L6" s="27" t="n"/>
      <c r="N6" s="20">
        <f>B22</f>
        <v/>
      </c>
      <c r="O6" s="29">
        <f>F2</f>
        <v/>
      </c>
      <c r="Q6" s="30">
        <f>$G7</f>
        <v/>
      </c>
      <c r="S6" s="30">
        <f>$G12</f>
        <v/>
      </c>
      <c r="U6" s="30">
        <f>$G17</f>
        <v/>
      </c>
    </row>
    <row r="7" hidden="1">
      <c r="A7" s="26" t="inlineStr">
        <is>
          <t>Analyst 4</t>
        </is>
      </c>
      <c r="B7" s="27" t="inlineStr">
        <is>
          <t>ANALYST</t>
        </is>
      </c>
      <c r="C7" s="27" t="inlineStr">
        <is>
          <t>FOUR</t>
        </is>
      </c>
      <c r="D7" s="27" t="inlineStr">
        <is>
          <t>NAME</t>
        </is>
      </c>
      <c r="E7" s="56">
        <f>B7&amp;" "&amp;C7&amp;" "&amp;IF(D7="","",D7)</f>
        <v/>
      </c>
      <c r="F7" s="27" t="n"/>
      <c r="G7" s="27" t="n"/>
      <c r="H7" s="27" t="n"/>
      <c r="I7" s="27" t="n"/>
      <c r="J7" s="27" t="n"/>
      <c r="K7" s="27" t="n"/>
      <c r="L7" s="27" t="n"/>
      <c r="O7" s="30">
        <f>G2</f>
        <v/>
      </c>
      <c r="Q7" s="30">
        <f>$H7</f>
        <v/>
      </c>
      <c r="S7" s="30">
        <f>$H12</f>
        <v/>
      </c>
      <c r="U7" s="30">
        <f>$H17</f>
        <v/>
      </c>
    </row>
    <row r="8" hidden="1">
      <c r="A8" s="26" t="inlineStr">
        <is>
          <t>Analyst 5</t>
        </is>
      </c>
      <c r="B8" s="27" t="inlineStr">
        <is>
          <t>ANALYST</t>
        </is>
      </c>
      <c r="C8" s="27" t="inlineStr">
        <is>
          <t>FIVE</t>
        </is>
      </c>
      <c r="D8" s="27" t="inlineStr">
        <is>
          <t>NAME</t>
        </is>
      </c>
      <c r="E8" s="56">
        <f>B8&amp;" "&amp;C8&amp;" "&amp;IF(D8="","",D8)</f>
        <v/>
      </c>
      <c r="F8" s="27" t="n"/>
      <c r="G8" s="27" t="n"/>
      <c r="H8" s="27" t="n"/>
      <c r="I8" s="27" t="n"/>
      <c r="J8" s="27" t="n"/>
      <c r="K8" s="27" t="n"/>
      <c r="L8" s="27" t="n"/>
      <c r="N8" s="1" t="inlineStr">
        <is>
          <t>TALENT SUBHEAD</t>
        </is>
      </c>
      <c r="O8" s="30">
        <f>H2</f>
        <v/>
      </c>
      <c r="Q8" s="30">
        <f>$I7</f>
        <v/>
      </c>
      <c r="S8" s="30">
        <f>$I12</f>
        <v/>
      </c>
      <c r="U8" s="30">
        <f>$I17</f>
        <v/>
      </c>
    </row>
    <row r="9" hidden="1">
      <c r="A9" s="3" t="n"/>
      <c r="B9" s="20" t="n"/>
      <c r="C9" s="20" t="n"/>
      <c r="D9" s="20" t="n"/>
      <c r="F9" s="20" t="n"/>
      <c r="G9" s="20" t="n"/>
      <c r="H9" s="20" t="n"/>
      <c r="I9" s="20" t="n"/>
      <c r="J9" s="20" t="n"/>
      <c r="K9" s="20" t="n"/>
      <c r="L9" s="20" t="n"/>
      <c r="N9">
        <f>B23</f>
        <v/>
      </c>
      <c r="O9" s="30">
        <f>I2</f>
        <v/>
      </c>
      <c r="Q9" s="30">
        <f>$J7</f>
        <v/>
      </c>
      <c r="S9" s="30">
        <f>$J12</f>
        <v/>
      </c>
      <c r="U9" s="30">
        <f>$J17</f>
        <v/>
      </c>
    </row>
    <row r="10">
      <c r="A10" s="26" t="inlineStr">
        <is>
          <t>Reporting1</t>
        </is>
      </c>
      <c r="B10" s="27" t="inlineStr">
        <is>
          <t>Reporter</t>
        </is>
      </c>
      <c r="C10" s="27" t="inlineStr">
        <is>
          <t>Reporter</t>
        </is>
      </c>
      <c r="D10" s="27" t="n"/>
      <c r="E10" s="56">
        <f>B10&amp;" "&amp;C10&amp;" "&amp;IF(D10="","",D10)</f>
        <v/>
      </c>
      <c r="F10" s="27" t="n"/>
      <c r="G10" s="27" t="n"/>
      <c r="H10" s="27" t="n"/>
      <c r="I10" s="27" t="n"/>
      <c r="J10" s="27" t="n"/>
      <c r="K10" s="27" t="n"/>
      <c r="L10" s="27" t="n"/>
      <c r="O10" s="30">
        <f>J2</f>
        <v/>
      </c>
      <c r="Q10" s="30">
        <f>$K7</f>
        <v/>
      </c>
      <c r="S10" s="30">
        <f>$K12</f>
        <v/>
      </c>
      <c r="U10" s="30">
        <f>$K17</f>
        <v/>
      </c>
    </row>
    <row r="11" hidden="1">
      <c r="A11" s="26" t="inlineStr">
        <is>
          <t>Reporting2</t>
        </is>
      </c>
      <c r="B11" s="27" t="inlineStr">
        <is>
          <t>REPORTING</t>
        </is>
      </c>
      <c r="C11" s="27" t="inlineStr">
        <is>
          <t>TWO</t>
        </is>
      </c>
      <c r="D11" s="27" t="inlineStr">
        <is>
          <t>NAME</t>
        </is>
      </c>
      <c r="E11" s="56">
        <f>B11&amp;" "&amp;C11&amp;" "&amp;IF(D11="","",D11)</f>
        <v/>
      </c>
      <c r="F11" s="27" t="n"/>
      <c r="G11" s="27" t="n"/>
      <c r="H11" s="27" t="n"/>
      <c r="I11" s="27" t="n"/>
      <c r="J11" s="27" t="n"/>
      <c r="K11" s="27" t="n"/>
      <c r="L11" s="27" t="n"/>
      <c r="N11" t="inlineStr">
        <is>
          <t>TALENT_NETWORK</t>
        </is>
      </c>
      <c r="O11" s="30">
        <f>K2</f>
        <v/>
      </c>
      <c r="Q11" s="31">
        <f>$L7</f>
        <v/>
      </c>
      <c r="S11" s="31">
        <f>$L12</f>
        <v/>
      </c>
      <c r="U11" s="31">
        <f>$L17</f>
        <v/>
      </c>
    </row>
    <row r="12" hidden="1">
      <c r="A12" s="26" t="inlineStr">
        <is>
          <t>Reporting3</t>
        </is>
      </c>
      <c r="B12" s="27" t="inlineStr">
        <is>
          <t>REPORTING</t>
        </is>
      </c>
      <c r="C12" s="27" t="inlineStr">
        <is>
          <t>THREE</t>
        </is>
      </c>
      <c r="D12" s="27" t="inlineStr">
        <is>
          <t>NAME</t>
        </is>
      </c>
      <c r="E12" s="56">
        <f>B12&amp;" "&amp;C12&amp;" "&amp;D12</f>
        <v/>
      </c>
      <c r="F12" s="27" t="n"/>
      <c r="G12" s="27" t="n"/>
      <c r="H12" s="27" t="n"/>
      <c r="I12" s="27" t="n"/>
      <c r="J12" s="27" t="n"/>
      <c r="K12" s="27" t="n"/>
      <c r="L12" s="27" t="n"/>
      <c r="N12">
        <f>N15&amp;C20&amp;".png"</f>
        <v/>
      </c>
      <c r="O12" s="31">
        <f>L2</f>
        <v/>
      </c>
    </row>
    <row r="13" hidden="1">
      <c r="A13" s="3" t="n"/>
      <c r="B13" s="20" t="n"/>
      <c r="C13" s="20" t="n"/>
      <c r="D13" s="20" t="n"/>
      <c r="F13" s="20" t="n"/>
      <c r="G13" s="20" t="n"/>
      <c r="H13" s="20" t="n"/>
      <c r="I13" s="20" t="n"/>
      <c r="J13" s="20" t="n"/>
      <c r="K13" s="20" t="n"/>
      <c r="L13" s="20" t="n"/>
    </row>
    <row r="14" hidden="1">
      <c r="A14" s="26" t="inlineStr">
        <is>
          <t>Misc Talent</t>
        </is>
      </c>
      <c r="B14" s="27" t="inlineStr">
        <is>
          <t>CHRIS</t>
        </is>
      </c>
      <c r="C14" s="27" t="inlineStr">
        <is>
          <t>CARROLL</t>
        </is>
      </c>
      <c r="D14" s="27" t="inlineStr">
        <is>
          <t>III</t>
        </is>
      </c>
      <c r="E14" s="56">
        <f>B14&amp;" "&amp;C14&amp;" "&amp;IF(D14="","",D14)</f>
        <v/>
      </c>
      <c r="F14" s="27" t="n"/>
      <c r="G14" s="27" t="n"/>
      <c r="H14" s="27" t="n"/>
      <c r="I14" s="27" t="n"/>
      <c r="J14" s="27" t="n"/>
      <c r="K14" s="27" t="n"/>
      <c r="L14" s="27" t="n"/>
      <c r="N14" s="44" t="inlineStr">
        <is>
          <t>NETWORK_PATH</t>
        </is>
      </c>
      <c r="O14" s="28" t="inlineStr">
        <is>
          <t>ANALYST1</t>
        </is>
      </c>
      <c r="Q14" s="28" t="inlineStr">
        <is>
          <t>ANALYST5</t>
        </is>
      </c>
      <c r="S14" s="28" t="inlineStr">
        <is>
          <t>MISC_TALENT1</t>
        </is>
      </c>
      <c r="U14" s="28" t="inlineStr">
        <is>
          <t>MISC_TALENT5</t>
        </is>
      </c>
    </row>
    <row r="15" hidden="1">
      <c r="A15" s="26" t="inlineStr">
        <is>
          <t>Misc Talent</t>
        </is>
      </c>
      <c r="B15" s="27" t="inlineStr">
        <is>
          <t xml:space="preserve">MISC </t>
        </is>
      </c>
      <c r="C15" s="27" t="inlineStr">
        <is>
          <t>TALENT2</t>
        </is>
      </c>
      <c r="D15" s="27" t="inlineStr">
        <is>
          <t>NAME</t>
        </is>
      </c>
      <c r="E15" s="56">
        <f>B15&amp;" "&amp;C15&amp;" "&amp;IF(D15="","",D15)</f>
        <v/>
      </c>
      <c r="F15" s="27" t="n"/>
      <c r="G15" s="27" t="n"/>
      <c r="H15" s="27" t="n"/>
      <c r="I15" s="27" t="n"/>
      <c r="J15" s="27" t="n"/>
      <c r="K15" s="27" t="n"/>
      <c r="L15" s="27" t="n"/>
      <c r="N15" s="44" t="inlineStr">
        <is>
          <t>D:\IMS IMAGES\NETWORK\PRIMARY\</t>
        </is>
      </c>
      <c r="O15" s="30">
        <f>B4</f>
        <v/>
      </c>
      <c r="Q15" s="30">
        <f>$B8</f>
        <v/>
      </c>
      <c r="S15" s="30">
        <f>$B14</f>
        <v/>
      </c>
      <c r="U15" s="30">
        <f>$B18</f>
        <v/>
      </c>
    </row>
    <row r="16" hidden="1">
      <c r="A16" s="26" t="inlineStr">
        <is>
          <t>Misc Talent</t>
        </is>
      </c>
      <c r="B16" s="27" t="inlineStr">
        <is>
          <t xml:space="preserve">MISC </t>
        </is>
      </c>
      <c r="C16" s="27" t="inlineStr">
        <is>
          <t>TALENT3</t>
        </is>
      </c>
      <c r="D16" s="27" t="inlineStr">
        <is>
          <t>NAME</t>
        </is>
      </c>
      <c r="E16" s="56">
        <f>B16&amp;" "&amp;C16&amp;" "&amp;IF(D16="","",D16)</f>
        <v/>
      </c>
      <c r="F16" s="27" t="n"/>
      <c r="G16" s="27" t="n"/>
      <c r="H16" s="27" t="n"/>
      <c r="I16" s="27" t="n"/>
      <c r="J16" s="27" t="n"/>
      <c r="K16" s="27" t="n"/>
      <c r="L16" s="27" t="n"/>
      <c r="O16" s="30">
        <f>C4</f>
        <v/>
      </c>
      <c r="Q16" s="30">
        <f>$C8</f>
        <v/>
      </c>
      <c r="S16" s="30">
        <f>$C14</f>
        <v/>
      </c>
      <c r="U16" s="30">
        <f>$C18</f>
        <v/>
      </c>
    </row>
    <row r="17" hidden="1">
      <c r="A17" s="26" t="inlineStr">
        <is>
          <t>Misc Talent</t>
        </is>
      </c>
      <c r="B17" s="27" t="inlineStr">
        <is>
          <t xml:space="preserve">MISC </t>
        </is>
      </c>
      <c r="C17" s="27" t="inlineStr">
        <is>
          <t>TALENT4</t>
        </is>
      </c>
      <c r="D17" s="27" t="inlineStr">
        <is>
          <t>NAME</t>
        </is>
      </c>
      <c r="E17" s="56">
        <f>B17&amp;" "&amp;C17&amp;" "&amp;IF(D17="","",D17)</f>
        <v/>
      </c>
      <c r="F17" s="27" t="n"/>
      <c r="G17" s="27" t="n"/>
      <c r="H17" s="27" t="n"/>
      <c r="I17" s="27" t="n"/>
      <c r="J17" s="27" t="n"/>
      <c r="K17" s="27" t="n"/>
      <c r="L17" s="27" t="n"/>
      <c r="N17" s="44" t="inlineStr">
        <is>
          <t>NUMBER_OF_TALENT</t>
        </is>
      </c>
      <c r="O17" s="29">
        <f>E4</f>
        <v/>
      </c>
      <c r="Q17" s="29">
        <f>$E8</f>
        <v/>
      </c>
      <c r="S17" s="29">
        <f>$E14</f>
        <v/>
      </c>
      <c r="U17" s="29">
        <f>$E18</f>
        <v/>
      </c>
    </row>
    <row r="18" hidden="1">
      <c r="A18" s="26" t="inlineStr">
        <is>
          <t>Misc Talent</t>
        </is>
      </c>
      <c r="B18" s="27" t="inlineStr">
        <is>
          <t xml:space="preserve">MISC </t>
        </is>
      </c>
      <c r="C18" s="27" t="inlineStr">
        <is>
          <t>TALENT5</t>
        </is>
      </c>
      <c r="D18" s="27" t="inlineStr">
        <is>
          <t>NAME</t>
        </is>
      </c>
      <c r="E18" s="56">
        <f>B18&amp;" "&amp;C18&amp;" "&amp;IF(D18="","",D18)</f>
        <v/>
      </c>
      <c r="F18" s="27" t="n"/>
      <c r="G18" s="27" t="n"/>
      <c r="H18" s="27" t="n"/>
      <c r="I18" s="27" t="n"/>
      <c r="J18" s="27" t="n"/>
      <c r="K18" s="27" t="n"/>
      <c r="L18" s="27" t="n"/>
      <c r="N18" s="25">
        <f>B24</f>
        <v/>
      </c>
      <c r="O18" s="30">
        <f>F4</f>
        <v/>
      </c>
      <c r="Q18" s="30">
        <f>$F8</f>
        <v/>
      </c>
      <c r="S18" s="30">
        <f>$F14</f>
        <v/>
      </c>
      <c r="U18" s="30">
        <f>$F18</f>
        <v/>
      </c>
    </row>
    <row r="19">
      <c r="O19" s="30">
        <f>G4</f>
        <v/>
      </c>
      <c r="Q19" s="30">
        <f>$G8</f>
        <v/>
      </c>
      <c r="S19" s="30">
        <f>$G14</f>
        <v/>
      </c>
      <c r="U19" s="30">
        <f>$G18</f>
        <v/>
      </c>
    </row>
    <row r="20" hidden="1">
      <c r="A20" s="15" t="inlineStr">
        <is>
          <t>Talent Network Logo/Swatch</t>
        </is>
      </c>
      <c r="B20" s="58" t="n">
        <v>1</v>
      </c>
      <c r="C20" s="51">
        <f>VLOOKUP($B$20,U27:V35, 2,FALSE)</f>
        <v/>
      </c>
      <c r="E20" s="13" t="n"/>
      <c r="O20" s="30">
        <f>H4</f>
        <v/>
      </c>
      <c r="Q20" s="30">
        <f>$H8</f>
        <v/>
      </c>
      <c r="S20" s="30">
        <f>$H14</f>
        <v/>
      </c>
      <c r="U20" s="30">
        <f>$H18</f>
        <v/>
      </c>
    </row>
    <row r="21" hidden="1">
      <c r="A21" s="15" t="inlineStr">
        <is>
          <t>Twitter Handle</t>
        </is>
      </c>
      <c r="B21" s="162" t="inlineStr">
        <is>
          <t>@ESPN</t>
        </is>
      </c>
      <c r="C21" s="163" t="n"/>
      <c r="O21" s="30">
        <f>I4</f>
        <v/>
      </c>
      <c r="Q21" s="30">
        <f>$I8</f>
        <v/>
      </c>
      <c r="S21" s="30">
        <f>$I14</f>
        <v/>
      </c>
      <c r="U21" s="30">
        <f>$I18</f>
        <v/>
      </c>
    </row>
    <row r="22" hidden="1">
      <c r="A22" s="15" t="inlineStr">
        <is>
          <t>Twitter Hashtag</t>
        </is>
      </c>
      <c r="B22" s="164" t="inlineStr">
        <is>
          <t>#TRIvsTRI</t>
        </is>
      </c>
      <c r="C22" s="163" t="n"/>
      <c r="O22" s="30">
        <f>J4</f>
        <v/>
      </c>
      <c r="Q22" s="30">
        <f>$J8</f>
        <v/>
      </c>
      <c r="S22" s="30">
        <f>$J14</f>
        <v/>
      </c>
      <c r="U22" s="30">
        <f>$J18</f>
        <v/>
      </c>
    </row>
    <row r="23" hidden="1">
      <c r="A23" s="15" t="inlineStr">
        <is>
          <t>Talent Subhead</t>
        </is>
      </c>
      <c r="B23" s="151" t="inlineStr">
        <is>
          <t>College Volleyball</t>
        </is>
      </c>
      <c r="C23" s="163" t="n"/>
      <c r="O23" s="30">
        <f>K4</f>
        <v/>
      </c>
      <c r="Q23" s="30">
        <f>$K8</f>
        <v/>
      </c>
      <c r="S23" s="30">
        <f>$K14</f>
        <v/>
      </c>
      <c r="U23" s="30">
        <f>$K18</f>
        <v/>
      </c>
    </row>
    <row r="24" hidden="1">
      <c r="A24" s="15" t="inlineStr">
        <is>
          <t>Number of Talent in Booth</t>
        </is>
      </c>
      <c r="B24" s="151" t="n">
        <v>2</v>
      </c>
      <c r="C24" s="163" t="n"/>
      <c r="O24" s="31">
        <f>L4</f>
        <v/>
      </c>
      <c r="Q24" s="31">
        <f>$L8</f>
        <v/>
      </c>
      <c r="S24" s="31">
        <f>$L14</f>
        <v/>
      </c>
      <c r="U24" s="31">
        <f>$L18</f>
        <v/>
      </c>
    </row>
    <row r="25" ht="15.75" customHeight="1" thickBot="1"/>
    <row r="26" ht="15.75" customHeight="1" thickBot="1">
      <c r="A26" s="57" t="inlineStr">
        <is>
          <t>Note: Type only in blue areas</t>
        </is>
      </c>
      <c r="O26" s="28" t="inlineStr">
        <is>
          <t>ANALYST2</t>
        </is>
      </c>
      <c r="Q26" s="28" t="inlineStr">
        <is>
          <t>REPORTER1</t>
        </is>
      </c>
      <c r="S26" s="28" t="inlineStr">
        <is>
          <t>MISC_TALENT2</t>
        </is>
      </c>
      <c r="U26" s="24" t="inlineStr">
        <is>
          <t>LOGO SELECT</t>
        </is>
      </c>
      <c r="V26" s="52" t="n"/>
    </row>
    <row r="27">
      <c r="A27" s="2" t="n"/>
      <c r="O27" s="30">
        <f>B5</f>
        <v/>
      </c>
      <c r="Q27" s="30">
        <f>$B10</f>
        <v/>
      </c>
      <c r="S27" s="30">
        <f>$B15</f>
        <v/>
      </c>
      <c r="U27" s="50" t="n">
        <v>0</v>
      </c>
      <c r="V27" t="inlineStr">
        <is>
          <t>None</t>
        </is>
      </c>
    </row>
    <row r="28">
      <c r="A28" s="2" t="n"/>
      <c r="O28" s="30">
        <f>C5</f>
        <v/>
      </c>
      <c r="Q28" s="30">
        <f>$C10</f>
        <v/>
      </c>
      <c r="S28" s="30">
        <f>$C15</f>
        <v/>
      </c>
      <c r="U28" s="50" t="n">
        <v>1</v>
      </c>
      <c r="V28" t="inlineStr">
        <is>
          <t>ESPN</t>
        </is>
      </c>
    </row>
    <row r="29">
      <c r="O29" s="29">
        <f>E5</f>
        <v/>
      </c>
      <c r="Q29" s="29">
        <f>$E10</f>
        <v/>
      </c>
      <c r="S29" s="29">
        <f>$E15</f>
        <v/>
      </c>
      <c r="U29" s="50" t="n">
        <v>2</v>
      </c>
      <c r="V29" t="inlineStr">
        <is>
          <t>Longhorn</t>
        </is>
      </c>
    </row>
    <row r="30">
      <c r="O30" s="30">
        <f>F5</f>
        <v/>
      </c>
      <c r="Q30" s="30">
        <f>$F10</f>
        <v/>
      </c>
      <c r="S30" s="30">
        <f>$F15</f>
        <v/>
      </c>
      <c r="U30" s="50" t="n">
        <v>3</v>
      </c>
      <c r="V30" t="inlineStr">
        <is>
          <t>SECN</t>
        </is>
      </c>
    </row>
    <row r="31">
      <c r="O31" s="30">
        <f>G5</f>
        <v/>
      </c>
      <c r="Q31" s="30">
        <f>$G10</f>
        <v/>
      </c>
      <c r="S31" s="30">
        <f>$G15</f>
        <v/>
      </c>
      <c r="U31" s="50" t="n">
        <v>4</v>
      </c>
      <c r="V31" t="inlineStr">
        <is>
          <t>ACCN</t>
        </is>
      </c>
    </row>
    <row r="32">
      <c r="O32" s="30">
        <f>H5</f>
        <v/>
      </c>
      <c r="Q32" s="30">
        <f>$H10</f>
        <v/>
      </c>
      <c r="S32" s="30">
        <f>$H15</f>
        <v/>
      </c>
      <c r="U32" s="50" t="n">
        <v>5</v>
      </c>
      <c r="V32" t="inlineStr">
        <is>
          <t>Big12</t>
        </is>
      </c>
    </row>
    <row r="33">
      <c r="O33" s="30">
        <f>I5</f>
        <v/>
      </c>
      <c r="Q33" s="30">
        <f>$I10</f>
        <v/>
      </c>
      <c r="S33" s="30">
        <f>$I15</f>
        <v/>
      </c>
      <c r="U33" s="50" t="n">
        <v>6</v>
      </c>
      <c r="V33" t="inlineStr">
        <is>
          <t>American</t>
        </is>
      </c>
    </row>
    <row r="34">
      <c r="O34" s="30">
        <f>J5</f>
        <v/>
      </c>
      <c r="Q34" s="30">
        <f>$J10</f>
        <v/>
      </c>
      <c r="S34" s="30">
        <f>$J15</f>
        <v/>
      </c>
      <c r="U34" s="50" t="n">
        <v>7</v>
      </c>
      <c r="V34" t="inlineStr">
        <is>
          <t>ESPNU</t>
        </is>
      </c>
    </row>
    <row r="35">
      <c r="O35" s="30">
        <f>K5</f>
        <v/>
      </c>
      <c r="Q35" s="30">
        <f>$K10</f>
        <v/>
      </c>
      <c r="S35" s="30">
        <f>$K15</f>
        <v/>
      </c>
      <c r="U35" s="50" t="n">
        <v>8</v>
      </c>
      <c r="V35" t="inlineStr">
        <is>
          <t>ESPN+</t>
        </is>
      </c>
    </row>
    <row r="36">
      <c r="O36" s="31">
        <f>L5</f>
        <v/>
      </c>
      <c r="Q36" s="31">
        <f>$L10</f>
        <v/>
      </c>
      <c r="S36" s="31">
        <f>$L15</f>
        <v/>
      </c>
    </row>
    <row r="38">
      <c r="O38" s="28" t="inlineStr">
        <is>
          <t>ANALYST3</t>
        </is>
      </c>
      <c r="Q38" s="28" t="inlineStr">
        <is>
          <t>REPORTER2</t>
        </is>
      </c>
      <c r="S38" s="28" t="inlineStr">
        <is>
          <t>MISC_TALENT3</t>
        </is>
      </c>
    </row>
    <row r="39">
      <c r="O39" s="30">
        <f>B6</f>
        <v/>
      </c>
      <c r="Q39" s="30">
        <f>$B11</f>
        <v/>
      </c>
      <c r="S39" s="30">
        <f>$B16</f>
        <v/>
      </c>
    </row>
    <row r="40">
      <c r="O40" s="30">
        <f>B7</f>
        <v/>
      </c>
      <c r="Q40" s="30">
        <f>$C11</f>
        <v/>
      </c>
      <c r="S40" s="30">
        <f>$C16</f>
        <v/>
      </c>
    </row>
    <row r="41">
      <c r="O41" s="29">
        <f>E6</f>
        <v/>
      </c>
      <c r="Q41" s="29">
        <f>$E11</f>
        <v/>
      </c>
      <c r="S41" s="29">
        <f>$E16</f>
        <v/>
      </c>
    </row>
    <row r="42">
      <c r="O42" s="30">
        <f>F6</f>
        <v/>
      </c>
      <c r="Q42" s="30">
        <f>$F11</f>
        <v/>
      </c>
      <c r="S42" s="30">
        <f>$F16</f>
        <v/>
      </c>
    </row>
    <row r="43">
      <c r="O43" s="30">
        <f>G6</f>
        <v/>
      </c>
      <c r="Q43" s="30">
        <f>$G11</f>
        <v/>
      </c>
      <c r="S43" s="30">
        <f>$G16</f>
        <v/>
      </c>
    </row>
    <row r="44">
      <c r="O44" s="30">
        <f>H6</f>
        <v/>
      </c>
      <c r="Q44" s="30">
        <f>$H11</f>
        <v/>
      </c>
      <c r="S44" s="30">
        <f>$H16</f>
        <v/>
      </c>
    </row>
    <row r="45">
      <c r="O45" s="30">
        <f>I6</f>
        <v/>
      </c>
      <c r="Q45" s="30">
        <f>$I11</f>
        <v/>
      </c>
      <c r="S45" s="30">
        <f>$I16</f>
        <v/>
      </c>
    </row>
    <row r="46">
      <c r="O46" s="30">
        <f>J6</f>
        <v/>
      </c>
      <c r="Q46" s="30">
        <f>$J11</f>
        <v/>
      </c>
      <c r="S46" s="30">
        <f>$J16</f>
        <v/>
      </c>
    </row>
    <row r="47">
      <c r="O47" s="30">
        <f>K6</f>
        <v/>
      </c>
      <c r="Q47" s="30">
        <f>$K11</f>
        <v/>
      </c>
      <c r="S47" s="30">
        <f>$K16</f>
        <v/>
      </c>
    </row>
    <row r="48">
      <c r="O48" s="31">
        <f>L6</f>
        <v/>
      </c>
      <c r="Q48" s="31">
        <f>$L11</f>
        <v/>
      </c>
      <c r="S48" s="31">
        <f>$L16</f>
        <v/>
      </c>
    </row>
  </sheetData>
  <mergeCells count="4">
    <mergeCell ref="B23:C23"/>
    <mergeCell ref="B21:C21"/>
    <mergeCell ref="B22:C22"/>
    <mergeCell ref="B24:C24"/>
  </mergeCells>
  <dataValidations count="1">
    <dataValidation sqref="B20" showDropDown="0" showInputMessage="1" showErrorMessage="1" allowBlank="1" type="list">
      <formula1>$U$27:$U$35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topLeftCell="A4" workbookViewId="0">
      <selection activeCell="C8" sqref="C8:C28"/>
    </sheetView>
  </sheetViews>
  <sheetFormatPr baseColWidth="8" defaultRowHeight="15"/>
  <cols>
    <col width="5.5703125" bestFit="1" customWidth="1" min="1" max="1"/>
    <col width="24" bestFit="1" customWidth="1" min="2" max="2"/>
    <col width="20.7109375" customWidth="1" min="3" max="6"/>
    <col hidden="1" width="33" customWidth="1" min="8" max="8"/>
    <col width="2.7109375" customWidth="1" min="9" max="9"/>
    <col hidden="1" width="43.28515625" customWidth="1" min="10" max="10"/>
  </cols>
  <sheetData>
    <row r="1">
      <c r="B1" s="32" t="inlineStr">
        <is>
          <t>CONFERENCE STANDINGS</t>
        </is>
      </c>
      <c r="H1" t="inlineStr">
        <is>
          <t>CONF_LOGO_PATH</t>
        </is>
      </c>
      <c r="J1" t="inlineStr">
        <is>
          <t>CONFERENCE_LOGO</t>
        </is>
      </c>
    </row>
    <row r="2">
      <c r="H2" t="inlineStr">
        <is>
          <t>D:\IMS IMAGES\CONFERENCE\PRIMARY\</t>
        </is>
      </c>
      <c r="J2">
        <f>H2&amp;B6&amp;".PNG"</f>
        <v/>
      </c>
    </row>
    <row r="3">
      <c r="B3" s="124" t="inlineStr">
        <is>
          <t>Conference Name</t>
        </is>
      </c>
      <c r="C3" s="124" t="inlineStr">
        <is>
          <t>Top Division:</t>
        </is>
      </c>
      <c r="D3" s="125" t="inlineStr">
        <is>
          <t>Bottom Division:</t>
        </is>
      </c>
      <c r="F3" s="124" t="inlineStr">
        <is>
          <t>Row to Start Bottom?</t>
        </is>
      </c>
    </row>
    <row r="4">
      <c r="B4" s="37" t="inlineStr">
        <is>
          <t>CONFERENCE USA</t>
        </is>
      </c>
      <c r="C4" s="37" t="inlineStr">
        <is>
          <t>EAST</t>
        </is>
      </c>
      <c r="D4" s="36" t="inlineStr">
        <is>
          <t>WEST</t>
        </is>
      </c>
      <c r="F4" s="123" t="n">
        <v>6</v>
      </c>
    </row>
    <row r="5">
      <c r="B5" s="126" t="inlineStr">
        <is>
          <t>Conference Logo</t>
        </is>
      </c>
      <c r="C5" s="2" t="n"/>
      <c r="D5" s="2" t="n"/>
      <c r="H5" s="32" t="inlineStr">
        <is>
          <t>CONF_START_ROW</t>
        </is>
      </c>
    </row>
    <row r="6">
      <c r="B6" s="38" t="inlineStr">
        <is>
          <t>CUSA</t>
        </is>
      </c>
      <c r="C6" s="2" t="n"/>
      <c r="H6" s="50" t="n">
        <v>6</v>
      </c>
    </row>
    <row r="7">
      <c r="B7" s="2" t="n"/>
      <c r="C7" s="2" t="n"/>
      <c r="H7" s="50" t="n">
        <v>7</v>
      </c>
    </row>
    <row r="8">
      <c r="A8" s="39" t="inlineStr">
        <is>
          <t>Rank</t>
        </is>
      </c>
      <c r="B8" s="124" t="inlineStr">
        <is>
          <t>Team Name</t>
        </is>
      </c>
      <c r="C8" s="127" t="inlineStr">
        <is>
          <t>Team Tri-Code</t>
        </is>
      </c>
      <c r="D8" s="124" t="inlineStr">
        <is>
          <t>Conf. Record</t>
        </is>
      </c>
      <c r="E8" s="124" t="inlineStr">
        <is>
          <t>Points</t>
        </is>
      </c>
      <c r="F8" s="128" t="inlineStr">
        <is>
          <t>Logos</t>
        </is>
      </c>
      <c r="H8" s="50" t="n">
        <v>8</v>
      </c>
    </row>
    <row r="9">
      <c r="A9" s="40" t="n">
        <v>1</v>
      </c>
      <c r="B9" s="41" t="inlineStr">
        <is>
          <t>Team1</t>
        </is>
      </c>
      <c r="C9" s="40" t="n"/>
      <c r="D9" s="42" t="n"/>
      <c r="E9" s="42" t="n"/>
      <c r="F9" s="43" t="inlineStr">
        <is>
          <t>BLANK_DUMMY</t>
        </is>
      </c>
    </row>
    <row r="10">
      <c r="A10" s="40" t="n">
        <v>2</v>
      </c>
      <c r="B10" s="41" t="inlineStr">
        <is>
          <t>Team2</t>
        </is>
      </c>
      <c r="C10" s="40" t="n"/>
      <c r="D10" s="42" t="n"/>
      <c r="E10" s="42" t="n"/>
      <c r="F10" s="43" t="inlineStr">
        <is>
          <t>BLANK_DUMMY</t>
        </is>
      </c>
    </row>
    <row r="11">
      <c r="A11" s="40" t="n">
        <v>3</v>
      </c>
      <c r="B11" s="41" t="inlineStr">
        <is>
          <t>Team3</t>
        </is>
      </c>
      <c r="C11" s="40" t="n"/>
      <c r="D11" s="42" t="n"/>
      <c r="E11" s="42" t="n"/>
      <c r="F11" s="43" t="inlineStr">
        <is>
          <t>BLANK_DUMMY</t>
        </is>
      </c>
    </row>
    <row r="12">
      <c r="A12" s="40" t="n">
        <v>4</v>
      </c>
      <c r="B12" s="41" t="inlineStr">
        <is>
          <t>Team4</t>
        </is>
      </c>
      <c r="C12" s="40" t="n"/>
      <c r="D12" s="42" t="n"/>
      <c r="E12" s="42" t="n"/>
      <c r="F12" s="43" t="inlineStr">
        <is>
          <t>BLANK_DUMMY</t>
        </is>
      </c>
    </row>
    <row r="13">
      <c r="A13" s="40" t="n">
        <v>5</v>
      </c>
      <c r="B13" s="41" t="inlineStr">
        <is>
          <t>Team5</t>
        </is>
      </c>
      <c r="C13" s="40" t="n"/>
      <c r="D13" s="42" t="n"/>
      <c r="E13" s="42" t="n"/>
      <c r="F13" s="43" t="inlineStr">
        <is>
          <t>BLANK_DUMMY</t>
        </is>
      </c>
    </row>
    <row r="14">
      <c r="A14" s="40" t="n">
        <v>6</v>
      </c>
      <c r="B14" s="41" t="inlineStr">
        <is>
          <t>Team6</t>
        </is>
      </c>
      <c r="C14" s="40" t="n"/>
      <c r="D14" s="42" t="n"/>
      <c r="E14" s="42" t="n"/>
      <c r="F14" s="43" t="inlineStr">
        <is>
          <t>BLANK_DUMMY</t>
        </is>
      </c>
    </row>
    <row r="15">
      <c r="A15" s="40" t="n">
        <v>7</v>
      </c>
      <c r="B15" s="41" t="inlineStr">
        <is>
          <t>Team7</t>
        </is>
      </c>
      <c r="C15" s="40" t="n"/>
      <c r="D15" s="42" t="n"/>
      <c r="E15" s="42" t="n"/>
      <c r="F15" s="43" t="inlineStr">
        <is>
          <t>BLANK_DUMMY</t>
        </is>
      </c>
    </row>
    <row r="16">
      <c r="A16" s="40" t="n">
        <v>8</v>
      </c>
      <c r="B16" s="41" t="inlineStr">
        <is>
          <t>Team8</t>
        </is>
      </c>
      <c r="C16" s="40" t="n"/>
      <c r="D16" s="42" t="n"/>
      <c r="E16" s="42" t="n"/>
      <c r="F16" s="43" t="inlineStr">
        <is>
          <t>BLANK_DUMMY</t>
        </is>
      </c>
    </row>
    <row r="17">
      <c r="A17" s="40" t="n">
        <v>9</v>
      </c>
      <c r="B17" s="41" t="inlineStr">
        <is>
          <t>Team9</t>
        </is>
      </c>
      <c r="C17" s="40" t="n"/>
      <c r="D17" s="42" t="n"/>
      <c r="E17" s="42" t="n"/>
      <c r="F17" s="43" t="inlineStr">
        <is>
          <t>BLANK_DUMMY</t>
        </is>
      </c>
    </row>
    <row r="18">
      <c r="A18" s="40" t="n">
        <v>10</v>
      </c>
      <c r="B18" s="41" t="inlineStr">
        <is>
          <t>Team10</t>
        </is>
      </c>
      <c r="C18" s="40" t="n"/>
      <c r="D18" s="42" t="n"/>
      <c r="E18" s="42" t="n"/>
      <c r="F18" s="43" t="inlineStr">
        <is>
          <t>BLANK_DUMMY</t>
        </is>
      </c>
    </row>
    <row r="19">
      <c r="A19" s="40" t="n">
        <v>11</v>
      </c>
      <c r="B19" s="41" t="inlineStr">
        <is>
          <t>Team11</t>
        </is>
      </c>
      <c r="C19" s="40" t="n"/>
      <c r="D19" s="42" t="n"/>
      <c r="E19" s="42" t="n"/>
      <c r="F19" s="43" t="inlineStr">
        <is>
          <t>BLANK_DUMMY</t>
        </is>
      </c>
    </row>
    <row r="20">
      <c r="A20" s="40" t="n">
        <v>12</v>
      </c>
      <c r="B20" s="41" t="inlineStr">
        <is>
          <t>Team12</t>
        </is>
      </c>
      <c r="C20" s="40" t="n"/>
      <c r="D20" s="42" t="n"/>
      <c r="E20" s="42" t="n"/>
      <c r="F20" s="43" t="inlineStr">
        <is>
          <t>BLANK_DUMMY</t>
        </is>
      </c>
    </row>
    <row r="21">
      <c r="A21" s="40" t="n">
        <v>13</v>
      </c>
      <c r="B21" s="41" t="inlineStr">
        <is>
          <t>Team13</t>
        </is>
      </c>
      <c r="C21" s="40" t="n"/>
      <c r="D21" s="42" t="n"/>
      <c r="E21" s="42" t="n"/>
      <c r="F21" s="43" t="inlineStr">
        <is>
          <t>BLANK_DUMMY</t>
        </is>
      </c>
    </row>
    <row r="22">
      <c r="A22" s="40" t="n">
        <v>14</v>
      </c>
      <c r="B22" s="41" t="inlineStr">
        <is>
          <t>Team14</t>
        </is>
      </c>
      <c r="C22" s="40" t="n"/>
      <c r="D22" s="42" t="n"/>
      <c r="E22" s="42" t="n"/>
      <c r="F22" s="43" t="inlineStr">
        <is>
          <t>BLANK_DUMMY</t>
        </is>
      </c>
    </row>
    <row r="23">
      <c r="A23" s="40" t="n">
        <v>15</v>
      </c>
      <c r="B23" s="41" t="inlineStr">
        <is>
          <t>Team15</t>
        </is>
      </c>
      <c r="C23" s="40" t="n"/>
      <c r="D23" s="42" t="n"/>
      <c r="E23" s="42" t="n"/>
      <c r="F23" s="43" t="inlineStr">
        <is>
          <t>BLANK_DUMMY</t>
        </is>
      </c>
    </row>
    <row r="24">
      <c r="A24" s="40" t="n">
        <v>16</v>
      </c>
      <c r="B24" s="41" t="inlineStr">
        <is>
          <t>Team16</t>
        </is>
      </c>
      <c r="C24" s="40" t="n"/>
      <c r="D24" s="42" t="n"/>
      <c r="E24" s="42" t="n"/>
      <c r="F24" s="43" t="inlineStr">
        <is>
          <t>BLANK_DUMMY</t>
        </is>
      </c>
    </row>
    <row r="25">
      <c r="A25" s="40" t="n">
        <v>17</v>
      </c>
      <c r="B25" s="41" t="inlineStr">
        <is>
          <t>Team17</t>
        </is>
      </c>
      <c r="C25" s="40" t="n"/>
      <c r="D25" s="42" t="n"/>
      <c r="E25" s="42" t="n"/>
      <c r="F25" s="43" t="inlineStr">
        <is>
          <t>BLANK_DUMMY</t>
        </is>
      </c>
    </row>
    <row r="26">
      <c r="A26" s="40" t="n">
        <v>18</v>
      </c>
      <c r="B26" s="41" t="inlineStr">
        <is>
          <t>Team18</t>
        </is>
      </c>
      <c r="C26" s="40" t="n"/>
      <c r="D26" s="42" t="n"/>
      <c r="E26" s="42" t="n"/>
      <c r="F26" s="43" t="inlineStr">
        <is>
          <t>BLANK_DUMMY</t>
        </is>
      </c>
    </row>
    <row r="27">
      <c r="A27" s="40" t="n">
        <v>19</v>
      </c>
      <c r="B27" s="41" t="inlineStr">
        <is>
          <t>Team19</t>
        </is>
      </c>
      <c r="C27" s="40" t="n"/>
      <c r="D27" s="42" t="n"/>
      <c r="E27" s="42" t="n"/>
      <c r="F27" s="43" t="inlineStr">
        <is>
          <t>BLANK_DUMMY</t>
        </is>
      </c>
    </row>
    <row r="28">
      <c r="A28" s="40" t="n">
        <v>20</v>
      </c>
      <c r="B28" s="41" t="inlineStr">
        <is>
          <t>Team20</t>
        </is>
      </c>
      <c r="C28" s="40" t="n"/>
      <c r="D28" s="42" t="n"/>
      <c r="E28" s="42" t="n"/>
      <c r="F28" s="43" t="inlineStr">
        <is>
          <t>BLANK_DUMMY</t>
        </is>
      </c>
    </row>
    <row r="30">
      <c r="B30" s="130" t="inlineStr">
        <is>
          <t>5950      Tomb – Up to 10, conference only</t>
        </is>
      </c>
      <c r="C30" s="48" t="n"/>
      <c r="D30" s="48" t="n"/>
      <c r="E30" s="48" t="n"/>
      <c r="F30" s="48" t="n"/>
      <c r="G30" s="48" t="n"/>
    </row>
    <row r="31">
      <c r="B31" s="130" t="inlineStr">
        <is>
          <t>5951      Tomb – Up to 10, conf. &amp; overall</t>
        </is>
      </c>
      <c r="C31" s="48" t="n"/>
      <c r="D31" s="48" t="n"/>
      <c r="E31" s="48" t="n"/>
      <c r="F31" s="48" t="n"/>
      <c r="G31" s="48" t="n"/>
    </row>
    <row r="32">
      <c r="B32" s="130" t="inlineStr">
        <is>
          <t>5952      Tomb – Top 7 or 8, conf. only</t>
        </is>
      </c>
    </row>
    <row r="33">
      <c r="B33" s="130" t="inlineStr">
        <is>
          <t>5953      Tomb – Bottom 6 or 7, conf. only</t>
        </is>
      </c>
    </row>
    <row r="34">
      <c r="B34" s="129" t="inlineStr">
        <is>
          <t>5954      FS – Up to 12, conf. only</t>
        </is>
      </c>
    </row>
    <row r="35">
      <c r="B35" s="129" t="inlineStr">
        <is>
          <t>5955      FS – 13 (7 on left, 6 on right), conf. only</t>
        </is>
      </c>
    </row>
    <row r="36">
      <c r="B36" s="129" t="inlineStr">
        <is>
          <t>5956      FS – 14 (7 on each side), conf. only</t>
        </is>
      </c>
    </row>
    <row r="37">
      <c r="B37" s="129" t="inlineStr">
        <is>
          <t>5957      FS – 15 (8 on left, 7 on right), conf. only</t>
        </is>
      </c>
    </row>
    <row r="38">
      <c r="B38" s="1" t="inlineStr">
        <is>
          <t>5958      FS - 16 (8 on each side) Conf only</t>
        </is>
      </c>
    </row>
    <row r="39">
      <c r="B39" s="129" t="inlineStr">
        <is>
          <t>5964      FS – Up to 12, conf. &amp; overall</t>
        </is>
      </c>
    </row>
    <row r="40">
      <c r="B40" s="129" t="inlineStr">
        <is>
          <t>5965      FS – 13 (7 on left, 6 on right), conf. &amp; overall</t>
        </is>
      </c>
    </row>
    <row r="41">
      <c r="B41" s="129" t="inlineStr">
        <is>
          <t>5966      FS – 14 (7 on each side), conf. &amp; overall</t>
        </is>
      </c>
    </row>
    <row r="42">
      <c r="B42" s="129" t="inlineStr">
        <is>
          <t>5967      FS – 15 (8 on left, 7 on right), conf. &amp; overall</t>
        </is>
      </c>
    </row>
    <row r="43">
      <c r="B43" s="1" t="inlineStr">
        <is>
          <t>5968      FS - 16 (8 on each side) Conf &amp; overall</t>
        </is>
      </c>
    </row>
  </sheetData>
  <dataValidations count="4">
    <dataValidation sqref="C4:D4" showDropDown="0" showInputMessage="0" showErrorMessage="1" allowBlank="1"/>
    <dataValidation sqref="F9:F28" showDropDown="0" showInputMessage="0" showErrorMessage="1" allowBlank="1" type="list">
      <formula1>ZZZ_TEAM_LOGO</formula1>
    </dataValidation>
    <dataValidation sqref="B6" showDropDown="0" showInputMessage="1" showErrorMessage="1" allowBlank="1" type="list">
      <formula1>ZZZ_CONFERENCE_LOGO</formula1>
    </dataValidation>
    <dataValidation sqref="F4" showDropDown="0" showInputMessage="1" showErrorMessage="1" allowBlank="1" type="list">
      <formula1>$H$6:$H$8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topLeftCell="A7" workbookViewId="0">
      <selection activeCell="A30" sqref="A30:XFD33"/>
    </sheetView>
  </sheetViews>
  <sheetFormatPr baseColWidth="8" defaultRowHeight="15"/>
  <cols>
    <col width="20.7109375" customWidth="1" min="1" max="1"/>
    <col width="33.28515625" customWidth="1" min="2" max="2"/>
    <col width="20.7109375" customWidth="1" min="3" max="4"/>
    <col hidden="1" width="9.5703125" customWidth="1" min="5" max="5"/>
    <col hidden="1" width="33.140625" customWidth="1" min="6" max="6"/>
    <col hidden="1" width="12.7109375" customWidth="1" min="7" max="7"/>
    <col hidden="1" width="16.140625" customWidth="1" min="8" max="8"/>
    <col hidden="1" width="28.85546875" customWidth="1" min="9" max="9"/>
    <col hidden="1" width="2.7109375" customWidth="1" min="10" max="10"/>
    <col hidden="1" width="57.42578125" customWidth="1" min="11" max="11"/>
    <col hidden="1" width="2.7109375" customWidth="1" min="12" max="12"/>
    <col hidden="1" width="32.7109375" customWidth="1" min="13" max="13"/>
  </cols>
  <sheetData>
    <row r="1">
      <c r="A1" s="35" t="inlineStr">
        <is>
          <t>Header</t>
        </is>
      </c>
      <c r="B1" s="152" t="inlineStr">
        <is>
          <t>AVCA Coaches Poll</t>
        </is>
      </c>
      <c r="C1" s="163" t="n"/>
    </row>
    <row r="2">
      <c r="A2" s="35" t="inlineStr">
        <is>
          <t>Subhead</t>
        </is>
      </c>
      <c r="B2" s="153" t="inlineStr"/>
      <c r="C2" s="163" t="n"/>
      <c r="K2" s="46" t="inlineStr">
        <is>
          <t>TOP_25_NETWORK_LOGO</t>
        </is>
      </c>
      <c r="M2" t="inlineStr">
        <is>
          <t>NETWORK_PATH</t>
        </is>
      </c>
    </row>
    <row r="3">
      <c r="A3" s="65" t="inlineStr">
        <is>
          <t>Num</t>
        </is>
      </c>
      <c r="B3" s="64" t="inlineStr">
        <is>
          <t>Team (CAPS)</t>
        </is>
      </c>
      <c r="C3" s="65" t="inlineStr">
        <is>
          <t>Logo</t>
        </is>
      </c>
      <c r="D3" s="98" t="inlineStr">
        <is>
          <t>W-L</t>
        </is>
      </c>
      <c r="E3" s="4" t="inlineStr">
        <is>
          <t>AT_VS</t>
        </is>
      </c>
      <c r="F3" s="4" t="inlineStr">
        <is>
          <t>OPPONENT</t>
        </is>
      </c>
      <c r="G3" s="4" t="inlineStr">
        <is>
          <t>OPP_W_L</t>
        </is>
      </c>
      <c r="H3" s="4" t="inlineStr">
        <is>
          <t>TIME</t>
        </is>
      </c>
      <c r="I3" s="4" t="inlineStr">
        <is>
          <t>NETWORK</t>
        </is>
      </c>
      <c r="K3" s="33">
        <f>$M$3&amp;I4&amp;".png"</f>
        <v/>
      </c>
      <c r="M3" s="34" t="inlineStr">
        <is>
          <t>D:\IMS IMAGES\NETWORK\LOGOS\</t>
        </is>
      </c>
    </row>
    <row r="4">
      <c r="A4" s="5" t="n">
        <v>1</v>
      </c>
      <c r="B4" s="6" t="inlineStr">
        <is>
          <t>DUKE</t>
        </is>
      </c>
      <c r="C4" s="8" t="inlineStr">
        <is>
          <t>DUKE</t>
        </is>
      </c>
      <c r="D4" s="7" t="n"/>
      <c r="E4" s="7" t="n"/>
      <c r="F4" s="99">
        <f>A4&amp;". " &amp; B4</f>
        <v/>
      </c>
      <c r="G4" s="7" t="n"/>
      <c r="H4" s="7" t="n"/>
      <c r="I4" s="7" t="inlineStr">
        <is>
          <t>ABC</t>
        </is>
      </c>
      <c r="K4" s="33">
        <f>$M$3&amp;I5&amp;".png"</f>
        <v/>
      </c>
    </row>
    <row r="5">
      <c r="A5" s="5" t="n">
        <v>2</v>
      </c>
      <c r="B5" s="6" t="inlineStr">
        <is>
          <t>MICHIGAN ST</t>
        </is>
      </c>
      <c r="C5" s="8" t="inlineStr">
        <is>
          <t>MICHIGAN_ST</t>
        </is>
      </c>
      <c r="D5" s="7" t="n"/>
      <c r="E5" s="7" t="n"/>
      <c r="F5" s="99">
        <f>A5&amp;". " &amp; B5</f>
        <v/>
      </c>
      <c r="G5" s="7" t="n"/>
      <c r="H5" s="7" t="n"/>
      <c r="I5" s="7" t="inlineStr">
        <is>
          <t>ABC</t>
        </is>
      </c>
      <c r="K5" s="33">
        <f>$M$3&amp;I6&amp;".png"</f>
        <v/>
      </c>
      <c r="M5" t="inlineStr">
        <is>
          <t>TOP_25_HEADER</t>
        </is>
      </c>
    </row>
    <row r="6">
      <c r="A6" s="5" t="n">
        <v>3</v>
      </c>
      <c r="B6" s="6" t="inlineStr">
        <is>
          <t>ARIZONA</t>
        </is>
      </c>
      <c r="C6" s="8" t="inlineStr">
        <is>
          <t>ARIZONA</t>
        </is>
      </c>
      <c r="D6" s="7" t="n"/>
      <c r="E6" s="7" t="n"/>
      <c r="F6" s="99">
        <f>A6&amp;". " &amp; B6</f>
        <v/>
      </c>
      <c r="G6" s="7" t="n"/>
      <c r="H6" s="7" t="n"/>
      <c r="I6" s="7" t="inlineStr">
        <is>
          <t>ABC</t>
        </is>
      </c>
      <c r="K6" s="33">
        <f>$M$3&amp;I7&amp;".png"</f>
        <v/>
      </c>
      <c r="M6">
        <f>B1</f>
        <v/>
      </c>
    </row>
    <row r="7">
      <c r="A7" s="5" t="n">
        <v>4</v>
      </c>
      <c r="B7" s="6" t="inlineStr">
        <is>
          <t>KANSAS</t>
        </is>
      </c>
      <c r="C7" s="8" t="inlineStr">
        <is>
          <t>KANSAS</t>
        </is>
      </c>
      <c r="D7" s="7" t="n"/>
      <c r="E7" s="7" t="n"/>
      <c r="F7" s="99">
        <f>A7&amp;". " &amp; B7</f>
        <v/>
      </c>
      <c r="G7" s="7" t="n"/>
      <c r="H7" s="7" t="n"/>
      <c r="I7" s="7" t="inlineStr">
        <is>
          <t>ABC</t>
        </is>
      </c>
      <c r="K7" s="33">
        <f>$M$3&amp;I8&amp;".png"</f>
        <v/>
      </c>
    </row>
    <row r="8">
      <c r="A8" s="5" t="n">
        <v>5</v>
      </c>
      <c r="B8" s="6" t="inlineStr">
        <is>
          <t>KENTUCKY</t>
        </is>
      </c>
      <c r="C8" s="8" t="inlineStr">
        <is>
          <t>KENTUCKY</t>
        </is>
      </c>
      <c r="D8" s="7" t="n"/>
      <c r="E8" s="7" t="n"/>
      <c r="F8" s="99">
        <f>A8&amp;". " &amp; B8</f>
        <v/>
      </c>
      <c r="G8" s="7" t="n"/>
      <c r="H8" s="7" t="n"/>
      <c r="I8" s="7" t="inlineStr">
        <is>
          <t>ABC</t>
        </is>
      </c>
      <c r="K8" s="33">
        <f>$M$3&amp;I9&amp;".png"</f>
        <v/>
      </c>
      <c r="M8" t="inlineStr">
        <is>
          <t>TOP_25_SUBHEAD</t>
        </is>
      </c>
    </row>
    <row r="9">
      <c r="A9" s="5" t="n">
        <v>6</v>
      </c>
      <c r="B9" s="6" t="inlineStr">
        <is>
          <t>VILLANOVA</t>
        </is>
      </c>
      <c r="C9" s="8" t="inlineStr">
        <is>
          <t>VILLANOVA</t>
        </is>
      </c>
      <c r="D9" s="7" t="n"/>
      <c r="E9" s="7" t="n"/>
      <c r="F9" s="99">
        <f>A9&amp;". " &amp; B9</f>
        <v/>
      </c>
      <c r="G9" s="7" t="n"/>
      <c r="H9" s="7" t="n"/>
      <c r="I9" s="7" t="inlineStr">
        <is>
          <t>ABC</t>
        </is>
      </c>
      <c r="K9" s="33">
        <f>$M$3&amp;I10&amp;".png"</f>
        <v/>
      </c>
      <c r="M9">
        <f>B2</f>
        <v/>
      </c>
    </row>
    <row r="10">
      <c r="A10" s="5" t="n">
        <v>7</v>
      </c>
      <c r="B10" s="6" t="inlineStr">
        <is>
          <t>WICHITA STATE</t>
        </is>
      </c>
      <c r="C10" s="8" t="inlineStr">
        <is>
          <t>WICHITA_ST</t>
        </is>
      </c>
      <c r="D10" s="7" t="n"/>
      <c r="E10" s="7" t="n"/>
      <c r="F10" s="99">
        <f>A10&amp;". " &amp; B10</f>
        <v/>
      </c>
      <c r="G10" s="7" t="n"/>
      <c r="H10" s="7" t="n"/>
      <c r="I10" s="7" t="inlineStr">
        <is>
          <t>ABC</t>
        </is>
      </c>
      <c r="K10" s="33">
        <f>$M$3&amp;I11&amp;".png"</f>
        <v/>
      </c>
    </row>
    <row r="11">
      <c r="A11" s="5" t="n">
        <v>8</v>
      </c>
      <c r="B11" s="6" t="inlineStr">
        <is>
          <t>FLORIDA</t>
        </is>
      </c>
      <c r="C11" s="8" t="inlineStr">
        <is>
          <t>FLORIDA</t>
        </is>
      </c>
      <c r="D11" s="7" t="n"/>
      <c r="E11" s="7" t="n"/>
      <c r="F11" s="99">
        <f>A11&amp;". " &amp; B11</f>
        <v/>
      </c>
      <c r="G11" s="7" t="n"/>
      <c r="H11" s="7" t="n"/>
      <c r="I11" s="7" t="inlineStr">
        <is>
          <t>ABC</t>
        </is>
      </c>
      <c r="K11" s="33">
        <f>$M$3&amp;I12&amp;".png"</f>
        <v/>
      </c>
    </row>
    <row r="12">
      <c r="A12" s="5" t="n">
        <v>9</v>
      </c>
      <c r="B12" s="6" t="inlineStr">
        <is>
          <t>NORTH CAROLINA</t>
        </is>
      </c>
      <c r="C12" s="8" t="inlineStr">
        <is>
          <t>NORTH_CAROLINA</t>
        </is>
      </c>
      <c r="D12" s="7" t="n"/>
      <c r="E12" s="7" t="n"/>
      <c r="F12" s="99">
        <f>A12&amp;". " &amp; B12</f>
        <v/>
      </c>
      <c r="G12" s="7" t="n"/>
      <c r="H12" s="7" t="n"/>
      <c r="I12" s="7" t="inlineStr">
        <is>
          <t>ABC</t>
        </is>
      </c>
      <c r="K12" s="33">
        <f>$M$3&amp;I13&amp;".png"</f>
        <v/>
      </c>
    </row>
    <row r="13">
      <c r="A13" s="5" t="n">
        <v>10</v>
      </c>
      <c r="B13" s="6" t="inlineStr">
        <is>
          <t>USC</t>
        </is>
      </c>
      <c r="C13" s="8" t="inlineStr">
        <is>
          <t>USC</t>
        </is>
      </c>
      <c r="D13" s="7" t="n"/>
      <c r="E13" s="7" t="n"/>
      <c r="F13" s="99">
        <f>A13&amp;". " &amp; B13</f>
        <v/>
      </c>
      <c r="G13" s="7" t="n"/>
      <c r="H13" s="7" t="n"/>
      <c r="I13" s="7" t="inlineStr">
        <is>
          <t>ABC</t>
        </is>
      </c>
      <c r="K13" s="33">
        <f>$M$3&amp;I14&amp;".png"</f>
        <v/>
      </c>
    </row>
    <row r="14">
      <c r="A14" s="5" t="n">
        <v>11</v>
      </c>
      <c r="B14" s="6" t="inlineStr">
        <is>
          <t>WEST VIRGINIA</t>
        </is>
      </c>
      <c r="C14" s="8" t="inlineStr">
        <is>
          <t>WEST_VIRGINIA</t>
        </is>
      </c>
      <c r="D14" s="7" t="n"/>
      <c r="E14" s="7" t="n"/>
      <c r="F14" s="99">
        <f>A14&amp;". " &amp; B14</f>
        <v/>
      </c>
      <c r="G14" s="7" t="n"/>
      <c r="H14" s="7" t="n"/>
      <c r="I14" s="7" t="inlineStr">
        <is>
          <t>ABC</t>
        </is>
      </c>
      <c r="K14" s="33">
        <f>$M$3&amp;I15&amp;".png"</f>
        <v/>
      </c>
    </row>
    <row r="15">
      <c r="A15" s="5" t="n">
        <v>12</v>
      </c>
      <c r="B15" s="6" t="inlineStr">
        <is>
          <t>CINCINNATI</t>
        </is>
      </c>
      <c r="C15" s="8" t="inlineStr">
        <is>
          <t>CINCINNATI</t>
        </is>
      </c>
      <c r="D15" s="7" t="n"/>
      <c r="E15" s="7" t="n"/>
      <c r="F15" s="99">
        <f>A15&amp;". " &amp; B15</f>
        <v/>
      </c>
      <c r="G15" s="7" t="n"/>
      <c r="H15" s="7" t="n"/>
      <c r="I15" s="7" t="inlineStr">
        <is>
          <t>ABC</t>
        </is>
      </c>
      <c r="K15" s="33">
        <f>$M$3&amp;I16&amp;".png"</f>
        <v/>
      </c>
    </row>
    <row r="16">
      <c r="A16" s="5" t="n">
        <v>13</v>
      </c>
      <c r="B16" s="6" t="inlineStr">
        <is>
          <t>MIAMI</t>
        </is>
      </c>
      <c r="C16" s="8" t="inlineStr">
        <is>
          <t>MIAMI_FL</t>
        </is>
      </c>
      <c r="D16" s="7" t="n"/>
      <c r="E16" s="7" t="n"/>
      <c r="F16" s="99">
        <f>A16&amp;". " &amp; B16</f>
        <v/>
      </c>
      <c r="G16" s="7" t="n"/>
      <c r="H16" s="7" t="n"/>
      <c r="I16" s="7" t="inlineStr">
        <is>
          <t>ABC</t>
        </is>
      </c>
      <c r="K16" s="33">
        <f>$M$3&amp;I17&amp;".png"</f>
        <v/>
      </c>
    </row>
    <row r="17">
      <c r="A17" s="5" t="n">
        <v>14</v>
      </c>
      <c r="B17" s="6" t="inlineStr">
        <is>
          <t>NOTRE DAME</t>
        </is>
      </c>
      <c r="C17" s="8" t="inlineStr">
        <is>
          <t>NOTRE_DAME</t>
        </is>
      </c>
      <c r="D17" s="7" t="n"/>
      <c r="E17" s="7" t="n"/>
      <c r="F17" s="99">
        <f>A17&amp;". " &amp; B17</f>
        <v/>
      </c>
      <c r="G17" s="7" t="n"/>
      <c r="H17" s="7" t="n"/>
      <c r="I17" s="7" t="inlineStr">
        <is>
          <t>ABC</t>
        </is>
      </c>
      <c r="K17" s="33">
        <f>$M$3&amp;I18&amp;".png"</f>
        <v/>
      </c>
    </row>
    <row r="18">
      <c r="A18" s="5" t="n">
        <v>15</v>
      </c>
      <c r="B18" s="6" t="inlineStr">
        <is>
          <t>MINNESOTA</t>
        </is>
      </c>
      <c r="C18" s="8" t="inlineStr">
        <is>
          <t>MINNESOTA</t>
        </is>
      </c>
      <c r="D18" s="7" t="n"/>
      <c r="E18" s="7" t="n"/>
      <c r="F18" s="99">
        <f>A18&amp;". " &amp; B18</f>
        <v/>
      </c>
      <c r="G18" s="7" t="n"/>
      <c r="H18" s="7" t="n"/>
      <c r="I18" s="7" t="inlineStr">
        <is>
          <t>ABC</t>
        </is>
      </c>
      <c r="K18" s="33">
        <f>$M$3&amp;I19&amp;".png"</f>
        <v/>
      </c>
    </row>
    <row r="19">
      <c r="A19" s="5" t="n">
        <v>16</v>
      </c>
      <c r="B19" s="6" t="inlineStr">
        <is>
          <t>LOUISVILLE</t>
        </is>
      </c>
      <c r="C19" s="8" t="inlineStr">
        <is>
          <t>LOUISVILLE</t>
        </is>
      </c>
      <c r="D19" s="7" t="n"/>
      <c r="E19" s="7" t="n"/>
      <c r="F19" s="99">
        <f>A19&amp;". " &amp; B19</f>
        <v/>
      </c>
      <c r="G19" s="7" t="n"/>
      <c r="H19" s="7" t="n"/>
      <c r="I19" s="7" t="inlineStr">
        <is>
          <t>ABC</t>
        </is>
      </c>
      <c r="K19" s="33">
        <f>$M$3&amp;I20&amp;".png"</f>
        <v/>
      </c>
    </row>
    <row r="20">
      <c r="A20" s="5" t="n">
        <v>17</v>
      </c>
      <c r="B20" s="6" t="inlineStr">
        <is>
          <t>XAVIER</t>
        </is>
      </c>
      <c r="C20" s="8" t="inlineStr">
        <is>
          <t>XAVIER</t>
        </is>
      </c>
      <c r="D20" s="7" t="n"/>
      <c r="E20" s="7" t="n"/>
      <c r="F20" s="99">
        <f>A20&amp;". " &amp; B20</f>
        <v/>
      </c>
      <c r="G20" s="7" t="n"/>
      <c r="H20" s="7" t="n"/>
      <c r="I20" s="7" t="inlineStr">
        <is>
          <t>ABC</t>
        </is>
      </c>
      <c r="K20" s="33">
        <f>$M$3&amp;I21&amp;".png"</f>
        <v/>
      </c>
    </row>
    <row r="21">
      <c r="A21" s="5" t="n">
        <v>18</v>
      </c>
      <c r="B21" s="6" t="inlineStr">
        <is>
          <t>GONZAGA</t>
        </is>
      </c>
      <c r="C21" s="8" t="inlineStr">
        <is>
          <t>GONZAGA</t>
        </is>
      </c>
      <c r="D21" s="7" t="n"/>
      <c r="E21" s="7" t="n"/>
      <c r="F21" s="99">
        <f>A21&amp;". " &amp; B21</f>
        <v/>
      </c>
      <c r="G21" s="7" t="n"/>
      <c r="H21" s="7" t="n"/>
      <c r="I21" s="7" t="inlineStr">
        <is>
          <t>ABC</t>
        </is>
      </c>
      <c r="K21" s="33">
        <f>$M$3&amp;I22&amp;".png"</f>
        <v/>
      </c>
    </row>
    <row r="22">
      <c r="A22" s="9" t="n">
        <v>19</v>
      </c>
      <c r="B22" s="10" t="inlineStr">
        <is>
          <t>NORTHWESTERN</t>
        </is>
      </c>
      <c r="C22" s="12" t="inlineStr">
        <is>
          <t>NORTHWESTERN</t>
        </is>
      </c>
      <c r="D22" s="11" t="n"/>
      <c r="E22" s="11" t="n"/>
      <c r="F22" s="99">
        <f>A22&amp;". " &amp; B22</f>
        <v/>
      </c>
      <c r="G22" s="11" t="n"/>
      <c r="H22" s="11" t="n"/>
      <c r="I22" s="11" t="inlineStr">
        <is>
          <t>ABC</t>
        </is>
      </c>
      <c r="K22" s="33">
        <f>$M$3&amp;I23&amp;".png"</f>
        <v/>
      </c>
    </row>
    <row r="23">
      <c r="A23" s="5" t="n">
        <v>20</v>
      </c>
      <c r="B23" s="6" t="inlineStr">
        <is>
          <t>PURDUE</t>
        </is>
      </c>
      <c r="C23" s="8" t="inlineStr">
        <is>
          <t>PURDUE</t>
        </is>
      </c>
      <c r="D23" s="7" t="n"/>
      <c r="E23" s="7" t="n"/>
      <c r="F23" s="99">
        <f>A23&amp;". " &amp; B23</f>
        <v/>
      </c>
      <c r="G23" s="7" t="n"/>
      <c r="H23" s="7" t="n"/>
      <c r="I23" s="7" t="inlineStr">
        <is>
          <t>ABC</t>
        </is>
      </c>
      <c r="K23" s="33">
        <f>$M$3&amp;I24&amp;".png"</f>
        <v/>
      </c>
    </row>
    <row r="24">
      <c r="A24" s="5" t="n">
        <v>21</v>
      </c>
      <c r="B24" s="6" t="inlineStr">
        <is>
          <t>UCLA</t>
        </is>
      </c>
      <c r="C24" s="8" t="inlineStr">
        <is>
          <t>UCLA</t>
        </is>
      </c>
      <c r="D24" s="7" t="n"/>
      <c r="E24" s="7" t="n"/>
      <c r="F24" s="99">
        <f>A24&amp;". " &amp; B24</f>
        <v/>
      </c>
      <c r="G24" s="7" t="n"/>
      <c r="H24" s="7" t="n"/>
      <c r="I24" s="7" t="inlineStr">
        <is>
          <t>ABC</t>
        </is>
      </c>
      <c r="K24" s="33">
        <f>$M$3&amp;I25&amp;".png"</f>
        <v/>
      </c>
    </row>
    <row r="25">
      <c r="A25" s="5" t="n">
        <v>22</v>
      </c>
      <c r="B25" s="6" t="inlineStr">
        <is>
          <t>SAINT MARY'S</t>
        </is>
      </c>
      <c r="C25" s="8" t="inlineStr">
        <is>
          <t>SAINT_MARYS</t>
        </is>
      </c>
      <c r="D25" s="7" t="n"/>
      <c r="E25" s="7" t="n"/>
      <c r="F25" s="99">
        <f>A25&amp;". " &amp; B25</f>
        <v/>
      </c>
      <c r="G25" s="7" t="n"/>
      <c r="H25" s="7" t="n"/>
      <c r="I25" s="7" t="inlineStr">
        <is>
          <t>ABC</t>
        </is>
      </c>
      <c r="K25" s="33">
        <f>$M$3&amp;I26&amp;".png"</f>
        <v/>
      </c>
    </row>
    <row r="26">
      <c r="A26" s="5" t="n">
        <v>23</v>
      </c>
      <c r="B26" s="6" t="inlineStr">
        <is>
          <t>SETON HALL</t>
        </is>
      </c>
      <c r="C26" s="8" t="inlineStr">
        <is>
          <t>SETON_HALL</t>
        </is>
      </c>
      <c r="D26" s="7" t="n"/>
      <c r="E26" s="7" t="n"/>
      <c r="F26" s="99">
        <f>A26&amp;". " &amp; B26</f>
        <v/>
      </c>
      <c r="G26" s="7" t="n"/>
      <c r="H26" s="7" t="n"/>
      <c r="I26" s="7" t="inlineStr">
        <is>
          <t>ABC</t>
        </is>
      </c>
      <c r="K26" s="33">
        <f>$M$3&amp;I27&amp;".png"</f>
        <v/>
      </c>
    </row>
    <row r="27">
      <c r="A27" s="5" t="n">
        <v>24</v>
      </c>
      <c r="B27" s="6" t="inlineStr">
        <is>
          <t>BAYLOR</t>
        </is>
      </c>
      <c r="C27" s="8" t="inlineStr">
        <is>
          <t>BAYLOR</t>
        </is>
      </c>
      <c r="D27" s="7" t="n"/>
      <c r="E27" s="7" t="n"/>
      <c r="F27" s="99">
        <f>A27&amp;". " &amp; B27</f>
        <v/>
      </c>
      <c r="G27" s="7" t="n"/>
      <c r="H27" s="7" t="n"/>
      <c r="I27" s="7" t="inlineStr">
        <is>
          <t>ABC</t>
        </is>
      </c>
      <c r="K27" s="33">
        <f>$M$3&amp;I28&amp;".png"</f>
        <v/>
      </c>
    </row>
    <row r="28">
      <c r="A28" s="5" t="n">
        <v>25</v>
      </c>
      <c r="B28" s="6" t="inlineStr">
        <is>
          <t>TEXAS A&amp;M</t>
        </is>
      </c>
      <c r="C28" s="8" t="inlineStr">
        <is>
          <t>TEXAS_AM</t>
        </is>
      </c>
      <c r="D28" s="7" t="n"/>
      <c r="E28" s="7" t="n"/>
      <c r="F28" s="99">
        <f>A28&amp;". " &amp; B28</f>
        <v/>
      </c>
      <c r="G28" s="7" t="n"/>
      <c r="H28" s="7" t="n"/>
      <c r="I28" s="7" t="inlineStr">
        <is>
          <t>ABC_ESPN2_MIRROR</t>
        </is>
      </c>
    </row>
    <row r="30" hidden="1">
      <c r="A30" s="61" t="inlineStr">
        <is>
          <t>Tombstone Save Locations:</t>
        </is>
      </c>
      <c r="B30" s="60" t="n"/>
    </row>
    <row r="31" hidden="1">
      <c r="A31" s="62" t="n">
        <v>5925</v>
      </c>
      <c r="B31" s="63" t="inlineStr">
        <is>
          <t>Top 10</t>
        </is>
      </c>
    </row>
    <row r="32" hidden="1">
      <c r="A32" s="62" t="n">
        <v>5926</v>
      </c>
      <c r="B32" s="63" t="inlineStr">
        <is>
          <t>Top 11-20</t>
        </is>
      </c>
    </row>
    <row r="33" hidden="1">
      <c r="A33" s="62" t="n">
        <v>5927</v>
      </c>
      <c r="B33" s="63" t="inlineStr">
        <is>
          <t>Top 21-25</t>
        </is>
      </c>
    </row>
    <row r="35">
      <c r="A35" s="61" t="inlineStr">
        <is>
          <t>Fullscreen Save Locations:</t>
        </is>
      </c>
      <c r="B35" s="61" t="n"/>
    </row>
    <row r="36">
      <c r="A36" s="62" t="n">
        <v>5935</v>
      </c>
      <c r="B36" s="63" t="inlineStr">
        <is>
          <t>Top 10</t>
        </is>
      </c>
    </row>
    <row r="37">
      <c r="A37" s="62" t="n">
        <v>5936</v>
      </c>
      <c r="B37" s="63" t="inlineStr">
        <is>
          <t>Top 11-20</t>
        </is>
      </c>
    </row>
    <row r="38">
      <c r="A38" s="62" t="n">
        <v>5937</v>
      </c>
      <c r="B38" s="63" t="inlineStr">
        <is>
          <t>Top 21-25</t>
        </is>
      </c>
    </row>
  </sheetData>
  <mergeCells count="2">
    <mergeCell ref="B1:C1"/>
    <mergeCell ref="B2:C2"/>
  </mergeCells>
  <dataValidations count="2">
    <dataValidation sqref="C4:C28" showDropDown="0" showInputMessage="0" showErrorMessage="1" allowBlank="1" type="list">
      <formula1>ZZZ_TEAM_LOGO</formula1>
    </dataValidation>
    <dataValidation sqref="I4:I28" showDropDown="0" showInputMessage="1" showErrorMessage="1" allowBlank="1" type="list">
      <formula1>ZZZ_NETWORK_LOGO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6"/>
  <sheetViews>
    <sheetView topLeftCell="A57" workbookViewId="0">
      <selection activeCell="J63" sqref="J63"/>
    </sheetView>
  </sheetViews>
  <sheetFormatPr baseColWidth="8" defaultRowHeight="15"/>
  <cols>
    <col width="30.7109375" customWidth="1" min="1" max="1"/>
    <col width="40.7109375" customWidth="1" style="50" min="2" max="2"/>
    <col width="8.7109375" customWidth="1" min="3" max="3"/>
    <col width="30.7109375" customWidth="1" min="4" max="4"/>
    <col width="40.7109375" customWidth="1" min="5" max="5"/>
    <col width="8.7109375" customWidth="1" min="6" max="6"/>
    <col hidden="1" width="15.7109375" customWidth="1" style="50" min="7" max="7"/>
    <col width="20.7109375" customWidth="1" min="9" max="9"/>
    <col width="30.7109375" customWidth="1" min="10" max="10"/>
    <col width="2.7109375" customWidth="1" min="11" max="11"/>
    <col width="20.7109375" customWidth="1" min="12" max="12"/>
    <col width="30.7109375" customWidth="1" min="13" max="13"/>
  </cols>
  <sheetData>
    <row r="1">
      <c r="A1" s="32" t="inlineStr">
        <is>
          <t>5901/5902: Promo Towers (Shell 9620)</t>
        </is>
      </c>
      <c r="B1" s="67" t="n"/>
      <c r="C1" s="32" t="n"/>
      <c r="D1" s="32" t="n"/>
      <c r="E1" s="32" t="n"/>
      <c r="G1" s="66" t="inlineStr">
        <is>
          <t>Number Games</t>
        </is>
      </c>
    </row>
    <row r="2" ht="15.75" customHeight="1" thickBot="1">
      <c r="A2" t="inlineStr">
        <is>
          <t>* Type only in blue areas</t>
        </is>
      </c>
      <c r="E2" s="50" t="n"/>
      <c r="G2" s="50" t="n">
        <v>1</v>
      </c>
    </row>
    <row r="3" ht="15.75" customHeight="1" thickBot="1">
      <c r="A3" s="102" t="n">
        <v>5901</v>
      </c>
      <c r="B3" s="103" t="inlineStr">
        <is>
          <t>GAME 1</t>
        </is>
      </c>
      <c r="D3" s="102" t="n">
        <v>5902</v>
      </c>
      <c r="E3" s="103" t="inlineStr">
        <is>
          <t>GAME 1</t>
        </is>
      </c>
      <c r="G3" s="50" t="n">
        <v>2</v>
      </c>
    </row>
    <row r="4" ht="15.75" customHeight="1" thickBot="1">
      <c r="A4" s="79" t="inlineStr">
        <is>
          <t>Number of Games:</t>
        </is>
      </c>
      <c r="B4" s="68" t="n">
        <v>2</v>
      </c>
      <c r="D4" s="79" t="inlineStr">
        <is>
          <t>Number of Games:</t>
        </is>
      </c>
      <c r="E4" s="68" t="n">
        <v>2</v>
      </c>
    </row>
    <row r="5" ht="15.75" customHeight="1" thickBot="1">
      <c r="A5" s="75" t="inlineStr">
        <is>
          <t>Header (CAPS)</t>
        </is>
      </c>
      <c r="B5" s="108" t="inlineStr"/>
      <c r="D5" s="75" t="inlineStr">
        <is>
          <t>Header (CAPS)</t>
        </is>
      </c>
      <c r="E5" s="108" t="inlineStr"/>
    </row>
    <row r="6">
      <c r="A6" s="76" t="inlineStr">
        <is>
          <t>Away Rank</t>
        </is>
      </c>
      <c r="B6" s="109" t="inlineStr"/>
      <c r="D6" s="76" t="inlineStr">
        <is>
          <t>Away Rank</t>
        </is>
      </c>
      <c r="E6" s="109" t="inlineStr"/>
      <c r="G6" s="66" t="inlineStr">
        <is>
          <t>Number Stories</t>
        </is>
      </c>
    </row>
    <row r="7">
      <c r="A7" s="77" t="inlineStr">
        <is>
          <t>Away Team</t>
        </is>
      </c>
      <c r="B7" s="70" t="inlineStr">
        <is>
          <t>Away Team</t>
        </is>
      </c>
      <c r="D7" s="77" t="inlineStr">
        <is>
          <t>Away Team</t>
        </is>
      </c>
      <c r="E7" s="70" t="inlineStr">
        <is>
          <t>Away Team</t>
        </is>
      </c>
      <c r="G7" s="50" t="n">
        <v>1</v>
      </c>
    </row>
    <row r="8" ht="15.75" customHeight="1" thickBot="1">
      <c r="A8" s="78" t="inlineStr">
        <is>
          <t>Away Logo/Swatch</t>
        </is>
      </c>
      <c r="B8" s="71" t="inlineStr">
        <is>
          <t>ALABAMA</t>
        </is>
      </c>
      <c r="D8" s="78" t="inlineStr">
        <is>
          <t>Away Logo/Swatch</t>
        </is>
      </c>
      <c r="E8" s="71" t="inlineStr">
        <is>
          <t>ALABAMA</t>
        </is>
      </c>
      <c r="G8" s="50" t="n">
        <v>2</v>
      </c>
    </row>
    <row r="9">
      <c r="A9" s="76" t="inlineStr">
        <is>
          <t>Home Rank</t>
        </is>
      </c>
      <c r="B9" s="109" t="inlineStr"/>
      <c r="D9" s="76" t="inlineStr">
        <is>
          <t>Home Rank</t>
        </is>
      </c>
      <c r="E9" s="109" t="inlineStr"/>
      <c r="G9" s="50" t="n">
        <v>3</v>
      </c>
    </row>
    <row r="10">
      <c r="A10" s="77" t="inlineStr">
        <is>
          <t>Home Team</t>
        </is>
      </c>
      <c r="B10" s="70" t="inlineStr">
        <is>
          <t>Home Team</t>
        </is>
      </c>
      <c r="D10" s="77" t="inlineStr">
        <is>
          <t>Home Team</t>
        </is>
      </c>
      <c r="E10" s="70" t="inlineStr">
        <is>
          <t>Home Team</t>
        </is>
      </c>
      <c r="G10" s="50" t="n">
        <v>4</v>
      </c>
    </row>
    <row r="11" ht="15.75" customHeight="1" thickBot="1">
      <c r="A11" s="77" t="inlineStr">
        <is>
          <t>Home Logo/Swatch</t>
        </is>
      </c>
      <c r="B11" s="71" t="inlineStr">
        <is>
          <t>ALABAMA</t>
        </is>
      </c>
      <c r="D11" s="77" t="inlineStr">
        <is>
          <t>Home Logo/Swatch</t>
        </is>
      </c>
      <c r="E11" s="71" t="inlineStr">
        <is>
          <t>ALABAMA</t>
        </is>
      </c>
      <c r="G11" s="50" t="n">
        <v>5</v>
      </c>
    </row>
    <row r="12" ht="15.75" customHeight="1" thickBot="1">
      <c r="A12" s="78" t="inlineStr">
        <is>
          <t>Game Time</t>
        </is>
      </c>
      <c r="B12" s="72" t="n">
        <v>0.3125</v>
      </c>
      <c r="D12" s="78" t="inlineStr">
        <is>
          <t>Game Time</t>
        </is>
      </c>
      <c r="E12" s="72" t="n">
        <v>0.3125</v>
      </c>
      <c r="G12" s="50" t="n">
        <v>6</v>
      </c>
    </row>
    <row r="13" ht="15.75" customHeight="1" thickBot="1">
      <c r="A13" s="79" t="inlineStr">
        <is>
          <t>Game Network</t>
        </is>
      </c>
      <c r="B13" s="68" t="inlineStr">
        <is>
          <t>ESPN_WHITE</t>
        </is>
      </c>
      <c r="D13" s="79" t="inlineStr">
        <is>
          <t>Game Network</t>
        </is>
      </c>
      <c r="E13" s="68" t="inlineStr">
        <is>
          <t>ESPN_WHITE</t>
        </is>
      </c>
      <c r="G13" s="50" t="n">
        <v>7</v>
      </c>
    </row>
    <row r="14" hidden="1" ht="15.75" customHeight="1" thickBot="1">
      <c r="A14" t="inlineStr">
        <is>
          <t>XPN Network Path:</t>
        </is>
      </c>
      <c r="B14">
        <f>"D:\IMS Images\Network\Primary\" &amp; $B$13 &amp; ".png"</f>
        <v/>
      </c>
      <c r="D14" t="inlineStr">
        <is>
          <t>XPN Network Path:</t>
        </is>
      </c>
      <c r="E14">
        <f>"D:\IMS Images\Network\Primary\" &amp; $E$13 &amp; ".png"</f>
        <v/>
      </c>
      <c r="G14" s="50" t="n">
        <v>8</v>
      </c>
    </row>
    <row r="15">
      <c r="A15" s="100" t="n"/>
      <c r="B15" s="101" t="n"/>
      <c r="D15" s="104" t="n"/>
      <c r="E15" s="105" t="n"/>
      <c r="G15" s="50" t="n">
        <v>8</v>
      </c>
    </row>
    <row r="16" ht="15.75" customHeight="1" thickBot="1">
      <c r="A16" s="100" t="n"/>
      <c r="B16" s="101" t="n"/>
      <c r="D16" s="106" t="n"/>
      <c r="E16" s="107" t="n"/>
    </row>
    <row r="17" ht="15.75" customHeight="1" thickBot="1">
      <c r="A17" s="102" t="n">
        <v>5901</v>
      </c>
      <c r="B17" s="103" t="inlineStr">
        <is>
          <t>GAME 2</t>
        </is>
      </c>
      <c r="D17" s="102" t="n">
        <v>5902</v>
      </c>
      <c r="E17" s="103" t="inlineStr">
        <is>
          <t>GAME 2</t>
        </is>
      </c>
    </row>
    <row r="18">
      <c r="A18" s="76" t="inlineStr">
        <is>
          <t>Away Rank</t>
        </is>
      </c>
      <c r="B18" s="109" t="inlineStr"/>
      <c r="D18" s="76" t="inlineStr">
        <is>
          <t>Away Rank</t>
        </is>
      </c>
      <c r="E18" s="109" t="inlineStr"/>
      <c r="G18" s="66" t="inlineStr">
        <is>
          <t>Teams</t>
        </is>
      </c>
    </row>
    <row r="19">
      <c r="A19" s="77" t="inlineStr">
        <is>
          <t>Away Team</t>
        </is>
      </c>
      <c r="B19" s="70" t="inlineStr">
        <is>
          <t>Away Team</t>
        </is>
      </c>
      <c r="D19" s="77" t="inlineStr">
        <is>
          <t>Away Team</t>
        </is>
      </c>
      <c r="E19" s="70" t="inlineStr">
        <is>
          <t>Away Team</t>
        </is>
      </c>
      <c r="G19" s="50" t="n">
        <v>2</v>
      </c>
    </row>
    <row r="20" ht="15.75" customHeight="1" thickBot="1">
      <c r="A20" s="78" t="inlineStr">
        <is>
          <t>Away Logo/Swatch</t>
        </is>
      </c>
      <c r="B20" s="71" t="inlineStr">
        <is>
          <t>ALABAMA</t>
        </is>
      </c>
      <c r="D20" s="78" t="inlineStr">
        <is>
          <t>Away Logo/Swatch</t>
        </is>
      </c>
      <c r="E20" s="71" t="inlineStr">
        <is>
          <t>ALABAMA</t>
        </is>
      </c>
      <c r="G20" s="50" t="n">
        <v>3</v>
      </c>
    </row>
    <row r="21">
      <c r="A21" s="76" t="inlineStr">
        <is>
          <t>Home Rank</t>
        </is>
      </c>
      <c r="B21" s="109" t="inlineStr"/>
      <c r="D21" s="76" t="inlineStr">
        <is>
          <t>Home Rank</t>
        </is>
      </c>
      <c r="E21" s="109" t="inlineStr"/>
      <c r="G21" s="50" t="n">
        <v>4</v>
      </c>
    </row>
    <row r="22">
      <c r="A22" s="77" t="inlineStr">
        <is>
          <t>Home Team</t>
        </is>
      </c>
      <c r="B22" s="70" t="inlineStr">
        <is>
          <t>Home Team</t>
        </is>
      </c>
      <c r="D22" s="77" t="inlineStr">
        <is>
          <t>Home Team</t>
        </is>
      </c>
      <c r="E22" s="70" t="inlineStr">
        <is>
          <t>Home Team</t>
        </is>
      </c>
      <c r="G22" s="50" t="n">
        <v>5</v>
      </c>
    </row>
    <row r="23" ht="15.75" customHeight="1" thickBot="1">
      <c r="A23" s="77" t="inlineStr">
        <is>
          <t>Home Logo/Swatch</t>
        </is>
      </c>
      <c r="B23" s="71" t="inlineStr">
        <is>
          <t>ALABAMA</t>
        </is>
      </c>
      <c r="D23" s="77" t="inlineStr">
        <is>
          <t>Home Logo/Swatch</t>
        </is>
      </c>
      <c r="E23" s="71" t="inlineStr">
        <is>
          <t>ALABAMA</t>
        </is>
      </c>
    </row>
    <row r="24" ht="15.75" customHeight="1" thickBot="1">
      <c r="A24" s="78" t="inlineStr">
        <is>
          <t>Game Time</t>
        </is>
      </c>
      <c r="B24" s="72" t="n">
        <v>0.3125</v>
      </c>
      <c r="D24" s="78" t="inlineStr">
        <is>
          <t>Game Time</t>
        </is>
      </c>
      <c r="E24" s="72" t="n">
        <v>0.3125</v>
      </c>
    </row>
    <row r="25" ht="15.75" customHeight="1" thickBot="1">
      <c r="A25" s="79" t="inlineStr">
        <is>
          <t>Game Network</t>
        </is>
      </c>
      <c r="B25" s="68" t="inlineStr">
        <is>
          <t>ABC</t>
        </is>
      </c>
      <c r="D25" s="79" t="inlineStr">
        <is>
          <t>Game Network</t>
        </is>
      </c>
      <c r="E25" s="68" t="inlineStr">
        <is>
          <t>ABC</t>
        </is>
      </c>
      <c r="G25" s="66" t="inlineStr">
        <is>
          <t>Status</t>
        </is>
      </c>
    </row>
    <row r="26" hidden="1">
      <c r="A26" t="inlineStr">
        <is>
          <t>XPression Network Path:</t>
        </is>
      </c>
      <c r="B26">
        <f>"d:\IMS Images\Network\Primary\" &amp; $B$25 &amp; ".png"</f>
        <v/>
      </c>
      <c r="D26" t="inlineStr">
        <is>
          <t>XPression Network Path:</t>
        </is>
      </c>
      <c r="E26">
        <f>"d:\IMS Images\Network\Primary\" &amp; $E$25 &amp; ".png"</f>
        <v/>
      </c>
      <c r="G26" s="50" t="inlineStr">
        <is>
          <t>FINAL</t>
        </is>
      </c>
    </row>
    <row r="27">
      <c r="G27" s="50" t="inlineStr">
        <is>
          <t>1st</t>
        </is>
      </c>
    </row>
    <row r="28">
      <c r="G28" s="50" t="inlineStr">
        <is>
          <t>2nd</t>
        </is>
      </c>
    </row>
    <row r="29">
      <c r="G29" s="50" t="inlineStr">
        <is>
          <t>3rd</t>
        </is>
      </c>
    </row>
    <row r="30">
      <c r="A30" s="32" t="inlineStr">
        <is>
          <t>5910: News &amp; Notes (Shell 9133)  (9123 &amp; 9143 are manual build)</t>
        </is>
      </c>
      <c r="B30" s="67" t="n"/>
      <c r="C30" s="32" t="n"/>
      <c r="D30" s="32" t="inlineStr">
        <is>
          <t>5911: Series History (Shell 9706)</t>
        </is>
      </c>
      <c r="E30" s="32" t="n"/>
      <c r="G30" s="50" t="inlineStr">
        <is>
          <t>4th</t>
        </is>
      </c>
      <c r="H30" s="32" t="inlineStr">
        <is>
          <t>5912: Conference Teams in Top 25 (Shell 9703)</t>
        </is>
      </c>
      <c r="I30" s="52" t="n"/>
      <c r="J30" s="67" t="n"/>
      <c r="K30" s="32" t="n"/>
      <c r="L30" s="32" t="n"/>
      <c r="M30" s="32" t="n"/>
    </row>
    <row r="31" ht="15.75" customHeight="1" thickBot="1">
      <c r="G31" s="50" t="inlineStr">
        <is>
          <t>HALF</t>
        </is>
      </c>
    </row>
    <row r="32" ht="15.75" customHeight="1" thickBot="1">
      <c r="A32" s="102" t="n">
        <v>5910</v>
      </c>
      <c r="B32" s="74" t="n"/>
      <c r="D32" s="102" t="n">
        <v>5911</v>
      </c>
      <c r="E32" s="74" t="n"/>
      <c r="H32" s="102" t="n">
        <v>5912</v>
      </c>
      <c r="I32" s="73" t="n"/>
      <c r="J32" s="74" t="n"/>
    </row>
    <row r="33" ht="15.75" customHeight="1" thickBot="1">
      <c r="A33" s="80" t="inlineStr">
        <is>
          <t>Title</t>
        </is>
      </c>
      <c r="B33" s="81" t="inlineStr">
        <is>
          <t>News &amp; Notes</t>
        </is>
      </c>
      <c r="D33" s="79" t="inlineStr">
        <is>
          <t>Number of Rows (1-6):</t>
        </is>
      </c>
      <c r="E33" s="68" t="n">
        <v>6</v>
      </c>
      <c r="G33" s="66" t="inlineStr">
        <is>
          <t>Game Start</t>
        </is>
      </c>
      <c r="I33" s="79" t="inlineStr">
        <is>
          <t>Number of Rows:</t>
        </is>
      </c>
      <c r="J33" s="68" t="n">
        <v>8</v>
      </c>
    </row>
    <row r="34" ht="15.75" customHeight="1" thickBot="1">
      <c r="A34" s="78" t="inlineStr">
        <is>
          <t>Subtitle</t>
        </is>
      </c>
      <c r="B34" s="71" t="inlineStr">
        <is>
          <t>News &amp; Notes</t>
        </is>
      </c>
      <c r="D34" s="80" t="inlineStr">
        <is>
          <t>Title</t>
        </is>
      </c>
      <c r="E34" s="81" t="inlineStr">
        <is>
          <t>Series History</t>
        </is>
      </c>
      <c r="G34" s="50" t="inlineStr">
        <is>
          <t>Yes</t>
        </is>
      </c>
      <c r="I34" s="80" t="inlineStr">
        <is>
          <t>Title</t>
        </is>
      </c>
      <c r="J34" s="81" t="inlineStr">
        <is>
          <t>Teams in AVCA Top 25</t>
        </is>
      </c>
    </row>
    <row r="35" ht="15.75" customHeight="1" thickBot="1">
      <c r="A35" s="142" t="inlineStr">
        <is>
          <t>Display Topics? (0=No, 1=Yes)</t>
        </is>
      </c>
      <c r="B35" s="143" t="n">
        <v>1</v>
      </c>
      <c r="D35" s="110" t="inlineStr">
        <is>
          <t>Subtitle</t>
        </is>
      </c>
      <c r="E35" s="111" t="inlineStr">
        <is>
          <t>Subtitle</t>
        </is>
      </c>
      <c r="G35" s="50" t="inlineStr">
        <is>
          <t>No</t>
        </is>
      </c>
      <c r="I35" s="78" t="inlineStr">
        <is>
          <t>Subtitle</t>
        </is>
      </c>
      <c r="J35" s="71" t="n"/>
    </row>
    <row r="36" ht="15.75" customHeight="1" thickBot="1">
      <c r="A36" s="76" t="inlineStr">
        <is>
          <t>Group 1 HSL Select:</t>
        </is>
      </c>
      <c r="B36" s="69" t="n">
        <v>3</v>
      </c>
      <c r="D36" s="76" t="inlineStr">
        <is>
          <t>Away Rank</t>
        </is>
      </c>
      <c r="E36" s="109" t="inlineStr"/>
      <c r="I36" s="79" t="inlineStr">
        <is>
          <t>Header Logo</t>
        </is>
      </c>
      <c r="J36" s="68" t="inlineStr">
        <is>
          <t>ACC</t>
        </is>
      </c>
      <c r="L36" s="56" t="inlineStr">
        <is>
          <t>XPN Header Logo:</t>
        </is>
      </c>
      <c r="M36" s="56">
        <f>J36 &amp; " | conference"</f>
        <v/>
      </c>
    </row>
    <row r="37" ht="15.75" customHeight="1" thickBot="1">
      <c r="A37" s="140" t="inlineStr">
        <is>
          <t>Topic 1</t>
        </is>
      </c>
      <c r="B37" s="141" t="inlineStr">
        <is>
          <t>Topic1</t>
        </is>
      </c>
      <c r="D37" s="77" t="inlineStr">
        <is>
          <t>Away Team</t>
        </is>
      </c>
      <c r="E37" s="70" t="inlineStr">
        <is>
          <t>Away Team</t>
        </is>
      </c>
      <c r="G37" s="66" t="inlineStr">
        <is>
          <t>NCAA/Conf</t>
        </is>
      </c>
    </row>
    <row r="38" ht="15" customHeight="1" thickBot="1">
      <c r="A38" s="134" t="inlineStr">
        <is>
          <t>Storyline 1</t>
        </is>
      </c>
      <c r="B38" s="135" t="inlineStr">
        <is>
          <t>Story1</t>
        </is>
      </c>
      <c r="D38" s="78" t="inlineStr">
        <is>
          <t>Away Logo/Swatch</t>
        </is>
      </c>
      <c r="E38" s="71" t="inlineStr">
        <is>
          <t>ALABAMA</t>
        </is>
      </c>
      <c r="G38" s="50" t="n">
        <v>1</v>
      </c>
      <c r="I38" s="79" t="inlineStr">
        <is>
          <t>Logo</t>
        </is>
      </c>
      <c r="J38" s="68" t="inlineStr">
        <is>
          <t>Rank/Team</t>
        </is>
      </c>
      <c r="L38" s="79" t="inlineStr">
        <is>
          <t>Logo</t>
        </is>
      </c>
      <c r="M38" s="68" t="inlineStr">
        <is>
          <t>Rank/Team</t>
        </is>
      </c>
    </row>
    <row r="39" ht="15.75" customHeight="1" thickBot="1">
      <c r="A39" s="131" t="inlineStr">
        <is>
          <t>Dropline 1</t>
        </is>
      </c>
      <c r="B39" s="139" t="inlineStr">
        <is>
          <t>Drop1</t>
        </is>
      </c>
      <c r="D39" s="76" t="inlineStr">
        <is>
          <t>Home Rank</t>
        </is>
      </c>
      <c r="E39" s="109" t="inlineStr"/>
      <c r="G39" s="50" t="inlineStr">
        <is>
          <t>NCAA</t>
        </is>
      </c>
      <c r="I39" s="118" t="inlineStr">
        <is>
          <t>ALABAMA</t>
        </is>
      </c>
      <c r="J39" s="115" t="inlineStr">
        <is>
          <t>1 Alabama</t>
        </is>
      </c>
      <c r="L39" s="118" t="inlineStr">
        <is>
          <t>ALABAMA</t>
        </is>
      </c>
      <c r="M39" s="85" t="inlineStr">
        <is>
          <t>10 Kentucky</t>
        </is>
      </c>
    </row>
    <row r="40" ht="15.75" customHeight="1" thickBot="1">
      <c r="A40" s="76" t="inlineStr">
        <is>
          <t>Group 2 HSL Select:</t>
        </is>
      </c>
      <c r="B40" s="69" t="n">
        <v>3</v>
      </c>
      <c r="D40" s="77" t="inlineStr">
        <is>
          <t>Home Team</t>
        </is>
      </c>
      <c r="E40" s="70" t="inlineStr">
        <is>
          <t>Home Team</t>
        </is>
      </c>
      <c r="G40" s="50" t="inlineStr">
        <is>
          <t>Conference</t>
        </is>
      </c>
      <c r="I40" s="118" t="inlineStr">
        <is>
          <t>ALABAMA</t>
        </is>
      </c>
      <c r="J40" s="116" t="inlineStr">
        <is>
          <t>2 Auburn</t>
        </is>
      </c>
      <c r="L40" s="118" t="inlineStr">
        <is>
          <t>ALABAMA</t>
        </is>
      </c>
      <c r="M40" s="86" t="inlineStr">
        <is>
          <t>11 LSU</t>
        </is>
      </c>
    </row>
    <row r="41" ht="15" customHeight="1" thickBot="1">
      <c r="A41" s="134" t="inlineStr">
        <is>
          <t>Topic 2</t>
        </is>
      </c>
      <c r="B41" s="135" t="inlineStr">
        <is>
          <t>Topic2</t>
        </is>
      </c>
      <c r="D41" s="131" t="inlineStr">
        <is>
          <t>Home Logo/Swatch</t>
        </is>
      </c>
      <c r="E41" s="111" t="inlineStr">
        <is>
          <t>ALABAMA</t>
        </is>
      </c>
      <c r="I41" s="118" t="inlineStr">
        <is>
          <t>ALABAMA</t>
        </is>
      </c>
      <c r="J41" s="116" t="inlineStr">
        <is>
          <t>3 Arkansas</t>
        </is>
      </c>
      <c r="L41" s="118" t="inlineStr">
        <is>
          <t>ALABAMA</t>
        </is>
      </c>
      <c r="M41" s="86" t="inlineStr">
        <is>
          <t>20 Mississippi St</t>
        </is>
      </c>
    </row>
    <row r="42" ht="15.75" customHeight="1" thickBot="1">
      <c r="A42" s="134" t="inlineStr">
        <is>
          <t>Storyline 2</t>
        </is>
      </c>
      <c r="B42" s="135" t="inlineStr">
        <is>
          <t>Story2</t>
        </is>
      </c>
      <c r="D42" s="132" t="inlineStr">
        <is>
          <t>Line1</t>
        </is>
      </c>
      <c r="E42" s="133" t="inlineStr">
        <is>
          <t>Line1 Text</t>
        </is>
      </c>
      <c r="I42" s="118" t="inlineStr">
        <is>
          <t>ALABAMA</t>
        </is>
      </c>
      <c r="J42" s="116" t="inlineStr">
        <is>
          <t>4 Florida</t>
        </is>
      </c>
      <c r="L42" s="118" t="inlineStr">
        <is>
          <t>ALABAMA</t>
        </is>
      </c>
      <c r="M42" s="86" t="inlineStr">
        <is>
          <t>21 Missouri</t>
        </is>
      </c>
    </row>
    <row r="43" ht="15.75" customHeight="1" thickBot="1">
      <c r="A43" s="112" t="inlineStr">
        <is>
          <t>Dropline 2</t>
        </is>
      </c>
      <c r="B43" s="136" t="inlineStr">
        <is>
          <t>Drop2</t>
        </is>
      </c>
      <c r="D43" s="134" t="inlineStr">
        <is>
          <t>Line 2</t>
        </is>
      </c>
      <c r="E43" s="135" t="inlineStr">
        <is>
          <t>Line2 Text</t>
        </is>
      </c>
      <c r="I43" s="118" t="inlineStr">
        <is>
          <t>ALABAMA</t>
        </is>
      </c>
      <c r="J43" s="117" t="inlineStr">
        <is>
          <t>5 Georgia</t>
        </is>
      </c>
      <c r="L43" s="118" t="inlineStr">
        <is>
          <t>ALABAMA</t>
        </is>
      </c>
      <c r="M43" s="87" t="inlineStr">
        <is>
          <t>25 Ole Miss</t>
        </is>
      </c>
    </row>
    <row r="44" ht="15" customHeight="1">
      <c r="A44" s="76" t="inlineStr">
        <is>
          <t>Group 3 HSL Select:</t>
        </is>
      </c>
      <c r="B44" s="69" t="n">
        <v>3</v>
      </c>
      <c r="D44" s="134" t="inlineStr">
        <is>
          <t>Line 3</t>
        </is>
      </c>
      <c r="E44" s="135" t="inlineStr">
        <is>
          <t>Line3 Text</t>
        </is>
      </c>
    </row>
    <row r="45">
      <c r="A45" s="134" t="inlineStr">
        <is>
          <t>Topic 3</t>
        </is>
      </c>
      <c r="B45" s="135" t="inlineStr">
        <is>
          <t>Topic3</t>
        </is>
      </c>
      <c r="D45" s="134" t="inlineStr">
        <is>
          <t>Line 4</t>
        </is>
      </c>
      <c r="E45" s="135" t="inlineStr">
        <is>
          <t>Line4 Text</t>
        </is>
      </c>
      <c r="I45" s="25" t="inlineStr">
        <is>
          <t>Note: if odd # of teams, last team in 2nd column should select "Blank_Dummy" logo</t>
        </is>
      </c>
    </row>
    <row r="46">
      <c r="A46" s="134" t="inlineStr">
        <is>
          <t>Storyline 3</t>
        </is>
      </c>
      <c r="B46" s="135" t="inlineStr">
        <is>
          <t>Story3</t>
        </is>
      </c>
      <c r="D46" s="134" t="inlineStr">
        <is>
          <t>Line 5</t>
        </is>
      </c>
      <c r="E46" s="135" t="inlineStr">
        <is>
          <t>Line5 Text</t>
        </is>
      </c>
    </row>
    <row r="47" ht="15" customHeight="1" thickBot="1">
      <c r="A47" s="112" t="inlineStr">
        <is>
          <t>Dropline 3</t>
        </is>
      </c>
      <c r="B47" s="136" t="inlineStr">
        <is>
          <t>Drop3</t>
        </is>
      </c>
      <c r="D47" s="112" t="inlineStr">
        <is>
          <t>Line 6</t>
        </is>
      </c>
      <c r="E47" s="136" t="inlineStr">
        <is>
          <t>Line6 Text</t>
        </is>
      </c>
    </row>
    <row r="48" ht="15.75" customHeight="1" thickBot="1">
      <c r="D48" s="80" t="inlineStr">
        <is>
          <t>Dropline (Optional)</t>
        </is>
      </c>
      <c r="E48" s="81" t="n"/>
    </row>
    <row r="49">
      <c r="A49" s="144" t="inlineStr">
        <is>
          <t>XPN Logotext1</t>
        </is>
      </c>
      <c r="B49" s="69" t="n"/>
    </row>
    <row r="50">
      <c r="A50" s="145" t="inlineStr">
        <is>
          <t>XPN Logotext1a (for dbl logo)</t>
        </is>
      </c>
      <c r="B50" s="70" t="n"/>
    </row>
    <row r="51" hidden="1">
      <c r="A51" s="145" t="inlineStr">
        <is>
          <t>XPN Logotext2</t>
        </is>
      </c>
      <c r="B51" s="70" t="n"/>
      <c r="D51" s="56" t="inlineStr">
        <is>
          <t>XPN Away Logotext</t>
        </is>
      </c>
      <c r="E51" s="82" t="inlineStr">
        <is>
          <t>alabama</t>
        </is>
      </c>
    </row>
    <row r="52" hidden="1">
      <c r="A52" s="145" t="inlineStr">
        <is>
          <t>XPN Logotext2a (for dbl logo)</t>
        </is>
      </c>
      <c r="B52" s="70" t="n"/>
      <c r="D52" s="56" t="inlineStr">
        <is>
          <t>XPN Home Logotext</t>
        </is>
      </c>
      <c r="E52" s="82" t="inlineStr">
        <is>
          <t>arkansas</t>
        </is>
      </c>
    </row>
    <row r="53">
      <c r="A53" s="145" t="inlineStr">
        <is>
          <t>XPN Logotext3</t>
        </is>
      </c>
      <c r="B53" s="70" t="n"/>
    </row>
    <row r="54" ht="15.75" customHeight="1" thickBot="1">
      <c r="A54" s="146" t="inlineStr">
        <is>
          <t>XPN Logotext3a (for dbl logo)</t>
        </is>
      </c>
      <c r="B54" s="71" t="n"/>
    </row>
    <row r="55">
      <c r="A55" t="inlineStr">
        <is>
          <t>Note: For HSL Select: 0=Logo, 1=HS, 2=HS/Logo, 3=Dbl Logo, 4=Dbl HS/Logo</t>
        </is>
      </c>
    </row>
    <row r="56">
      <c r="A56" t="inlineStr">
        <is>
          <t>Note: Headshot images added manually</t>
        </is>
      </c>
    </row>
    <row r="58">
      <c r="A58" s="32" t="inlineStr">
        <is>
          <t>5913: Season Recap - Away (Shell 9701)</t>
        </is>
      </c>
      <c r="B58" s="67" t="n"/>
      <c r="C58" s="32" t="n"/>
      <c r="D58" s="32" t="inlineStr">
        <is>
          <t>5914: Season Recap - Home (Shell 9701)</t>
        </is>
      </c>
      <c r="E58" s="32" t="n"/>
      <c r="H58" s="32" t="inlineStr">
        <is>
          <t>5915: Cluster Scoreboard (Shell 9104)</t>
        </is>
      </c>
      <c r="I58" s="52" t="n"/>
      <c r="J58" s="67" t="n"/>
      <c r="K58" s="32" t="n"/>
      <c r="L58" s="32" t="n"/>
      <c r="M58" s="32" t="n"/>
    </row>
    <row r="59" ht="15.75" customHeight="1" thickBot="1"/>
    <row r="60" ht="15.75" customHeight="1" thickBot="1">
      <c r="A60" s="102" t="n">
        <v>5913</v>
      </c>
      <c r="B60" s="74" t="n"/>
      <c r="D60" s="102" t="n">
        <v>5914</v>
      </c>
      <c r="E60" s="74" t="n"/>
      <c r="H60" s="119" t="n">
        <v>5915</v>
      </c>
      <c r="I60" s="120" t="n"/>
      <c r="J60" s="121" t="n"/>
    </row>
    <row r="61" ht="15.75" customHeight="1" thickBot="1">
      <c r="A61" s="79" t="inlineStr">
        <is>
          <t>Number of Lines (2-8):</t>
        </is>
      </c>
      <c r="B61" s="68" t="n">
        <v>4</v>
      </c>
      <c r="D61" s="79" t="inlineStr">
        <is>
          <t>Number of Lines (2-8):</t>
        </is>
      </c>
      <c r="E61" s="68" t="n">
        <v>4</v>
      </c>
      <c r="H61" s="154" t="inlineStr">
        <is>
          <t>Number of Games (3-8):</t>
        </is>
      </c>
      <c r="I61" s="165" t="n"/>
      <c r="J61" s="69" t="n">
        <v>5</v>
      </c>
    </row>
    <row r="62">
      <c r="A62" s="76" t="inlineStr">
        <is>
          <t>Title</t>
        </is>
      </c>
      <c r="B62" s="69" t="inlineStr">
        <is>
          <t>Header Text</t>
        </is>
      </c>
      <c r="D62" s="76" t="inlineStr">
        <is>
          <t>Title</t>
        </is>
      </c>
      <c r="E62" s="69" t="inlineStr">
        <is>
          <t>Header Text</t>
        </is>
      </c>
      <c r="H62" s="156" t="inlineStr">
        <is>
          <t>NCAA or Conference</t>
        </is>
      </c>
      <c r="I62" s="163" t="n"/>
      <c r="J62" s="70" t="inlineStr">
        <is>
          <t>Conference</t>
        </is>
      </c>
    </row>
    <row r="63" ht="15.75" customHeight="1" thickBot="1">
      <c r="A63" s="78" t="inlineStr">
        <is>
          <t>Subtitle</t>
        </is>
      </c>
      <c r="B63" s="113" t="inlineStr">
        <is>
          <t>Subtitle (Optional)</t>
        </is>
      </c>
      <c r="D63" s="78" t="inlineStr">
        <is>
          <t>Subtitle</t>
        </is>
      </c>
      <c r="E63" s="113" t="inlineStr">
        <is>
          <t>Subtitle (Optional)</t>
        </is>
      </c>
      <c r="H63" s="156" t="inlineStr">
        <is>
          <t>Conference</t>
        </is>
      </c>
      <c r="I63" s="163" t="n"/>
      <c r="J63" s="70" t="inlineStr">
        <is>
          <t>BIG_12</t>
        </is>
      </c>
    </row>
    <row r="64" ht="15" customHeight="1">
      <c r="A64" s="76" t="inlineStr">
        <is>
          <t>Column Header (0=Off, 1=On)</t>
        </is>
      </c>
      <c r="B64" s="69" t="n">
        <v>0</v>
      </c>
      <c r="D64" s="76" t="inlineStr">
        <is>
          <t>Column Header (0=Off, 1=On)</t>
        </is>
      </c>
      <c r="E64" s="69" t="n">
        <v>0</v>
      </c>
      <c r="H64" s="156" t="inlineStr">
        <is>
          <t>Title</t>
        </is>
      </c>
      <c r="I64" s="163" t="n"/>
      <c r="J64" s="114" t="inlineStr">
        <is>
          <t>BIG 12</t>
        </is>
      </c>
    </row>
    <row r="65" ht="15" customHeight="1" thickBot="1">
      <c r="A65" s="78" t="inlineStr">
        <is>
          <t>Column Header Text (CAPS)</t>
        </is>
      </c>
      <c r="B65" s="71" t="inlineStr">
        <is>
          <t>COL HEADER (Optional)</t>
        </is>
      </c>
      <c r="D65" s="78" t="inlineStr">
        <is>
          <t>Column Header Text (CAPS)</t>
        </is>
      </c>
      <c r="E65" s="71" t="inlineStr">
        <is>
          <t>COL HEADER (Optional)</t>
        </is>
      </c>
      <c r="H65" s="158" t="inlineStr">
        <is>
          <t>Subtitle</t>
        </is>
      </c>
      <c r="I65" s="166" t="n"/>
      <c r="J65" s="113" t="inlineStr">
        <is>
          <t>Scoreboard</t>
        </is>
      </c>
    </row>
    <row r="66" ht="15" customHeight="1" thickBot="1">
      <c r="A66" s="83" t="inlineStr">
        <is>
          <t>Away Team Logo/Swatch</t>
        </is>
      </c>
      <c r="B66" s="84" t="inlineStr">
        <is>
          <t>ALABAMA</t>
        </is>
      </c>
      <c r="D66" s="83" t="inlineStr">
        <is>
          <t>Away Team Logo/Swatch</t>
        </is>
      </c>
      <c r="E66" s="84" t="inlineStr">
        <is>
          <t>ALABAMA</t>
        </is>
      </c>
      <c r="I66" s="1" t="n"/>
      <c r="J66" s="50" t="n"/>
      <c r="L66" s="1" t="n"/>
      <c r="M66" s="50" t="n"/>
    </row>
    <row r="67" ht="15" customHeight="1" thickBot="1">
      <c r="A67" s="132" t="inlineStr">
        <is>
          <t>Line1</t>
        </is>
      </c>
      <c r="B67" s="133" t="inlineStr">
        <is>
          <t>Line1 text</t>
        </is>
      </c>
      <c r="D67" s="132" t="inlineStr">
        <is>
          <t>Line1</t>
        </is>
      </c>
      <c r="E67" s="133" t="inlineStr">
        <is>
          <t>Line1 text</t>
        </is>
      </c>
      <c r="H67" s="89" t="n"/>
      <c r="I67" s="96" t="inlineStr">
        <is>
          <t>Game 1</t>
        </is>
      </c>
      <c r="J67" s="97" t="n"/>
      <c r="L67" s="76" t="inlineStr">
        <is>
          <t>Network</t>
        </is>
      </c>
      <c r="M67" s="69" t="inlineStr">
        <is>
          <t>ABC</t>
        </is>
      </c>
    </row>
    <row r="68" ht="15" customHeight="1" thickBot="1">
      <c r="A68" s="134" t="inlineStr">
        <is>
          <t>Line2</t>
        </is>
      </c>
      <c r="B68" s="135" t="inlineStr">
        <is>
          <t>Line2 text</t>
        </is>
      </c>
      <c r="D68" s="134" t="inlineStr">
        <is>
          <t>Line2</t>
        </is>
      </c>
      <c r="E68" s="135" t="inlineStr">
        <is>
          <t>Line2 text</t>
        </is>
      </c>
      <c r="H68" s="94" t="inlineStr">
        <is>
          <t>Rank</t>
        </is>
      </c>
      <c r="I68" s="95" t="n"/>
      <c r="J68" s="95" t="n"/>
      <c r="L68" s="77" t="inlineStr">
        <is>
          <t>Game Started</t>
        </is>
      </c>
      <c r="M68" s="70" t="inlineStr">
        <is>
          <t>Yes</t>
        </is>
      </c>
    </row>
    <row r="69" ht="15" customHeight="1">
      <c r="A69" s="134" t="inlineStr">
        <is>
          <t>Line3</t>
        </is>
      </c>
      <c r="B69" s="135" t="inlineStr">
        <is>
          <t>Line3 text</t>
        </is>
      </c>
      <c r="D69" s="134" t="inlineStr">
        <is>
          <t>Line3</t>
        </is>
      </c>
      <c r="E69" s="135" t="inlineStr">
        <is>
          <t>Line3 text</t>
        </is>
      </c>
      <c r="H69" s="90" t="n">
        <v>1</v>
      </c>
      <c r="I69" s="91" t="inlineStr">
        <is>
          <t>Duke</t>
        </is>
      </c>
      <c r="J69" s="69" t="n">
        <v>10</v>
      </c>
      <c r="L69" s="77" t="inlineStr">
        <is>
          <t>Game Status</t>
        </is>
      </c>
      <c r="M69" s="70" t="inlineStr">
        <is>
          <t>FINAL</t>
        </is>
      </c>
    </row>
    <row r="70" ht="15" customHeight="1" thickBot="1">
      <c r="A70" s="134" t="inlineStr">
        <is>
          <t>Line4</t>
        </is>
      </c>
      <c r="B70" s="135" t="inlineStr">
        <is>
          <t>Line4 text</t>
        </is>
      </c>
      <c r="D70" s="134" t="inlineStr">
        <is>
          <t>Line4</t>
        </is>
      </c>
      <c r="E70" s="135" t="inlineStr">
        <is>
          <t>Line4 text</t>
        </is>
      </c>
      <c r="H70" s="92" t="n">
        <v>2</v>
      </c>
      <c r="I70" s="93" t="inlineStr">
        <is>
          <t>Clemson</t>
        </is>
      </c>
      <c r="J70" s="71" t="n">
        <v>11</v>
      </c>
      <c r="L70" s="78" t="inlineStr">
        <is>
          <t>Start Time</t>
        </is>
      </c>
      <c r="M70" s="71" t="n"/>
    </row>
    <row r="71" ht="15" customHeight="1" thickBot="1">
      <c r="A71" s="134" t="inlineStr">
        <is>
          <t>Line5</t>
        </is>
      </c>
      <c r="B71" s="135" t="inlineStr">
        <is>
          <t>Line5 text</t>
        </is>
      </c>
      <c r="D71" s="134" t="inlineStr">
        <is>
          <t>Line5</t>
        </is>
      </c>
      <c r="E71" s="135" t="inlineStr">
        <is>
          <t>Line5 text</t>
        </is>
      </c>
      <c r="J71" s="25" t="n"/>
      <c r="M71" s="25" t="n"/>
    </row>
    <row r="72" ht="15" customHeight="1" thickBot="1">
      <c r="A72" s="134" t="inlineStr">
        <is>
          <t>Line6</t>
        </is>
      </c>
      <c r="B72" s="135" t="inlineStr">
        <is>
          <t>Line6 text</t>
        </is>
      </c>
      <c r="D72" s="134" t="inlineStr">
        <is>
          <t>Line6</t>
        </is>
      </c>
      <c r="E72" s="135" t="inlineStr">
        <is>
          <t>Line6 text</t>
        </is>
      </c>
      <c r="H72" s="89" t="n"/>
      <c r="I72" s="96" t="inlineStr">
        <is>
          <t>Game 2</t>
        </is>
      </c>
      <c r="J72" s="97" t="n"/>
      <c r="L72" s="76" t="inlineStr">
        <is>
          <t>Network</t>
        </is>
      </c>
      <c r="M72" s="69" t="inlineStr">
        <is>
          <t>ABC</t>
        </is>
      </c>
    </row>
    <row r="73" ht="15" customHeight="1" thickBot="1">
      <c r="A73" s="134" t="inlineStr">
        <is>
          <t>Line7</t>
        </is>
      </c>
      <c r="B73" s="135" t="inlineStr">
        <is>
          <t>Line7 text</t>
        </is>
      </c>
      <c r="D73" s="134" t="inlineStr">
        <is>
          <t>Line7</t>
        </is>
      </c>
      <c r="E73" s="135" t="inlineStr">
        <is>
          <t>Line7 text</t>
        </is>
      </c>
      <c r="H73" s="94" t="inlineStr">
        <is>
          <t>Rank</t>
        </is>
      </c>
      <c r="I73" s="95" t="n"/>
      <c r="J73" s="95" t="n"/>
      <c r="L73" s="77" t="inlineStr">
        <is>
          <t>Game Started</t>
        </is>
      </c>
      <c r="M73" s="70" t="inlineStr">
        <is>
          <t>Yes</t>
        </is>
      </c>
    </row>
    <row r="74" ht="15" customHeight="1" thickBot="1">
      <c r="A74" s="112" t="inlineStr">
        <is>
          <t>Line8</t>
        </is>
      </c>
      <c r="B74" s="136" t="inlineStr">
        <is>
          <t>Line8 text</t>
        </is>
      </c>
      <c r="D74" s="112" t="inlineStr">
        <is>
          <t>Line8</t>
        </is>
      </c>
      <c r="E74" s="136" t="inlineStr">
        <is>
          <t>Line8 text</t>
        </is>
      </c>
      <c r="H74" s="90" t="n">
        <v>3</v>
      </c>
      <c r="I74" s="91" t="inlineStr">
        <is>
          <t>Boston College</t>
        </is>
      </c>
      <c r="J74" s="69" t="n">
        <v>12</v>
      </c>
      <c r="L74" s="77" t="inlineStr">
        <is>
          <t>Game Status</t>
        </is>
      </c>
      <c r="M74" s="70" t="inlineStr">
        <is>
          <t>FINAL</t>
        </is>
      </c>
    </row>
    <row r="75" ht="15" customHeight="1" thickBot="1">
      <c r="A75" s="79" t="inlineStr">
        <is>
          <t>Dropline (Optional)</t>
        </is>
      </c>
      <c r="B75" s="137" t="inlineStr"/>
      <c r="D75" s="79" t="inlineStr">
        <is>
          <t>Dropline (Optional)</t>
        </is>
      </c>
      <c r="E75" s="137" t="inlineStr"/>
      <c r="H75" s="92" t="n">
        <v>4</v>
      </c>
      <c r="I75" s="93" t="inlineStr">
        <is>
          <t>Florida St</t>
        </is>
      </c>
      <c r="J75" s="71" t="n">
        <v>13</v>
      </c>
      <c r="L75" s="78" t="inlineStr">
        <is>
          <t>Start Time</t>
        </is>
      </c>
      <c r="M75" s="71" t="n"/>
    </row>
    <row r="76" ht="15.75" customHeight="1" thickBot="1">
      <c r="A76" s="129" t="n"/>
      <c r="B76" s="138" t="n"/>
    </row>
    <row r="77" ht="15.75" customHeight="1" thickBot="1">
      <c r="H77" s="89" t="n"/>
      <c r="I77" s="96" t="inlineStr">
        <is>
          <t>Game 3</t>
        </is>
      </c>
      <c r="J77" s="97" t="n"/>
      <c r="L77" s="76" t="inlineStr">
        <is>
          <t>Network</t>
        </is>
      </c>
      <c r="M77" s="69" t="inlineStr">
        <is>
          <t>ABC</t>
        </is>
      </c>
    </row>
    <row r="78" ht="15.75" customHeight="1" thickBot="1">
      <c r="A78" s="1" t="inlineStr">
        <is>
          <t>Note: shell should be no more than 4 notes but can use</t>
        </is>
      </c>
      <c r="D78" s="1" t="inlineStr">
        <is>
          <t>Note: shell should be no more than 4 notes but can use</t>
        </is>
      </c>
      <c r="H78" s="94" t="inlineStr">
        <is>
          <t>Rank</t>
        </is>
      </c>
      <c r="I78" s="95" t="n"/>
      <c r="J78" s="95" t="n"/>
      <c r="L78" s="77" t="inlineStr">
        <is>
          <t>Game Started</t>
        </is>
      </c>
      <c r="M78" s="70" t="inlineStr">
        <is>
          <t>Yes</t>
        </is>
      </c>
    </row>
    <row r="79">
      <c r="A79" s="1" t="inlineStr">
        <is>
          <t>multiple lines; bullets are manually controlled</t>
        </is>
      </c>
      <c r="D79" s="1" t="inlineStr">
        <is>
          <t>multiple lines; bullets are manually controlled</t>
        </is>
      </c>
      <c r="H79" s="90" t="n">
        <v>5</v>
      </c>
      <c r="I79" s="91" t="inlineStr">
        <is>
          <t>Georgia Tech</t>
        </is>
      </c>
      <c r="J79" s="69" t="n">
        <v>14</v>
      </c>
      <c r="L79" s="77" t="inlineStr">
        <is>
          <t>Game Status</t>
        </is>
      </c>
      <c r="M79" s="70" t="inlineStr">
        <is>
          <t>FINAL</t>
        </is>
      </c>
    </row>
    <row r="80" ht="15.75" customHeight="1" thickBot="1">
      <c r="A80" s="1" t="n"/>
      <c r="H80" s="92" t="n">
        <v>6</v>
      </c>
      <c r="I80" s="93" t="inlineStr">
        <is>
          <t>Wake Forest</t>
        </is>
      </c>
      <c r="J80" s="71" t="n">
        <v>15</v>
      </c>
      <c r="L80" s="78" t="inlineStr">
        <is>
          <t>Start Time</t>
        </is>
      </c>
      <c r="M80" s="71" t="n"/>
    </row>
    <row r="81" ht="15.75" customHeight="1" thickBot="1"/>
    <row r="82" ht="15.75" customHeight="1" thickBot="1">
      <c r="H82" s="89" t="n"/>
      <c r="I82" s="96" t="inlineStr">
        <is>
          <t>Game 4</t>
        </is>
      </c>
      <c r="J82" s="97" t="n"/>
      <c r="L82" s="76" t="inlineStr">
        <is>
          <t>Network</t>
        </is>
      </c>
      <c r="M82" s="69" t="inlineStr">
        <is>
          <t>ABC</t>
        </is>
      </c>
    </row>
    <row r="83" ht="15.75" customHeight="1" thickBot="1">
      <c r="H83" s="94" t="inlineStr">
        <is>
          <t>Rank</t>
        </is>
      </c>
      <c r="I83" s="95" t="n"/>
      <c r="J83" s="95" t="n"/>
      <c r="L83" s="77" t="inlineStr">
        <is>
          <t>Game Started</t>
        </is>
      </c>
      <c r="M83" s="70" t="inlineStr">
        <is>
          <t>Yes</t>
        </is>
      </c>
    </row>
    <row r="84">
      <c r="H84" s="90" t="n">
        <v>7</v>
      </c>
      <c r="I84" s="91" t="inlineStr">
        <is>
          <t>Pittsburgh</t>
        </is>
      </c>
      <c r="J84" s="69" t="n">
        <v>16</v>
      </c>
      <c r="L84" s="77" t="inlineStr">
        <is>
          <t>Game Status</t>
        </is>
      </c>
      <c r="M84" s="70" t="inlineStr">
        <is>
          <t>FINAL</t>
        </is>
      </c>
    </row>
    <row r="85" ht="15.75" customHeight="1" thickBot="1">
      <c r="H85" s="92" t="n">
        <v>8</v>
      </c>
      <c r="I85" s="93" t="inlineStr">
        <is>
          <t>Syracuse</t>
        </is>
      </c>
      <c r="J85" s="71" t="n">
        <v>17</v>
      </c>
      <c r="L85" s="78" t="inlineStr">
        <is>
          <t>Start Time</t>
        </is>
      </c>
      <c r="M85" s="71" t="n"/>
    </row>
    <row r="86" ht="15.75" customHeight="1" thickBot="1"/>
    <row r="87" hidden="1" ht="15.75" customHeight="1" thickBot="1">
      <c r="I87" s="56" t="inlineStr">
        <is>
          <t>XPN Header Logo:</t>
        </is>
      </c>
      <c r="J87" s="88">
        <f>IF($J$62 = "NCAA",$J$62 &amp; " | SHOW",$J$63 &amp; " | CONFERENCE")</f>
        <v/>
      </c>
    </row>
    <row r="88" ht="15.75" customHeight="1" thickBot="1">
      <c r="H88" s="89" t="n"/>
      <c r="I88" s="96" t="inlineStr">
        <is>
          <t>Game 5</t>
        </is>
      </c>
      <c r="J88" s="97" t="n"/>
      <c r="L88" s="76" t="inlineStr">
        <is>
          <t>Network</t>
        </is>
      </c>
      <c r="M88" s="69" t="inlineStr">
        <is>
          <t>ABC</t>
        </is>
      </c>
    </row>
    <row r="89" ht="15.75" customHeight="1" thickBot="1">
      <c r="H89" s="94" t="inlineStr">
        <is>
          <t>Rank</t>
        </is>
      </c>
      <c r="I89" s="95" t="n"/>
      <c r="J89" s="95" t="n"/>
      <c r="L89" s="77" t="inlineStr">
        <is>
          <t>Game Started</t>
        </is>
      </c>
      <c r="M89" s="70" t="inlineStr">
        <is>
          <t>Yes</t>
        </is>
      </c>
    </row>
    <row r="90">
      <c r="H90" s="90" t="n">
        <v>9</v>
      </c>
      <c r="I90" s="91" t="inlineStr">
        <is>
          <t>Pittsburgh</t>
        </is>
      </c>
      <c r="J90" s="69" t="n">
        <v>18</v>
      </c>
      <c r="L90" s="77" t="inlineStr">
        <is>
          <t>Game Status</t>
        </is>
      </c>
      <c r="M90" s="70" t="inlineStr">
        <is>
          <t>FINAL</t>
        </is>
      </c>
    </row>
    <row r="91" ht="15.75" customHeight="1" thickBot="1">
      <c r="H91" s="92" t="n">
        <v>10</v>
      </c>
      <c r="I91" s="93" t="inlineStr">
        <is>
          <t>Syracuse</t>
        </is>
      </c>
      <c r="J91" s="71" t="n">
        <v>19</v>
      </c>
      <c r="L91" s="78" t="inlineStr">
        <is>
          <t>Start Time</t>
        </is>
      </c>
      <c r="M91" s="71" t="n"/>
    </row>
    <row r="92" ht="15.75" customHeight="1" thickBot="1"/>
    <row r="93" ht="15.75" customHeight="1" thickBot="1">
      <c r="H93" s="89" t="n"/>
      <c r="I93" s="96" t="inlineStr">
        <is>
          <t>Game 6</t>
        </is>
      </c>
      <c r="J93" s="97" t="n"/>
      <c r="L93" s="76" t="inlineStr">
        <is>
          <t>Network</t>
        </is>
      </c>
      <c r="M93" s="69" t="inlineStr">
        <is>
          <t>ABC</t>
        </is>
      </c>
    </row>
    <row r="94" ht="15.75" customHeight="1" thickBot="1">
      <c r="H94" s="94" t="inlineStr">
        <is>
          <t>Rank</t>
        </is>
      </c>
      <c r="I94" s="95" t="n"/>
      <c r="J94" s="95" t="n"/>
      <c r="L94" s="77" t="inlineStr">
        <is>
          <t>Game Started</t>
        </is>
      </c>
      <c r="M94" s="70" t="inlineStr">
        <is>
          <t>Yes</t>
        </is>
      </c>
    </row>
    <row r="95">
      <c r="H95" s="90" t="n">
        <v>11</v>
      </c>
      <c r="I95" s="91" t="inlineStr">
        <is>
          <t>Pittsburgh</t>
        </is>
      </c>
      <c r="J95" s="69" t="n">
        <v>20</v>
      </c>
      <c r="L95" s="77" t="inlineStr">
        <is>
          <t>Game Status</t>
        </is>
      </c>
      <c r="M95" s="70" t="inlineStr">
        <is>
          <t>FINAL</t>
        </is>
      </c>
    </row>
    <row r="96" ht="15.75" customHeight="1" thickBot="1">
      <c r="H96" s="92" t="n">
        <v>12</v>
      </c>
      <c r="I96" s="93" t="inlineStr">
        <is>
          <t>Syracuse</t>
        </is>
      </c>
      <c r="J96" s="71" t="n">
        <v>21</v>
      </c>
      <c r="L96" s="78" t="inlineStr">
        <is>
          <t>Start Time</t>
        </is>
      </c>
      <c r="M96" s="71" t="n"/>
    </row>
    <row r="97" ht="15.75" customHeight="1" thickBot="1"/>
    <row r="98" ht="15.75" customHeight="1" thickBot="1">
      <c r="H98" s="89" t="n"/>
      <c r="I98" s="96" t="inlineStr">
        <is>
          <t>Game 7</t>
        </is>
      </c>
      <c r="J98" s="97" t="n"/>
      <c r="L98" s="76" t="inlineStr">
        <is>
          <t>Network</t>
        </is>
      </c>
      <c r="M98" s="69" t="inlineStr">
        <is>
          <t>ABC</t>
        </is>
      </c>
    </row>
    <row r="99" ht="15.75" customHeight="1" thickBot="1">
      <c r="H99" s="94" t="inlineStr">
        <is>
          <t>Rank</t>
        </is>
      </c>
      <c r="I99" s="95" t="n"/>
      <c r="J99" s="95" t="n"/>
      <c r="L99" s="77" t="inlineStr">
        <is>
          <t>Game Started</t>
        </is>
      </c>
      <c r="M99" s="70" t="inlineStr">
        <is>
          <t>Yes</t>
        </is>
      </c>
    </row>
    <row r="100">
      <c r="H100" s="90" t="n">
        <v>13</v>
      </c>
      <c r="I100" s="91" t="inlineStr">
        <is>
          <t>Pittsburgh</t>
        </is>
      </c>
      <c r="J100" s="69" t="n">
        <v>22</v>
      </c>
      <c r="L100" s="77" t="inlineStr">
        <is>
          <t>Game Status</t>
        </is>
      </c>
      <c r="M100" s="70" t="inlineStr">
        <is>
          <t>FINAL</t>
        </is>
      </c>
    </row>
    <row r="101" ht="15.75" customHeight="1" thickBot="1">
      <c r="H101" s="92" t="n">
        <v>14</v>
      </c>
      <c r="I101" s="93" t="inlineStr">
        <is>
          <t>Syracuse</t>
        </is>
      </c>
      <c r="J101" s="71" t="n">
        <v>23</v>
      </c>
      <c r="L101" s="78" t="inlineStr">
        <is>
          <t>Start Time</t>
        </is>
      </c>
      <c r="M101" s="71" t="n"/>
    </row>
    <row r="102" ht="15.75" customHeight="1" thickBot="1"/>
    <row r="103" ht="15.75" customHeight="1" thickBot="1">
      <c r="H103" s="89" t="n"/>
      <c r="I103" s="96" t="inlineStr">
        <is>
          <t>Game 8</t>
        </is>
      </c>
      <c r="J103" s="97" t="n"/>
      <c r="L103" s="76" t="inlineStr">
        <is>
          <t>Network</t>
        </is>
      </c>
      <c r="M103" s="69" t="inlineStr">
        <is>
          <t>ABC</t>
        </is>
      </c>
    </row>
    <row r="104" ht="15.75" customHeight="1" thickBot="1">
      <c r="H104" s="94" t="inlineStr">
        <is>
          <t>Rank</t>
        </is>
      </c>
      <c r="I104" s="95" t="n"/>
      <c r="J104" s="95" t="n"/>
      <c r="L104" s="77" t="inlineStr">
        <is>
          <t>Game Started</t>
        </is>
      </c>
      <c r="M104" s="70" t="inlineStr">
        <is>
          <t>Yes</t>
        </is>
      </c>
    </row>
    <row r="105">
      <c r="H105" s="90" t="n">
        <v>15</v>
      </c>
      <c r="I105" s="91" t="inlineStr">
        <is>
          <t>Pittsburgh</t>
        </is>
      </c>
      <c r="J105" s="69" t="n">
        <v>24</v>
      </c>
      <c r="L105" s="77" t="inlineStr">
        <is>
          <t>Game Status</t>
        </is>
      </c>
      <c r="M105" s="70" t="inlineStr">
        <is>
          <t>FINAL</t>
        </is>
      </c>
    </row>
    <row r="106" ht="15.75" customHeight="1" thickBot="1">
      <c r="H106" s="92" t="n">
        <v>16</v>
      </c>
      <c r="I106" s="93" t="inlineStr">
        <is>
          <t>Syracuse</t>
        </is>
      </c>
      <c r="J106" s="71" t="n">
        <v>25</v>
      </c>
      <c r="L106" s="78" t="inlineStr">
        <is>
          <t>Start Time</t>
        </is>
      </c>
      <c r="M106" s="71" t="n"/>
    </row>
  </sheetData>
  <mergeCells count="5">
    <mergeCell ref="H64:I64"/>
    <mergeCell ref="H62:I62"/>
    <mergeCell ref="H63:I63"/>
    <mergeCell ref="H61:I61"/>
    <mergeCell ref="H65:I65"/>
  </mergeCells>
  <dataValidations count="8">
    <dataValidation sqref="B2 B4 E2 E4" showDropDown="0" showInputMessage="1" showErrorMessage="1" allowBlank="1" type="list">
      <formula1>$G$2:$G$3</formula1>
    </dataValidation>
    <dataValidation sqref="J33" showDropDown="0" showInputMessage="1" showErrorMessage="1" allowBlank="1" type="list">
      <formula1>$G$7:$G$14</formula1>
    </dataValidation>
    <dataValidation sqref="M69 M74 M79 M84 M90 M95 M100 M105" showDropDown="0" showInputMessage="1" showErrorMessage="1" allowBlank="1" type="list">
      <formula1>$G$26:$G$31</formula1>
    </dataValidation>
    <dataValidation sqref="M68 M73 M78 M83 M89 M94 M99 M104" showDropDown="0" showInputMessage="1" showErrorMessage="1" allowBlank="1" type="list">
      <formula1>$G$34:$G$35</formula1>
    </dataValidation>
    <dataValidation sqref="E33" showDropDown="0" showInputMessage="1" showErrorMessage="1" allowBlank="1" type="list">
      <formula1>$G$8:$G$12</formula1>
    </dataValidation>
    <dataValidation sqref="J62" showDropDown="0" showInputMessage="1" showErrorMessage="1" allowBlank="1" type="list">
      <formula1>$G$39:$G$40</formula1>
    </dataValidation>
    <dataValidation sqref="B61 E61" showDropDown="0" showInputMessage="1" showErrorMessage="1" allowBlank="1" type="list">
      <formula1>$G$8:$G$15</formula1>
    </dataValidation>
    <dataValidation sqref="J61" showDropDown="0" showInputMessage="1" showErrorMessage="1" allowBlank="1" type="list">
      <formula1>$G$19:$G$25</formula1>
    </dataValidation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H8" sqref="H8"/>
    </sheetView>
  </sheetViews>
  <sheetFormatPr baseColWidth="8" defaultRowHeight="15"/>
  <cols>
    <col width="28.7109375" customWidth="1" min="1" max="1"/>
    <col width="2.7109375" customWidth="1" min="2" max="2"/>
    <col width="20" bestFit="1" customWidth="1" min="3" max="3"/>
    <col width="2.7109375" customWidth="1" min="4" max="4"/>
    <col width="64.85546875" bestFit="1" customWidth="1" min="5" max="5"/>
    <col width="2.7109375" customWidth="1" min="6" max="6"/>
    <col width="45.28515625" bestFit="1" customWidth="1" min="7" max="7"/>
    <col width="30.7109375" customWidth="1" min="8" max="8"/>
  </cols>
  <sheetData>
    <row r="1">
      <c r="A1" s="32" t="inlineStr">
        <is>
          <t>TEAM_LOGOS</t>
        </is>
      </c>
      <c r="C1" s="32" t="inlineStr">
        <is>
          <t>CONFERENCE_LOGOS</t>
        </is>
      </c>
      <c r="E1" s="32" t="inlineStr">
        <is>
          <t>NETWORK_LOGOS</t>
        </is>
      </c>
      <c r="G1" s="32" t="inlineStr">
        <is>
          <t>SHOW_LOGOS</t>
        </is>
      </c>
      <c r="H1" s="32" t="inlineStr">
        <is>
          <t>NETWORK_LOGOS_WHITE</t>
        </is>
      </c>
    </row>
    <row r="2">
      <c r="A2" t="inlineStr">
        <is>
          <t>BLANK_DUMMY</t>
        </is>
      </c>
      <c r="C2" t="inlineStr">
        <is>
          <t>ACC</t>
        </is>
      </c>
      <c r="E2" s="147" t="inlineStr">
        <is>
          <t>ESPN</t>
        </is>
      </c>
      <c r="G2" t="inlineStr">
        <is>
          <t>ACC_ESPN</t>
        </is>
      </c>
      <c r="H2" t="inlineStr">
        <is>
          <t>ESPN_WHITE</t>
        </is>
      </c>
    </row>
    <row r="3">
      <c r="A3" t="inlineStr">
        <is>
          <t>ABILENE_CHRISTIAN</t>
        </is>
      </c>
      <c r="C3" t="inlineStr">
        <is>
          <t>AMERICA_EAST</t>
        </is>
      </c>
      <c r="E3" s="147" t="inlineStr">
        <is>
          <t>ESPN2</t>
        </is>
      </c>
      <c r="G3" t="inlineStr">
        <is>
          <t>BIGTEN_ESPN</t>
        </is>
      </c>
      <c r="H3" t="inlineStr">
        <is>
          <t>ESPN2_WHITE</t>
        </is>
      </c>
    </row>
    <row r="4">
      <c r="A4" t="inlineStr">
        <is>
          <t>AIR_FORCE</t>
        </is>
      </c>
      <c r="C4" t="inlineStr">
        <is>
          <t>AMERICAN</t>
        </is>
      </c>
      <c r="E4" s="147" t="inlineStr">
        <is>
          <t>ESPN3</t>
        </is>
      </c>
      <c r="G4" t="inlineStr">
        <is>
          <t>PAC12_ESPN</t>
        </is>
      </c>
      <c r="H4" t="inlineStr">
        <is>
          <t>ESPN3_WHITE</t>
        </is>
      </c>
    </row>
    <row r="5">
      <c r="A5" t="inlineStr">
        <is>
          <t>AKRON</t>
        </is>
      </c>
      <c r="C5" t="inlineStr">
        <is>
          <t>ATLANTIC_10</t>
        </is>
      </c>
      <c r="E5" s="147" t="inlineStr">
        <is>
          <t>ESPNU</t>
        </is>
      </c>
      <c r="G5" t="inlineStr">
        <is>
          <t>SEC_ON_ESPN</t>
        </is>
      </c>
      <c r="H5" t="inlineStr">
        <is>
          <t>ESPNU_WHITE</t>
        </is>
      </c>
    </row>
    <row r="6">
      <c r="A6" t="inlineStr">
        <is>
          <t>ALABAMA</t>
        </is>
      </c>
      <c r="C6" t="inlineStr">
        <is>
          <t>ATLANTIC_SUN</t>
        </is>
      </c>
      <c r="E6" s="147" t="inlineStr">
        <is>
          <t>ESPNEWS_RED</t>
        </is>
      </c>
      <c r="G6" t="inlineStr">
        <is>
          <t>BIG12_ESPN_COBRAND</t>
        </is>
      </c>
      <c r="H6" t="inlineStr">
        <is>
          <t>ESPNEWS_WHITE</t>
        </is>
      </c>
    </row>
    <row r="7">
      <c r="A7" t="inlineStr">
        <is>
          <t>ALABAMA_AM</t>
        </is>
      </c>
      <c r="C7" t="inlineStr">
        <is>
          <t>BIG_12</t>
        </is>
      </c>
      <c r="E7" s="147" t="inlineStr">
        <is>
          <t>ESPNPLUS</t>
        </is>
      </c>
      <c r="G7" t="inlineStr">
        <is>
          <t>AAC_ESPN_COBRAND</t>
        </is>
      </c>
      <c r="H7" t="inlineStr">
        <is>
          <t>ESPNPLUS_WHITE</t>
        </is>
      </c>
    </row>
    <row r="8">
      <c r="A8" t="inlineStr">
        <is>
          <t>ALABAMA_ST</t>
        </is>
      </c>
      <c r="C8" t="inlineStr">
        <is>
          <t>BIG_EAST</t>
        </is>
      </c>
      <c r="E8" s="147" t="inlineStr">
        <is>
          <t>SEC_NETWORK</t>
        </is>
      </c>
      <c r="G8" t="inlineStr">
        <is>
          <t>AMERICA_EAST_ESPN3</t>
        </is>
      </c>
      <c r="H8" t="inlineStr">
        <is>
          <t>SEC_NETWORK_HORIZONTAL_WHITE</t>
        </is>
      </c>
    </row>
    <row r="9">
      <c r="A9" t="inlineStr">
        <is>
          <t>ALBANY</t>
        </is>
      </c>
      <c r="C9" t="inlineStr">
        <is>
          <t>BIG_SKY</t>
        </is>
      </c>
      <c r="E9" s="147" t="inlineStr">
        <is>
          <t>SEC_NETWORK+</t>
        </is>
      </c>
      <c r="G9" t="inlineStr">
        <is>
          <t>AMERICAN_BLACK</t>
        </is>
      </c>
      <c r="H9" t="inlineStr">
        <is>
          <t>SEC_NETWORK+_WHITE</t>
        </is>
      </c>
    </row>
    <row r="10">
      <c r="A10" t="inlineStr">
        <is>
          <t>ALCORN_ST</t>
        </is>
      </c>
      <c r="C10" t="inlineStr">
        <is>
          <t>BIG_SOUTH</t>
        </is>
      </c>
      <c r="E10" s="147" t="inlineStr">
        <is>
          <t>ACC_NETWORK</t>
        </is>
      </c>
      <c r="G10" t="inlineStr">
        <is>
          <t>AMERICAN_GRAY</t>
        </is>
      </c>
      <c r="H10" t="inlineStr">
        <is>
          <t>ACC_ESPN_NETWORK_WHITE</t>
        </is>
      </c>
    </row>
    <row r="11">
      <c r="A11" t="inlineStr">
        <is>
          <t>AMERICAN_UNIVERSITY</t>
        </is>
      </c>
      <c r="C11" t="inlineStr">
        <is>
          <t>BIG_TEN</t>
        </is>
      </c>
      <c r="E11" s="147" t="inlineStr">
        <is>
          <t>ACC_NETWORK_EXTRA</t>
        </is>
      </c>
      <c r="G11" t="inlineStr">
        <is>
          <t>AMERICAN_WHITE</t>
        </is>
      </c>
      <c r="H11" t="inlineStr">
        <is>
          <t>ACC_NETWORK_EXTRA_WHITE</t>
        </is>
      </c>
    </row>
    <row r="12">
      <c r="A12" t="inlineStr">
        <is>
          <t>APPALACHIAN_ST</t>
        </is>
      </c>
      <c r="C12" t="inlineStr">
        <is>
          <t>BIG_TEN_COLORNEGATIVE</t>
        </is>
      </c>
      <c r="E12" t="inlineStr">
        <is>
          <t>AAC_ESPN+_HORIZONTAL</t>
        </is>
      </c>
      <c r="G12" t="inlineStr">
        <is>
          <t>AMERICANATHLETIC_ESPN</t>
        </is>
      </c>
      <c r="H12" t="inlineStr">
        <is>
          <t>AAC_ESPN+_HORIZONTALWHITE</t>
        </is>
      </c>
    </row>
    <row r="13">
      <c r="A13" t="inlineStr">
        <is>
          <t>ARIZONA</t>
        </is>
      </c>
      <c r="C13" t="inlineStr">
        <is>
          <t>BIG_WEST</t>
        </is>
      </c>
      <c r="E13" s="147" t="inlineStr">
        <is>
          <t>ESPNAPP</t>
        </is>
      </c>
      <c r="G13" t="inlineStr">
        <is>
          <t>AMERICANATHLETIC_ESPN_BLACK</t>
        </is>
      </c>
      <c r="H13" t="inlineStr">
        <is>
          <t>ESPNAPP_WHITE</t>
        </is>
      </c>
    </row>
    <row r="14">
      <c r="A14" t="inlineStr">
        <is>
          <t>ARIZONA_ST</t>
        </is>
      </c>
      <c r="C14" t="inlineStr">
        <is>
          <t>CIAA</t>
        </is>
      </c>
      <c r="E14" t="inlineStr">
        <is>
          <t>ABC</t>
        </is>
      </c>
      <c r="G14" t="inlineStr">
        <is>
          <t>AMERICANATHLETIC_ESPN_WHITE</t>
        </is>
      </c>
      <c r="H14" t="inlineStr">
        <is>
          <t>ABC_WHITE</t>
        </is>
      </c>
    </row>
    <row r="15">
      <c r="A15" t="inlineStr">
        <is>
          <t>ARKANSAS</t>
        </is>
      </c>
      <c r="C15" t="inlineStr">
        <is>
          <t>COLONIAL</t>
        </is>
      </c>
      <c r="G15" t="inlineStr">
        <is>
          <t>ATLANTIC10_ESPN</t>
        </is>
      </c>
    </row>
    <row r="16">
      <c r="A16" t="inlineStr">
        <is>
          <t>ARKANSAS_PINE_BLUFF</t>
        </is>
      </c>
      <c r="C16" t="inlineStr">
        <is>
          <t>CONFERENCE_USA</t>
        </is>
      </c>
      <c r="E16" t="inlineStr">
        <is>
          <t>AAC_ESPN_COBRAND</t>
        </is>
      </c>
      <c r="G16" t="inlineStr">
        <is>
          <t>BIG12_ESPN_WHITE</t>
        </is>
      </c>
    </row>
    <row r="17">
      <c r="A17" t="inlineStr">
        <is>
          <t>ARKANSAS_ST</t>
        </is>
      </c>
      <c r="C17" t="inlineStr">
        <is>
          <t>CUNY_ATHLETIC</t>
        </is>
      </c>
      <c r="E17" t="inlineStr">
        <is>
          <t>AAC_ESPN+_HORIZONTALBLACK</t>
        </is>
      </c>
      <c r="G17" t="inlineStr">
        <is>
          <t>BIGSOUTH_ESPN</t>
        </is>
      </c>
    </row>
    <row r="18">
      <c r="A18" t="inlineStr">
        <is>
          <t>ARMY</t>
        </is>
      </c>
      <c r="C18" t="inlineStr">
        <is>
          <t>GREAT_WEST</t>
        </is>
      </c>
      <c r="E18" t="inlineStr">
        <is>
          <t>AAC_ESPN+_HORIZONTALDARKGRAY</t>
        </is>
      </c>
      <c r="G18" t="inlineStr">
        <is>
          <t>BIGTEN_ABC</t>
        </is>
      </c>
    </row>
    <row r="19">
      <c r="A19" t="inlineStr">
        <is>
          <t>AUBURN</t>
        </is>
      </c>
      <c r="C19" t="inlineStr">
        <is>
          <t>HEART_OF_AMERICA_ATHLETIC</t>
        </is>
      </c>
      <c r="E19" t="inlineStr">
        <is>
          <t>AAC_ESPN+_HORIZONTALLIGHTGRAY</t>
        </is>
      </c>
      <c r="G19" t="inlineStr">
        <is>
          <t>BIGTEN_ABC_BLACK</t>
        </is>
      </c>
    </row>
    <row r="20">
      <c r="A20" t="inlineStr">
        <is>
          <t>AUSTIN_PEAY</t>
        </is>
      </c>
      <c r="C20" t="inlineStr">
        <is>
          <t>HORIZON_LEAGUE</t>
        </is>
      </c>
      <c r="E20" t="inlineStr">
        <is>
          <t>AAC_ESPN+_HORIZONTALWHITE</t>
        </is>
      </c>
      <c r="G20" t="inlineStr">
        <is>
          <t>BIGTEN_ABC_GRAY</t>
        </is>
      </c>
    </row>
    <row r="21">
      <c r="A21" t="inlineStr">
        <is>
          <t>BALL_ST</t>
        </is>
      </c>
      <c r="C21" t="inlineStr">
        <is>
          <t>IVY_LEAGUE</t>
        </is>
      </c>
      <c r="E21" t="inlineStr">
        <is>
          <t>AAC_ESPN+_VERTICAL</t>
        </is>
      </c>
      <c r="G21" t="inlineStr">
        <is>
          <t>BIGTEN_ABC_LIGHTGRAY</t>
        </is>
      </c>
    </row>
    <row r="22">
      <c r="A22" t="inlineStr">
        <is>
          <t>BAYLOR</t>
        </is>
      </c>
      <c r="C22" t="inlineStr">
        <is>
          <t>LONE_STAR</t>
        </is>
      </c>
      <c r="E22" t="inlineStr">
        <is>
          <t>AAC_ESPN+_VERTICALBLACK</t>
        </is>
      </c>
      <c r="G22" t="inlineStr">
        <is>
          <t>BIGTEN_ABC_WHITE</t>
        </is>
      </c>
    </row>
    <row r="23">
      <c r="A23" t="inlineStr">
        <is>
          <t>BELLARMINE</t>
        </is>
      </c>
      <c r="C23" t="inlineStr">
        <is>
          <t>MAAC</t>
        </is>
      </c>
      <c r="E23" t="inlineStr">
        <is>
          <t>AAC_ESPN+_VERTICALDARKGRAY</t>
        </is>
      </c>
      <c r="G23" t="inlineStr">
        <is>
          <t>BIGTEN_ESPN_BLACK</t>
        </is>
      </c>
    </row>
    <row r="24">
      <c r="A24" t="inlineStr">
        <is>
          <t>BELMONT</t>
        </is>
      </c>
      <c r="C24" t="inlineStr">
        <is>
          <t>MAC</t>
        </is>
      </c>
      <c r="E24" t="inlineStr">
        <is>
          <t>AAC_ESPN+_VERTICALLIGHTGRAY</t>
        </is>
      </c>
      <c r="G24" t="inlineStr">
        <is>
          <t>BIGTEN_ESPN_GRAY</t>
        </is>
      </c>
    </row>
    <row r="25">
      <c r="A25" t="inlineStr">
        <is>
          <t>BETHUNE_COOKMAN</t>
        </is>
      </c>
      <c r="C25" t="inlineStr">
        <is>
          <t>MEAC</t>
        </is>
      </c>
      <c r="E25" t="inlineStr">
        <is>
          <t>AAC_ESPN+_VERTICALWHITE</t>
        </is>
      </c>
      <c r="G25" t="inlineStr">
        <is>
          <t>BIGTEN_ESPN_LIGHTGRAY</t>
        </is>
      </c>
    </row>
    <row r="26">
      <c r="A26" t="inlineStr">
        <is>
          <t>BINGHAMTON</t>
        </is>
      </c>
      <c r="C26" t="inlineStr">
        <is>
          <t>MISSOURI_VALLEY</t>
        </is>
      </c>
      <c r="E26" t="inlineStr">
        <is>
          <t>AAC_ESPN+_WATERMARK</t>
        </is>
      </c>
      <c r="G26" t="inlineStr">
        <is>
          <t>BIGTEN_ESPN_WHITE</t>
        </is>
      </c>
    </row>
    <row r="27">
      <c r="A27" t="inlineStr">
        <is>
          <t>BOISE_ST</t>
        </is>
      </c>
      <c r="C27" t="inlineStr">
        <is>
          <t>MISSOURI_VALLEY_FOOTBALL</t>
        </is>
      </c>
      <c r="E27" t="inlineStr">
        <is>
          <t>ABC_ESPN_MIRROR</t>
        </is>
      </c>
      <c r="G27" t="inlineStr">
        <is>
          <t>BIGTENABC_COLORNEGATIVE</t>
        </is>
      </c>
    </row>
    <row r="28">
      <c r="A28" t="inlineStr">
        <is>
          <t>BOSTON_COLLEGE</t>
        </is>
      </c>
      <c r="C28" t="inlineStr">
        <is>
          <t>MOUNTAIN_WEST</t>
        </is>
      </c>
      <c r="E28" t="inlineStr">
        <is>
          <t>ABC_ESPN_MIRROR_BLACK</t>
        </is>
      </c>
      <c r="G28" t="inlineStr">
        <is>
          <t>BIGTENESPN_COLORNEGATIVE</t>
        </is>
      </c>
    </row>
    <row r="29">
      <c r="A29" t="inlineStr">
        <is>
          <t>BOSTON_UNIVERSITY</t>
        </is>
      </c>
      <c r="C29" t="inlineStr">
        <is>
          <t>NAIA</t>
        </is>
      </c>
      <c r="E29" t="inlineStr">
        <is>
          <t>ABC_ESPN_MIRROR_WHITE</t>
        </is>
      </c>
      <c r="G29" t="inlineStr">
        <is>
          <t>RECRUITING_NATION</t>
        </is>
      </c>
    </row>
    <row r="30">
      <c r="A30" t="inlineStr">
        <is>
          <t>BOWLING_GREEN</t>
        </is>
      </c>
      <c r="C30" t="inlineStr">
        <is>
          <t>NORTHEAST</t>
        </is>
      </c>
      <c r="E30" t="inlineStr">
        <is>
          <t>ABC_ESPN2_MIRROR</t>
        </is>
      </c>
      <c r="G30" t="inlineStr">
        <is>
          <t>SUNBELT_BLACK</t>
        </is>
      </c>
    </row>
    <row r="31">
      <c r="A31" t="inlineStr">
        <is>
          <t>BRADLEY</t>
        </is>
      </c>
      <c r="C31" t="inlineStr">
        <is>
          <t>NORTHERN_SUN</t>
        </is>
      </c>
      <c r="E31" t="inlineStr">
        <is>
          <t>ABC_ESPN2_MIRROR_BLACK</t>
        </is>
      </c>
      <c r="G31" t="inlineStr">
        <is>
          <t>SUNBELT_GRAY</t>
        </is>
      </c>
    </row>
    <row r="32">
      <c r="A32" t="inlineStr">
        <is>
          <t>BROWN</t>
        </is>
      </c>
      <c r="C32" t="inlineStr">
        <is>
          <t>OHIO_VALLEY</t>
        </is>
      </c>
      <c r="E32" t="inlineStr">
        <is>
          <t>ABC_ESPN2_MIRROR_WHITE</t>
        </is>
      </c>
      <c r="G32" t="inlineStr">
        <is>
          <t>SUNBELT_WHITE</t>
        </is>
      </c>
    </row>
    <row r="33">
      <c r="A33" t="inlineStr">
        <is>
          <t>BRYANT</t>
        </is>
      </c>
      <c r="C33" t="inlineStr">
        <is>
          <t>PAC_12</t>
        </is>
      </c>
      <c r="E33" t="inlineStr">
        <is>
          <t>ABC_ESPN3_MIRROR</t>
        </is>
      </c>
      <c r="G33" t="inlineStr">
        <is>
          <t>THEVALLEY_ESPN</t>
        </is>
      </c>
    </row>
    <row r="34">
      <c r="A34" t="inlineStr">
        <is>
          <t>BUCKNELL</t>
        </is>
      </c>
      <c r="C34" t="inlineStr">
        <is>
          <t>PATRIOT_LEAGUE</t>
        </is>
      </c>
      <c r="E34" t="inlineStr">
        <is>
          <t>ABC_ESPN3_MIRROR_WHITE</t>
        </is>
      </c>
      <c r="G34" t="inlineStr">
        <is>
          <t>SEC_NETWORK_HORIZONTAL</t>
        </is>
      </c>
    </row>
    <row r="35">
      <c r="A35" t="inlineStr">
        <is>
          <t>BUFFALO</t>
        </is>
      </c>
      <c r="C35" t="inlineStr">
        <is>
          <t>PIONEER_FOOTBALL_LEAGUE</t>
        </is>
      </c>
      <c r="E35" t="inlineStr">
        <is>
          <t>ABC_GRAY</t>
        </is>
      </c>
      <c r="G35" t="inlineStr">
        <is>
          <t>ACC_ESPN_NETWORK_WHITE</t>
        </is>
      </c>
    </row>
    <row r="36">
      <c r="A36" t="inlineStr">
        <is>
          <t>BUTLER</t>
        </is>
      </c>
      <c r="C36" t="inlineStr">
        <is>
          <t>SEC</t>
        </is>
      </c>
      <c r="E36" t="inlineStr">
        <is>
          <t>ABC_LIGHTGRAY</t>
        </is>
      </c>
      <c r="G36" t="inlineStr">
        <is>
          <t>SOONERVISION_PRIMARY</t>
        </is>
      </c>
    </row>
    <row r="37">
      <c r="A37" t="inlineStr">
        <is>
          <t>BYU</t>
        </is>
      </c>
      <c r="C37" t="inlineStr">
        <is>
          <t>SOCON</t>
        </is>
      </c>
      <c r="E37" t="inlineStr">
        <is>
          <t>ABC_WHITE</t>
        </is>
      </c>
    </row>
    <row r="38">
      <c r="A38" t="inlineStr">
        <is>
          <t>CAL_POLY</t>
        </is>
      </c>
      <c r="C38" t="inlineStr">
        <is>
          <t>SOUTHLAND</t>
        </is>
      </c>
      <c r="E38" t="inlineStr">
        <is>
          <t>ABCAPPMIRROR</t>
        </is>
      </c>
    </row>
    <row r="39">
      <c r="A39" t="inlineStr">
        <is>
          <t>CAL_ST_BAKERSFIELD</t>
        </is>
      </c>
      <c r="C39" t="inlineStr">
        <is>
          <t>SOUTHWEST</t>
        </is>
      </c>
      <c r="E39" t="inlineStr">
        <is>
          <t>ABCAPPMIRROR_WHITE</t>
        </is>
      </c>
    </row>
    <row r="40">
      <c r="A40" t="inlineStr">
        <is>
          <t>CAL_ST_FULLERTON</t>
        </is>
      </c>
      <c r="C40" t="inlineStr">
        <is>
          <t>SUMMIT_LEAGUE</t>
        </is>
      </c>
      <c r="E40" t="inlineStr">
        <is>
          <t>ACC_DIGITAL_NETWORK</t>
        </is>
      </c>
    </row>
    <row r="41">
      <c r="A41" t="inlineStr">
        <is>
          <t>CAL_ST_NORTHRIDGE</t>
        </is>
      </c>
      <c r="C41" t="inlineStr">
        <is>
          <t>SUN_BELT</t>
        </is>
      </c>
      <c r="E41" t="inlineStr">
        <is>
          <t>ACC_DIGITALNETWORK</t>
        </is>
      </c>
    </row>
    <row r="42">
      <c r="A42" t="inlineStr">
        <is>
          <t>CALIFORNIA</t>
        </is>
      </c>
      <c r="C42" t="inlineStr">
        <is>
          <t>SWAC</t>
        </is>
      </c>
      <c r="E42" t="inlineStr">
        <is>
          <t>ACC_ESPN</t>
        </is>
      </c>
    </row>
    <row r="43">
      <c r="A43" t="inlineStr">
        <is>
          <t>CALIFORNIA_BAPTIST</t>
        </is>
      </c>
      <c r="C43" t="inlineStr">
        <is>
          <t>WEST_COAST</t>
        </is>
      </c>
      <c r="E43" t="inlineStr">
        <is>
          <t>ACC_ESPN_NETWORK</t>
        </is>
      </c>
    </row>
    <row r="44">
      <c r="A44" t="inlineStr">
        <is>
          <t>CAMPBELL</t>
        </is>
      </c>
      <c r="C44" t="inlineStr">
        <is>
          <t>WESTERN_ATHLETIC</t>
        </is>
      </c>
      <c r="E44" t="inlineStr">
        <is>
          <t>ACC_ESPN_NETWORK_BLACK</t>
        </is>
      </c>
    </row>
    <row r="45">
      <c r="A45" t="inlineStr">
        <is>
          <t>CANISIUS</t>
        </is>
      </c>
      <c r="E45" t="inlineStr">
        <is>
          <t>ACC_ESPN_NETWORK_GRAY</t>
        </is>
      </c>
    </row>
    <row r="46">
      <c r="A46" t="inlineStr">
        <is>
          <t>CENTRAL_ARKANSAS</t>
        </is>
      </c>
      <c r="E46" t="inlineStr">
        <is>
          <t>ACC_ESPN_NETWORK_LIGHTGRAY</t>
        </is>
      </c>
    </row>
    <row r="47">
      <c r="A47" t="inlineStr">
        <is>
          <t>CENTRAL_CONNECTICUT_ST</t>
        </is>
      </c>
      <c r="E47" t="inlineStr">
        <is>
          <t>ACC_ESPN_NETWORK_WHITE</t>
        </is>
      </c>
    </row>
    <row r="48">
      <c r="A48" t="inlineStr">
        <is>
          <t>CENTRAL_MICHIGAN</t>
        </is>
      </c>
      <c r="E48" t="inlineStr">
        <is>
          <t>ACC_NETWORK_BLACK</t>
        </is>
      </c>
    </row>
    <row r="49">
      <c r="A49" t="inlineStr">
        <is>
          <t>CHAMINADE</t>
        </is>
      </c>
      <c r="E49" t="inlineStr">
        <is>
          <t>ACC_NETWORK_ESPN_2019</t>
        </is>
      </c>
    </row>
    <row r="50">
      <c r="A50" t="inlineStr">
        <is>
          <t>CHARLESTON_SOUTHERN</t>
        </is>
      </c>
      <c r="E50" t="inlineStr">
        <is>
          <t>ACC_NETWORK_ESPN_AUGUST2019</t>
        </is>
      </c>
    </row>
    <row r="51">
      <c r="A51" t="inlineStr">
        <is>
          <t>CHARLOTTE</t>
        </is>
      </c>
      <c r="E51" t="inlineStr">
        <is>
          <t>ACC_NETWORK_EXTRA_BLACK</t>
        </is>
      </c>
    </row>
    <row r="52">
      <c r="A52" t="inlineStr">
        <is>
          <t>CHATTANOOGA</t>
        </is>
      </c>
      <c r="E52" t="inlineStr">
        <is>
          <t>ACC_NETWORK_EXTRA_GRAY</t>
        </is>
      </c>
    </row>
    <row r="53">
      <c r="A53" t="inlineStr">
        <is>
          <t>CHICAGO_ST</t>
        </is>
      </c>
      <c r="E53" t="inlineStr">
        <is>
          <t>ACC_NETWORK_EXTRA_LIGHTGRAY</t>
        </is>
      </c>
    </row>
    <row r="54">
      <c r="A54" t="inlineStr">
        <is>
          <t>CINCINNATI</t>
        </is>
      </c>
      <c r="E54" t="inlineStr">
        <is>
          <t>ACC_NETWORK_EXTRA_WHITE</t>
        </is>
      </c>
    </row>
    <row r="55">
      <c r="A55" t="inlineStr">
        <is>
          <t>CLEMSON</t>
        </is>
      </c>
      <c r="E55" t="inlineStr">
        <is>
          <t>ACC_NETWORK_GRAY</t>
        </is>
      </c>
    </row>
    <row r="56">
      <c r="A56" t="inlineStr">
        <is>
          <t>CLEVELAND_ST</t>
        </is>
      </c>
      <c r="E56" t="inlineStr">
        <is>
          <t>ACC_NETWORK_LIGHTGRAY</t>
        </is>
      </c>
    </row>
    <row r="57">
      <c r="A57" t="inlineStr">
        <is>
          <t>COASTAL_CAROLINA</t>
        </is>
      </c>
      <c r="E57" t="inlineStr">
        <is>
          <t>ACC_NETWORK_WHITE</t>
        </is>
      </c>
    </row>
    <row r="58">
      <c r="A58" t="inlineStr">
        <is>
          <t>COLGATE</t>
        </is>
      </c>
      <c r="E58" t="inlineStr">
        <is>
          <t>ACC_ON_ESPN</t>
        </is>
      </c>
    </row>
    <row r="59">
      <c r="A59" t="inlineStr">
        <is>
          <t>COLLEGE_OF_CHARLESTON</t>
        </is>
      </c>
      <c r="E59" t="inlineStr">
        <is>
          <t>ACC_WHITE</t>
        </is>
      </c>
    </row>
    <row r="60">
      <c r="A60" t="inlineStr">
        <is>
          <t>COLORADO</t>
        </is>
      </c>
      <c r="E60" t="inlineStr">
        <is>
          <t>AMERICA_EAST_ESPN3</t>
        </is>
      </c>
    </row>
    <row r="61">
      <c r="A61" t="inlineStr">
        <is>
          <t>COLORADO_ST</t>
        </is>
      </c>
      <c r="E61" t="inlineStr">
        <is>
          <t>AMERICAEAST</t>
        </is>
      </c>
    </row>
    <row r="62">
      <c r="A62" t="inlineStr">
        <is>
          <t>COLUMBIA</t>
        </is>
      </c>
      <c r="E62" t="inlineStr">
        <is>
          <t>AMERICAEAST_ESPN_BLACK</t>
        </is>
      </c>
    </row>
    <row r="63">
      <c r="A63" t="inlineStr">
        <is>
          <t>CONNECTICUT</t>
        </is>
      </c>
      <c r="E63" t="inlineStr">
        <is>
          <t>AMERICAEAST_ESPN_DARKGRAY</t>
        </is>
      </c>
    </row>
    <row r="64">
      <c r="A64" t="inlineStr">
        <is>
          <t>COPPIN_ST</t>
        </is>
      </c>
      <c r="E64" t="inlineStr">
        <is>
          <t>AMERICAEAST_ESPN_LIGHTGRAY</t>
        </is>
      </c>
    </row>
    <row r="65">
      <c r="A65" t="inlineStr">
        <is>
          <t>CORNELL</t>
        </is>
      </c>
      <c r="E65" t="inlineStr">
        <is>
          <t>AMERICAEAST_ESPN_PRIMARY</t>
        </is>
      </c>
    </row>
    <row r="66">
      <c r="A66" t="inlineStr">
        <is>
          <t>CREIGHTON</t>
        </is>
      </c>
      <c r="E66" t="inlineStr">
        <is>
          <t>AMERICAEAST_ESPN_WHITE</t>
        </is>
      </c>
    </row>
    <row r="67">
      <c r="A67" t="inlineStr">
        <is>
          <t>DARTMOUTH</t>
        </is>
      </c>
      <c r="E67" t="inlineStr">
        <is>
          <t>AMERICAEAST_SECONDARY</t>
        </is>
      </c>
    </row>
    <row r="68">
      <c r="A68" t="inlineStr">
        <is>
          <t>DAVIDSON</t>
        </is>
      </c>
      <c r="E68" t="inlineStr">
        <is>
          <t>AMERICAEAST_SECONDARYKNOCKOUT</t>
        </is>
      </c>
    </row>
    <row r="69">
      <c r="A69" t="inlineStr">
        <is>
          <t>DAYTON</t>
        </is>
      </c>
      <c r="E69" t="inlineStr">
        <is>
          <t>AMERICAN_BLACK</t>
        </is>
      </c>
    </row>
    <row r="70">
      <c r="A70" t="inlineStr">
        <is>
          <t>DELAWARE</t>
        </is>
      </c>
      <c r="E70" t="inlineStr">
        <is>
          <t>AMERICAN_GRAY</t>
        </is>
      </c>
    </row>
    <row r="71">
      <c r="A71" t="inlineStr">
        <is>
          <t>DELAWARE_ST</t>
        </is>
      </c>
      <c r="E71" t="inlineStr">
        <is>
          <t>AMERICAN_WHITE</t>
        </is>
      </c>
    </row>
    <row r="72">
      <c r="A72" t="inlineStr">
        <is>
          <t>DENVER</t>
        </is>
      </c>
      <c r="E72" t="inlineStr">
        <is>
          <t>ASUN_ESPN_BLACK</t>
        </is>
      </c>
    </row>
    <row r="73">
      <c r="A73" t="inlineStr">
        <is>
          <t>DEPAUL</t>
        </is>
      </c>
      <c r="E73" t="inlineStr">
        <is>
          <t>ASUN_ESPN_DARKGRAY</t>
        </is>
      </c>
    </row>
    <row r="74">
      <c r="A74" t="inlineStr">
        <is>
          <t>DETROIT_MERCY</t>
        </is>
      </c>
      <c r="E74" t="inlineStr">
        <is>
          <t>ASUN_ESPN_LIGHTGRAY</t>
        </is>
      </c>
    </row>
    <row r="75">
      <c r="A75" t="inlineStr">
        <is>
          <t>DRAKE</t>
        </is>
      </c>
      <c r="E75" t="inlineStr">
        <is>
          <t>ASUN_ESPN_PRIMARY</t>
        </is>
      </c>
    </row>
    <row r="76">
      <c r="A76" t="inlineStr">
        <is>
          <t>DREXEL</t>
        </is>
      </c>
      <c r="E76" t="inlineStr">
        <is>
          <t>ASUN_ESPN_WHITE</t>
        </is>
      </c>
    </row>
    <row r="77">
      <c r="A77" t="inlineStr">
        <is>
          <t>DUKE</t>
        </is>
      </c>
      <c r="E77" t="inlineStr">
        <is>
          <t>BIG12_NETWORK</t>
        </is>
      </c>
    </row>
    <row r="78">
      <c r="A78" t="inlineStr">
        <is>
          <t>DUQUESNE</t>
        </is>
      </c>
      <c r="E78" t="inlineStr">
        <is>
          <t>BIGEAST_NETWORK</t>
        </is>
      </c>
    </row>
    <row r="79">
      <c r="A79" t="inlineStr">
        <is>
          <t>EAST_CAROLINA</t>
        </is>
      </c>
      <c r="E79" t="inlineStr">
        <is>
          <t>BIGEAST_NETWORK_GRAY</t>
        </is>
      </c>
    </row>
    <row r="80">
      <c r="A80" t="inlineStr">
        <is>
          <t>EAST_TENNESSEE_ST</t>
        </is>
      </c>
      <c r="E80" t="inlineStr">
        <is>
          <t>BIGEAST_NETWORK_LIGHTGRAY</t>
        </is>
      </c>
    </row>
    <row r="81">
      <c r="A81" t="inlineStr">
        <is>
          <t>EASTERN_ILLINOIS</t>
        </is>
      </c>
      <c r="E81" t="inlineStr">
        <is>
          <t>BIGEAST_NETWORK_WHITE</t>
        </is>
      </c>
    </row>
    <row r="82">
      <c r="A82" t="inlineStr">
        <is>
          <t>EASTERN_KENTUCKY</t>
        </is>
      </c>
      <c r="E82" t="inlineStr">
        <is>
          <t>BIGSOUTH_ESPN_BLACK</t>
        </is>
      </c>
    </row>
    <row r="83">
      <c r="A83" t="inlineStr">
        <is>
          <t>EASTERN_MICHIGAN</t>
        </is>
      </c>
      <c r="E83" t="inlineStr">
        <is>
          <t>BIGSOUTH_ESPN_DARKGRAY</t>
        </is>
      </c>
    </row>
    <row r="84">
      <c r="A84" t="inlineStr">
        <is>
          <t>EASTERN_WASHINGTON</t>
        </is>
      </c>
      <c r="E84" t="inlineStr">
        <is>
          <t>BIGSOUTH_ESPN_LIGHTGRAY</t>
        </is>
      </c>
    </row>
    <row r="85">
      <c r="A85" t="inlineStr">
        <is>
          <t>ELON</t>
        </is>
      </c>
      <c r="E85" t="inlineStr">
        <is>
          <t>BIGSOUTH_ESPN_PRIMARY</t>
        </is>
      </c>
    </row>
    <row r="86">
      <c r="A86" t="inlineStr">
        <is>
          <t>EVANSVILLE</t>
        </is>
      </c>
      <c r="E86" t="inlineStr">
        <is>
          <t>BIGSOUTH_ESPN_WHITE</t>
        </is>
      </c>
    </row>
    <row r="87">
      <c r="A87" t="inlineStr">
        <is>
          <t>FAIRFIELD</t>
        </is>
      </c>
      <c r="E87" t="inlineStr">
        <is>
          <t>BIGTEN_ABC</t>
        </is>
      </c>
    </row>
    <row r="88">
      <c r="A88" t="inlineStr">
        <is>
          <t>FAIRLEIGH_DICKINSON</t>
        </is>
      </c>
      <c r="E88" t="inlineStr">
        <is>
          <t>BIGTEN_ABC_BLACK</t>
        </is>
      </c>
    </row>
    <row r="89">
      <c r="A89" t="inlineStr">
        <is>
          <t>FLORIDA</t>
        </is>
      </c>
      <c r="E89" t="inlineStr">
        <is>
          <t>BIGTEN_ABC_GRAY</t>
        </is>
      </c>
    </row>
    <row r="90">
      <c r="A90" t="inlineStr">
        <is>
          <t>FLORIDA_AM</t>
        </is>
      </c>
      <c r="E90" t="inlineStr">
        <is>
          <t>BIGTEN_ABC_LIGHTGRAY</t>
        </is>
      </c>
    </row>
    <row r="91">
      <c r="A91" t="inlineStr">
        <is>
          <t>FLORIDA_ATLANTIC</t>
        </is>
      </c>
      <c r="E91" t="inlineStr">
        <is>
          <t>BIGTEN_ABC_WHITE</t>
        </is>
      </c>
    </row>
    <row r="92">
      <c r="A92" t="inlineStr">
        <is>
          <t>FLORIDA_GULF_COAST</t>
        </is>
      </c>
      <c r="E92" t="inlineStr">
        <is>
          <t>BIGTEN_ESPN</t>
        </is>
      </c>
    </row>
    <row r="93">
      <c r="A93" t="inlineStr">
        <is>
          <t>FLORIDA_INTERNATIONAL</t>
        </is>
      </c>
      <c r="E93" t="inlineStr">
        <is>
          <t>BIGTEN_ESPN_BLACK</t>
        </is>
      </c>
    </row>
    <row r="94">
      <c r="A94" t="inlineStr">
        <is>
          <t>FLORIDA_ST</t>
        </is>
      </c>
      <c r="E94" t="inlineStr">
        <is>
          <t>BIGTEN_ESPN_GRAY</t>
        </is>
      </c>
    </row>
    <row r="95">
      <c r="A95" t="inlineStr">
        <is>
          <t>FORDHAM</t>
        </is>
      </c>
      <c r="E95" t="inlineStr">
        <is>
          <t>BIGTEN_ESPN_LIGHTGRAY</t>
        </is>
      </c>
    </row>
    <row r="96">
      <c r="A96" t="inlineStr">
        <is>
          <t>FRESNO_ST</t>
        </is>
      </c>
      <c r="E96" t="inlineStr">
        <is>
          <t>BIGTEN_ESPN_WHITE</t>
        </is>
      </c>
    </row>
    <row r="97">
      <c r="A97" t="inlineStr">
        <is>
          <t>FURMAN</t>
        </is>
      </c>
      <c r="E97" t="inlineStr">
        <is>
          <t>BIGTENABC_BLACK</t>
        </is>
      </c>
    </row>
    <row r="98">
      <c r="A98" t="inlineStr">
        <is>
          <t>GARDNER_WEBB</t>
        </is>
      </c>
      <c r="E98" t="inlineStr">
        <is>
          <t>BIGTENABC_COLORPOSITIVE</t>
        </is>
      </c>
    </row>
    <row r="99">
      <c r="A99" t="inlineStr">
        <is>
          <t>GEORGE_MASON</t>
        </is>
      </c>
      <c r="E99" t="inlineStr">
        <is>
          <t>BIGTENABC_GRAY</t>
        </is>
      </c>
    </row>
    <row r="100">
      <c r="A100" t="inlineStr">
        <is>
          <t>GEORGE_WASHINGTON</t>
        </is>
      </c>
      <c r="E100" t="inlineStr">
        <is>
          <t>BIGTENABC_LIGHTGRAY</t>
        </is>
      </c>
    </row>
    <row r="101">
      <c r="A101" t="inlineStr">
        <is>
          <t>GEORGETOWN</t>
        </is>
      </c>
      <c r="E101" t="inlineStr">
        <is>
          <t>BIGTENABC_WHITE</t>
        </is>
      </c>
    </row>
    <row r="102">
      <c r="A102" t="inlineStr">
        <is>
          <t>GEORGIA</t>
        </is>
      </c>
      <c r="E102" t="inlineStr">
        <is>
          <t>BIGTENESPN_BLACK</t>
        </is>
      </c>
    </row>
    <row r="103">
      <c r="A103" t="inlineStr">
        <is>
          <t>GEORGIA_SOUTHERN</t>
        </is>
      </c>
      <c r="E103" t="inlineStr">
        <is>
          <t>BIGTENESPN_COLORPOSITIVE</t>
        </is>
      </c>
    </row>
    <row r="104">
      <c r="A104" t="inlineStr">
        <is>
          <t>GEORGIA_ST</t>
        </is>
      </c>
      <c r="E104" t="inlineStr">
        <is>
          <t>BIGTENESPN_GRAY</t>
        </is>
      </c>
    </row>
    <row r="105">
      <c r="A105" t="inlineStr">
        <is>
          <t>GEORGIA_TECH</t>
        </is>
      </c>
      <c r="E105" t="inlineStr">
        <is>
          <t>BIGTENESPN_LIGHTGRAY</t>
        </is>
      </c>
    </row>
    <row r="106">
      <c r="A106" t="inlineStr">
        <is>
          <t>GONZAGA</t>
        </is>
      </c>
      <c r="E106" t="inlineStr">
        <is>
          <t>BIGTENESPN_WHITE</t>
        </is>
      </c>
    </row>
    <row r="107">
      <c r="A107" t="inlineStr">
        <is>
          <t>GRAMBLING_ST</t>
        </is>
      </c>
      <c r="E107" t="inlineStr">
        <is>
          <t>CBS_SPORTS</t>
        </is>
      </c>
    </row>
    <row r="108">
      <c r="A108" t="inlineStr">
        <is>
          <t>GRAND_CANYON</t>
        </is>
      </c>
      <c r="E108" t="inlineStr">
        <is>
          <t>CBS_SPORTS_GRAY</t>
        </is>
      </c>
    </row>
    <row r="109">
      <c r="A109" t="inlineStr">
        <is>
          <t>GREEN_BAY</t>
        </is>
      </c>
      <c r="E109" t="inlineStr">
        <is>
          <t>CBS_SPORTS_NK</t>
        </is>
      </c>
    </row>
    <row r="110">
      <c r="A110" t="inlineStr">
        <is>
          <t>HAMPTON</t>
        </is>
      </c>
      <c r="E110" t="inlineStr">
        <is>
          <t>CBS_SPORTS_WHITE</t>
        </is>
      </c>
    </row>
    <row r="111">
      <c r="A111" t="inlineStr">
        <is>
          <t>HAMPTON_W</t>
        </is>
      </c>
      <c r="E111" t="inlineStr">
        <is>
          <t>CBSNETWORK</t>
        </is>
      </c>
    </row>
    <row r="112">
      <c r="A112" t="inlineStr">
        <is>
          <t>HARTFORD</t>
        </is>
      </c>
      <c r="E112" t="inlineStr">
        <is>
          <t>CBSNETWORK_GRAY</t>
        </is>
      </c>
    </row>
    <row r="113">
      <c r="A113" t="inlineStr">
        <is>
          <t>HARVARD</t>
        </is>
      </c>
      <c r="E113" t="inlineStr">
        <is>
          <t>CBSNETWORK_LIGHTGRAY</t>
        </is>
      </c>
    </row>
    <row r="114">
      <c r="A114" t="inlineStr">
        <is>
          <t>HAWAII</t>
        </is>
      </c>
      <c r="E114" t="inlineStr">
        <is>
          <t>CBSNETWORK_WHITE</t>
        </is>
      </c>
    </row>
    <row r="115">
      <c r="A115" t="inlineStr">
        <is>
          <t>HIGH_POINT</t>
        </is>
      </c>
      <c r="E115" t="inlineStr">
        <is>
          <t>ESPN_APP</t>
        </is>
      </c>
    </row>
    <row r="116">
      <c r="A116" t="inlineStr">
        <is>
          <t>HOFSTRA</t>
        </is>
      </c>
      <c r="E116" t="inlineStr">
        <is>
          <t>ESPN_APP_ICON</t>
        </is>
      </c>
    </row>
    <row r="117">
      <c r="A117" t="inlineStr">
        <is>
          <t>HOLY_CROSS</t>
        </is>
      </c>
      <c r="E117" t="inlineStr">
        <is>
          <t>ESPN_BLACK</t>
        </is>
      </c>
    </row>
    <row r="118">
      <c r="A118" t="inlineStr">
        <is>
          <t>HOUSTON</t>
        </is>
      </c>
      <c r="E118" t="inlineStr">
        <is>
          <t>ESPN_COLLEGE_BPI</t>
        </is>
      </c>
    </row>
    <row r="119">
      <c r="A119" t="inlineStr">
        <is>
          <t>HOUSTON_BAPTIST</t>
        </is>
      </c>
      <c r="E119" t="inlineStr">
        <is>
          <t>ESPN_DEPORTESRADIO_LIGHTGRAY</t>
        </is>
      </c>
    </row>
    <row r="120">
      <c r="A120" t="inlineStr">
        <is>
          <t>HOWARD</t>
        </is>
      </c>
      <c r="E120" t="inlineStr">
        <is>
          <t>ESPN_ESPN2_MIRROR_RED</t>
        </is>
      </c>
    </row>
    <row r="121">
      <c r="A121" t="inlineStr">
        <is>
          <t>IDAHO</t>
        </is>
      </c>
      <c r="E121" t="inlineStr">
        <is>
          <t>ESPN_ESPN2_MIRROR_WHITE</t>
        </is>
      </c>
    </row>
    <row r="122">
      <c r="A122" t="inlineStr">
        <is>
          <t>IDAHO_ST</t>
        </is>
      </c>
      <c r="E122" t="inlineStr">
        <is>
          <t>ESPN_ESPN2_WHITE</t>
        </is>
      </c>
    </row>
    <row r="123">
      <c r="A123" t="inlineStr">
        <is>
          <t>ILLINOIS</t>
        </is>
      </c>
      <c r="E123" t="inlineStr">
        <is>
          <t>ESPN_ESPNAPP_MIRROR</t>
        </is>
      </c>
    </row>
    <row r="124">
      <c r="A124" t="inlineStr">
        <is>
          <t>ILLINOIS_CHICAGO</t>
        </is>
      </c>
      <c r="E124" t="inlineStr">
        <is>
          <t>ESPN_ESPNAPP_MIRRORWHITE</t>
        </is>
      </c>
    </row>
    <row r="125">
      <c r="A125" t="inlineStr">
        <is>
          <t>ILLINOIS_ST</t>
        </is>
      </c>
      <c r="E125" t="inlineStr">
        <is>
          <t>ESPN_ESPNEWS_WHITE</t>
        </is>
      </c>
    </row>
    <row r="126">
      <c r="A126" t="inlineStr">
        <is>
          <t>INCARNATE_WORD</t>
        </is>
      </c>
      <c r="E126" t="inlineStr">
        <is>
          <t>ESPN_ESPNU_WHITE</t>
        </is>
      </c>
    </row>
    <row r="127">
      <c r="A127" t="inlineStr">
        <is>
          <t>INDIANA</t>
        </is>
      </c>
      <c r="E127" t="inlineStr">
        <is>
          <t>ESPN_GRAY</t>
        </is>
      </c>
    </row>
    <row r="128">
      <c r="A128" t="inlineStr">
        <is>
          <t>INDIANA_ST</t>
        </is>
      </c>
      <c r="E128" t="inlineStr">
        <is>
          <t>ESPN_LIGHTGRAY</t>
        </is>
      </c>
    </row>
    <row r="129">
      <c r="A129" t="inlineStr">
        <is>
          <t>IONA</t>
        </is>
      </c>
      <c r="E129" t="inlineStr">
        <is>
          <t>ESPN_Plus_Bug</t>
        </is>
      </c>
    </row>
    <row r="130">
      <c r="A130" t="inlineStr">
        <is>
          <t>IOWA</t>
        </is>
      </c>
      <c r="E130" t="inlineStr">
        <is>
          <t>ESPN_SECNETWORK_MIRROR</t>
        </is>
      </c>
    </row>
    <row r="131">
      <c r="A131" t="inlineStr">
        <is>
          <t>IOWA_ST</t>
        </is>
      </c>
      <c r="E131" t="inlineStr">
        <is>
          <t>ESPN_WATCH_PLAY</t>
        </is>
      </c>
    </row>
    <row r="132">
      <c r="A132" t="inlineStr">
        <is>
          <t>IUPUI</t>
        </is>
      </c>
      <c r="E132" t="inlineStr">
        <is>
          <t>ESPN_WATCHESPN_MIRROR</t>
        </is>
      </c>
    </row>
    <row r="133">
      <c r="A133" t="inlineStr">
        <is>
          <t>JACKSON_ST</t>
        </is>
      </c>
      <c r="E133" t="inlineStr">
        <is>
          <t>ESPN_WATCHESPN_MIRROR_WHITE</t>
        </is>
      </c>
    </row>
    <row r="134">
      <c r="A134" t="inlineStr">
        <is>
          <t>JACKSONVILLE</t>
        </is>
      </c>
      <c r="E134" t="inlineStr">
        <is>
          <t>ESPN_WHITE</t>
        </is>
      </c>
    </row>
    <row r="135">
      <c r="A135" t="inlineStr">
        <is>
          <t>JACKSONVILLE_ST</t>
        </is>
      </c>
      <c r="E135" t="inlineStr">
        <is>
          <t>ESPN+</t>
        </is>
      </c>
    </row>
    <row r="136">
      <c r="A136" t="inlineStr">
        <is>
          <t>JAMES_MADISON</t>
        </is>
      </c>
      <c r="E136" t="inlineStr">
        <is>
          <t>ESPN+_BLACK</t>
        </is>
      </c>
    </row>
    <row r="137">
      <c r="A137" t="inlineStr">
        <is>
          <t>KANSAS</t>
        </is>
      </c>
      <c r="E137" t="inlineStr">
        <is>
          <t>ESPN+_COLORNEGATIVE</t>
        </is>
      </c>
    </row>
    <row r="138">
      <c r="A138" t="inlineStr">
        <is>
          <t>KANSAS_ST</t>
        </is>
      </c>
      <c r="E138" t="inlineStr">
        <is>
          <t>ESPN+_GRAY</t>
        </is>
      </c>
    </row>
    <row r="139">
      <c r="A139" t="inlineStr">
        <is>
          <t>KENNESAW_ST</t>
        </is>
      </c>
      <c r="E139" t="inlineStr">
        <is>
          <t>ESPN+_ICON</t>
        </is>
      </c>
    </row>
    <row r="140">
      <c r="A140" t="inlineStr">
        <is>
          <t>KENT_ST</t>
        </is>
      </c>
      <c r="E140" t="inlineStr">
        <is>
          <t>ESPN+_ICON_BLACK</t>
        </is>
      </c>
    </row>
    <row r="141">
      <c r="A141" t="inlineStr">
        <is>
          <t>KENTUCKY</t>
        </is>
      </c>
      <c r="E141" t="inlineStr">
        <is>
          <t>ESPN+_ICON_COLORNEGATIVE</t>
        </is>
      </c>
    </row>
    <row r="142">
      <c r="A142" t="inlineStr">
        <is>
          <t>LAFAYETTE</t>
        </is>
      </c>
      <c r="E142" t="inlineStr">
        <is>
          <t>ESPN+_ICON_GRAY</t>
        </is>
      </c>
    </row>
    <row r="143">
      <c r="A143" t="inlineStr">
        <is>
          <t>LAMAR</t>
        </is>
      </c>
      <c r="E143" t="inlineStr">
        <is>
          <t>ESPN+_ICON_LIGHTGRAY</t>
        </is>
      </c>
    </row>
    <row r="144">
      <c r="A144" t="inlineStr">
        <is>
          <t>LASALLE</t>
        </is>
      </c>
      <c r="E144" t="inlineStr">
        <is>
          <t>ESPN+_ICON_WHITE</t>
        </is>
      </c>
    </row>
    <row r="145">
      <c r="A145" t="inlineStr">
        <is>
          <t>LEHIGH</t>
        </is>
      </c>
      <c r="E145" t="inlineStr">
        <is>
          <t>ESPN+_LIGHTGRAY</t>
        </is>
      </c>
    </row>
    <row r="146">
      <c r="A146" t="inlineStr">
        <is>
          <t>LIBERTY</t>
        </is>
      </c>
      <c r="E146" t="inlineStr">
        <is>
          <t>ESPN+_WHITE</t>
        </is>
      </c>
    </row>
    <row r="147">
      <c r="A147" t="inlineStr">
        <is>
          <t>LIPSCOMB</t>
        </is>
      </c>
      <c r="E147" t="inlineStr">
        <is>
          <t>ESPN2_BLACK</t>
        </is>
      </c>
    </row>
    <row r="148">
      <c r="A148" t="inlineStr">
        <is>
          <t>LITTLE_ROCK</t>
        </is>
      </c>
      <c r="E148" t="inlineStr">
        <is>
          <t>ESPN2_ESPNAPP_MIRROR</t>
        </is>
      </c>
    </row>
    <row r="149">
      <c r="A149" t="inlineStr">
        <is>
          <t>LONG_BEACH_ST</t>
        </is>
      </c>
      <c r="E149" t="inlineStr">
        <is>
          <t>ESPN2_ESPNAPP_MIRRORWHITE</t>
        </is>
      </c>
    </row>
    <row r="150">
      <c r="A150" t="inlineStr">
        <is>
          <t>LONG_ISLAND</t>
        </is>
      </c>
      <c r="E150" t="inlineStr">
        <is>
          <t>ESPN2_ESPNEWS_WHITE</t>
        </is>
      </c>
    </row>
    <row r="151">
      <c r="A151" t="inlineStr">
        <is>
          <t>LONGWOOD</t>
        </is>
      </c>
      <c r="E151" t="inlineStr">
        <is>
          <t>ESPN2_ESPNU_WHITE</t>
        </is>
      </c>
    </row>
    <row r="152">
      <c r="A152" t="inlineStr">
        <is>
          <t>LOUISIANA</t>
        </is>
      </c>
      <c r="E152" t="inlineStr">
        <is>
          <t>ESPN2_GRAY</t>
        </is>
      </c>
    </row>
    <row r="153">
      <c r="A153" t="inlineStr">
        <is>
          <t>LOUISIANA_TECH</t>
        </is>
      </c>
      <c r="E153" t="inlineStr">
        <is>
          <t>ESPN2_GREY</t>
        </is>
      </c>
    </row>
    <row r="154">
      <c r="A154" t="inlineStr">
        <is>
          <t>LOUISVILLE</t>
        </is>
      </c>
      <c r="E154" t="inlineStr">
        <is>
          <t>ESPN2_LIGHTGRAY</t>
        </is>
      </c>
    </row>
    <row r="155">
      <c r="A155" t="inlineStr">
        <is>
          <t>LOYOLA_CHICAGO</t>
        </is>
      </c>
      <c r="E155" t="inlineStr">
        <is>
          <t>ESPN2_RED</t>
        </is>
      </c>
    </row>
    <row r="156">
      <c r="A156" t="inlineStr">
        <is>
          <t>LOYOLA_MARYLAND</t>
        </is>
      </c>
      <c r="E156" t="inlineStr">
        <is>
          <t>ESPN2_WATCHESPN_MIRROR</t>
        </is>
      </c>
    </row>
    <row r="157">
      <c r="A157" t="inlineStr">
        <is>
          <t>LOYOLA_MARYMOUNT</t>
        </is>
      </c>
      <c r="E157" t="inlineStr">
        <is>
          <t>ESPN2_WATCHESPN_MIRROR_WHITE</t>
        </is>
      </c>
    </row>
    <row r="158">
      <c r="A158" t="inlineStr">
        <is>
          <t>LSU</t>
        </is>
      </c>
      <c r="E158" t="inlineStr">
        <is>
          <t>ESPN2_WHITE</t>
        </is>
      </c>
    </row>
    <row r="159">
      <c r="A159" t="inlineStr">
        <is>
          <t>MAINE</t>
        </is>
      </c>
      <c r="E159" t="inlineStr">
        <is>
          <t>ESPN3_BLACK</t>
        </is>
      </c>
    </row>
    <row r="160">
      <c r="A160" t="inlineStr">
        <is>
          <t>MANHATTAN</t>
        </is>
      </c>
      <c r="E160" t="inlineStr">
        <is>
          <t>ESPN3_ESPNAPP_MIRROR</t>
        </is>
      </c>
    </row>
    <row r="161">
      <c r="A161" t="inlineStr">
        <is>
          <t>MARIST</t>
        </is>
      </c>
      <c r="E161" t="inlineStr">
        <is>
          <t>ESPN3_ESPNAPP_MIRRORWHITE</t>
        </is>
      </c>
    </row>
    <row r="162">
      <c r="A162" t="inlineStr">
        <is>
          <t>MARQUETTE</t>
        </is>
      </c>
      <c r="E162" t="inlineStr">
        <is>
          <t>ESPN3_GRAY</t>
        </is>
      </c>
    </row>
    <row r="163">
      <c r="A163" t="inlineStr">
        <is>
          <t>MARSHALL</t>
        </is>
      </c>
      <c r="E163" t="inlineStr">
        <is>
          <t>ESPN3_LIGHTGRAY</t>
        </is>
      </c>
    </row>
    <row r="164">
      <c r="A164" t="inlineStr">
        <is>
          <t>MARYLAND</t>
        </is>
      </c>
      <c r="E164" t="inlineStr">
        <is>
          <t>ESPN3_WATCHESPN_MIRROR</t>
        </is>
      </c>
    </row>
    <row r="165">
      <c r="A165" t="inlineStr">
        <is>
          <t>MARYLAND_EASTERN_SHORE</t>
        </is>
      </c>
      <c r="E165" t="inlineStr">
        <is>
          <t>ESPN3_WATCHESPN_MIRROR_WHITE</t>
        </is>
      </c>
    </row>
    <row r="166">
      <c r="A166" t="inlineStr">
        <is>
          <t>MASSACHUSETTS</t>
        </is>
      </c>
      <c r="E166" t="inlineStr">
        <is>
          <t>ESPN3_WHITE</t>
        </is>
      </c>
    </row>
    <row r="167">
      <c r="A167" t="inlineStr">
        <is>
          <t>MCNEESE_ST</t>
        </is>
      </c>
      <c r="E167" t="inlineStr">
        <is>
          <t>ESPNAPP_1LINE</t>
        </is>
      </c>
    </row>
    <row r="168">
      <c r="A168" t="inlineStr">
        <is>
          <t>MEMPHIS</t>
        </is>
      </c>
      <c r="E168" t="inlineStr">
        <is>
          <t>ESPNAPP_1LINE_BLACK</t>
        </is>
      </c>
    </row>
    <row r="169">
      <c r="A169" t="inlineStr">
        <is>
          <t>MERCER</t>
        </is>
      </c>
      <c r="E169" t="inlineStr">
        <is>
          <t>ESPNAPP_1LINE_BWNEGATIVE</t>
        </is>
      </c>
    </row>
    <row r="170">
      <c r="A170" t="inlineStr">
        <is>
          <t>MERRIMACK</t>
        </is>
      </c>
      <c r="E170" t="inlineStr">
        <is>
          <t>ESPNAPP_1LINE_BWPOSITIVE</t>
        </is>
      </c>
    </row>
    <row r="171">
      <c r="A171" t="inlineStr">
        <is>
          <t>MIAMI_FL</t>
        </is>
      </c>
      <c r="E171" t="inlineStr">
        <is>
          <t>ESPNAPP_1LINE_COLORNEGATIVE</t>
        </is>
      </c>
    </row>
    <row r="172">
      <c r="A172" t="inlineStr">
        <is>
          <t>MIAMI_OH</t>
        </is>
      </c>
      <c r="E172" t="inlineStr">
        <is>
          <t>ESPNAPP_1LINE_GRAY</t>
        </is>
      </c>
    </row>
    <row r="173">
      <c r="A173" t="inlineStr">
        <is>
          <t>MICHIGAN</t>
        </is>
      </c>
      <c r="E173" t="inlineStr">
        <is>
          <t>ESPNAPP_1LINE_LIGHTGRAY</t>
        </is>
      </c>
    </row>
    <row r="174">
      <c r="A174" t="inlineStr">
        <is>
          <t>MICHIGAN_ST</t>
        </is>
      </c>
      <c r="E174" t="inlineStr">
        <is>
          <t>ESPNAPP_1LINE_WHITE</t>
        </is>
      </c>
    </row>
    <row r="175">
      <c r="A175" t="inlineStr">
        <is>
          <t>MIDDLE_TENNESSEE</t>
        </is>
      </c>
      <c r="E175" t="inlineStr">
        <is>
          <t>ESPNAPP_BLACK</t>
        </is>
      </c>
    </row>
    <row r="176">
      <c r="A176" t="inlineStr">
        <is>
          <t>MILWAUKEE</t>
        </is>
      </c>
      <c r="E176" t="inlineStr">
        <is>
          <t>ESPNAPP_BWNEGATIVE</t>
        </is>
      </c>
    </row>
    <row r="177">
      <c r="A177" t="inlineStr">
        <is>
          <t>MINNESOTA</t>
        </is>
      </c>
      <c r="E177" t="inlineStr">
        <is>
          <t>ESPNAPP_BWPOSITIVE</t>
        </is>
      </c>
    </row>
    <row r="178">
      <c r="A178" t="inlineStr">
        <is>
          <t>MISSISSIPPI_ST</t>
        </is>
      </c>
      <c r="E178" t="inlineStr">
        <is>
          <t>ESPNAPP_COLORNEGATIVE</t>
        </is>
      </c>
    </row>
    <row r="179">
      <c r="A179" t="inlineStr">
        <is>
          <t>MISSISSIPPI_VALLEY_ST</t>
        </is>
      </c>
      <c r="E179" t="inlineStr">
        <is>
          <t>ESPNAPP_GRAY</t>
        </is>
      </c>
    </row>
    <row r="180">
      <c r="A180" t="inlineStr">
        <is>
          <t>MISSOURI</t>
        </is>
      </c>
      <c r="E180" t="inlineStr">
        <is>
          <t>ESPNAPP_ICON_OVERDARK</t>
        </is>
      </c>
    </row>
    <row r="181">
      <c r="A181" t="inlineStr">
        <is>
          <t>MISSOURI_ST</t>
        </is>
      </c>
      <c r="E181" t="inlineStr">
        <is>
          <t>ESPNAPP_ICON_OVERLIGHT</t>
        </is>
      </c>
    </row>
    <row r="182">
      <c r="A182" t="inlineStr">
        <is>
          <t>MONMOUTH</t>
        </is>
      </c>
      <c r="E182" t="inlineStr">
        <is>
          <t>ESPNAPP_KNOCKOUT</t>
        </is>
      </c>
    </row>
    <row r="183">
      <c r="A183" t="inlineStr">
        <is>
          <t>MONTANA</t>
        </is>
      </c>
      <c r="E183" t="inlineStr">
        <is>
          <t>ESPNAPP_LIGHTGRAY</t>
        </is>
      </c>
    </row>
    <row r="184">
      <c r="A184" t="inlineStr">
        <is>
          <t>MONTANA_ST</t>
        </is>
      </c>
      <c r="E184" t="inlineStr">
        <is>
          <t>ESPNAPP_SPANISH</t>
        </is>
      </c>
    </row>
    <row r="185">
      <c r="A185" t="inlineStr">
        <is>
          <t>MOREHEAD_ST</t>
        </is>
      </c>
      <c r="E185" t="inlineStr">
        <is>
          <t>ESPNAPP_WATCHESPN_NOTEXTCOMBO1</t>
        </is>
      </c>
    </row>
    <row r="186">
      <c r="A186" t="inlineStr">
        <is>
          <t>MORGAN_ST</t>
        </is>
      </c>
      <c r="E186" t="inlineStr">
        <is>
          <t>ESPNAPP_WATCHESPN_NOTEXTCOMBO2</t>
        </is>
      </c>
    </row>
    <row r="187">
      <c r="A187" t="inlineStr">
        <is>
          <t>MOUNT_ST_MARYS</t>
        </is>
      </c>
      <c r="E187" t="inlineStr">
        <is>
          <t>ESPNAPP_WHITE</t>
        </is>
      </c>
    </row>
    <row r="188">
      <c r="A188" t="inlineStr">
        <is>
          <t>MURRAY_ST</t>
        </is>
      </c>
      <c r="E188" t="inlineStr">
        <is>
          <t>ESPNCLASSIC</t>
        </is>
      </c>
    </row>
    <row r="189">
      <c r="A189" t="inlineStr">
        <is>
          <t>NAVY</t>
        </is>
      </c>
      <c r="E189" t="inlineStr">
        <is>
          <t>ESPNCLASSIC_GRAY</t>
        </is>
      </c>
    </row>
    <row r="190">
      <c r="A190" t="inlineStr">
        <is>
          <t>NC_ST</t>
        </is>
      </c>
      <c r="E190" t="inlineStr">
        <is>
          <t>ESPNCLASSIC_LIGHTGRAY</t>
        </is>
      </c>
    </row>
    <row r="191">
      <c r="A191" t="inlineStr">
        <is>
          <t>NEBRASKA</t>
        </is>
      </c>
      <c r="E191" t="inlineStr">
        <is>
          <t>ESPNCLASSIC_WHITE</t>
        </is>
      </c>
    </row>
    <row r="192">
      <c r="A192" t="inlineStr">
        <is>
          <t>NEVADA</t>
        </is>
      </c>
      <c r="E192" t="inlineStr">
        <is>
          <t>ESPNEWS</t>
        </is>
      </c>
    </row>
    <row r="193">
      <c r="A193" t="inlineStr">
        <is>
          <t>NEW_HAMPSHIRE</t>
        </is>
      </c>
      <c r="E193" t="inlineStr">
        <is>
          <t>ESPNEWS_BLACK</t>
        </is>
      </c>
    </row>
    <row r="194">
      <c r="A194" t="inlineStr">
        <is>
          <t>NEW_MEXICO</t>
        </is>
      </c>
      <c r="E194" t="inlineStr">
        <is>
          <t>ESPNEWS_GRAY</t>
        </is>
      </c>
    </row>
    <row r="195">
      <c r="A195" t="inlineStr">
        <is>
          <t>NEW_MEXICO_ST</t>
        </is>
      </c>
      <c r="E195" t="inlineStr">
        <is>
          <t>ESPNEWS_LIGHTGRAY</t>
        </is>
      </c>
    </row>
    <row r="196">
      <c r="A196" t="inlineStr">
        <is>
          <t>NEW_ORLEANS</t>
        </is>
      </c>
      <c r="E196" t="inlineStr">
        <is>
          <t>ESPNEWS_WHITE</t>
        </is>
      </c>
    </row>
    <row r="197">
      <c r="A197" t="inlineStr">
        <is>
          <t>NIAGARA</t>
        </is>
      </c>
      <c r="E197" t="inlineStr">
        <is>
          <t>ESPNPLUS_BLACK</t>
        </is>
      </c>
    </row>
    <row r="198">
      <c r="A198" t="inlineStr">
        <is>
          <t>NICHOLLS_ST</t>
        </is>
      </c>
      <c r="E198" t="inlineStr">
        <is>
          <t>ESPNPLUS_GRAY</t>
        </is>
      </c>
    </row>
    <row r="199">
      <c r="A199" t="inlineStr">
        <is>
          <t>NJIT</t>
        </is>
      </c>
      <c r="E199" t="inlineStr">
        <is>
          <t>ESPNPLUS_LIGHTGRAY</t>
        </is>
      </c>
    </row>
    <row r="200">
      <c r="A200" t="inlineStr">
        <is>
          <t>NORFOLK_ST</t>
        </is>
      </c>
      <c r="E200" t="inlineStr">
        <is>
          <t>ESPNPLUS_WHITE</t>
        </is>
      </c>
    </row>
    <row r="201">
      <c r="A201" t="inlineStr">
        <is>
          <t>NORTH_ALABAMA</t>
        </is>
      </c>
      <c r="E201" t="inlineStr">
        <is>
          <t>ESPNU_BLACK</t>
        </is>
      </c>
    </row>
    <row r="202">
      <c r="A202" t="inlineStr">
        <is>
          <t>NORTH_CAROLINA</t>
        </is>
      </c>
      <c r="E202" t="inlineStr">
        <is>
          <t>ESPNU_ESPNAPP_MIRROR</t>
        </is>
      </c>
    </row>
    <row r="203">
      <c r="A203" t="inlineStr">
        <is>
          <t>NORTH_CAROLINA_AT</t>
        </is>
      </c>
      <c r="E203" t="inlineStr">
        <is>
          <t>ESPNU_ESPNAPP_MIRRORWHITE</t>
        </is>
      </c>
    </row>
    <row r="204">
      <c r="A204" t="inlineStr">
        <is>
          <t>NORTH_CAROLINA_CENTRAL</t>
        </is>
      </c>
      <c r="E204" t="inlineStr">
        <is>
          <t>ESPNU_ESPNEWS_WHITE</t>
        </is>
      </c>
    </row>
    <row r="205">
      <c r="A205" t="inlineStr">
        <is>
          <t>NORTH_DAKOTA</t>
        </is>
      </c>
      <c r="E205" t="inlineStr">
        <is>
          <t>ESPNU_GRAY</t>
        </is>
      </c>
    </row>
    <row r="206">
      <c r="A206" t="inlineStr">
        <is>
          <t>NORTH_DAKOTA_ST</t>
        </is>
      </c>
      <c r="E206" t="inlineStr">
        <is>
          <t>ESPNU_LIGHTGRAY</t>
        </is>
      </c>
    </row>
    <row r="207">
      <c r="A207" t="inlineStr">
        <is>
          <t>NORTH_FLORIDA</t>
        </is>
      </c>
      <c r="E207" t="inlineStr">
        <is>
          <t>ESPNU_VERTICAL</t>
        </is>
      </c>
    </row>
    <row r="208">
      <c r="A208" t="inlineStr">
        <is>
          <t>NORTH_TEXAS</t>
        </is>
      </c>
      <c r="E208" t="inlineStr">
        <is>
          <t>ESPNU_WATCHESPN_MIRROR</t>
        </is>
      </c>
    </row>
    <row r="209">
      <c r="A209" t="inlineStr">
        <is>
          <t>NORTHEASTERN</t>
        </is>
      </c>
      <c r="E209" t="inlineStr">
        <is>
          <t>ESPNU_WATCHESPN_MIRROR_WHITE</t>
        </is>
      </c>
    </row>
    <row r="210">
      <c r="A210" t="inlineStr">
        <is>
          <t>NORTHERN_ARIZONA</t>
        </is>
      </c>
      <c r="E210" t="inlineStr">
        <is>
          <t>ESPNU_WHITE</t>
        </is>
      </c>
    </row>
    <row r="211">
      <c r="A211" t="inlineStr">
        <is>
          <t>NORTHERN_COLORADO</t>
        </is>
      </c>
      <c r="E211" t="inlineStr">
        <is>
          <t>ESPNW</t>
        </is>
      </c>
    </row>
    <row r="212">
      <c r="A212" t="inlineStr">
        <is>
          <t>NORTHERN_ILLINOIS</t>
        </is>
      </c>
      <c r="E212" t="inlineStr">
        <is>
          <t>ESPNW_GRAY</t>
        </is>
      </c>
    </row>
    <row r="213">
      <c r="A213" t="inlineStr">
        <is>
          <t>NORTHERN_IOWA</t>
        </is>
      </c>
      <c r="E213" t="inlineStr">
        <is>
          <t>ESPNW_LIGHTGRAY</t>
        </is>
      </c>
    </row>
    <row r="214">
      <c r="A214" t="inlineStr">
        <is>
          <t>NORTHERN_KENTUCKY</t>
        </is>
      </c>
      <c r="E214" t="inlineStr">
        <is>
          <t>ESPNW_NO_KEY</t>
        </is>
      </c>
    </row>
    <row r="215">
      <c r="A215" t="inlineStr">
        <is>
          <t>NORTHWESTERN</t>
        </is>
      </c>
      <c r="E215" t="inlineStr">
        <is>
          <t>ESPNW_RED_HORIZONTAL</t>
        </is>
      </c>
    </row>
    <row r="216">
      <c r="A216" t="inlineStr">
        <is>
          <t>NORTHWESTERN_ST</t>
        </is>
      </c>
      <c r="E216" t="inlineStr">
        <is>
          <t>ESPNW_RED_STACKED</t>
        </is>
      </c>
    </row>
    <row r="217">
      <c r="A217" t="inlineStr">
        <is>
          <t>NOTRE_DAME</t>
        </is>
      </c>
      <c r="E217" t="inlineStr">
        <is>
          <t>ESPNW_WHITE</t>
        </is>
      </c>
    </row>
    <row r="218">
      <c r="A218" t="inlineStr">
        <is>
          <t>OAKLAND</t>
        </is>
      </c>
      <c r="E218" t="inlineStr">
        <is>
          <t>ESPNWCOM_RED_HORIZONTAL</t>
        </is>
      </c>
    </row>
    <row r="219">
      <c r="A219" t="inlineStr">
        <is>
          <t>OHIO</t>
        </is>
      </c>
      <c r="E219" t="inlineStr">
        <is>
          <t>ESPNWCOM_RED_STACKED</t>
        </is>
      </c>
    </row>
    <row r="220">
      <c r="A220" t="inlineStr">
        <is>
          <t>OHIO_ST</t>
        </is>
      </c>
      <c r="E220" t="inlineStr">
        <is>
          <t>FOX_DEPORTES</t>
        </is>
      </c>
    </row>
    <row r="221">
      <c r="A221" t="inlineStr">
        <is>
          <t>OKLAHOMA</t>
        </is>
      </c>
      <c r="E221" t="inlineStr">
        <is>
          <t>FOX_GREY_BOX</t>
        </is>
      </c>
    </row>
    <row r="222">
      <c r="A222" t="inlineStr">
        <is>
          <t>OKLAHOMA_ST</t>
        </is>
      </c>
      <c r="E222" t="inlineStr">
        <is>
          <t>FOX_NAVY</t>
        </is>
      </c>
    </row>
    <row r="223">
      <c r="A223" t="inlineStr">
        <is>
          <t>OLD_DOMINION</t>
        </is>
      </c>
      <c r="E223" t="inlineStr">
        <is>
          <t>FOX_NETWORK_BLACK</t>
        </is>
      </c>
    </row>
    <row r="224">
      <c r="A224" t="inlineStr">
        <is>
          <t>OLE_MISS</t>
        </is>
      </c>
      <c r="E224" t="inlineStr">
        <is>
          <t>FOX_NETWORK_WHITE</t>
        </is>
      </c>
    </row>
    <row r="225">
      <c r="A225" t="inlineStr">
        <is>
          <t>OMAHA</t>
        </is>
      </c>
      <c r="E225" t="inlineStr">
        <is>
          <t>FOX_SPORTS</t>
        </is>
      </c>
    </row>
    <row r="226">
      <c r="A226" t="inlineStr">
        <is>
          <t>ORAL_ROBERTS</t>
        </is>
      </c>
      <c r="E226" t="inlineStr">
        <is>
          <t>FOX_SPORTS_GRAY</t>
        </is>
      </c>
    </row>
    <row r="227">
      <c r="A227" t="inlineStr">
        <is>
          <t>OREGON</t>
        </is>
      </c>
      <c r="E227" t="inlineStr">
        <is>
          <t>FOX_SPORTS_LIGHTGRAY</t>
        </is>
      </c>
    </row>
    <row r="228">
      <c r="A228" t="inlineStr">
        <is>
          <t>OREGON_ST</t>
        </is>
      </c>
      <c r="E228" t="inlineStr">
        <is>
          <t>FOX_SPORTS_WHITE</t>
        </is>
      </c>
    </row>
    <row r="229">
      <c r="A229" t="inlineStr">
        <is>
          <t>PACIFIC</t>
        </is>
      </c>
      <c r="E229" t="inlineStr">
        <is>
          <t>FOX_SPORTS1</t>
        </is>
      </c>
    </row>
    <row r="230">
      <c r="A230" t="inlineStr">
        <is>
          <t>PENN_ST</t>
        </is>
      </c>
      <c r="E230" t="inlineStr">
        <is>
          <t>FOX_SPORTS1_LIGHTGRAY</t>
        </is>
      </c>
    </row>
    <row r="231">
      <c r="A231" t="inlineStr">
        <is>
          <t>PENNSYLVANIA</t>
        </is>
      </c>
      <c r="E231" t="inlineStr">
        <is>
          <t>FOX_SPORTS1_WHITE</t>
        </is>
      </c>
    </row>
    <row r="232">
      <c r="A232" t="inlineStr">
        <is>
          <t>PEPPERDINE</t>
        </is>
      </c>
      <c r="E232" t="inlineStr">
        <is>
          <t>FREEFORM</t>
        </is>
      </c>
    </row>
    <row r="233">
      <c r="A233" t="inlineStr">
        <is>
          <t>PITTSBURGH</t>
        </is>
      </c>
      <c r="E233" t="inlineStr">
        <is>
          <t>FREEFORM_GRAY</t>
        </is>
      </c>
    </row>
    <row r="234">
      <c r="A234" t="inlineStr">
        <is>
          <t>PORTLAND</t>
        </is>
      </c>
      <c r="E234" t="inlineStr">
        <is>
          <t>FREEFORM_LIGHTGRAY</t>
        </is>
      </c>
    </row>
    <row r="235">
      <c r="A235" t="inlineStr">
        <is>
          <t>PORTLAND_ST</t>
        </is>
      </c>
      <c r="E235" t="inlineStr">
        <is>
          <t>FREEFORM_WHITE</t>
        </is>
      </c>
    </row>
    <row r="236">
      <c r="A236" t="inlineStr">
        <is>
          <t>PRAIRIE_VIEW</t>
        </is>
      </c>
      <c r="E236" t="inlineStr">
        <is>
          <t>HORIZONLEAGUE_ESPN_BLACK</t>
        </is>
      </c>
    </row>
    <row r="237">
      <c r="A237" t="inlineStr">
        <is>
          <t>PRESBYTERIAN</t>
        </is>
      </c>
      <c r="E237" t="inlineStr">
        <is>
          <t>HORIZONLEAGUE_ESPN_DARKGRAY</t>
        </is>
      </c>
    </row>
    <row r="238">
      <c r="A238" t="inlineStr">
        <is>
          <t>PRINCETON</t>
        </is>
      </c>
      <c r="E238" t="inlineStr">
        <is>
          <t>HORIZONLEAGUE_ESPN_LIGHTGRAY</t>
        </is>
      </c>
    </row>
    <row r="239">
      <c r="A239" t="inlineStr">
        <is>
          <t>PROVIDENCE</t>
        </is>
      </c>
      <c r="E239" t="inlineStr">
        <is>
          <t>HORIZONLEAGUE_ESPN_PRIMARY</t>
        </is>
      </c>
    </row>
    <row r="240">
      <c r="A240" t="inlineStr">
        <is>
          <t>PURDUE</t>
        </is>
      </c>
      <c r="E240" t="inlineStr">
        <is>
          <t>HORIZONLEAGUE_ESPN_WHITE</t>
        </is>
      </c>
    </row>
    <row r="241">
      <c r="A241" t="inlineStr">
        <is>
          <t>PURDUE_FORT_WAYNE</t>
        </is>
      </c>
      <c r="E241" t="inlineStr">
        <is>
          <t>MAAC_ESPN_BLACK</t>
        </is>
      </c>
    </row>
    <row r="242">
      <c r="A242" t="inlineStr">
        <is>
          <t>QUINNIPIAC</t>
        </is>
      </c>
      <c r="E242" t="inlineStr">
        <is>
          <t>MAAC_ESPN_DARKGRAY</t>
        </is>
      </c>
    </row>
    <row r="243">
      <c r="A243" t="inlineStr">
        <is>
          <t>RADFORD</t>
        </is>
      </c>
      <c r="E243" t="inlineStr">
        <is>
          <t>MAAC_ESPN_LIGHTGRAY</t>
        </is>
      </c>
    </row>
    <row r="244">
      <c r="A244" t="inlineStr">
        <is>
          <t>RHODE_ISLAND</t>
        </is>
      </c>
      <c r="E244" t="inlineStr">
        <is>
          <t>MAAC_ESPN_PRIMARY</t>
        </is>
      </c>
    </row>
    <row r="245">
      <c r="A245" t="inlineStr">
        <is>
          <t>RICE</t>
        </is>
      </c>
      <c r="E245" t="inlineStr">
        <is>
          <t>MAAC_ESPN_WHITE</t>
        </is>
      </c>
    </row>
    <row r="246">
      <c r="A246" t="inlineStr">
        <is>
          <t>RICHMOND</t>
        </is>
      </c>
      <c r="E246" t="inlineStr">
        <is>
          <t>MISSOURIVALLEY_ESPN_COBRAND</t>
        </is>
      </c>
    </row>
    <row r="247">
      <c r="A247" t="inlineStr">
        <is>
          <t>RIDER</t>
        </is>
      </c>
      <c r="E247" t="inlineStr">
        <is>
          <t>MISSOURIVALLEY_ESPN3_HORIZONTAL</t>
        </is>
      </c>
    </row>
    <row r="248">
      <c r="A248" t="inlineStr">
        <is>
          <t>ROBERT_MORRIS</t>
        </is>
      </c>
      <c r="E248" t="inlineStr">
        <is>
          <t>MISSOURIVALLEY_ESPN3_VERTICAL</t>
        </is>
      </c>
    </row>
    <row r="249">
      <c r="A249" t="inlineStr">
        <is>
          <t>RUTGERS</t>
        </is>
      </c>
      <c r="E249" t="inlineStr">
        <is>
          <t>NBC</t>
        </is>
      </c>
    </row>
    <row r="250">
      <c r="A250" t="inlineStr">
        <is>
          <t>SACRAMENTO_ST</t>
        </is>
      </c>
      <c r="E250" t="inlineStr">
        <is>
          <t>NBC_SPORTS</t>
        </is>
      </c>
    </row>
    <row r="251">
      <c r="A251" t="inlineStr">
        <is>
          <t>SACRED_HEART</t>
        </is>
      </c>
      <c r="E251" t="inlineStr">
        <is>
          <t>NBC_SPORTS_GRAY</t>
        </is>
      </c>
    </row>
    <row r="252">
      <c r="A252" t="inlineStr">
        <is>
          <t>SAINT_JOSEPHS</t>
        </is>
      </c>
      <c r="E252" t="inlineStr">
        <is>
          <t>NBC_SPORTS_WHITE</t>
        </is>
      </c>
    </row>
    <row r="253">
      <c r="A253" t="inlineStr">
        <is>
          <t>SAINT_LOUIS</t>
        </is>
      </c>
      <c r="E253" t="inlineStr">
        <is>
          <t>NBC_SPORTSNETWORK</t>
        </is>
      </c>
    </row>
    <row r="254">
      <c r="A254" t="inlineStr">
        <is>
          <t>SAINT_MARYS</t>
        </is>
      </c>
      <c r="E254" t="inlineStr">
        <is>
          <t>NBC_SPORTSNETWORK_GRAY</t>
        </is>
      </c>
    </row>
    <row r="255">
      <c r="A255" t="inlineStr">
        <is>
          <t>SAM_HOUSTON_ST</t>
        </is>
      </c>
      <c r="E255" t="inlineStr">
        <is>
          <t>NBC_SPORTSNETWORK_WHITE</t>
        </is>
      </c>
    </row>
    <row r="256">
      <c r="A256" t="inlineStr">
        <is>
          <t>SAMFORD</t>
        </is>
      </c>
      <c r="E256" t="inlineStr">
        <is>
          <t>PATRIOTLEAGUE_ESPN_BLACK</t>
        </is>
      </c>
    </row>
    <row r="257">
      <c r="A257" t="inlineStr">
        <is>
          <t>SAN_DIEGO</t>
        </is>
      </c>
      <c r="E257" t="inlineStr">
        <is>
          <t>PATRIOTLEAGUE_ESPN_DARKGRAY</t>
        </is>
      </c>
    </row>
    <row r="258">
      <c r="A258" t="inlineStr">
        <is>
          <t>SAN_DIEGO_ST</t>
        </is>
      </c>
      <c r="E258" t="inlineStr">
        <is>
          <t>PATRIOTLEAGUE_ESPN_LIGHTGRAY</t>
        </is>
      </c>
    </row>
    <row r="259">
      <c r="A259" t="inlineStr">
        <is>
          <t>SAN_FRANCISCO</t>
        </is>
      </c>
      <c r="E259" t="inlineStr">
        <is>
          <t>PATRIOTLEAGUE_ESPN_PRIMARY</t>
        </is>
      </c>
    </row>
    <row r="260">
      <c r="A260" t="inlineStr">
        <is>
          <t>SAN_JOSE_ST</t>
        </is>
      </c>
      <c r="E260" t="inlineStr">
        <is>
          <t>PATRIOTLEAGUE_ESPN_WHITE</t>
        </is>
      </c>
    </row>
    <row r="261">
      <c r="A261" t="inlineStr">
        <is>
          <t>SANTA_CLARA</t>
        </is>
      </c>
      <c r="E261" t="inlineStr">
        <is>
          <t>SEC_NETWORK</t>
        </is>
      </c>
    </row>
    <row r="262">
      <c r="A262" t="inlineStr">
        <is>
          <t>SAVANNAH_ST</t>
        </is>
      </c>
      <c r="E262" t="inlineStr">
        <is>
          <t>SEC_NETWORK_BLACK</t>
        </is>
      </c>
    </row>
    <row r="263">
      <c r="A263" t="inlineStr">
        <is>
          <t>SEATTLE</t>
        </is>
      </c>
      <c r="E263" t="inlineStr">
        <is>
          <t>SEC_NETWORK_GRAY</t>
        </is>
      </c>
    </row>
    <row r="264">
      <c r="A264" t="inlineStr">
        <is>
          <t>SETON_HALL</t>
        </is>
      </c>
      <c r="E264" t="inlineStr">
        <is>
          <t>SEC_NETWORK_HORIZONTAL</t>
        </is>
      </c>
    </row>
    <row r="265">
      <c r="A265" t="inlineStr">
        <is>
          <t>SIENA</t>
        </is>
      </c>
      <c r="E265" t="inlineStr">
        <is>
          <t>SEC_NETWORK_HORIZONTAL_BLACK</t>
        </is>
      </c>
    </row>
    <row r="266">
      <c r="A266" t="inlineStr">
        <is>
          <t>SIU_EDWARDSVILLE</t>
        </is>
      </c>
      <c r="E266" t="inlineStr">
        <is>
          <t>SEC_NETWORK_HORIZONTAL_GRAY</t>
        </is>
      </c>
    </row>
    <row r="267">
      <c r="A267" t="inlineStr">
        <is>
          <t>SMU</t>
        </is>
      </c>
      <c r="E267" t="inlineStr">
        <is>
          <t>SEC_NETWORK_HORIZONTAL_WHITE</t>
        </is>
      </c>
    </row>
    <row r="268">
      <c r="A268" t="inlineStr">
        <is>
          <t>SOUTH_ALABAMA</t>
        </is>
      </c>
      <c r="E268" t="inlineStr">
        <is>
          <t>SEC_NETWORK_LIGHTGRAY</t>
        </is>
      </c>
    </row>
    <row r="269">
      <c r="A269" t="inlineStr">
        <is>
          <t>SOUTH_CAROLINA</t>
        </is>
      </c>
      <c r="E269" t="inlineStr">
        <is>
          <t>SEC_NETWORK_WHITE</t>
        </is>
      </c>
    </row>
    <row r="270">
      <c r="A270" t="inlineStr">
        <is>
          <t>SOUTH_CAROLINA_ST</t>
        </is>
      </c>
      <c r="E270" t="inlineStr">
        <is>
          <t>SEC_NETWORK+_BLACK</t>
        </is>
      </c>
    </row>
    <row r="271">
      <c r="A271" t="inlineStr">
        <is>
          <t>SOUTH_DAKOTA</t>
        </is>
      </c>
      <c r="E271" t="inlineStr">
        <is>
          <t>SEC_NETWORK+_GRAY</t>
        </is>
      </c>
    </row>
    <row r="272">
      <c r="A272" t="inlineStr">
        <is>
          <t>SOUTH_DAKOTA_ST</t>
        </is>
      </c>
      <c r="E272" t="inlineStr">
        <is>
          <t>SEC_NETWORK+_LIGHTGRAY</t>
        </is>
      </c>
    </row>
    <row r="273">
      <c r="A273" t="inlineStr">
        <is>
          <t>SOUTH_FLORIDA</t>
        </is>
      </c>
      <c r="E273" t="inlineStr">
        <is>
          <t>SEC_NETWORK+_WHITE</t>
        </is>
      </c>
    </row>
    <row r="274">
      <c r="A274" t="inlineStr">
        <is>
          <t>SOUTHEAST_MISSOURI_ST</t>
        </is>
      </c>
      <c r="E274" t="inlineStr">
        <is>
          <t>SEC_ON_ESPN</t>
        </is>
      </c>
    </row>
    <row r="275">
      <c r="A275" t="inlineStr">
        <is>
          <t>SOUTHEASTERN_LOUISIANA</t>
        </is>
      </c>
      <c r="E275" t="inlineStr">
        <is>
          <t>SECNETWORK+</t>
        </is>
      </c>
    </row>
    <row r="276">
      <c r="A276" t="inlineStr">
        <is>
          <t>SOUTHERN</t>
        </is>
      </c>
      <c r="E276" t="inlineStr">
        <is>
          <t>SECNETWORK+_GRAY</t>
        </is>
      </c>
    </row>
    <row r="277">
      <c r="A277" t="inlineStr">
        <is>
          <t>SOUTHERN_ILLINOIS</t>
        </is>
      </c>
      <c r="E277" t="inlineStr">
        <is>
          <t>SECNETWORK+_LIGHTGRAY</t>
        </is>
      </c>
    </row>
    <row r="278">
      <c r="A278" t="inlineStr">
        <is>
          <t>SOUTHERN_MISS</t>
        </is>
      </c>
      <c r="E278" t="inlineStr">
        <is>
          <t>SECNETWORK+_WHITE</t>
        </is>
      </c>
    </row>
    <row r="279">
      <c r="A279" t="inlineStr">
        <is>
          <t>SOUTHERN_UTAH</t>
        </is>
      </c>
      <c r="E279" t="inlineStr">
        <is>
          <t>SOCON_ESPN_BLACK</t>
        </is>
      </c>
    </row>
    <row r="280">
      <c r="A280" t="inlineStr">
        <is>
          <t>ST_BONAVENTURE</t>
        </is>
      </c>
      <c r="E280" t="inlineStr">
        <is>
          <t>SOCON_ESPN_DARKGRAY</t>
        </is>
      </c>
    </row>
    <row r="281">
      <c r="A281" t="inlineStr">
        <is>
          <t>ST_FRANCIS_BKN</t>
        </is>
      </c>
      <c r="E281" t="inlineStr">
        <is>
          <t>SOCON_ESPN_LIGHTGRAY</t>
        </is>
      </c>
    </row>
    <row r="282">
      <c r="A282" t="inlineStr">
        <is>
          <t>ST_FRANCIS_PA</t>
        </is>
      </c>
      <c r="E282" t="inlineStr">
        <is>
          <t>SOCON_ESPN_PRIMARY</t>
        </is>
      </c>
    </row>
    <row r="283">
      <c r="A283" t="inlineStr">
        <is>
          <t>ST_JOHNS</t>
        </is>
      </c>
      <c r="E283" t="inlineStr">
        <is>
          <t>SOCON_ESPN_WHITE</t>
        </is>
      </c>
    </row>
    <row r="284">
      <c r="A284" t="inlineStr">
        <is>
          <t>ST_PETERS</t>
        </is>
      </c>
      <c r="E284" t="inlineStr">
        <is>
          <t>SOUTHLAND_ESPN_BLACK</t>
        </is>
      </c>
    </row>
    <row r="285">
      <c r="A285" t="inlineStr">
        <is>
          <t>STANFORD</t>
        </is>
      </c>
      <c r="E285" t="inlineStr">
        <is>
          <t>SOUTHLAND_ESPN_DARKGRAY</t>
        </is>
      </c>
    </row>
    <row r="286">
      <c r="A286" t="inlineStr">
        <is>
          <t>STEPHEN_F_AUSTIN</t>
        </is>
      </c>
      <c r="E286" t="inlineStr">
        <is>
          <t>SOUTHLAND_ESPN_LIGHTGRAY</t>
        </is>
      </c>
    </row>
    <row r="287">
      <c r="A287" t="inlineStr">
        <is>
          <t>STETSON</t>
        </is>
      </c>
      <c r="E287" t="inlineStr">
        <is>
          <t>SOUTHLAND_ESPN_PRIMARY</t>
        </is>
      </c>
    </row>
    <row r="288">
      <c r="A288" t="inlineStr">
        <is>
          <t>STONY_BROOK</t>
        </is>
      </c>
      <c r="E288" t="inlineStr">
        <is>
          <t>SOUTHLAND_ESPN_WHITE</t>
        </is>
      </c>
    </row>
    <row r="289">
      <c r="A289" t="inlineStr">
        <is>
          <t>SYRACUSE</t>
        </is>
      </c>
      <c r="E289" t="inlineStr">
        <is>
          <t>STREAMINGLIVE_WATCHESPNAPPCOMBO_BLACK</t>
        </is>
      </c>
    </row>
    <row r="290">
      <c r="A290" s="25" t="inlineStr">
        <is>
          <t>TARLETON</t>
        </is>
      </c>
      <c r="E290" t="inlineStr">
        <is>
          <t>STREAMINGLIVE_WATCHESPNAPPCOMBO_BLACKANDWHITE1</t>
        </is>
      </c>
    </row>
    <row r="291">
      <c r="A291" t="inlineStr">
        <is>
          <t>TCU</t>
        </is>
      </c>
      <c r="E291" t="inlineStr">
        <is>
          <t>STREAMINGLIVE_WATCHESPNAPPCOMBO_BLACKANDWHITE2</t>
        </is>
      </c>
    </row>
    <row r="292">
      <c r="A292" t="inlineStr">
        <is>
          <t>TEMPLE</t>
        </is>
      </c>
      <c r="E292" t="inlineStr">
        <is>
          <t>STREAMINGLIVE_WATCHESPNAPPCOMBO_FULLCOLORBLACKTEXT</t>
        </is>
      </c>
    </row>
    <row r="293">
      <c r="A293" t="inlineStr">
        <is>
          <t>TENNESSEE</t>
        </is>
      </c>
      <c r="E293" t="inlineStr">
        <is>
          <t>STREAMINGLIVE_WATCHESPNAPPCOMBO_FULLCOLORWHITETEXT</t>
        </is>
      </c>
    </row>
    <row r="294">
      <c r="A294" t="inlineStr">
        <is>
          <t>TENNESSEE_MARTIN</t>
        </is>
      </c>
      <c r="E294" t="inlineStr">
        <is>
          <t>STREAMINGLIVE_WATCHESPNAPPCOMBO_WHITE</t>
        </is>
      </c>
    </row>
    <row r="295">
      <c r="A295" t="inlineStr">
        <is>
          <t>TENNESSEE_ST</t>
        </is>
      </c>
      <c r="E295" t="inlineStr">
        <is>
          <t>SUNBELT_BLACK</t>
        </is>
      </c>
    </row>
    <row r="296">
      <c r="A296" t="inlineStr">
        <is>
          <t>TENNESSEE_TECH</t>
        </is>
      </c>
      <c r="E296" t="inlineStr">
        <is>
          <t>SUNBELT_ESPN_BLACK</t>
        </is>
      </c>
    </row>
    <row r="297">
      <c r="A297" t="inlineStr">
        <is>
          <t>TENNESSEE_W</t>
        </is>
      </c>
      <c r="E297" t="inlineStr">
        <is>
          <t>SUNBELT_ESPN_DARKGRAY</t>
        </is>
      </c>
    </row>
    <row r="298">
      <c r="A298" t="inlineStr">
        <is>
          <t>TEXAS</t>
        </is>
      </c>
      <c r="E298" t="inlineStr">
        <is>
          <t>SUNBELT_ESPN_PRIMARY</t>
        </is>
      </c>
    </row>
    <row r="299">
      <c r="A299" t="inlineStr">
        <is>
          <t>TEXAS_AM</t>
        </is>
      </c>
      <c r="E299" t="inlineStr">
        <is>
          <t>SUNBELT_ESPN_WHITE</t>
        </is>
      </c>
    </row>
    <row r="300">
      <c r="A300" t="inlineStr">
        <is>
          <t>TEXAS_AM_CORPUS_CHRISTI</t>
        </is>
      </c>
      <c r="E300" t="inlineStr">
        <is>
          <t>SUNBELT_GRAY</t>
        </is>
      </c>
    </row>
    <row r="301">
      <c r="A301" t="inlineStr">
        <is>
          <t>TEXAS_SOUTHERN</t>
        </is>
      </c>
      <c r="E301" t="inlineStr">
        <is>
          <t>SUNBELT_WHITE</t>
        </is>
      </c>
    </row>
    <row r="302">
      <c r="A302" t="inlineStr">
        <is>
          <t>TEXAS_ST</t>
        </is>
      </c>
      <c r="E302" t="inlineStr">
        <is>
          <t>TBS</t>
        </is>
      </c>
    </row>
    <row r="303">
      <c r="A303" t="inlineStr">
        <is>
          <t>TEXAS_TECH</t>
        </is>
      </c>
      <c r="E303" t="inlineStr">
        <is>
          <t>TBS_BLACK</t>
        </is>
      </c>
    </row>
    <row r="304">
      <c r="A304" t="inlineStr">
        <is>
          <t>THE_CITADEL</t>
        </is>
      </c>
      <c r="E304" t="inlineStr">
        <is>
          <t>TBS_BOXTRANSPARENT</t>
        </is>
      </c>
    </row>
    <row r="305">
      <c r="A305" t="inlineStr">
        <is>
          <t>TOLEDO</t>
        </is>
      </c>
      <c r="E305" t="inlineStr">
        <is>
          <t>TBS_BOXWHITE</t>
        </is>
      </c>
    </row>
    <row r="306">
      <c r="A306" t="inlineStr">
        <is>
          <t>TOWSON</t>
        </is>
      </c>
      <c r="E306" t="inlineStr">
        <is>
          <t>TBS_GRAY</t>
        </is>
      </c>
    </row>
    <row r="307">
      <c r="A307" t="inlineStr">
        <is>
          <t>TROY</t>
        </is>
      </c>
      <c r="E307" t="inlineStr">
        <is>
          <t>TBS_LIGHTGRAY</t>
        </is>
      </c>
    </row>
    <row r="308">
      <c r="A308" t="inlineStr">
        <is>
          <t>TULANE</t>
        </is>
      </c>
      <c r="E308" t="inlineStr">
        <is>
          <t>TBS_WHITE</t>
        </is>
      </c>
    </row>
    <row r="309">
      <c r="A309" t="inlineStr">
        <is>
          <t>TULSA</t>
        </is>
      </c>
      <c r="E309" t="inlineStr">
        <is>
          <t>TNT</t>
        </is>
      </c>
    </row>
    <row r="310">
      <c r="A310" t="inlineStr">
        <is>
          <t>UAB</t>
        </is>
      </c>
      <c r="E310" t="inlineStr">
        <is>
          <t>TNT_GRAY</t>
        </is>
      </c>
    </row>
    <row r="311">
      <c r="A311" t="inlineStr">
        <is>
          <t>UC_DAVIS</t>
        </is>
      </c>
      <c r="E311" t="inlineStr">
        <is>
          <t>TNT_LIGHTGRAY</t>
        </is>
      </c>
    </row>
    <row r="312">
      <c r="A312" t="inlineStr">
        <is>
          <t>UC_IRVINE</t>
        </is>
      </c>
      <c r="E312" t="inlineStr">
        <is>
          <t>TNT_WHITE</t>
        </is>
      </c>
    </row>
    <row r="313">
      <c r="A313" t="inlineStr">
        <is>
          <t>UC_RIVERSIDE</t>
        </is>
      </c>
      <c r="E313" t="inlineStr">
        <is>
          <t>UFC_RED</t>
        </is>
      </c>
    </row>
    <row r="314">
      <c r="A314" s="25" t="inlineStr">
        <is>
          <t>UC_SAN_DIEGO</t>
        </is>
      </c>
      <c r="E314" t="inlineStr">
        <is>
          <t>UFC_WHITE</t>
        </is>
      </c>
    </row>
    <row r="315">
      <c r="A315" t="inlineStr">
        <is>
          <t>UC_SANTA_BARBARA</t>
        </is>
      </c>
      <c r="E315" t="inlineStr">
        <is>
          <t>WATCH_ESPN_HORIZONTAL</t>
        </is>
      </c>
    </row>
    <row r="316">
      <c r="A316" t="inlineStr">
        <is>
          <t>UCF</t>
        </is>
      </c>
      <c r="E316" t="inlineStr">
        <is>
          <t>WATCHESPN</t>
        </is>
      </c>
    </row>
    <row r="317">
      <c r="A317" t="inlineStr">
        <is>
          <t>UCLA</t>
        </is>
      </c>
      <c r="E317" t="inlineStr">
        <is>
          <t>WATCHESPN_GRAY</t>
        </is>
      </c>
    </row>
    <row r="318">
      <c r="A318" t="inlineStr">
        <is>
          <t>UCONN</t>
        </is>
      </c>
      <c r="E318" t="inlineStr">
        <is>
          <t>WATCHESPN_LIGHTGRAY</t>
        </is>
      </c>
    </row>
    <row r="319">
      <c r="A319" t="inlineStr">
        <is>
          <t>UL_LAFAYETTE</t>
        </is>
      </c>
      <c r="E319" t="inlineStr">
        <is>
          <t>WATCHESPN_WHITE</t>
        </is>
      </c>
    </row>
    <row r="320">
      <c r="A320" t="inlineStr">
        <is>
          <t>UL_MONROE</t>
        </is>
      </c>
    </row>
    <row r="321">
      <c r="A321" t="inlineStr">
        <is>
          <t>UMASS</t>
        </is>
      </c>
    </row>
    <row r="322">
      <c r="A322" t="inlineStr">
        <is>
          <t>UMASS_LOWELL</t>
        </is>
      </c>
    </row>
    <row r="323">
      <c r="A323" t="inlineStr">
        <is>
          <t>UMBC</t>
        </is>
      </c>
    </row>
    <row r="324">
      <c r="A324" t="inlineStr">
        <is>
          <t>UMKC</t>
        </is>
      </c>
    </row>
    <row r="325">
      <c r="A325" t="inlineStr">
        <is>
          <t>UNC_ASHEVILLE</t>
        </is>
      </c>
    </row>
    <row r="326">
      <c r="A326" t="inlineStr">
        <is>
          <t>UNC_WILMINGTON</t>
        </is>
      </c>
    </row>
    <row r="327">
      <c r="A327" t="inlineStr">
        <is>
          <t>UNCG</t>
        </is>
      </c>
    </row>
    <row r="328">
      <c r="A328" t="inlineStr">
        <is>
          <t>UNLV</t>
        </is>
      </c>
    </row>
    <row r="329">
      <c r="A329" t="inlineStr">
        <is>
          <t>USC</t>
        </is>
      </c>
    </row>
    <row r="330">
      <c r="A330" t="inlineStr">
        <is>
          <t>USC_UPSTATE</t>
        </is>
      </c>
    </row>
    <row r="331">
      <c r="A331" t="inlineStr">
        <is>
          <t>UT_ARLINGTON</t>
        </is>
      </c>
    </row>
    <row r="332">
      <c r="A332" t="inlineStr">
        <is>
          <t>UT_RIO_GRANDE_VALLEY</t>
        </is>
      </c>
    </row>
    <row r="333">
      <c r="A333" t="inlineStr">
        <is>
          <t>UT_SAN_ANTONIO</t>
        </is>
      </c>
    </row>
    <row r="334">
      <c r="A334" t="inlineStr">
        <is>
          <t>UTAH</t>
        </is>
      </c>
    </row>
    <row r="335">
      <c r="A335" t="inlineStr">
        <is>
          <t>UTAH_ST</t>
        </is>
      </c>
    </row>
    <row r="336">
      <c r="A336" s="25" t="inlineStr">
        <is>
          <t>UTAH_TECH</t>
        </is>
      </c>
    </row>
    <row r="337">
      <c r="A337" t="inlineStr">
        <is>
          <t>UTAH_VALLEY</t>
        </is>
      </c>
    </row>
    <row r="338">
      <c r="A338" t="inlineStr">
        <is>
          <t>UTEP</t>
        </is>
      </c>
    </row>
    <row r="339">
      <c r="A339" t="inlineStr">
        <is>
          <t>VALPARAISO</t>
        </is>
      </c>
    </row>
    <row r="340">
      <c r="A340" t="inlineStr">
        <is>
          <t>VANDERBILT</t>
        </is>
      </c>
    </row>
    <row r="341">
      <c r="A341" t="inlineStr">
        <is>
          <t>VCU</t>
        </is>
      </c>
    </row>
    <row r="342">
      <c r="A342" t="inlineStr">
        <is>
          <t>VERMONT</t>
        </is>
      </c>
    </row>
    <row r="343">
      <c r="A343" t="inlineStr">
        <is>
          <t>VILLANOVA</t>
        </is>
      </c>
    </row>
    <row r="344">
      <c r="A344" t="inlineStr">
        <is>
          <t>VIRGINIA</t>
        </is>
      </c>
    </row>
    <row r="345">
      <c r="A345" t="inlineStr">
        <is>
          <t>VIRGINIA_TECH</t>
        </is>
      </c>
    </row>
    <row r="346">
      <c r="A346" t="inlineStr">
        <is>
          <t>VMI</t>
        </is>
      </c>
    </row>
    <row r="347">
      <c r="A347" t="inlineStr">
        <is>
          <t>WAGNER</t>
        </is>
      </c>
    </row>
    <row r="348">
      <c r="A348" t="inlineStr">
        <is>
          <t>WAKE_FOREST</t>
        </is>
      </c>
    </row>
    <row r="349">
      <c r="A349" t="inlineStr">
        <is>
          <t>WASHINGTON</t>
        </is>
      </c>
    </row>
    <row r="350">
      <c r="A350" t="inlineStr">
        <is>
          <t>WASHINGTON_ST</t>
        </is>
      </c>
    </row>
    <row r="351">
      <c r="A351" t="inlineStr">
        <is>
          <t>WEBER_ST</t>
        </is>
      </c>
    </row>
    <row r="352">
      <c r="A352" t="inlineStr">
        <is>
          <t>WEST_VIRGINIA</t>
        </is>
      </c>
    </row>
    <row r="353">
      <c r="A353" t="inlineStr">
        <is>
          <t>WESTERN_CAROLINA</t>
        </is>
      </c>
    </row>
    <row r="354">
      <c r="A354" t="inlineStr">
        <is>
          <t>WESTERN_ILLINOIS</t>
        </is>
      </c>
    </row>
    <row r="355">
      <c r="A355" t="inlineStr">
        <is>
          <t>WESTERN_KENTUCKY</t>
        </is>
      </c>
    </row>
    <row r="356">
      <c r="A356" t="inlineStr">
        <is>
          <t>WESTERN_MICHIGAN</t>
        </is>
      </c>
    </row>
    <row r="357">
      <c r="A357" t="inlineStr">
        <is>
          <t>WICHITA_ST</t>
        </is>
      </c>
    </row>
    <row r="358">
      <c r="A358" t="inlineStr">
        <is>
          <t>WILLIAM_AND_MARY</t>
        </is>
      </c>
    </row>
    <row r="359">
      <c r="A359" t="inlineStr">
        <is>
          <t>WINTHROP</t>
        </is>
      </c>
    </row>
    <row r="360">
      <c r="A360" t="inlineStr">
        <is>
          <t>WISCONSIN</t>
        </is>
      </c>
    </row>
    <row r="361">
      <c r="A361" t="inlineStr">
        <is>
          <t>WOFFORD</t>
        </is>
      </c>
    </row>
    <row r="362">
      <c r="A362" t="inlineStr">
        <is>
          <t>WRIGHT_ST</t>
        </is>
      </c>
    </row>
    <row r="363">
      <c r="A363" t="inlineStr">
        <is>
          <t>WYOMING</t>
        </is>
      </c>
    </row>
    <row r="364">
      <c r="A364" t="inlineStr">
        <is>
          <t>WYOMING_W</t>
        </is>
      </c>
    </row>
    <row r="365">
      <c r="A365" t="inlineStr">
        <is>
          <t>XAVIER</t>
        </is>
      </c>
    </row>
    <row r="366">
      <c r="A366" t="inlineStr">
        <is>
          <t>YALE</t>
        </is>
      </c>
    </row>
    <row r="367">
      <c r="A367" t="inlineStr">
        <is>
          <t>YOUNGSTOWN_ST</t>
        </is>
      </c>
    </row>
    <row r="381">
      <c r="A381" s="100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 D Bell</dc:creator>
  <dcterms:created xsi:type="dcterms:W3CDTF">2019-06-06T15:34:17Z</dcterms:created>
  <dcterms:modified xsi:type="dcterms:W3CDTF">2026-05-04T20:12:35Z</dcterms:modified>
  <cp:lastModifiedBy>Bell, Brian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0x010100888CDBFC69A94A4BA819E840F3892EC7</vt:lpwstr>
  </property>
  <property name="WorkbookGuid" fmtid="{D5CDD505-2E9C-101B-9397-08002B2CF9AE}" pid="3">
    <vt:lpwstr>0c7d219d-d2a1-471b-904f-0e76be59fe26</vt:lpwstr>
  </property>
</Properties>
</file>